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471b3453736f5b4/Desktop/Tesla_Energy_Project_1/excel/"/>
    </mc:Choice>
  </mc:AlternateContent>
  <xr:revisionPtr revIDLastSave="260" documentId="11_F25DC773A252ABDACC10485E71DC60AA5BDE58EF" xr6:coauthVersionLast="47" xr6:coauthVersionMax="47" xr10:uidLastSave="{C7FF9F99-CA7B-4005-BCED-85028BCCE20F}"/>
  <bookViews>
    <workbookView xWindow="-108" yWindow="-108" windowWidth="23256" windowHeight="13896" xr2:uid="{00000000-000D-0000-FFFF-FFFF00000000}"/>
  </bookViews>
  <sheets>
    <sheet name="Pivotsheeat" sheetId="6" r:id="rId1"/>
    <sheet name="Actual" sheetId="1" r:id="rId2"/>
    <sheet name="Expected" sheetId="2" r:id="rId3"/>
  </sheets>
  <definedNames>
    <definedName name="_xlnm._FilterDatabase" localSheetId="1" hidden="1">Actual!$A$1:$H$3721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C15" i="6"/>
  <c r="C14" i="6"/>
  <c r="C12" i="6"/>
  <c r="C13" i="6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L2" i="1"/>
  <c r="L3" i="1"/>
  <c r="L4" i="1"/>
  <c r="L5" i="1"/>
  <c r="L6" i="1"/>
  <c r="M6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M21" i="1" s="1"/>
  <c r="L22" i="1"/>
  <c r="L23" i="1"/>
  <c r="M23" i="1" s="1"/>
  <c r="L24" i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L35" i="1"/>
  <c r="L36" i="1"/>
  <c r="L37" i="1"/>
  <c r="L38" i="1"/>
  <c r="M38" i="1" s="1"/>
  <c r="L39" i="1"/>
  <c r="M39" i="1" s="1"/>
  <c r="L40" i="1"/>
  <c r="L41" i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L51" i="1"/>
  <c r="L52" i="1"/>
  <c r="L53" i="1"/>
  <c r="L54" i="1"/>
  <c r="M54" i="1" s="1"/>
  <c r="L55" i="1"/>
  <c r="M55" i="1" s="1"/>
  <c r="L56" i="1"/>
  <c r="L57" i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L67" i="1"/>
  <c r="L68" i="1"/>
  <c r="L69" i="1"/>
  <c r="L70" i="1"/>
  <c r="M70" i="1" s="1"/>
  <c r="L71" i="1"/>
  <c r="M71" i="1" s="1"/>
  <c r="L72" i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L83" i="1"/>
  <c r="L84" i="1"/>
  <c r="L85" i="1"/>
  <c r="L86" i="1"/>
  <c r="M86" i="1" s="1"/>
  <c r="L87" i="1"/>
  <c r="M87" i="1" s="1"/>
  <c r="L88" i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L99" i="1"/>
  <c r="L100" i="1"/>
  <c r="L101" i="1"/>
  <c r="L102" i="1"/>
  <c r="L103" i="1"/>
  <c r="M103" i="1" s="1"/>
  <c r="L104" i="1"/>
  <c r="L105" i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L115" i="1"/>
  <c r="L116" i="1"/>
  <c r="L117" i="1"/>
  <c r="L118" i="1"/>
  <c r="M118" i="1" s="1"/>
  <c r="L119" i="1"/>
  <c r="M119" i="1" s="1"/>
  <c r="L120" i="1"/>
  <c r="L121" i="1"/>
  <c r="L122" i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L131" i="1"/>
  <c r="L132" i="1"/>
  <c r="L133" i="1"/>
  <c r="L134" i="1"/>
  <c r="M134" i="1" s="1"/>
  <c r="L135" i="1"/>
  <c r="M135" i="1" s="1"/>
  <c r="L136" i="1"/>
  <c r="L137" i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L147" i="1"/>
  <c r="L148" i="1"/>
  <c r="L149" i="1"/>
  <c r="L150" i="1"/>
  <c r="L151" i="1"/>
  <c r="L152" i="1"/>
  <c r="L153" i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L163" i="1"/>
  <c r="L164" i="1"/>
  <c r="L165" i="1"/>
  <c r="M165" i="1" s="1"/>
  <c r="L166" i="1"/>
  <c r="M166" i="1" s="1"/>
  <c r="L167" i="1"/>
  <c r="M167" i="1" s="1"/>
  <c r="L168" i="1"/>
  <c r="L169" i="1"/>
  <c r="M169" i="1" s="1"/>
  <c r="L170" i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L179" i="1"/>
  <c r="L180" i="1"/>
  <c r="L181" i="1"/>
  <c r="L182" i="1"/>
  <c r="M182" i="1" s="1"/>
  <c r="L183" i="1"/>
  <c r="M183" i="1" s="1"/>
  <c r="L184" i="1"/>
  <c r="L185" i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L195" i="1"/>
  <c r="L196" i="1"/>
  <c r="L197" i="1"/>
  <c r="L198" i="1"/>
  <c r="M198" i="1" s="1"/>
  <c r="L199" i="1"/>
  <c r="M199" i="1" s="1"/>
  <c r="L200" i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L211" i="1"/>
  <c r="L212" i="1"/>
  <c r="L213" i="1"/>
  <c r="L214" i="1"/>
  <c r="M214" i="1" s="1"/>
  <c r="L215" i="1"/>
  <c r="M215" i="1" s="1"/>
  <c r="L216" i="1"/>
  <c r="L217" i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L227" i="1"/>
  <c r="L228" i="1"/>
  <c r="M228" i="1" s="1"/>
  <c r="L229" i="1"/>
  <c r="M229" i="1" s="1"/>
  <c r="L230" i="1"/>
  <c r="M230" i="1" s="1"/>
  <c r="L231" i="1"/>
  <c r="M231" i="1" s="1"/>
  <c r="L232" i="1"/>
  <c r="L233" i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L243" i="1"/>
  <c r="L244" i="1"/>
  <c r="M244" i="1" s="1"/>
  <c r="L245" i="1"/>
  <c r="M245" i="1" s="1"/>
  <c r="L246" i="1"/>
  <c r="M246" i="1" s="1"/>
  <c r="L247" i="1"/>
  <c r="M247" i="1" s="1"/>
  <c r="L248" i="1"/>
  <c r="L249" i="1"/>
  <c r="L250" i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L259" i="1"/>
  <c r="L260" i="1"/>
  <c r="L261" i="1"/>
  <c r="L262" i="1"/>
  <c r="L263" i="1"/>
  <c r="M263" i="1" s="1"/>
  <c r="L264" i="1"/>
  <c r="L265" i="1"/>
  <c r="L266" i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L275" i="1"/>
  <c r="L276" i="1"/>
  <c r="M276" i="1" s="1"/>
  <c r="L277" i="1"/>
  <c r="L278" i="1"/>
  <c r="M278" i="1" s="1"/>
  <c r="L279" i="1"/>
  <c r="M279" i="1" s="1"/>
  <c r="L280" i="1"/>
  <c r="L281" i="1"/>
  <c r="L282" i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L291" i="1"/>
  <c r="L292" i="1"/>
  <c r="L293" i="1"/>
  <c r="M293" i="1" s="1"/>
  <c r="L294" i="1"/>
  <c r="M294" i="1" s="1"/>
  <c r="L295" i="1"/>
  <c r="M295" i="1" s="1"/>
  <c r="L296" i="1"/>
  <c r="L297" i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L307" i="1"/>
  <c r="L308" i="1"/>
  <c r="L309" i="1"/>
  <c r="M309" i="1" s="1"/>
  <c r="L310" i="1"/>
  <c r="M310" i="1" s="1"/>
  <c r="L311" i="1"/>
  <c r="M311" i="1" s="1"/>
  <c r="L312" i="1"/>
  <c r="L313" i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L323" i="1"/>
  <c r="L324" i="1"/>
  <c r="M324" i="1" s="1"/>
  <c r="L325" i="1"/>
  <c r="L326" i="1"/>
  <c r="L327" i="1"/>
  <c r="M327" i="1" s="1"/>
  <c r="L328" i="1"/>
  <c r="L329" i="1"/>
  <c r="M329" i="1" s="1"/>
  <c r="L330" i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L339" i="1"/>
  <c r="L340" i="1"/>
  <c r="L341" i="1"/>
  <c r="M341" i="1" s="1"/>
  <c r="L342" i="1"/>
  <c r="M342" i="1" s="1"/>
  <c r="L343" i="1"/>
  <c r="M343" i="1" s="1"/>
  <c r="L344" i="1"/>
  <c r="L345" i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L355" i="1"/>
  <c r="L356" i="1"/>
  <c r="L357" i="1"/>
  <c r="M357" i="1" s="1"/>
  <c r="L358" i="1"/>
  <c r="M358" i="1" s="1"/>
  <c r="L359" i="1"/>
  <c r="M359" i="1" s="1"/>
  <c r="L360" i="1"/>
  <c r="L361" i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L371" i="1"/>
  <c r="L372" i="1"/>
  <c r="L373" i="1"/>
  <c r="L374" i="1"/>
  <c r="M374" i="1" s="1"/>
  <c r="L375" i="1"/>
  <c r="M375" i="1" s="1"/>
  <c r="L376" i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L387" i="1"/>
  <c r="L388" i="1"/>
  <c r="L389" i="1"/>
  <c r="L390" i="1"/>
  <c r="M390" i="1" s="1"/>
  <c r="L391" i="1"/>
  <c r="M391" i="1" s="1"/>
  <c r="L392" i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L403" i="1"/>
  <c r="L404" i="1"/>
  <c r="L405" i="1"/>
  <c r="L406" i="1"/>
  <c r="L407" i="1"/>
  <c r="M407" i="1" s="1"/>
  <c r="L408" i="1"/>
  <c r="L409" i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L419" i="1"/>
  <c r="L420" i="1"/>
  <c r="L421" i="1"/>
  <c r="L422" i="1"/>
  <c r="M422" i="1" s="1"/>
  <c r="L423" i="1"/>
  <c r="M423" i="1" s="1"/>
  <c r="L424" i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L435" i="1"/>
  <c r="L436" i="1"/>
  <c r="L437" i="1"/>
  <c r="L438" i="1"/>
  <c r="M438" i="1" s="1"/>
  <c r="L439" i="1"/>
  <c r="M439" i="1" s="1"/>
  <c r="L440" i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L451" i="1"/>
  <c r="L452" i="1"/>
  <c r="L453" i="1"/>
  <c r="M453" i="1" s="1"/>
  <c r="L454" i="1"/>
  <c r="M454" i="1" s="1"/>
  <c r="L455" i="1"/>
  <c r="L456" i="1"/>
  <c r="L457" i="1"/>
  <c r="M457" i="1" s="1"/>
  <c r="L458" i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L467" i="1"/>
  <c r="L468" i="1"/>
  <c r="L469" i="1"/>
  <c r="L470" i="1"/>
  <c r="M470" i="1" s="1"/>
  <c r="L471" i="1"/>
  <c r="M471" i="1" s="1"/>
  <c r="L472" i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L483" i="1"/>
  <c r="L484" i="1"/>
  <c r="L485" i="1"/>
  <c r="L486" i="1"/>
  <c r="L487" i="1"/>
  <c r="M487" i="1" s="1"/>
  <c r="L488" i="1"/>
  <c r="L489" i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L499" i="1"/>
  <c r="L500" i="1"/>
  <c r="L501" i="1"/>
  <c r="L502" i="1"/>
  <c r="M502" i="1" s="1"/>
  <c r="L503" i="1"/>
  <c r="M503" i="1" s="1"/>
  <c r="L504" i="1"/>
  <c r="L505" i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L515" i="1"/>
  <c r="L516" i="1"/>
  <c r="M516" i="1" s="1"/>
  <c r="L517" i="1"/>
  <c r="L518" i="1"/>
  <c r="M518" i="1" s="1"/>
  <c r="L519" i="1"/>
  <c r="M519" i="1" s="1"/>
  <c r="L520" i="1"/>
  <c r="L521" i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L531" i="1"/>
  <c r="L532" i="1"/>
  <c r="L533" i="1"/>
  <c r="M533" i="1" s="1"/>
  <c r="L534" i="1"/>
  <c r="M534" i="1" s="1"/>
  <c r="L535" i="1"/>
  <c r="M535" i="1" s="1"/>
  <c r="L536" i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L547" i="1"/>
  <c r="L548" i="1"/>
  <c r="L549" i="1"/>
  <c r="M549" i="1" s="1"/>
  <c r="L550" i="1"/>
  <c r="M550" i="1" s="1"/>
  <c r="L551" i="1"/>
  <c r="M551" i="1" s="1"/>
  <c r="L552" i="1"/>
  <c r="L553" i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L563" i="1"/>
  <c r="L564" i="1"/>
  <c r="L565" i="1"/>
  <c r="M565" i="1" s="1"/>
  <c r="L566" i="1"/>
  <c r="M566" i="1" s="1"/>
  <c r="L567" i="1"/>
  <c r="M567" i="1" s="1"/>
  <c r="L568" i="1"/>
  <c r="L569" i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L579" i="1"/>
  <c r="L580" i="1"/>
  <c r="L581" i="1"/>
  <c r="L582" i="1"/>
  <c r="M582" i="1" s="1"/>
  <c r="L583" i="1"/>
  <c r="M583" i="1" s="1"/>
  <c r="L584" i="1"/>
  <c r="L585" i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L595" i="1"/>
  <c r="L596" i="1"/>
  <c r="L597" i="1"/>
  <c r="L598" i="1"/>
  <c r="M598" i="1" s="1"/>
  <c r="L599" i="1"/>
  <c r="M599" i="1" s="1"/>
  <c r="L600" i="1"/>
  <c r="L601" i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L611" i="1"/>
  <c r="L612" i="1"/>
  <c r="L613" i="1"/>
  <c r="M613" i="1" s="1"/>
  <c r="L614" i="1"/>
  <c r="M614" i="1" s="1"/>
  <c r="L615" i="1"/>
  <c r="M615" i="1" s="1"/>
  <c r="L616" i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L627" i="1"/>
  <c r="L628" i="1"/>
  <c r="L629" i="1"/>
  <c r="L630" i="1"/>
  <c r="M630" i="1" s="1"/>
  <c r="L631" i="1"/>
  <c r="M631" i="1" s="1"/>
  <c r="L632" i="1"/>
  <c r="L633" i="1"/>
  <c r="L634" i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L643" i="1"/>
  <c r="L644" i="1"/>
  <c r="L645" i="1"/>
  <c r="L646" i="1"/>
  <c r="M646" i="1" s="1"/>
  <c r="L647" i="1"/>
  <c r="M647" i="1" s="1"/>
  <c r="L648" i="1"/>
  <c r="L649" i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L659" i="1"/>
  <c r="L660" i="1"/>
  <c r="L661" i="1"/>
  <c r="M661" i="1" s="1"/>
  <c r="L662" i="1"/>
  <c r="M662" i="1" s="1"/>
  <c r="L663" i="1"/>
  <c r="M663" i="1" s="1"/>
  <c r="L664" i="1"/>
  <c r="L665" i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L675" i="1"/>
  <c r="L676" i="1"/>
  <c r="M676" i="1" s="1"/>
  <c r="L677" i="1"/>
  <c r="L678" i="1"/>
  <c r="M678" i="1" s="1"/>
  <c r="L679" i="1"/>
  <c r="M679" i="1" s="1"/>
  <c r="L680" i="1"/>
  <c r="L681" i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L691" i="1"/>
  <c r="L692" i="1"/>
  <c r="L693" i="1"/>
  <c r="L694" i="1"/>
  <c r="L695" i="1"/>
  <c r="M695" i="1" s="1"/>
  <c r="L696" i="1"/>
  <c r="L697" i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L707" i="1"/>
  <c r="L708" i="1"/>
  <c r="L709" i="1"/>
  <c r="L710" i="1"/>
  <c r="M710" i="1" s="1"/>
  <c r="L711" i="1"/>
  <c r="M711" i="1" s="1"/>
  <c r="L712" i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L723" i="1"/>
  <c r="L724" i="1"/>
  <c r="L725" i="1"/>
  <c r="L726" i="1"/>
  <c r="M726" i="1" s="1"/>
  <c r="L727" i="1"/>
  <c r="M727" i="1" s="1"/>
  <c r="L728" i="1"/>
  <c r="L729" i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L739" i="1"/>
  <c r="L740" i="1"/>
  <c r="L741" i="1"/>
  <c r="L742" i="1"/>
  <c r="M742" i="1" s="1"/>
  <c r="L743" i="1"/>
  <c r="M743" i="1" s="1"/>
  <c r="L744" i="1"/>
  <c r="L745" i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L755" i="1"/>
  <c r="L756" i="1"/>
  <c r="L757" i="1"/>
  <c r="M757" i="1" s="1"/>
  <c r="L758" i="1"/>
  <c r="M758" i="1" s="1"/>
  <c r="L759" i="1"/>
  <c r="M759" i="1" s="1"/>
  <c r="L760" i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L771" i="1"/>
  <c r="L772" i="1"/>
  <c r="L773" i="1"/>
  <c r="M773" i="1" s="1"/>
  <c r="L774" i="1"/>
  <c r="M774" i="1" s="1"/>
  <c r="L775" i="1"/>
  <c r="M775" i="1" s="1"/>
  <c r="L776" i="1"/>
  <c r="L777" i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L787" i="1"/>
  <c r="L788" i="1"/>
  <c r="L789" i="1"/>
  <c r="L790" i="1"/>
  <c r="M790" i="1" s="1"/>
  <c r="L791" i="1"/>
  <c r="M791" i="1" s="1"/>
  <c r="L792" i="1"/>
  <c r="L793" i="1"/>
  <c r="L794" i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L803" i="1"/>
  <c r="L804" i="1"/>
  <c r="L805" i="1"/>
  <c r="L806" i="1"/>
  <c r="M806" i="1" s="1"/>
  <c r="L807" i="1"/>
  <c r="M807" i="1" s="1"/>
  <c r="L808" i="1"/>
  <c r="L809" i="1"/>
  <c r="M809" i="1" s="1"/>
  <c r="L810" i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L819" i="1"/>
  <c r="L820" i="1"/>
  <c r="L821" i="1"/>
  <c r="L822" i="1"/>
  <c r="L823" i="1"/>
  <c r="M823" i="1" s="1"/>
  <c r="L824" i="1"/>
  <c r="L825" i="1"/>
  <c r="L826" i="1"/>
  <c r="L827" i="1"/>
  <c r="M827" i="1" s="1"/>
  <c r="L828" i="1"/>
  <c r="M828" i="1" s="1"/>
  <c r="L829" i="1"/>
  <c r="L830" i="1"/>
  <c r="M830" i="1" s="1"/>
  <c r="L831" i="1"/>
  <c r="M831" i="1" s="1"/>
  <c r="L832" i="1"/>
  <c r="M832" i="1" s="1"/>
  <c r="L833" i="1"/>
  <c r="M833" i="1" s="1"/>
  <c r="L834" i="1"/>
  <c r="L835" i="1"/>
  <c r="L836" i="1"/>
  <c r="L837" i="1"/>
  <c r="M837" i="1" s="1"/>
  <c r="L838" i="1"/>
  <c r="M838" i="1" s="1"/>
  <c r="L839" i="1"/>
  <c r="M839" i="1" s="1"/>
  <c r="L840" i="1"/>
  <c r="L841" i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L851" i="1"/>
  <c r="L852" i="1"/>
  <c r="L853" i="1"/>
  <c r="L854" i="1"/>
  <c r="M854" i="1" s="1"/>
  <c r="L855" i="1"/>
  <c r="M855" i="1" s="1"/>
  <c r="L856" i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L867" i="1"/>
  <c r="L868" i="1"/>
  <c r="L869" i="1"/>
  <c r="L870" i="1"/>
  <c r="M870" i="1" s="1"/>
  <c r="L871" i="1"/>
  <c r="M871" i="1" s="1"/>
  <c r="L872" i="1"/>
  <c r="L873" i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L883" i="1"/>
  <c r="L884" i="1"/>
  <c r="L885" i="1"/>
  <c r="L886" i="1"/>
  <c r="M886" i="1" s="1"/>
  <c r="L887" i="1"/>
  <c r="M887" i="1" s="1"/>
  <c r="L888" i="1"/>
  <c r="L889" i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L899" i="1"/>
  <c r="L900" i="1"/>
  <c r="L901" i="1"/>
  <c r="M901" i="1" s="1"/>
  <c r="L902" i="1"/>
  <c r="M902" i="1" s="1"/>
  <c r="L903" i="1"/>
  <c r="M903" i="1" s="1"/>
  <c r="L904" i="1"/>
  <c r="L905" i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L915" i="1"/>
  <c r="L916" i="1"/>
  <c r="L917" i="1"/>
  <c r="M917" i="1" s="1"/>
  <c r="L918" i="1"/>
  <c r="M918" i="1" s="1"/>
  <c r="L919" i="1"/>
  <c r="M919" i="1" s="1"/>
  <c r="L920" i="1"/>
  <c r="L921" i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L931" i="1"/>
  <c r="L932" i="1"/>
  <c r="L933" i="1"/>
  <c r="M933" i="1" s="1"/>
  <c r="L934" i="1"/>
  <c r="M934" i="1" s="1"/>
  <c r="L935" i="1"/>
  <c r="M935" i="1" s="1"/>
  <c r="L936" i="1"/>
  <c r="L937" i="1"/>
  <c r="L938" i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L947" i="1"/>
  <c r="L948" i="1"/>
  <c r="M948" i="1" s="1"/>
  <c r="L949" i="1"/>
  <c r="M949" i="1" s="1"/>
  <c r="L950" i="1"/>
  <c r="L951" i="1"/>
  <c r="M951" i="1" s="1"/>
  <c r="L952" i="1"/>
  <c r="L953" i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L963" i="1"/>
  <c r="L964" i="1"/>
  <c r="L965" i="1"/>
  <c r="L966" i="1"/>
  <c r="M966" i="1" s="1"/>
  <c r="L967" i="1"/>
  <c r="M967" i="1" s="1"/>
  <c r="L968" i="1"/>
  <c r="L969" i="1"/>
  <c r="L970" i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L979" i="1"/>
  <c r="L980" i="1"/>
  <c r="L981" i="1"/>
  <c r="L982" i="1"/>
  <c r="M982" i="1" s="1"/>
  <c r="L983" i="1"/>
  <c r="L984" i="1"/>
  <c r="L985" i="1"/>
  <c r="L986" i="1"/>
  <c r="M986" i="1" s="1"/>
  <c r="L987" i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L995" i="1"/>
  <c r="L996" i="1"/>
  <c r="M996" i="1" s="1"/>
  <c r="L997" i="1"/>
  <c r="L998" i="1"/>
  <c r="L999" i="1"/>
  <c r="M999" i="1" s="1"/>
  <c r="L1000" i="1"/>
  <c r="L1001" i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L1011" i="1"/>
  <c r="L1012" i="1"/>
  <c r="L1013" i="1"/>
  <c r="M1013" i="1" s="1"/>
  <c r="L1014" i="1"/>
  <c r="M1014" i="1" s="1"/>
  <c r="L1015" i="1"/>
  <c r="M1015" i="1" s="1"/>
  <c r="L1016" i="1"/>
  <c r="L1017" i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L1027" i="1"/>
  <c r="L1028" i="1"/>
  <c r="L1029" i="1"/>
  <c r="L1030" i="1"/>
  <c r="M1030" i="1" s="1"/>
  <c r="L1031" i="1"/>
  <c r="M1031" i="1" s="1"/>
  <c r="L1032" i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L1043" i="1"/>
  <c r="L1044" i="1"/>
  <c r="L1045" i="1"/>
  <c r="L1046" i="1"/>
  <c r="M1046" i="1" s="1"/>
  <c r="L1047" i="1"/>
  <c r="M1047" i="1" s="1"/>
  <c r="L1048" i="1"/>
  <c r="L1049" i="1"/>
  <c r="L1050" i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L1059" i="1"/>
  <c r="L1060" i="1"/>
  <c r="L1061" i="1"/>
  <c r="M1061" i="1" s="1"/>
  <c r="L1062" i="1"/>
  <c r="M1062" i="1" s="1"/>
  <c r="L1063" i="1"/>
  <c r="M1063" i="1" s="1"/>
  <c r="L1064" i="1"/>
  <c r="L1065" i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L1075" i="1"/>
  <c r="L1076" i="1"/>
  <c r="M1076" i="1" s="1"/>
  <c r="L1077" i="1"/>
  <c r="M1077" i="1" s="1"/>
  <c r="L1078" i="1"/>
  <c r="M1078" i="1" s="1"/>
  <c r="L1079" i="1"/>
  <c r="M1079" i="1" s="1"/>
  <c r="L1080" i="1"/>
  <c r="L1081" i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L1091" i="1"/>
  <c r="L1092" i="1"/>
  <c r="M1092" i="1" s="1"/>
  <c r="L1093" i="1"/>
  <c r="L1094" i="1"/>
  <c r="M1094" i="1" s="1"/>
  <c r="L1095" i="1"/>
  <c r="M1095" i="1" s="1"/>
  <c r="L1096" i="1"/>
  <c r="L1097" i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L1107" i="1"/>
  <c r="L1108" i="1"/>
  <c r="L1109" i="1"/>
  <c r="L1110" i="1"/>
  <c r="L1111" i="1"/>
  <c r="M1111" i="1" s="1"/>
  <c r="L1112" i="1"/>
  <c r="L1113" i="1"/>
  <c r="L1114" i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L1123" i="1"/>
  <c r="L1124" i="1"/>
  <c r="M1124" i="1" s="1"/>
  <c r="L1125" i="1"/>
  <c r="L1126" i="1"/>
  <c r="L1127" i="1"/>
  <c r="M1127" i="1" s="1"/>
  <c r="L1128" i="1"/>
  <c r="L1129" i="1"/>
  <c r="L1130" i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L1139" i="1"/>
  <c r="L1140" i="1"/>
  <c r="L1141" i="1"/>
  <c r="L1142" i="1"/>
  <c r="M1142" i="1" s="1"/>
  <c r="L1143" i="1"/>
  <c r="M1143" i="1" s="1"/>
  <c r="L1144" i="1"/>
  <c r="L1145" i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L1155" i="1"/>
  <c r="L1156" i="1"/>
  <c r="L1157" i="1"/>
  <c r="L1158" i="1"/>
  <c r="M1158" i="1" s="1"/>
  <c r="L1159" i="1"/>
  <c r="M1159" i="1" s="1"/>
  <c r="L1160" i="1"/>
  <c r="L1161" i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L1171" i="1"/>
  <c r="L1172" i="1"/>
  <c r="L1173" i="1"/>
  <c r="M1173" i="1" s="1"/>
  <c r="L1174" i="1"/>
  <c r="M1174" i="1" s="1"/>
  <c r="L1175" i="1"/>
  <c r="M1175" i="1" s="1"/>
  <c r="L1176" i="1"/>
  <c r="L1177" i="1"/>
  <c r="L1178" i="1"/>
  <c r="M1178" i="1" s="1"/>
  <c r="L1179" i="1"/>
  <c r="M1179" i="1" s="1"/>
  <c r="L1180" i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L1187" i="1"/>
  <c r="L1188" i="1"/>
  <c r="L1189" i="1"/>
  <c r="L1190" i="1"/>
  <c r="L1191" i="1"/>
  <c r="L1192" i="1"/>
  <c r="L1193" i="1"/>
  <c r="L1194" i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L1203" i="1"/>
  <c r="L1204" i="1"/>
  <c r="L1205" i="1"/>
  <c r="M1205" i="1" s="1"/>
  <c r="L1206" i="1"/>
  <c r="M1206" i="1" s="1"/>
  <c r="L1207" i="1"/>
  <c r="M1207" i="1" s="1"/>
  <c r="L1208" i="1"/>
  <c r="L1209" i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L1219" i="1"/>
  <c r="L1220" i="1"/>
  <c r="L1221" i="1"/>
  <c r="L1222" i="1"/>
  <c r="M1222" i="1" s="1"/>
  <c r="L1223" i="1"/>
  <c r="M1223" i="1" s="1"/>
  <c r="L1224" i="1"/>
  <c r="L1225" i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L1235" i="1"/>
  <c r="L1236" i="1"/>
  <c r="L1237" i="1"/>
  <c r="L1238" i="1"/>
  <c r="L1239" i="1"/>
  <c r="M1239" i="1" s="1"/>
  <c r="L1240" i="1"/>
  <c r="L1241" i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L1251" i="1"/>
  <c r="L1252" i="1"/>
  <c r="L1253" i="1"/>
  <c r="M1253" i="1" s="1"/>
  <c r="L1254" i="1"/>
  <c r="M1254" i="1" s="1"/>
  <c r="L1255" i="1"/>
  <c r="M1255" i="1" s="1"/>
  <c r="L1256" i="1"/>
  <c r="L1257" i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L1267" i="1"/>
  <c r="L1268" i="1"/>
  <c r="L1269" i="1"/>
  <c r="M1269" i="1" s="1"/>
  <c r="L1270" i="1"/>
  <c r="M1270" i="1" s="1"/>
  <c r="L1271" i="1"/>
  <c r="M1271" i="1" s="1"/>
  <c r="L1272" i="1"/>
  <c r="L1273" i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L1283" i="1"/>
  <c r="L1284" i="1"/>
  <c r="L1285" i="1"/>
  <c r="L1286" i="1"/>
  <c r="L1287" i="1"/>
  <c r="M1287" i="1" s="1"/>
  <c r="L1288" i="1"/>
  <c r="L1289" i="1"/>
  <c r="L1290" i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L1299" i="1"/>
  <c r="L1300" i="1"/>
  <c r="L1301" i="1"/>
  <c r="M1301" i="1" s="1"/>
  <c r="L1302" i="1"/>
  <c r="M1302" i="1" s="1"/>
  <c r="L1303" i="1"/>
  <c r="M1303" i="1" s="1"/>
  <c r="L1304" i="1"/>
  <c r="L1305" i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L1315" i="1"/>
  <c r="L1316" i="1"/>
  <c r="L1317" i="1"/>
  <c r="L1318" i="1"/>
  <c r="M1318" i="1" s="1"/>
  <c r="L1319" i="1"/>
  <c r="M1319" i="1" s="1"/>
  <c r="L1320" i="1"/>
  <c r="L1321" i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L1331" i="1"/>
  <c r="L1332" i="1"/>
  <c r="L1333" i="1"/>
  <c r="M1333" i="1" s="1"/>
  <c r="L1334" i="1"/>
  <c r="M1334" i="1" s="1"/>
  <c r="L1335" i="1"/>
  <c r="M1335" i="1" s="1"/>
  <c r="L1336" i="1"/>
  <c r="L1337" i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L1347" i="1"/>
  <c r="L1348" i="1"/>
  <c r="L1349" i="1"/>
  <c r="L1350" i="1"/>
  <c r="M1350" i="1" s="1"/>
  <c r="L1351" i="1"/>
  <c r="L1352" i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L1363" i="1"/>
  <c r="L1364" i="1"/>
  <c r="L1365" i="1"/>
  <c r="L1366" i="1"/>
  <c r="M1366" i="1" s="1"/>
  <c r="L1367" i="1"/>
  <c r="L1368" i="1"/>
  <c r="L1369" i="1"/>
  <c r="M1369" i="1" s="1"/>
  <c r="L1370" i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L1379" i="1"/>
  <c r="L1380" i="1"/>
  <c r="L1381" i="1"/>
  <c r="L1382" i="1"/>
  <c r="M1382" i="1" s="1"/>
  <c r="L1383" i="1"/>
  <c r="M1383" i="1" s="1"/>
  <c r="L1384" i="1"/>
  <c r="L1385" i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L1395" i="1"/>
  <c r="L1396" i="1"/>
  <c r="L1397" i="1"/>
  <c r="M1397" i="1" s="1"/>
  <c r="L1398" i="1"/>
  <c r="M1398" i="1" s="1"/>
  <c r="L1399" i="1"/>
  <c r="M1399" i="1" s="1"/>
  <c r="L1400" i="1"/>
  <c r="L1401" i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L1411" i="1"/>
  <c r="L1412" i="1"/>
  <c r="M1412" i="1" s="1"/>
  <c r="L1413" i="1"/>
  <c r="L1414" i="1"/>
  <c r="L1415" i="1"/>
  <c r="M1415" i="1" s="1"/>
  <c r="L1416" i="1"/>
  <c r="L1417" i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L1427" i="1"/>
  <c r="L1428" i="1"/>
  <c r="L1429" i="1"/>
  <c r="L1430" i="1"/>
  <c r="M1430" i="1" s="1"/>
  <c r="L1431" i="1"/>
  <c r="M1431" i="1" s="1"/>
  <c r="L1432" i="1"/>
  <c r="L1433" i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L1443" i="1"/>
  <c r="L1444" i="1"/>
  <c r="L1445" i="1"/>
  <c r="M1445" i="1" s="1"/>
  <c r="L1446" i="1"/>
  <c r="M1446" i="1" s="1"/>
  <c r="L1447" i="1"/>
  <c r="M1447" i="1" s="1"/>
  <c r="L1448" i="1"/>
  <c r="L1449" i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L1459" i="1"/>
  <c r="L1460" i="1"/>
  <c r="M1460" i="1" s="1"/>
  <c r="L1461" i="1"/>
  <c r="L1462" i="1"/>
  <c r="M1462" i="1" s="1"/>
  <c r="L1463" i="1"/>
  <c r="M1463" i="1" s="1"/>
  <c r="L1464" i="1"/>
  <c r="L1465" i="1"/>
  <c r="L1466" i="1"/>
  <c r="L1467" i="1"/>
  <c r="M1467" i="1" s="1"/>
  <c r="L1468" i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L1475" i="1"/>
  <c r="L1476" i="1"/>
  <c r="M1476" i="1" s="1"/>
  <c r="L1477" i="1"/>
  <c r="L1478" i="1"/>
  <c r="M1478" i="1" s="1"/>
  <c r="L1479" i="1"/>
  <c r="M1479" i="1" s="1"/>
  <c r="L1480" i="1"/>
  <c r="L1481" i="1"/>
  <c r="L1482" i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L1491" i="1"/>
  <c r="L1492" i="1"/>
  <c r="L1493" i="1"/>
  <c r="L1494" i="1"/>
  <c r="M1494" i="1" s="1"/>
  <c r="L1495" i="1"/>
  <c r="M1495" i="1" s="1"/>
  <c r="L1496" i="1"/>
  <c r="L1497" i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L1507" i="1"/>
  <c r="L1508" i="1"/>
  <c r="L1509" i="1"/>
  <c r="L1510" i="1"/>
  <c r="M1510" i="1" s="1"/>
  <c r="L1511" i="1"/>
  <c r="M1511" i="1" s="1"/>
  <c r="L1512" i="1"/>
  <c r="L1513" i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L1523" i="1"/>
  <c r="L1524" i="1"/>
  <c r="L1525" i="1"/>
  <c r="M1525" i="1" s="1"/>
  <c r="L1526" i="1"/>
  <c r="M1526" i="1" s="1"/>
  <c r="L1527" i="1"/>
  <c r="M1527" i="1" s="1"/>
  <c r="L1528" i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L1539" i="1"/>
  <c r="L1540" i="1"/>
  <c r="M1540" i="1" s="1"/>
  <c r="L1541" i="1"/>
  <c r="M1541" i="1" s="1"/>
  <c r="L1542" i="1"/>
  <c r="M1542" i="1" s="1"/>
  <c r="L1543" i="1"/>
  <c r="M1543" i="1" s="1"/>
  <c r="L1544" i="1"/>
  <c r="L1545" i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L1555" i="1"/>
  <c r="L1556" i="1"/>
  <c r="L1557" i="1"/>
  <c r="L1558" i="1"/>
  <c r="M1558" i="1" s="1"/>
  <c r="L1559" i="1"/>
  <c r="M1559" i="1" s="1"/>
  <c r="L1560" i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L1571" i="1"/>
  <c r="L1572" i="1"/>
  <c r="L1573" i="1"/>
  <c r="M1573" i="1" s="1"/>
  <c r="L1574" i="1"/>
  <c r="L1575" i="1"/>
  <c r="M1575" i="1" s="1"/>
  <c r="L1576" i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L1587" i="1"/>
  <c r="L1588" i="1"/>
  <c r="L1589" i="1"/>
  <c r="M1589" i="1" s="1"/>
  <c r="L1590" i="1"/>
  <c r="M1590" i="1" s="1"/>
  <c r="L1591" i="1"/>
  <c r="M1591" i="1" s="1"/>
  <c r="L1592" i="1"/>
  <c r="L1593" i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L1603" i="1"/>
  <c r="L1604" i="1"/>
  <c r="L1605" i="1"/>
  <c r="L1606" i="1"/>
  <c r="M1606" i="1" s="1"/>
  <c r="L1607" i="1"/>
  <c r="M1607" i="1" s="1"/>
  <c r="L1608" i="1"/>
  <c r="L1609" i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L1619" i="1"/>
  <c r="L1620" i="1"/>
  <c r="M1620" i="1" s="1"/>
  <c r="L1621" i="1"/>
  <c r="L1622" i="1"/>
  <c r="L1623" i="1"/>
  <c r="L1624" i="1"/>
  <c r="L1625" i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L1635" i="1"/>
  <c r="L1636" i="1"/>
  <c r="L1637" i="1"/>
  <c r="M1637" i="1" s="1"/>
  <c r="L1638" i="1"/>
  <c r="L1639" i="1"/>
  <c r="M1639" i="1" s="1"/>
  <c r="L1640" i="1"/>
  <c r="L1641" i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L1651" i="1"/>
  <c r="L1652" i="1"/>
  <c r="L1653" i="1"/>
  <c r="L1654" i="1"/>
  <c r="M1654" i="1" s="1"/>
  <c r="L1655" i="1"/>
  <c r="M1655" i="1" s="1"/>
  <c r="L1656" i="1"/>
  <c r="L1657" i="1"/>
  <c r="M1657" i="1" s="1"/>
  <c r="L1658" i="1"/>
  <c r="M1658" i="1" s="1"/>
  <c r="L1659" i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L1667" i="1"/>
  <c r="L1668" i="1"/>
  <c r="L1669" i="1"/>
  <c r="M1669" i="1" s="1"/>
  <c r="L1670" i="1"/>
  <c r="M1670" i="1" s="1"/>
  <c r="L1671" i="1"/>
  <c r="M1671" i="1" s="1"/>
  <c r="L1672" i="1"/>
  <c r="L1673" i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L1683" i="1"/>
  <c r="L1684" i="1"/>
  <c r="L1685" i="1"/>
  <c r="M1685" i="1" s="1"/>
  <c r="L1686" i="1"/>
  <c r="M1686" i="1" s="1"/>
  <c r="L1687" i="1"/>
  <c r="M1687" i="1" s="1"/>
  <c r="L1688" i="1"/>
  <c r="L1689" i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L1699" i="1"/>
  <c r="L1700" i="1"/>
  <c r="M1700" i="1" s="1"/>
  <c r="L1701" i="1"/>
  <c r="M1701" i="1" s="1"/>
  <c r="L1702" i="1"/>
  <c r="M1702" i="1" s="1"/>
  <c r="L1703" i="1"/>
  <c r="M1703" i="1" s="1"/>
  <c r="L1704" i="1"/>
  <c r="L1705" i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L1715" i="1"/>
  <c r="L1716" i="1"/>
  <c r="L1717" i="1"/>
  <c r="L1718" i="1"/>
  <c r="M1718" i="1" s="1"/>
  <c r="L1719" i="1"/>
  <c r="M1719" i="1" s="1"/>
  <c r="L1720" i="1"/>
  <c r="L1721" i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L1731" i="1"/>
  <c r="L1732" i="1"/>
  <c r="M1732" i="1" s="1"/>
  <c r="L1733" i="1"/>
  <c r="L1734" i="1"/>
  <c r="M1734" i="1" s="1"/>
  <c r="L1735" i="1"/>
  <c r="M1735" i="1" s="1"/>
  <c r="L1736" i="1"/>
  <c r="L1737" i="1"/>
  <c r="L1738" i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L1747" i="1"/>
  <c r="L1748" i="1"/>
  <c r="L1749" i="1"/>
  <c r="M1749" i="1" s="1"/>
  <c r="L1750" i="1"/>
  <c r="M1750" i="1" s="1"/>
  <c r="L1751" i="1"/>
  <c r="M1751" i="1" s="1"/>
  <c r="L1752" i="1"/>
  <c r="L1753" i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L1763" i="1"/>
  <c r="L1764" i="1"/>
  <c r="M1764" i="1" s="1"/>
  <c r="L1765" i="1"/>
  <c r="L1766" i="1"/>
  <c r="M1766" i="1" s="1"/>
  <c r="L1767" i="1"/>
  <c r="M1767" i="1" s="1"/>
  <c r="L1768" i="1"/>
  <c r="L1769" i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L1779" i="1"/>
  <c r="L1780" i="1"/>
  <c r="L1781" i="1"/>
  <c r="L1782" i="1"/>
  <c r="M1782" i="1" s="1"/>
  <c r="L1783" i="1"/>
  <c r="M1783" i="1" s="1"/>
  <c r="L1784" i="1"/>
  <c r="L1785" i="1"/>
  <c r="L1786" i="1"/>
  <c r="L1787" i="1"/>
  <c r="M1787" i="1" s="1"/>
  <c r="L1788" i="1"/>
  <c r="M1788" i="1" s="1"/>
  <c r="L1789" i="1"/>
  <c r="L1790" i="1"/>
  <c r="M1790" i="1" s="1"/>
  <c r="L1791" i="1"/>
  <c r="M1791" i="1" s="1"/>
  <c r="L1792" i="1"/>
  <c r="M1792" i="1" s="1"/>
  <c r="L1793" i="1"/>
  <c r="M1793" i="1" s="1"/>
  <c r="L1794" i="1"/>
  <c r="L1795" i="1"/>
  <c r="L1796" i="1"/>
  <c r="L1797" i="1"/>
  <c r="M1797" i="1" s="1"/>
  <c r="L1798" i="1"/>
  <c r="M1798" i="1" s="1"/>
  <c r="L1799" i="1"/>
  <c r="M1799" i="1" s="1"/>
  <c r="L1800" i="1"/>
  <c r="L1801" i="1"/>
  <c r="L1802" i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L1811" i="1"/>
  <c r="L1812" i="1"/>
  <c r="M1812" i="1" s="1"/>
  <c r="L1813" i="1"/>
  <c r="M1813" i="1" s="1"/>
  <c r="L1814" i="1"/>
  <c r="M1814" i="1" s="1"/>
  <c r="L1815" i="1"/>
  <c r="M1815" i="1" s="1"/>
  <c r="L1816" i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L1827" i="1"/>
  <c r="L1828" i="1"/>
  <c r="L1829" i="1"/>
  <c r="L1830" i="1"/>
  <c r="L1831" i="1"/>
  <c r="M1831" i="1" s="1"/>
  <c r="L1832" i="1"/>
  <c r="L1833" i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L1843" i="1"/>
  <c r="L1844" i="1"/>
  <c r="L1845" i="1"/>
  <c r="L1846" i="1"/>
  <c r="M1846" i="1" s="1"/>
  <c r="L1847" i="1"/>
  <c r="M1847" i="1" s="1"/>
  <c r="L1848" i="1"/>
  <c r="L1849" i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L1859" i="1"/>
  <c r="L1860" i="1"/>
  <c r="L1861" i="1"/>
  <c r="L1862" i="1"/>
  <c r="M1862" i="1" s="1"/>
  <c r="L1863" i="1"/>
  <c r="M1863" i="1" s="1"/>
  <c r="L1864" i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L1875" i="1"/>
  <c r="L1876" i="1"/>
  <c r="L1877" i="1"/>
  <c r="M1877" i="1" s="1"/>
  <c r="L1878" i="1"/>
  <c r="M1878" i="1" s="1"/>
  <c r="L1879" i="1"/>
  <c r="M1879" i="1" s="1"/>
  <c r="L1880" i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L1891" i="1"/>
  <c r="L1892" i="1"/>
  <c r="L1893" i="1"/>
  <c r="M1893" i="1" s="1"/>
  <c r="L1894" i="1"/>
  <c r="M1894" i="1" s="1"/>
  <c r="L1895" i="1"/>
  <c r="L1896" i="1"/>
  <c r="L1897" i="1"/>
  <c r="L1898" i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L1907" i="1"/>
  <c r="L1908" i="1"/>
  <c r="M1908" i="1" s="1"/>
  <c r="L1909" i="1"/>
  <c r="L1910" i="1"/>
  <c r="M1910" i="1" s="1"/>
  <c r="L1911" i="1"/>
  <c r="L1912" i="1"/>
  <c r="L1913" i="1"/>
  <c r="L1914" i="1"/>
  <c r="M1914" i="1" s="1"/>
  <c r="L1915" i="1"/>
  <c r="M1915" i="1" s="1"/>
  <c r="L1916" i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L1923" i="1"/>
  <c r="L1924" i="1"/>
  <c r="L1925" i="1"/>
  <c r="L1926" i="1"/>
  <c r="M1926" i="1" s="1"/>
  <c r="L1927" i="1"/>
  <c r="M1927" i="1" s="1"/>
  <c r="L1928" i="1"/>
  <c r="L1929" i="1"/>
  <c r="L1930" i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L1939" i="1"/>
  <c r="L1940" i="1"/>
  <c r="L1941" i="1"/>
  <c r="M1941" i="1" s="1"/>
  <c r="L1942" i="1"/>
  <c r="M1942" i="1" s="1"/>
  <c r="L1943" i="1"/>
  <c r="M1943" i="1" s="1"/>
  <c r="L1944" i="1"/>
  <c r="L1945" i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L1955" i="1"/>
  <c r="L1956" i="1"/>
  <c r="L1957" i="1"/>
  <c r="M1957" i="1" s="1"/>
  <c r="L1958" i="1"/>
  <c r="M1958" i="1" s="1"/>
  <c r="L1959" i="1"/>
  <c r="M1959" i="1" s="1"/>
  <c r="L1960" i="1"/>
  <c r="L1961" i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L1971" i="1"/>
  <c r="L1972" i="1"/>
  <c r="M1972" i="1" s="1"/>
  <c r="L1973" i="1"/>
  <c r="L1974" i="1"/>
  <c r="M1974" i="1" s="1"/>
  <c r="L1975" i="1"/>
  <c r="M1975" i="1" s="1"/>
  <c r="L1976" i="1"/>
  <c r="L1977" i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L1987" i="1"/>
  <c r="L1988" i="1"/>
  <c r="L1989" i="1"/>
  <c r="M1989" i="1" s="1"/>
  <c r="L1990" i="1"/>
  <c r="M1990" i="1" s="1"/>
  <c r="L1991" i="1"/>
  <c r="M1991" i="1" s="1"/>
  <c r="L1992" i="1"/>
  <c r="L1993" i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L2003" i="1"/>
  <c r="L2004" i="1"/>
  <c r="L2005" i="1"/>
  <c r="M2005" i="1" s="1"/>
  <c r="L2006" i="1"/>
  <c r="L2007" i="1"/>
  <c r="M2007" i="1" s="1"/>
  <c r="L2008" i="1"/>
  <c r="L2009" i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L2019" i="1"/>
  <c r="L2020" i="1"/>
  <c r="L2021" i="1"/>
  <c r="L2022" i="1"/>
  <c r="M2022" i="1" s="1"/>
  <c r="L2023" i="1"/>
  <c r="L2024" i="1"/>
  <c r="L2025" i="1"/>
  <c r="L2026" i="1"/>
  <c r="M2026" i="1" s="1"/>
  <c r="L2027" i="1"/>
  <c r="L2028" i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L2035" i="1"/>
  <c r="L2036" i="1"/>
  <c r="L2037" i="1"/>
  <c r="L2038" i="1"/>
  <c r="L2039" i="1"/>
  <c r="M2039" i="1" s="1"/>
  <c r="L2040" i="1"/>
  <c r="L2041" i="1"/>
  <c r="L2042" i="1"/>
  <c r="M2042" i="1" s="1"/>
  <c r="L2043" i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L2051" i="1"/>
  <c r="L2052" i="1"/>
  <c r="M2052" i="1" s="1"/>
  <c r="L2053" i="1"/>
  <c r="M2053" i="1" s="1"/>
  <c r="L2054" i="1"/>
  <c r="M2054" i="1" s="1"/>
  <c r="L2055" i="1"/>
  <c r="M2055" i="1" s="1"/>
  <c r="L2056" i="1"/>
  <c r="L2057" i="1"/>
  <c r="L2058" i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L2067" i="1"/>
  <c r="L2068" i="1"/>
  <c r="M2068" i="1" s="1"/>
  <c r="L2069" i="1"/>
  <c r="M2069" i="1" s="1"/>
  <c r="L2070" i="1"/>
  <c r="M2070" i="1" s="1"/>
  <c r="L2071" i="1"/>
  <c r="M2071" i="1" s="1"/>
  <c r="L2072" i="1"/>
  <c r="L2073" i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L2083" i="1"/>
  <c r="L2084" i="1"/>
  <c r="M2084" i="1" s="1"/>
  <c r="L2085" i="1"/>
  <c r="L2086" i="1"/>
  <c r="M2086" i="1" s="1"/>
  <c r="L2087" i="1"/>
  <c r="M2087" i="1" s="1"/>
  <c r="L2088" i="1"/>
  <c r="L2089" i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L2099" i="1"/>
  <c r="L2100" i="1"/>
  <c r="M2100" i="1" s="1"/>
  <c r="L2101" i="1"/>
  <c r="L2102" i="1"/>
  <c r="M2102" i="1" s="1"/>
  <c r="L2103" i="1"/>
  <c r="M2103" i="1" s="1"/>
  <c r="L2104" i="1"/>
  <c r="L2105" i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L2115" i="1"/>
  <c r="L2116" i="1"/>
  <c r="M2116" i="1" s="1"/>
  <c r="L2117" i="1"/>
  <c r="M2117" i="1" s="1"/>
  <c r="L2118" i="1"/>
  <c r="M2118" i="1" s="1"/>
  <c r="L2119" i="1"/>
  <c r="M2119" i="1" s="1"/>
  <c r="L2120" i="1"/>
  <c r="L2121" i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L2131" i="1"/>
  <c r="L2132" i="1"/>
  <c r="L2133" i="1"/>
  <c r="M2133" i="1" s="1"/>
  <c r="L2134" i="1"/>
  <c r="L2135" i="1"/>
  <c r="M2135" i="1" s="1"/>
  <c r="L2136" i="1"/>
  <c r="L2137" i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L2147" i="1"/>
  <c r="L2148" i="1"/>
  <c r="L2149" i="1"/>
  <c r="M2149" i="1" s="1"/>
  <c r="L2150" i="1"/>
  <c r="M2150" i="1" s="1"/>
  <c r="L2151" i="1"/>
  <c r="M2151" i="1" s="1"/>
  <c r="L2152" i="1"/>
  <c r="L2153" i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L2163" i="1"/>
  <c r="L2164" i="1"/>
  <c r="M2164" i="1" s="1"/>
  <c r="L2165" i="1"/>
  <c r="L2166" i="1"/>
  <c r="M2166" i="1" s="1"/>
  <c r="L2167" i="1"/>
  <c r="M2167" i="1" s="1"/>
  <c r="L2168" i="1"/>
  <c r="L2169" i="1"/>
  <c r="L2170" i="1"/>
  <c r="M2170" i="1" s="1"/>
  <c r="L2171" i="1"/>
  <c r="M2171" i="1" s="1"/>
  <c r="L2172" i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L2179" i="1"/>
  <c r="L2180" i="1"/>
  <c r="L2181" i="1"/>
  <c r="M2181" i="1" s="1"/>
  <c r="L2182" i="1"/>
  <c r="L2183" i="1"/>
  <c r="M2183" i="1" s="1"/>
  <c r="L2184" i="1"/>
  <c r="L2185" i="1"/>
  <c r="L2186" i="1"/>
  <c r="M2186" i="1" s="1"/>
  <c r="L2187" i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L2195" i="1"/>
  <c r="L2196" i="1"/>
  <c r="M2196" i="1" s="1"/>
  <c r="L2197" i="1"/>
  <c r="L2198" i="1"/>
  <c r="M2198" i="1" s="1"/>
  <c r="L2199" i="1"/>
  <c r="M2199" i="1" s="1"/>
  <c r="L2200" i="1"/>
  <c r="L2201" i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L2211" i="1"/>
  <c r="L2212" i="1"/>
  <c r="M2212" i="1" s="1"/>
  <c r="L2213" i="1"/>
  <c r="M2213" i="1" s="1"/>
  <c r="L2214" i="1"/>
  <c r="M2214" i="1" s="1"/>
  <c r="L2215" i="1"/>
  <c r="M2215" i="1" s="1"/>
  <c r="L2216" i="1"/>
  <c r="L2217" i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L2227" i="1"/>
  <c r="L2228" i="1"/>
  <c r="L2229" i="1"/>
  <c r="L2230" i="1"/>
  <c r="M2230" i="1" s="1"/>
  <c r="L2231" i="1"/>
  <c r="M2231" i="1" s="1"/>
  <c r="L2232" i="1"/>
  <c r="L2233" i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L2243" i="1"/>
  <c r="L2244" i="1"/>
  <c r="L2245" i="1"/>
  <c r="L2246" i="1"/>
  <c r="M2246" i="1" s="1"/>
  <c r="L2247" i="1"/>
  <c r="M2247" i="1" s="1"/>
  <c r="L2248" i="1"/>
  <c r="L2249" i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L2259" i="1"/>
  <c r="L2260" i="1"/>
  <c r="L2261" i="1"/>
  <c r="L2262" i="1"/>
  <c r="M2262" i="1" s="1"/>
  <c r="L2263" i="1"/>
  <c r="M2263" i="1" s="1"/>
  <c r="L2264" i="1"/>
  <c r="L2265" i="1"/>
  <c r="L2266" i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L2275" i="1"/>
  <c r="L2276" i="1"/>
  <c r="L2277" i="1"/>
  <c r="M2277" i="1" s="1"/>
  <c r="L2278" i="1"/>
  <c r="M2278" i="1" s="1"/>
  <c r="L2279" i="1"/>
  <c r="M2279" i="1" s="1"/>
  <c r="L2280" i="1"/>
  <c r="L2281" i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L2291" i="1"/>
  <c r="L2292" i="1"/>
  <c r="L2293" i="1"/>
  <c r="L2294" i="1"/>
  <c r="M2294" i="1" s="1"/>
  <c r="L2295" i="1"/>
  <c r="M2295" i="1" s="1"/>
  <c r="L2296" i="1"/>
  <c r="L2297" i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L2307" i="1"/>
  <c r="L2308" i="1"/>
  <c r="L2309" i="1"/>
  <c r="L2310" i="1"/>
  <c r="M2310" i="1" s="1"/>
  <c r="L2311" i="1"/>
  <c r="M2311" i="1" s="1"/>
  <c r="L2312" i="1"/>
  <c r="L2313" i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L2323" i="1"/>
  <c r="L2324" i="1"/>
  <c r="M2324" i="1" s="1"/>
  <c r="L2325" i="1"/>
  <c r="L2326" i="1"/>
  <c r="M2326" i="1" s="1"/>
  <c r="L2327" i="1"/>
  <c r="M2327" i="1" s="1"/>
  <c r="L2328" i="1"/>
  <c r="L2329" i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L2339" i="1"/>
  <c r="L2340" i="1"/>
  <c r="M2340" i="1" s="1"/>
  <c r="L2341" i="1"/>
  <c r="L2342" i="1"/>
  <c r="M2342" i="1" s="1"/>
  <c r="L2343" i="1"/>
  <c r="M2343" i="1" s="1"/>
  <c r="L2344" i="1"/>
  <c r="L2345" i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L2355" i="1"/>
  <c r="L2356" i="1"/>
  <c r="L2357" i="1"/>
  <c r="L2358" i="1"/>
  <c r="M2358" i="1" s="1"/>
  <c r="L2359" i="1"/>
  <c r="M2359" i="1" s="1"/>
  <c r="L2360" i="1"/>
  <c r="L2361" i="1"/>
  <c r="L2362" i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L2371" i="1"/>
  <c r="L2372" i="1"/>
  <c r="L2373" i="1"/>
  <c r="L2374" i="1"/>
  <c r="M2374" i="1" s="1"/>
  <c r="L2375" i="1"/>
  <c r="L2376" i="1"/>
  <c r="L2377" i="1"/>
  <c r="L2378" i="1"/>
  <c r="M2378" i="1" s="1"/>
  <c r="L2379" i="1"/>
  <c r="L2380" i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L2387" i="1"/>
  <c r="L2388" i="1"/>
  <c r="L2389" i="1"/>
  <c r="M2389" i="1" s="1"/>
  <c r="L2390" i="1"/>
  <c r="M2390" i="1" s="1"/>
  <c r="L2391" i="1"/>
  <c r="M2391" i="1" s="1"/>
  <c r="L2392" i="1"/>
  <c r="L2393" i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L2403" i="1"/>
  <c r="L2404" i="1"/>
  <c r="L2405" i="1"/>
  <c r="M2405" i="1" s="1"/>
  <c r="L2406" i="1"/>
  <c r="M2406" i="1" s="1"/>
  <c r="L2407" i="1"/>
  <c r="M2407" i="1" s="1"/>
  <c r="L2408" i="1"/>
  <c r="L2409" i="1"/>
  <c r="L2410" i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L2419" i="1"/>
  <c r="L2420" i="1"/>
  <c r="L2421" i="1"/>
  <c r="M2421" i="1" s="1"/>
  <c r="L2422" i="1"/>
  <c r="L2423" i="1"/>
  <c r="M2423" i="1" s="1"/>
  <c r="L2424" i="1"/>
  <c r="L2425" i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L2435" i="1"/>
  <c r="L2436" i="1"/>
  <c r="L2437" i="1"/>
  <c r="L2438" i="1"/>
  <c r="M2438" i="1" s="1"/>
  <c r="L2439" i="1"/>
  <c r="M2439" i="1" s="1"/>
  <c r="L2440" i="1"/>
  <c r="L2441" i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L2451" i="1"/>
  <c r="L2452" i="1"/>
  <c r="L2453" i="1"/>
  <c r="M2453" i="1" s="1"/>
  <c r="L2454" i="1"/>
  <c r="M2454" i="1" s="1"/>
  <c r="L2455" i="1"/>
  <c r="M2455" i="1" s="1"/>
  <c r="L2456" i="1"/>
  <c r="L2457" i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L2467" i="1"/>
  <c r="L2468" i="1"/>
  <c r="M2468" i="1" s="1"/>
  <c r="L2469" i="1"/>
  <c r="L2470" i="1"/>
  <c r="M2470" i="1" s="1"/>
  <c r="L2471" i="1"/>
  <c r="M2471" i="1" s="1"/>
  <c r="L2472" i="1"/>
  <c r="L2473" i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L2483" i="1"/>
  <c r="L2484" i="1"/>
  <c r="L2485" i="1"/>
  <c r="L2486" i="1"/>
  <c r="M2486" i="1" s="1"/>
  <c r="L2487" i="1"/>
  <c r="M2487" i="1" s="1"/>
  <c r="L2488" i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L2499" i="1"/>
  <c r="L2500" i="1"/>
  <c r="L2501" i="1"/>
  <c r="L2502" i="1"/>
  <c r="M2502" i="1" s="1"/>
  <c r="L2503" i="1"/>
  <c r="M2503" i="1" s="1"/>
  <c r="L2504" i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L2515" i="1"/>
  <c r="L2516" i="1"/>
  <c r="L2517" i="1"/>
  <c r="M2517" i="1" s="1"/>
  <c r="L2518" i="1"/>
  <c r="M2518" i="1" s="1"/>
  <c r="L2519" i="1"/>
  <c r="M2519" i="1" s="1"/>
  <c r="L2520" i="1"/>
  <c r="L2521" i="1"/>
  <c r="L2522" i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L2531" i="1"/>
  <c r="L2532" i="1"/>
  <c r="L2533" i="1"/>
  <c r="M2533" i="1" s="1"/>
  <c r="L2534" i="1"/>
  <c r="M2534" i="1" s="1"/>
  <c r="L2535" i="1"/>
  <c r="M2535" i="1" s="1"/>
  <c r="L2536" i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L2547" i="1"/>
  <c r="L2548" i="1"/>
  <c r="L2549" i="1"/>
  <c r="L2550" i="1"/>
  <c r="M2550" i="1" s="1"/>
  <c r="L2551" i="1"/>
  <c r="M2551" i="1" s="1"/>
  <c r="L2552" i="1"/>
  <c r="L2553" i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L2563" i="1"/>
  <c r="L2564" i="1"/>
  <c r="L2565" i="1"/>
  <c r="L2566" i="1"/>
  <c r="M2566" i="1" s="1"/>
  <c r="L2567" i="1"/>
  <c r="M2567" i="1" s="1"/>
  <c r="L2568" i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L2579" i="1"/>
  <c r="L2580" i="1"/>
  <c r="M2580" i="1" s="1"/>
  <c r="L2581" i="1"/>
  <c r="L2582" i="1"/>
  <c r="M2582" i="1" s="1"/>
  <c r="L2583" i="1"/>
  <c r="M2583" i="1" s="1"/>
  <c r="L2584" i="1"/>
  <c r="L2585" i="1"/>
  <c r="L2586" i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L2595" i="1"/>
  <c r="L2596" i="1"/>
  <c r="L2597" i="1"/>
  <c r="M2597" i="1" s="1"/>
  <c r="L2598" i="1"/>
  <c r="L2599" i="1"/>
  <c r="L2600" i="1"/>
  <c r="L2601" i="1"/>
  <c r="L2602" i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L2611" i="1"/>
  <c r="L2612" i="1"/>
  <c r="L2613" i="1"/>
  <c r="M2613" i="1" s="1"/>
  <c r="L2614" i="1"/>
  <c r="M2614" i="1" s="1"/>
  <c r="L2615" i="1"/>
  <c r="M2615" i="1" s="1"/>
  <c r="L2616" i="1"/>
  <c r="L2617" i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L2627" i="1"/>
  <c r="L2628" i="1"/>
  <c r="L2629" i="1"/>
  <c r="M2629" i="1" s="1"/>
  <c r="L2630" i="1"/>
  <c r="M2630" i="1" s="1"/>
  <c r="L2631" i="1"/>
  <c r="M2631" i="1" s="1"/>
  <c r="L2632" i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L2643" i="1"/>
  <c r="L2644" i="1"/>
  <c r="L2645" i="1"/>
  <c r="L2646" i="1"/>
  <c r="M2646" i="1" s="1"/>
  <c r="L2647" i="1"/>
  <c r="M2647" i="1" s="1"/>
  <c r="L2648" i="1"/>
  <c r="L2649" i="1"/>
  <c r="L2650" i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L2659" i="1"/>
  <c r="L2660" i="1"/>
  <c r="M2660" i="1" s="1"/>
  <c r="L2661" i="1"/>
  <c r="M2661" i="1" s="1"/>
  <c r="L2662" i="1"/>
  <c r="M2662" i="1" s="1"/>
  <c r="L2663" i="1"/>
  <c r="M2663" i="1" s="1"/>
  <c r="L2664" i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L2675" i="1"/>
  <c r="L2676" i="1"/>
  <c r="L2677" i="1"/>
  <c r="M2677" i="1" s="1"/>
  <c r="L2678" i="1"/>
  <c r="M2678" i="1" s="1"/>
  <c r="L2679" i="1"/>
  <c r="M2679" i="1" s="1"/>
  <c r="L2680" i="1"/>
  <c r="L2681" i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L2691" i="1"/>
  <c r="L2692" i="1"/>
  <c r="L2693" i="1"/>
  <c r="L2694" i="1"/>
  <c r="L2695" i="1"/>
  <c r="L2696" i="1"/>
  <c r="L2697" i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L2707" i="1"/>
  <c r="L2708" i="1"/>
  <c r="L2709" i="1"/>
  <c r="L2710" i="1"/>
  <c r="M2710" i="1" s="1"/>
  <c r="L2711" i="1"/>
  <c r="M2711" i="1" s="1"/>
  <c r="L2712" i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L2723" i="1"/>
  <c r="L2724" i="1"/>
  <c r="L2725" i="1"/>
  <c r="L2726" i="1"/>
  <c r="M2726" i="1" s="1"/>
  <c r="L2727" i="1"/>
  <c r="M2727" i="1" s="1"/>
  <c r="L2728" i="1"/>
  <c r="L2729" i="1"/>
  <c r="L2730" i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L2739" i="1"/>
  <c r="L2740" i="1"/>
  <c r="L2741" i="1"/>
  <c r="M2741" i="1" s="1"/>
  <c r="L2742" i="1"/>
  <c r="M2742" i="1" s="1"/>
  <c r="L2743" i="1"/>
  <c r="M2743" i="1" s="1"/>
  <c r="L2744" i="1"/>
  <c r="L2745" i="1"/>
  <c r="M2745" i="1" s="1"/>
  <c r="L2746" i="1"/>
  <c r="M2746" i="1" s="1"/>
  <c r="L2747" i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L2755" i="1"/>
  <c r="L2756" i="1"/>
  <c r="L2757" i="1"/>
  <c r="L2758" i="1"/>
  <c r="M2758" i="1" s="1"/>
  <c r="L2759" i="1"/>
  <c r="M2759" i="1" s="1"/>
  <c r="L2760" i="1"/>
  <c r="L2761" i="1"/>
  <c r="M2761" i="1" s="1"/>
  <c r="L2762" i="1"/>
  <c r="L2763" i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L2771" i="1"/>
  <c r="L2772" i="1"/>
  <c r="L2773" i="1"/>
  <c r="L2774" i="1"/>
  <c r="M2774" i="1" s="1"/>
  <c r="L2775" i="1"/>
  <c r="L2776" i="1"/>
  <c r="L2777" i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L2787" i="1"/>
  <c r="L2788" i="1"/>
  <c r="L2789" i="1"/>
  <c r="M2789" i="1" s="1"/>
  <c r="L2790" i="1"/>
  <c r="M2790" i="1" s="1"/>
  <c r="L2791" i="1"/>
  <c r="M2791" i="1" s="1"/>
  <c r="L2792" i="1"/>
  <c r="L2793" i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L2803" i="1"/>
  <c r="L2804" i="1"/>
  <c r="M2804" i="1" s="1"/>
  <c r="L2805" i="1"/>
  <c r="L2806" i="1"/>
  <c r="M2806" i="1" s="1"/>
  <c r="L2807" i="1"/>
  <c r="M2807" i="1" s="1"/>
  <c r="L2808" i="1"/>
  <c r="L2809" i="1"/>
  <c r="L2810" i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L2819" i="1"/>
  <c r="L2820" i="1"/>
  <c r="L2821" i="1"/>
  <c r="L2822" i="1"/>
  <c r="L2823" i="1"/>
  <c r="L2824" i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L2835" i="1"/>
  <c r="L2836" i="1"/>
  <c r="M2836" i="1" s="1"/>
  <c r="L2837" i="1"/>
  <c r="M2837" i="1" s="1"/>
  <c r="L2838" i="1"/>
  <c r="M2838" i="1" s="1"/>
  <c r="L2839" i="1"/>
  <c r="M2839" i="1" s="1"/>
  <c r="L2840" i="1"/>
  <c r="L2841" i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L2851" i="1"/>
  <c r="L2852" i="1"/>
  <c r="M2852" i="1" s="1"/>
  <c r="L2853" i="1"/>
  <c r="L2854" i="1"/>
  <c r="L2855" i="1"/>
  <c r="M2855" i="1" s="1"/>
  <c r="L2856" i="1"/>
  <c r="L2857" i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L2867" i="1"/>
  <c r="L2868" i="1"/>
  <c r="M2868" i="1" s="1"/>
  <c r="L2869" i="1"/>
  <c r="L2870" i="1"/>
  <c r="M2870" i="1" s="1"/>
  <c r="L2871" i="1"/>
  <c r="M2871" i="1" s="1"/>
  <c r="L2872" i="1"/>
  <c r="L2873" i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L2883" i="1"/>
  <c r="L2884" i="1"/>
  <c r="L2885" i="1"/>
  <c r="L2886" i="1"/>
  <c r="M2886" i="1" s="1"/>
  <c r="L2887" i="1"/>
  <c r="M2887" i="1" s="1"/>
  <c r="L2888" i="1"/>
  <c r="L2889" i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L2899" i="1"/>
  <c r="L2900" i="1"/>
  <c r="L2901" i="1"/>
  <c r="L2902" i="1"/>
  <c r="M2902" i="1" s="1"/>
  <c r="L2903" i="1"/>
  <c r="M2903" i="1" s="1"/>
  <c r="L2904" i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L2915" i="1"/>
  <c r="L2916" i="1"/>
  <c r="L2917" i="1"/>
  <c r="L2918" i="1"/>
  <c r="M2918" i="1" s="1"/>
  <c r="L2919" i="1"/>
  <c r="M2919" i="1" s="1"/>
  <c r="L2920" i="1"/>
  <c r="L2921" i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L2931" i="1"/>
  <c r="L2932" i="1"/>
  <c r="L2933" i="1"/>
  <c r="L2934" i="1"/>
  <c r="M2934" i="1" s="1"/>
  <c r="L2935" i="1"/>
  <c r="M2935" i="1" s="1"/>
  <c r="L2936" i="1"/>
  <c r="L2937" i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L2947" i="1"/>
  <c r="L2948" i="1"/>
  <c r="M2948" i="1" s="1"/>
  <c r="L2949" i="1"/>
  <c r="L2950" i="1"/>
  <c r="M2950" i="1" s="1"/>
  <c r="L2951" i="1"/>
  <c r="M2951" i="1" s="1"/>
  <c r="L2952" i="1"/>
  <c r="L2953" i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L2963" i="1"/>
  <c r="L2964" i="1"/>
  <c r="M2964" i="1" s="1"/>
  <c r="L2965" i="1"/>
  <c r="M2965" i="1" s="1"/>
  <c r="L2966" i="1"/>
  <c r="M2966" i="1" s="1"/>
  <c r="L2967" i="1"/>
  <c r="M2967" i="1" s="1"/>
  <c r="L2968" i="1"/>
  <c r="L2969" i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L2979" i="1"/>
  <c r="L2980" i="1"/>
  <c r="M2980" i="1" s="1"/>
  <c r="L2981" i="1"/>
  <c r="M2981" i="1" s="1"/>
  <c r="L2982" i="1"/>
  <c r="L2983" i="1"/>
  <c r="L2984" i="1"/>
  <c r="L2985" i="1"/>
  <c r="M2985" i="1" s="1"/>
  <c r="L2986" i="1"/>
  <c r="L2987" i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L2995" i="1"/>
  <c r="L2996" i="1"/>
  <c r="L2997" i="1"/>
  <c r="L2998" i="1"/>
  <c r="M2998" i="1" s="1"/>
  <c r="L2999" i="1"/>
  <c r="M2999" i="1" s="1"/>
  <c r="L3000" i="1"/>
  <c r="L3001" i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L3011" i="1"/>
  <c r="L3012" i="1"/>
  <c r="L3013" i="1"/>
  <c r="L3014" i="1"/>
  <c r="M3014" i="1" s="1"/>
  <c r="L3015" i="1"/>
  <c r="M3015" i="1" s="1"/>
  <c r="L3016" i="1"/>
  <c r="L3017" i="1"/>
  <c r="L3018" i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L3027" i="1"/>
  <c r="L3028" i="1"/>
  <c r="M3028" i="1" s="1"/>
  <c r="L3029" i="1"/>
  <c r="L3030" i="1"/>
  <c r="M3030" i="1" s="1"/>
  <c r="L3031" i="1"/>
  <c r="M3031" i="1" s="1"/>
  <c r="L3032" i="1"/>
  <c r="L3033" i="1"/>
  <c r="L3034" i="1"/>
  <c r="M3034" i="1" s="1"/>
  <c r="L3035" i="1"/>
  <c r="L3036" i="1"/>
  <c r="M3036" i="1" s="1"/>
  <c r="L3037" i="1"/>
  <c r="M3037" i="1" s="1"/>
  <c r="L3038" i="1"/>
  <c r="M3038" i="1" s="1"/>
  <c r="L3039" i="1"/>
  <c r="L3040" i="1"/>
  <c r="M3040" i="1" s="1"/>
  <c r="L3041" i="1"/>
  <c r="M3041" i="1" s="1"/>
  <c r="L3042" i="1"/>
  <c r="L3043" i="1"/>
  <c r="L3044" i="1"/>
  <c r="L3045" i="1"/>
  <c r="L3046" i="1"/>
  <c r="M3046" i="1" s="1"/>
  <c r="L3047" i="1"/>
  <c r="L3048" i="1"/>
  <c r="L3049" i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L3059" i="1"/>
  <c r="L3060" i="1"/>
  <c r="L3061" i="1"/>
  <c r="L3062" i="1"/>
  <c r="M3062" i="1" s="1"/>
  <c r="L3063" i="1"/>
  <c r="M3063" i="1" s="1"/>
  <c r="L3064" i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L3075" i="1"/>
  <c r="L3076" i="1"/>
  <c r="L3077" i="1"/>
  <c r="L3078" i="1"/>
  <c r="M3078" i="1" s="1"/>
  <c r="L3079" i="1"/>
  <c r="M3079" i="1" s="1"/>
  <c r="L3080" i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L3091" i="1"/>
  <c r="L3092" i="1"/>
  <c r="L3093" i="1"/>
  <c r="L3094" i="1"/>
  <c r="L3095" i="1"/>
  <c r="L3096" i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L3107" i="1"/>
  <c r="L3108" i="1"/>
  <c r="L3109" i="1"/>
  <c r="M3109" i="1" s="1"/>
  <c r="L3110" i="1"/>
  <c r="M3110" i="1" s="1"/>
  <c r="L3111" i="1"/>
  <c r="M3111" i="1" s="1"/>
  <c r="L3112" i="1"/>
  <c r="L3113" i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L3123" i="1"/>
  <c r="L3124" i="1"/>
  <c r="L3125" i="1"/>
  <c r="M3125" i="1" s="1"/>
  <c r="L3126" i="1"/>
  <c r="M3126" i="1" s="1"/>
  <c r="L3127" i="1"/>
  <c r="M3127" i="1" s="1"/>
  <c r="L3128" i="1"/>
  <c r="L3129" i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L3139" i="1"/>
  <c r="L3140" i="1"/>
  <c r="L3141" i="1"/>
  <c r="L3142" i="1"/>
  <c r="M3142" i="1" s="1"/>
  <c r="L3143" i="1"/>
  <c r="L3144" i="1"/>
  <c r="L3145" i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L3155" i="1"/>
  <c r="L3156" i="1"/>
  <c r="L3157" i="1"/>
  <c r="L3158" i="1"/>
  <c r="M3158" i="1" s="1"/>
  <c r="L3159" i="1"/>
  <c r="M3159" i="1" s="1"/>
  <c r="L3160" i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L3171" i="1"/>
  <c r="L3172" i="1"/>
  <c r="L3173" i="1"/>
  <c r="L3174" i="1"/>
  <c r="M3174" i="1" s="1"/>
  <c r="L3175" i="1"/>
  <c r="M3175" i="1" s="1"/>
  <c r="L3176" i="1"/>
  <c r="L3177" i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L3187" i="1"/>
  <c r="L3188" i="1"/>
  <c r="L3189" i="1"/>
  <c r="M3189" i="1" s="1"/>
  <c r="L3190" i="1"/>
  <c r="M3190" i="1" s="1"/>
  <c r="L3191" i="1"/>
  <c r="M3191" i="1" s="1"/>
  <c r="L3192" i="1"/>
  <c r="L3193" i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L3203" i="1"/>
  <c r="L3204" i="1"/>
  <c r="M3204" i="1" s="1"/>
  <c r="L3205" i="1"/>
  <c r="M3205" i="1" s="1"/>
  <c r="L3206" i="1"/>
  <c r="M3206" i="1" s="1"/>
  <c r="L3207" i="1"/>
  <c r="M3207" i="1" s="1"/>
  <c r="L3208" i="1"/>
  <c r="L3209" i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L3219" i="1"/>
  <c r="L3220" i="1"/>
  <c r="L3221" i="1"/>
  <c r="L3222" i="1"/>
  <c r="L3223" i="1"/>
  <c r="M3223" i="1" s="1"/>
  <c r="L3224" i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L3235" i="1"/>
  <c r="L3236" i="1"/>
  <c r="L3237" i="1"/>
  <c r="L3238" i="1"/>
  <c r="L3239" i="1"/>
  <c r="M3239" i="1" s="1"/>
  <c r="L3240" i="1"/>
  <c r="L3241" i="1"/>
  <c r="L3242" i="1"/>
  <c r="M3242" i="1" s="1"/>
  <c r="L3243" i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L3251" i="1"/>
  <c r="L3252" i="1"/>
  <c r="L3253" i="1"/>
  <c r="L3254" i="1"/>
  <c r="M3254" i="1" s="1"/>
  <c r="L3255" i="1"/>
  <c r="M3255" i="1" s="1"/>
  <c r="L3256" i="1"/>
  <c r="L3257" i="1"/>
  <c r="L3258" i="1"/>
  <c r="L3259" i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L3267" i="1"/>
  <c r="L3268" i="1"/>
  <c r="M3268" i="1" s="1"/>
  <c r="L3269" i="1"/>
  <c r="M3269" i="1" s="1"/>
  <c r="L3270" i="1"/>
  <c r="M3270" i="1" s="1"/>
  <c r="L3271" i="1"/>
  <c r="M3271" i="1" s="1"/>
  <c r="L3272" i="1"/>
  <c r="L3273" i="1"/>
  <c r="L3274" i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L3283" i="1"/>
  <c r="L3284" i="1"/>
  <c r="M3284" i="1" s="1"/>
  <c r="L3285" i="1"/>
  <c r="L3286" i="1"/>
  <c r="L3287" i="1"/>
  <c r="M3287" i="1" s="1"/>
  <c r="L3288" i="1"/>
  <c r="L3289" i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L3299" i="1"/>
  <c r="L3300" i="1"/>
  <c r="L3301" i="1"/>
  <c r="L3302" i="1"/>
  <c r="M3302" i="1" s="1"/>
  <c r="L3303" i="1"/>
  <c r="L3304" i="1"/>
  <c r="L3305" i="1"/>
  <c r="M3305" i="1" s="1"/>
  <c r="L3306" i="1"/>
  <c r="M3306" i="1" s="1"/>
  <c r="L3307" i="1"/>
  <c r="L3308" i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L3315" i="1"/>
  <c r="L3316" i="1"/>
  <c r="L3317" i="1"/>
  <c r="L3318" i="1"/>
  <c r="M3318" i="1" s="1"/>
  <c r="L3319" i="1"/>
  <c r="M3319" i="1" s="1"/>
  <c r="L3320" i="1"/>
  <c r="L3321" i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L3331" i="1"/>
  <c r="L3332" i="1"/>
  <c r="L3333" i="1"/>
  <c r="L3334" i="1"/>
  <c r="M3334" i="1" s="1"/>
  <c r="L3335" i="1"/>
  <c r="M3335" i="1" s="1"/>
  <c r="L3336" i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L3347" i="1"/>
  <c r="L3348" i="1"/>
  <c r="L3349" i="1"/>
  <c r="M3349" i="1" s="1"/>
  <c r="L3350" i="1"/>
  <c r="M3350" i="1" s="1"/>
  <c r="L3351" i="1"/>
  <c r="M3351" i="1" s="1"/>
  <c r="L3352" i="1"/>
  <c r="L3353" i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L3363" i="1"/>
  <c r="L3364" i="1"/>
  <c r="M3364" i="1" s="1"/>
  <c r="L3365" i="1"/>
  <c r="M3365" i="1" s="1"/>
  <c r="L3366" i="1"/>
  <c r="M3366" i="1" s="1"/>
  <c r="L3367" i="1"/>
  <c r="M3367" i="1" s="1"/>
  <c r="L3368" i="1"/>
  <c r="L3369" i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L3379" i="1"/>
  <c r="L3380" i="1"/>
  <c r="L3381" i="1"/>
  <c r="M3381" i="1" s="1"/>
  <c r="L3382" i="1"/>
  <c r="M3382" i="1" s="1"/>
  <c r="L3383" i="1"/>
  <c r="M3383" i="1" s="1"/>
  <c r="L3384" i="1"/>
  <c r="L3385" i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L3395" i="1"/>
  <c r="L3396" i="1"/>
  <c r="L3397" i="1"/>
  <c r="L3398" i="1"/>
  <c r="L3399" i="1"/>
  <c r="M3399" i="1" s="1"/>
  <c r="L3400" i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L3411" i="1"/>
  <c r="L3412" i="1"/>
  <c r="M3412" i="1" s="1"/>
  <c r="L3413" i="1"/>
  <c r="M3413" i="1" s="1"/>
  <c r="L3414" i="1"/>
  <c r="M3414" i="1" s="1"/>
  <c r="L3415" i="1"/>
  <c r="M3415" i="1" s="1"/>
  <c r="L3416" i="1"/>
  <c r="L3417" i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L3427" i="1"/>
  <c r="L3428" i="1"/>
  <c r="L3429" i="1"/>
  <c r="M3429" i="1" s="1"/>
  <c r="L3430" i="1"/>
  <c r="M3430" i="1" s="1"/>
  <c r="L3431" i="1"/>
  <c r="M3431" i="1" s="1"/>
  <c r="L3432" i="1"/>
  <c r="L3433" i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L3443" i="1"/>
  <c r="L3444" i="1"/>
  <c r="L3445" i="1"/>
  <c r="M3445" i="1" s="1"/>
  <c r="L3446" i="1"/>
  <c r="L3447" i="1"/>
  <c r="M3447" i="1" s="1"/>
  <c r="L3448" i="1"/>
  <c r="L3449" i="1"/>
  <c r="L3450" i="1"/>
  <c r="L3451" i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L3459" i="1"/>
  <c r="L3460" i="1"/>
  <c r="L3461" i="1"/>
  <c r="L3462" i="1"/>
  <c r="M3462" i="1" s="1"/>
  <c r="L3463" i="1"/>
  <c r="M3463" i="1" s="1"/>
  <c r="L3464" i="1"/>
  <c r="L3465" i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L3475" i="1"/>
  <c r="L3476" i="1"/>
  <c r="L3477" i="1"/>
  <c r="L3478" i="1"/>
  <c r="L3479" i="1"/>
  <c r="M3479" i="1" s="1"/>
  <c r="L3480" i="1"/>
  <c r="L3481" i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L3491" i="1"/>
  <c r="L3492" i="1"/>
  <c r="L3493" i="1"/>
  <c r="M3493" i="1" s="1"/>
  <c r="L3494" i="1"/>
  <c r="M3494" i="1" s="1"/>
  <c r="L3495" i="1"/>
  <c r="M3495" i="1" s="1"/>
  <c r="L3496" i="1"/>
  <c r="L3497" i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L3507" i="1"/>
  <c r="L3508" i="1"/>
  <c r="M3508" i="1" s="1"/>
  <c r="L3509" i="1"/>
  <c r="M3509" i="1" s="1"/>
  <c r="L3510" i="1"/>
  <c r="L3511" i="1"/>
  <c r="M3511" i="1" s="1"/>
  <c r="L3512" i="1"/>
  <c r="L3513" i="1"/>
  <c r="L3514" i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L3523" i="1"/>
  <c r="L3524" i="1"/>
  <c r="L3525" i="1"/>
  <c r="L3526" i="1"/>
  <c r="M3526" i="1" s="1"/>
  <c r="L3527" i="1"/>
  <c r="M3527" i="1" s="1"/>
  <c r="L3528" i="1"/>
  <c r="L3529" i="1"/>
  <c r="L3530" i="1"/>
  <c r="L3531" i="1"/>
  <c r="L3532" i="1"/>
  <c r="L3533" i="1"/>
  <c r="M3533" i="1" s="1"/>
  <c r="L3534" i="1"/>
  <c r="L3535" i="1"/>
  <c r="M3535" i="1" s="1"/>
  <c r="L3536" i="1"/>
  <c r="L3537" i="1"/>
  <c r="M3537" i="1" s="1"/>
  <c r="L3538" i="1"/>
  <c r="L3539" i="1"/>
  <c r="L3540" i="1"/>
  <c r="M3540" i="1" s="1"/>
  <c r="L3541" i="1"/>
  <c r="M3541" i="1" s="1"/>
  <c r="L3542" i="1"/>
  <c r="M3542" i="1" s="1"/>
  <c r="L3543" i="1"/>
  <c r="M3543" i="1" s="1"/>
  <c r="L3544" i="1"/>
  <c r="L3545" i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L3555" i="1"/>
  <c r="L3556" i="1"/>
  <c r="L3557" i="1"/>
  <c r="M3557" i="1" s="1"/>
  <c r="L3558" i="1"/>
  <c r="M3558" i="1" s="1"/>
  <c r="L3559" i="1"/>
  <c r="M3559" i="1" s="1"/>
  <c r="L3560" i="1"/>
  <c r="L3561" i="1"/>
  <c r="L3562" i="1"/>
  <c r="M3562" i="1" s="1"/>
  <c r="L3563" i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L3571" i="1"/>
  <c r="L3572" i="1"/>
  <c r="L3573" i="1"/>
  <c r="L3574" i="1"/>
  <c r="L3575" i="1"/>
  <c r="M3575" i="1" s="1"/>
  <c r="L3576" i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L3587" i="1"/>
  <c r="L3588" i="1"/>
  <c r="L3589" i="1"/>
  <c r="L3590" i="1"/>
  <c r="M3590" i="1" s="1"/>
  <c r="L3591" i="1"/>
  <c r="M3591" i="1" s="1"/>
  <c r="L3592" i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L3603" i="1"/>
  <c r="L3604" i="1"/>
  <c r="L3605" i="1"/>
  <c r="L3606" i="1"/>
  <c r="L3607" i="1"/>
  <c r="M3607" i="1" s="1"/>
  <c r="L3608" i="1"/>
  <c r="L3609" i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L3619" i="1"/>
  <c r="L3620" i="1"/>
  <c r="M3620" i="1" s="1"/>
  <c r="L3621" i="1"/>
  <c r="M3621" i="1" s="1"/>
  <c r="L3622" i="1"/>
  <c r="M3622" i="1" s="1"/>
  <c r="L3623" i="1"/>
  <c r="L3624" i="1"/>
  <c r="L3625" i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L3635" i="1"/>
  <c r="L3636" i="1"/>
  <c r="L3637" i="1"/>
  <c r="L3638" i="1"/>
  <c r="M3638" i="1" s="1"/>
  <c r="L3639" i="1"/>
  <c r="M3639" i="1" s="1"/>
  <c r="L3640" i="1"/>
  <c r="L3641" i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L3651" i="1"/>
  <c r="L3652" i="1"/>
  <c r="L3653" i="1"/>
  <c r="M3653" i="1" s="1"/>
  <c r="L3654" i="1"/>
  <c r="M3654" i="1" s="1"/>
  <c r="L3655" i="1"/>
  <c r="M3655" i="1" s="1"/>
  <c r="L3656" i="1"/>
  <c r="L3657" i="1"/>
  <c r="L3658" i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L3667" i="1"/>
  <c r="L3668" i="1"/>
  <c r="M3668" i="1" s="1"/>
  <c r="L3669" i="1"/>
  <c r="M3669" i="1" s="1"/>
  <c r="L3670" i="1"/>
  <c r="M3670" i="1" s="1"/>
  <c r="L3671" i="1"/>
  <c r="M3671" i="1" s="1"/>
  <c r="L3672" i="1"/>
  <c r="L3673" i="1"/>
  <c r="L3674" i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L3683" i="1"/>
  <c r="L3684" i="1"/>
  <c r="L3685" i="1"/>
  <c r="L3686" i="1"/>
  <c r="M3686" i="1" s="1"/>
  <c r="L3687" i="1"/>
  <c r="M3687" i="1" s="1"/>
  <c r="L3688" i="1"/>
  <c r="L3689" i="1"/>
  <c r="M3689" i="1" s="1"/>
  <c r="L3690" i="1"/>
  <c r="M3690" i="1" s="1"/>
  <c r="L3691" i="1"/>
  <c r="M3691" i="1" s="1"/>
  <c r="L3692" i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L3699" i="1"/>
  <c r="L3700" i="1"/>
  <c r="L3701" i="1"/>
  <c r="M3701" i="1" s="1"/>
  <c r="L3702" i="1"/>
  <c r="M3702" i="1" s="1"/>
  <c r="L3703" i="1"/>
  <c r="M3703" i="1" s="1"/>
  <c r="L3704" i="1"/>
  <c r="L3705" i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L3715" i="1"/>
  <c r="L3716" i="1"/>
  <c r="L3717" i="1"/>
  <c r="L3718" i="1"/>
  <c r="M3718" i="1" s="1"/>
  <c r="L3719" i="1"/>
  <c r="M3719" i="1" s="1"/>
  <c r="L3720" i="1"/>
  <c r="L3721" i="1"/>
  <c r="M10" i="1"/>
  <c r="M11" i="1"/>
  <c r="M12" i="1"/>
  <c r="M13" i="1"/>
  <c r="M14" i="1"/>
  <c r="M15" i="1"/>
  <c r="M16" i="1"/>
  <c r="M17" i="1"/>
  <c r="M51" i="1"/>
  <c r="M69" i="1"/>
  <c r="M83" i="1"/>
  <c r="M99" i="1"/>
  <c r="M101" i="1"/>
  <c r="M115" i="1"/>
  <c r="M117" i="1"/>
  <c r="M122" i="1"/>
  <c r="M149" i="1"/>
  <c r="M151" i="1"/>
  <c r="M163" i="1"/>
  <c r="M170" i="1"/>
  <c r="M179" i="1"/>
  <c r="M211" i="1"/>
  <c r="M213" i="1"/>
  <c r="M250" i="1"/>
  <c r="M259" i="1"/>
  <c r="M266" i="1"/>
  <c r="M277" i="1"/>
  <c r="M282" i="1"/>
  <c r="M323" i="1"/>
  <c r="M325" i="1"/>
  <c r="M330" i="1"/>
  <c r="M339" i="1"/>
  <c r="M355" i="1"/>
  <c r="M371" i="1"/>
  <c r="M387" i="1"/>
  <c r="M419" i="1"/>
  <c r="M421" i="1"/>
  <c r="M437" i="1"/>
  <c r="M455" i="1"/>
  <c r="M458" i="1"/>
  <c r="M467" i="1"/>
  <c r="M469" i="1"/>
  <c r="M501" i="1"/>
  <c r="M517" i="1"/>
  <c r="M581" i="1"/>
  <c r="M595" i="1"/>
  <c r="M597" i="1"/>
  <c r="M611" i="1"/>
  <c r="M627" i="1"/>
  <c r="M634" i="1"/>
  <c r="M643" i="1"/>
  <c r="M645" i="1"/>
  <c r="M659" i="1"/>
  <c r="M675" i="1"/>
  <c r="M709" i="1"/>
  <c r="M723" i="1"/>
  <c r="M725" i="1"/>
  <c r="M787" i="1"/>
  <c r="M789" i="1"/>
  <c r="M794" i="1"/>
  <c r="M803" i="1"/>
  <c r="M810" i="1"/>
  <c r="M821" i="1"/>
  <c r="M826" i="1"/>
  <c r="M829" i="1"/>
  <c r="M851" i="1"/>
  <c r="M883" i="1"/>
  <c r="M899" i="1"/>
  <c r="M915" i="1"/>
  <c r="M938" i="1"/>
  <c r="M965" i="1"/>
  <c r="M970" i="1"/>
  <c r="M979" i="1"/>
  <c r="M983" i="1"/>
  <c r="M987" i="1"/>
  <c r="M997" i="1"/>
  <c r="M1027" i="1"/>
  <c r="M1050" i="1"/>
  <c r="M1059" i="1"/>
  <c r="M1093" i="1"/>
  <c r="M1107" i="1"/>
  <c r="M1114" i="1"/>
  <c r="M1125" i="1"/>
  <c r="M1130" i="1"/>
  <c r="M1155" i="1"/>
  <c r="M1180" i="1"/>
  <c r="M1189" i="1"/>
  <c r="M1194" i="1"/>
  <c r="M1203" i="1"/>
  <c r="M1235" i="1"/>
  <c r="M1237" i="1"/>
  <c r="M1285" i="1"/>
  <c r="M1290" i="1"/>
  <c r="M1315" i="1"/>
  <c r="M1331" i="1"/>
  <c r="M1349" i="1"/>
  <c r="M1351" i="1"/>
  <c r="M1365" i="1"/>
  <c r="M1367" i="1"/>
  <c r="M1370" i="1"/>
  <c r="M1381" i="1"/>
  <c r="M1395" i="1"/>
  <c r="M1411" i="1"/>
  <c r="M1413" i="1"/>
  <c r="M1429" i="1"/>
  <c r="M1459" i="1"/>
  <c r="M1461" i="1"/>
  <c r="M1466" i="1"/>
  <c r="M1468" i="1"/>
  <c r="M1477" i="1"/>
  <c r="M1482" i="1"/>
  <c r="M1493" i="1"/>
  <c r="M1507" i="1"/>
  <c r="M1509" i="1"/>
  <c r="M1523" i="1"/>
  <c r="M1539" i="1"/>
  <c r="M1557" i="1"/>
  <c r="M1587" i="1"/>
  <c r="M1603" i="1"/>
  <c r="M1605" i="1"/>
  <c r="M1621" i="1"/>
  <c r="M1653" i="1"/>
  <c r="M1659" i="1"/>
  <c r="M1667" i="1"/>
  <c r="M1715" i="1"/>
  <c r="M1717" i="1"/>
  <c r="M1731" i="1"/>
  <c r="M1733" i="1"/>
  <c r="M1765" i="1"/>
  <c r="M1779" i="1"/>
  <c r="M1781" i="1"/>
  <c r="M1786" i="1"/>
  <c r="M1789" i="1"/>
  <c r="M1795" i="1"/>
  <c r="M1829" i="1"/>
  <c r="M1843" i="1"/>
  <c r="M1845" i="1"/>
  <c r="M1861" i="1"/>
  <c r="M1875" i="1"/>
  <c r="M1898" i="1"/>
  <c r="M1909" i="1"/>
  <c r="M1916" i="1"/>
  <c r="M1923" i="1"/>
  <c r="M1925" i="1"/>
  <c r="M1971" i="1"/>
  <c r="M1973" i="1"/>
  <c r="M1987" i="1"/>
  <c r="M2003" i="1"/>
  <c r="M2021" i="1"/>
  <c r="M2023" i="1"/>
  <c r="M2027" i="1"/>
  <c r="M2028" i="1"/>
  <c r="M2037" i="1"/>
  <c r="M2043" i="1"/>
  <c r="M2051" i="1"/>
  <c r="M2067" i="1"/>
  <c r="M2085" i="1"/>
  <c r="M2101" i="1"/>
  <c r="M2163" i="1"/>
  <c r="M2165" i="1"/>
  <c r="M2172" i="1"/>
  <c r="M2179" i="1"/>
  <c r="M2187" i="1"/>
  <c r="M2197" i="1"/>
  <c r="M2291" i="1"/>
  <c r="M2309" i="1"/>
  <c r="M2325" i="1"/>
  <c r="M2355" i="1"/>
  <c r="M2362" i="1"/>
  <c r="M2375" i="1"/>
  <c r="M2379" i="1"/>
  <c r="M2380" i="1"/>
  <c r="M2387" i="1"/>
  <c r="M2522" i="1"/>
  <c r="M2547" i="1"/>
  <c r="M2565" i="1"/>
  <c r="M2581" i="1"/>
  <c r="M2586" i="1"/>
  <c r="M2599" i="1"/>
  <c r="M2611" i="1"/>
  <c r="M2650" i="1"/>
  <c r="M2730" i="1"/>
  <c r="M2747" i="1"/>
  <c r="M2762" i="1"/>
  <c r="M2763" i="1"/>
  <c r="M2775" i="1"/>
  <c r="M2810" i="1"/>
  <c r="M2983" i="1"/>
  <c r="M2986" i="1"/>
  <c r="M2987" i="1"/>
  <c r="M3018" i="1"/>
  <c r="M3035" i="1"/>
  <c r="M3039" i="1"/>
  <c r="M3047" i="1"/>
  <c r="M3095" i="1"/>
  <c r="M3243" i="1"/>
  <c r="M3258" i="1"/>
  <c r="M3259" i="1"/>
  <c r="M3274" i="1"/>
  <c r="M3303" i="1"/>
  <c r="M3307" i="1"/>
  <c r="M3308" i="1"/>
  <c r="M3450" i="1"/>
  <c r="M3451" i="1"/>
  <c r="M3514" i="1"/>
  <c r="M3530" i="1"/>
  <c r="M3531" i="1"/>
  <c r="M3532" i="1"/>
  <c r="M3534" i="1"/>
  <c r="M3536" i="1"/>
  <c r="M3658" i="1"/>
  <c r="M3674" i="1"/>
  <c r="M2" i="1"/>
  <c r="M3" i="1"/>
  <c r="M4" i="1"/>
  <c r="M5" i="1"/>
  <c r="M7" i="1"/>
  <c r="M8" i="1"/>
  <c r="M9" i="1"/>
  <c r="M18" i="1"/>
  <c r="M19" i="1"/>
  <c r="M20" i="1"/>
  <c r="M22" i="1"/>
  <c r="M24" i="1"/>
  <c r="M34" i="1"/>
  <c r="M35" i="1"/>
  <c r="M36" i="1"/>
  <c r="M37" i="1"/>
  <c r="M40" i="1"/>
  <c r="M41" i="1"/>
  <c r="M50" i="1"/>
  <c r="M52" i="1"/>
  <c r="M53" i="1"/>
  <c r="M56" i="1"/>
  <c r="M57" i="1"/>
  <c r="M66" i="1"/>
  <c r="M67" i="1"/>
  <c r="M68" i="1"/>
  <c r="M72" i="1"/>
  <c r="M82" i="1"/>
  <c r="M84" i="1"/>
  <c r="M85" i="1"/>
  <c r="M88" i="1"/>
  <c r="M98" i="1"/>
  <c r="M100" i="1"/>
  <c r="M102" i="1"/>
  <c r="M104" i="1"/>
  <c r="M105" i="1"/>
  <c r="M114" i="1"/>
  <c r="M116" i="1"/>
  <c r="M120" i="1"/>
  <c r="M121" i="1"/>
  <c r="M130" i="1"/>
  <c r="M131" i="1"/>
  <c r="M132" i="1"/>
  <c r="M133" i="1"/>
  <c r="M136" i="1"/>
  <c r="M137" i="1"/>
  <c r="M146" i="1"/>
  <c r="M147" i="1"/>
  <c r="M148" i="1"/>
  <c r="M150" i="1"/>
  <c r="M152" i="1"/>
  <c r="M153" i="1"/>
  <c r="M162" i="1"/>
  <c r="M164" i="1"/>
  <c r="M168" i="1"/>
  <c r="M178" i="1"/>
  <c r="M180" i="1"/>
  <c r="M181" i="1"/>
  <c r="M184" i="1"/>
  <c r="M185" i="1"/>
  <c r="M194" i="1"/>
  <c r="M195" i="1"/>
  <c r="M196" i="1"/>
  <c r="M197" i="1"/>
  <c r="M200" i="1"/>
  <c r="M210" i="1"/>
  <c r="M212" i="1"/>
  <c r="M216" i="1"/>
  <c r="M217" i="1"/>
  <c r="M226" i="1"/>
  <c r="M227" i="1"/>
  <c r="M232" i="1"/>
  <c r="M233" i="1"/>
  <c r="M242" i="1"/>
  <c r="M243" i="1"/>
  <c r="M248" i="1"/>
  <c r="M249" i="1"/>
  <c r="M258" i="1"/>
  <c r="M260" i="1"/>
  <c r="M261" i="1"/>
  <c r="M262" i="1"/>
  <c r="M264" i="1"/>
  <c r="M265" i="1"/>
  <c r="M274" i="1"/>
  <c r="M275" i="1"/>
  <c r="M280" i="1"/>
  <c r="M281" i="1"/>
  <c r="M290" i="1"/>
  <c r="M291" i="1"/>
  <c r="M292" i="1"/>
  <c r="M296" i="1"/>
  <c r="M297" i="1"/>
  <c r="M306" i="1"/>
  <c r="M307" i="1"/>
  <c r="M308" i="1"/>
  <c r="M312" i="1"/>
  <c r="M313" i="1"/>
  <c r="M322" i="1"/>
  <c r="M326" i="1"/>
  <c r="M328" i="1"/>
  <c r="M338" i="1"/>
  <c r="M340" i="1"/>
  <c r="M344" i="1"/>
  <c r="M345" i="1"/>
  <c r="M354" i="1"/>
  <c r="M356" i="1"/>
  <c r="M360" i="1"/>
  <c r="M361" i="1"/>
  <c r="M370" i="1"/>
  <c r="M372" i="1"/>
  <c r="M373" i="1"/>
  <c r="M376" i="1"/>
  <c r="M386" i="1"/>
  <c r="M388" i="1"/>
  <c r="M389" i="1"/>
  <c r="M392" i="1"/>
  <c r="M402" i="1"/>
  <c r="M403" i="1"/>
  <c r="M404" i="1"/>
  <c r="M405" i="1"/>
  <c r="M406" i="1"/>
  <c r="M408" i="1"/>
  <c r="M409" i="1"/>
  <c r="M418" i="1"/>
  <c r="M420" i="1"/>
  <c r="M424" i="1"/>
  <c r="M434" i="1"/>
  <c r="M435" i="1"/>
  <c r="M436" i="1"/>
  <c r="M440" i="1"/>
  <c r="M450" i="1"/>
  <c r="M451" i="1"/>
  <c r="M452" i="1"/>
  <c r="M456" i="1"/>
  <c r="M466" i="1"/>
  <c r="M468" i="1"/>
  <c r="M472" i="1"/>
  <c r="M482" i="1"/>
  <c r="M483" i="1"/>
  <c r="M484" i="1"/>
  <c r="M485" i="1"/>
  <c r="M486" i="1"/>
  <c r="M488" i="1"/>
  <c r="M489" i="1"/>
  <c r="M498" i="1"/>
  <c r="M499" i="1"/>
  <c r="M500" i="1"/>
  <c r="M504" i="1"/>
  <c r="M505" i="1"/>
  <c r="M514" i="1"/>
  <c r="M515" i="1"/>
  <c r="M520" i="1"/>
  <c r="M521" i="1"/>
  <c r="M530" i="1"/>
  <c r="M531" i="1"/>
  <c r="M532" i="1"/>
  <c r="M536" i="1"/>
  <c r="M546" i="1"/>
  <c r="M547" i="1"/>
  <c r="M548" i="1"/>
  <c r="M552" i="1"/>
  <c r="M553" i="1"/>
  <c r="M562" i="1"/>
  <c r="M563" i="1"/>
  <c r="M564" i="1"/>
  <c r="M568" i="1"/>
  <c r="M569" i="1"/>
  <c r="M578" i="1"/>
  <c r="M579" i="1"/>
  <c r="M580" i="1"/>
  <c r="M584" i="1"/>
  <c r="M585" i="1"/>
  <c r="M594" i="1"/>
  <c r="M596" i="1"/>
  <c r="M600" i="1"/>
  <c r="M601" i="1"/>
  <c r="M610" i="1"/>
  <c r="M612" i="1"/>
  <c r="M616" i="1"/>
  <c r="M626" i="1"/>
  <c r="M628" i="1"/>
  <c r="M629" i="1"/>
  <c r="M632" i="1"/>
  <c r="M633" i="1"/>
  <c r="M642" i="1"/>
  <c r="M644" i="1"/>
  <c r="M648" i="1"/>
  <c r="M649" i="1"/>
  <c r="M658" i="1"/>
  <c r="M660" i="1"/>
  <c r="M664" i="1"/>
  <c r="M665" i="1"/>
  <c r="M674" i="1"/>
  <c r="M677" i="1"/>
  <c r="M680" i="1"/>
  <c r="M681" i="1"/>
  <c r="M690" i="1"/>
  <c r="M691" i="1"/>
  <c r="M692" i="1"/>
  <c r="M693" i="1"/>
  <c r="M694" i="1"/>
  <c r="M696" i="1"/>
  <c r="M697" i="1"/>
  <c r="M706" i="1"/>
  <c r="M707" i="1"/>
  <c r="M708" i="1"/>
  <c r="M712" i="1"/>
  <c r="M722" i="1"/>
  <c r="M724" i="1"/>
  <c r="M728" i="1"/>
  <c r="M729" i="1"/>
  <c r="M738" i="1"/>
  <c r="M739" i="1"/>
  <c r="M740" i="1"/>
  <c r="M741" i="1"/>
  <c r="M744" i="1"/>
  <c r="M745" i="1"/>
  <c r="M754" i="1"/>
  <c r="M755" i="1"/>
  <c r="M756" i="1"/>
  <c r="M760" i="1"/>
  <c r="M770" i="1"/>
  <c r="M771" i="1"/>
  <c r="M772" i="1"/>
  <c r="M776" i="1"/>
  <c r="M777" i="1"/>
  <c r="M786" i="1"/>
  <c r="M788" i="1"/>
  <c r="M792" i="1"/>
  <c r="M793" i="1"/>
  <c r="M802" i="1"/>
  <c r="M804" i="1"/>
  <c r="M805" i="1"/>
  <c r="M808" i="1"/>
  <c r="M818" i="1"/>
  <c r="M819" i="1"/>
  <c r="M820" i="1"/>
  <c r="M822" i="1"/>
  <c r="M824" i="1"/>
  <c r="M825" i="1"/>
  <c r="M834" i="1"/>
  <c r="M835" i="1"/>
  <c r="M836" i="1"/>
  <c r="M840" i="1"/>
  <c r="M841" i="1"/>
  <c r="M850" i="1"/>
  <c r="M852" i="1"/>
  <c r="M853" i="1"/>
  <c r="M856" i="1"/>
  <c r="M866" i="1"/>
  <c r="M867" i="1"/>
  <c r="M868" i="1"/>
  <c r="M869" i="1"/>
  <c r="M872" i="1"/>
  <c r="M873" i="1"/>
  <c r="M882" i="1"/>
  <c r="M884" i="1"/>
  <c r="M885" i="1"/>
  <c r="M888" i="1"/>
  <c r="M889" i="1"/>
  <c r="M898" i="1"/>
  <c r="M900" i="1"/>
  <c r="M904" i="1"/>
  <c r="M905" i="1"/>
  <c r="M914" i="1"/>
  <c r="M916" i="1"/>
  <c r="M920" i="1"/>
  <c r="M921" i="1"/>
  <c r="M930" i="1"/>
  <c r="M931" i="1"/>
  <c r="M932" i="1"/>
  <c r="M936" i="1"/>
  <c r="M937" i="1"/>
  <c r="M946" i="1"/>
  <c r="M947" i="1"/>
  <c r="M950" i="1"/>
  <c r="M952" i="1"/>
  <c r="M953" i="1"/>
  <c r="M962" i="1"/>
  <c r="M963" i="1"/>
  <c r="M964" i="1"/>
  <c r="M968" i="1"/>
  <c r="M969" i="1"/>
  <c r="M978" i="1"/>
  <c r="M980" i="1"/>
  <c r="M981" i="1"/>
  <c r="M984" i="1"/>
  <c r="M985" i="1"/>
  <c r="M994" i="1"/>
  <c r="M995" i="1"/>
  <c r="M998" i="1"/>
  <c r="M1000" i="1"/>
  <c r="M1001" i="1"/>
  <c r="M1010" i="1"/>
  <c r="M1011" i="1"/>
  <c r="M1012" i="1"/>
  <c r="M1016" i="1"/>
  <c r="M1017" i="1"/>
  <c r="M1026" i="1"/>
  <c r="M1028" i="1"/>
  <c r="M1029" i="1"/>
  <c r="M1032" i="1"/>
  <c r="M1042" i="1"/>
  <c r="M1043" i="1"/>
  <c r="M1044" i="1"/>
  <c r="M1045" i="1"/>
  <c r="M1048" i="1"/>
  <c r="M1049" i="1"/>
  <c r="M1058" i="1"/>
  <c r="M1060" i="1"/>
  <c r="M1064" i="1"/>
  <c r="M1065" i="1"/>
  <c r="M1074" i="1"/>
  <c r="M1075" i="1"/>
  <c r="M1080" i="1"/>
  <c r="M1081" i="1"/>
  <c r="M1090" i="1"/>
  <c r="M1091" i="1"/>
  <c r="M1096" i="1"/>
  <c r="M1097" i="1"/>
  <c r="M1106" i="1"/>
  <c r="M1108" i="1"/>
  <c r="M1109" i="1"/>
  <c r="M1110" i="1"/>
  <c r="M1112" i="1"/>
  <c r="M1113" i="1"/>
  <c r="M1122" i="1"/>
  <c r="M1123" i="1"/>
  <c r="M1126" i="1"/>
  <c r="M1128" i="1"/>
  <c r="M1129" i="1"/>
  <c r="M1138" i="1"/>
  <c r="M1139" i="1"/>
  <c r="M1140" i="1"/>
  <c r="M1141" i="1"/>
  <c r="M1144" i="1"/>
  <c r="M1145" i="1"/>
  <c r="M1154" i="1"/>
  <c r="M1156" i="1"/>
  <c r="M1157" i="1"/>
  <c r="M1160" i="1"/>
  <c r="M1161" i="1"/>
  <c r="M1170" i="1"/>
  <c r="M1171" i="1"/>
  <c r="M1172" i="1"/>
  <c r="M1176" i="1"/>
  <c r="M1177" i="1"/>
  <c r="M1186" i="1"/>
  <c r="M1187" i="1"/>
  <c r="M1188" i="1"/>
  <c r="M1190" i="1"/>
  <c r="M1191" i="1"/>
  <c r="M1192" i="1"/>
  <c r="M1193" i="1"/>
  <c r="M1202" i="1"/>
  <c r="M1204" i="1"/>
  <c r="M1208" i="1"/>
  <c r="M1209" i="1"/>
  <c r="M1218" i="1"/>
  <c r="M1219" i="1"/>
  <c r="M1220" i="1"/>
  <c r="M1221" i="1"/>
  <c r="M1224" i="1"/>
  <c r="M1225" i="1"/>
  <c r="M1234" i="1"/>
  <c r="M1236" i="1"/>
  <c r="M1238" i="1"/>
  <c r="M1240" i="1"/>
  <c r="M1241" i="1"/>
  <c r="M1250" i="1"/>
  <c r="M1251" i="1"/>
  <c r="M1252" i="1"/>
  <c r="M1256" i="1"/>
  <c r="M1257" i="1"/>
  <c r="M1266" i="1"/>
  <c r="M1267" i="1"/>
  <c r="M1268" i="1"/>
  <c r="M1272" i="1"/>
  <c r="M1273" i="1"/>
  <c r="M1282" i="1"/>
  <c r="M1283" i="1"/>
  <c r="M1284" i="1"/>
  <c r="M1286" i="1"/>
  <c r="M1288" i="1"/>
  <c r="M1289" i="1"/>
  <c r="M1298" i="1"/>
  <c r="M1299" i="1"/>
  <c r="M1300" i="1"/>
  <c r="M1304" i="1"/>
  <c r="M1305" i="1"/>
  <c r="M1314" i="1"/>
  <c r="M1316" i="1"/>
  <c r="M1317" i="1"/>
  <c r="M1320" i="1"/>
  <c r="M1321" i="1"/>
  <c r="M1330" i="1"/>
  <c r="M1332" i="1"/>
  <c r="M1336" i="1"/>
  <c r="M1337" i="1"/>
  <c r="M1346" i="1"/>
  <c r="M1347" i="1"/>
  <c r="M1348" i="1"/>
  <c r="M1352" i="1"/>
  <c r="M1362" i="1"/>
  <c r="M1363" i="1"/>
  <c r="M1364" i="1"/>
  <c r="M1368" i="1"/>
  <c r="M1378" i="1"/>
  <c r="M1379" i="1"/>
  <c r="M1380" i="1"/>
  <c r="M1384" i="1"/>
  <c r="M1385" i="1"/>
  <c r="M1394" i="1"/>
  <c r="M1396" i="1"/>
  <c r="M1400" i="1"/>
  <c r="M1401" i="1"/>
  <c r="M1410" i="1"/>
  <c r="M1414" i="1"/>
  <c r="M1416" i="1"/>
  <c r="M1417" i="1"/>
  <c r="M1426" i="1"/>
  <c r="M1427" i="1"/>
  <c r="M1428" i="1"/>
  <c r="M1432" i="1"/>
  <c r="M1433" i="1"/>
  <c r="M1442" i="1"/>
  <c r="M1443" i="1"/>
  <c r="M1444" i="1"/>
  <c r="M1448" i="1"/>
  <c r="M1449" i="1"/>
  <c r="M1458" i="1"/>
  <c r="M1464" i="1"/>
  <c r="M1465" i="1"/>
  <c r="M1474" i="1"/>
  <c r="M1475" i="1"/>
  <c r="M1480" i="1"/>
  <c r="M1481" i="1"/>
  <c r="M1490" i="1"/>
  <c r="M1491" i="1"/>
  <c r="M1492" i="1"/>
  <c r="M1496" i="1"/>
  <c r="M1497" i="1"/>
  <c r="M1506" i="1"/>
  <c r="M1508" i="1"/>
  <c r="M1512" i="1"/>
  <c r="M1513" i="1"/>
  <c r="M1522" i="1"/>
  <c r="M1524" i="1"/>
  <c r="M1528" i="1"/>
  <c r="M1538" i="1"/>
  <c r="M1544" i="1"/>
  <c r="M1545" i="1"/>
  <c r="M1554" i="1"/>
  <c r="M1555" i="1"/>
  <c r="M1556" i="1"/>
  <c r="M1560" i="1"/>
  <c r="M1570" i="1"/>
  <c r="M1571" i="1"/>
  <c r="M1572" i="1"/>
  <c r="M1574" i="1"/>
  <c r="M1576" i="1"/>
  <c r="M1586" i="1"/>
  <c r="M1588" i="1"/>
  <c r="M1592" i="1"/>
  <c r="M1593" i="1"/>
  <c r="M1602" i="1"/>
  <c r="M1604" i="1"/>
  <c r="M1608" i="1"/>
  <c r="M1609" i="1"/>
  <c r="M1618" i="1"/>
  <c r="M1619" i="1"/>
  <c r="M1622" i="1"/>
  <c r="M1623" i="1"/>
  <c r="M1624" i="1"/>
  <c r="M1625" i="1"/>
  <c r="M1634" i="1"/>
  <c r="M1635" i="1"/>
  <c r="M1636" i="1"/>
  <c r="M1638" i="1"/>
  <c r="M1640" i="1"/>
  <c r="M1641" i="1"/>
  <c r="M1650" i="1"/>
  <c r="M1651" i="1"/>
  <c r="M1652" i="1"/>
  <c r="M1656" i="1"/>
  <c r="M1666" i="1"/>
  <c r="M1668" i="1"/>
  <c r="M1672" i="1"/>
  <c r="M1673" i="1"/>
  <c r="M1682" i="1"/>
  <c r="M1683" i="1"/>
  <c r="M1684" i="1"/>
  <c r="M1688" i="1"/>
  <c r="M1689" i="1"/>
  <c r="M1698" i="1"/>
  <c r="M1699" i="1"/>
  <c r="M1704" i="1"/>
  <c r="M1705" i="1"/>
  <c r="M1714" i="1"/>
  <c r="M1716" i="1"/>
  <c r="M1720" i="1"/>
  <c r="M1721" i="1"/>
  <c r="M1730" i="1"/>
  <c r="M1736" i="1"/>
  <c r="M1737" i="1"/>
  <c r="M1738" i="1"/>
  <c r="M1746" i="1"/>
  <c r="M1747" i="1"/>
  <c r="M1748" i="1"/>
  <c r="M1752" i="1"/>
  <c r="M1753" i="1"/>
  <c r="M1762" i="1"/>
  <c r="M1763" i="1"/>
  <c r="M1768" i="1"/>
  <c r="M1769" i="1"/>
  <c r="M1778" i="1"/>
  <c r="M1780" i="1"/>
  <c r="M1784" i="1"/>
  <c r="M1785" i="1"/>
  <c r="M1794" i="1"/>
  <c r="M1796" i="1"/>
  <c r="M1800" i="1"/>
  <c r="M1801" i="1"/>
  <c r="M1802" i="1"/>
  <c r="M1810" i="1"/>
  <c r="M1811" i="1"/>
  <c r="M1816" i="1"/>
  <c r="M1826" i="1"/>
  <c r="M1827" i="1"/>
  <c r="M1828" i="1"/>
  <c r="M1830" i="1"/>
  <c r="M1832" i="1"/>
  <c r="M1833" i="1"/>
  <c r="M1842" i="1"/>
  <c r="M1844" i="1"/>
  <c r="M1848" i="1"/>
  <c r="M1849" i="1"/>
  <c r="M1858" i="1"/>
  <c r="M1859" i="1"/>
  <c r="M1860" i="1"/>
  <c r="M1864" i="1"/>
  <c r="M1874" i="1"/>
  <c r="M1876" i="1"/>
  <c r="M1880" i="1"/>
  <c r="M1890" i="1"/>
  <c r="M1891" i="1"/>
  <c r="M1892" i="1"/>
  <c r="M1895" i="1"/>
  <c r="M1896" i="1"/>
  <c r="M1897" i="1"/>
  <c r="M1906" i="1"/>
  <c r="M1907" i="1"/>
  <c r="M1911" i="1"/>
  <c r="M1912" i="1"/>
  <c r="M1913" i="1"/>
  <c r="M1922" i="1"/>
  <c r="M1924" i="1"/>
  <c r="M1928" i="1"/>
  <c r="M1929" i="1"/>
  <c r="M1930" i="1"/>
  <c r="M1938" i="1"/>
  <c r="M1939" i="1"/>
  <c r="M1940" i="1"/>
  <c r="M1944" i="1"/>
  <c r="M1945" i="1"/>
  <c r="M1954" i="1"/>
  <c r="M1955" i="1"/>
  <c r="M1956" i="1"/>
  <c r="M1960" i="1"/>
  <c r="M1961" i="1"/>
  <c r="M1970" i="1"/>
  <c r="M1976" i="1"/>
  <c r="M1977" i="1"/>
  <c r="M1986" i="1"/>
  <c r="M1988" i="1"/>
  <c r="M1992" i="1"/>
  <c r="M1993" i="1"/>
  <c r="M2002" i="1"/>
  <c r="M2004" i="1"/>
  <c r="M2006" i="1"/>
  <c r="M2008" i="1"/>
  <c r="M2009" i="1"/>
  <c r="M2018" i="1"/>
  <c r="M2019" i="1"/>
  <c r="M2020" i="1"/>
  <c r="M2024" i="1"/>
  <c r="M2025" i="1"/>
  <c r="M2034" i="1"/>
  <c r="M2035" i="1"/>
  <c r="M2036" i="1"/>
  <c r="M2038" i="1"/>
  <c r="M2040" i="1"/>
  <c r="M2041" i="1"/>
  <c r="M2050" i="1"/>
  <c r="M2056" i="1"/>
  <c r="M2057" i="1"/>
  <c r="M2058" i="1"/>
  <c r="M2066" i="1"/>
  <c r="M2072" i="1"/>
  <c r="M2073" i="1"/>
  <c r="M2082" i="1"/>
  <c r="M2083" i="1"/>
  <c r="M2088" i="1"/>
  <c r="M2089" i="1"/>
  <c r="M2098" i="1"/>
  <c r="M2099" i="1"/>
  <c r="M2104" i="1"/>
  <c r="M2105" i="1"/>
  <c r="M2114" i="1"/>
  <c r="M2115" i="1"/>
  <c r="M2120" i="1"/>
  <c r="M2121" i="1"/>
  <c r="M2130" i="1"/>
  <c r="M2131" i="1"/>
  <c r="M2132" i="1"/>
  <c r="M2134" i="1"/>
  <c r="M2136" i="1"/>
  <c r="M2137" i="1"/>
  <c r="M2146" i="1"/>
  <c r="M2147" i="1"/>
  <c r="M2148" i="1"/>
  <c r="M2152" i="1"/>
  <c r="M2153" i="1"/>
  <c r="M2162" i="1"/>
  <c r="M2168" i="1"/>
  <c r="M2169" i="1"/>
  <c r="M2178" i="1"/>
  <c r="M2180" i="1"/>
  <c r="M2182" i="1"/>
  <c r="M2184" i="1"/>
  <c r="M2185" i="1"/>
  <c r="M2194" i="1"/>
  <c r="M2195" i="1"/>
  <c r="M2200" i="1"/>
  <c r="M2201" i="1"/>
  <c r="M2210" i="1"/>
  <c r="M2211" i="1"/>
  <c r="M2216" i="1"/>
  <c r="M2217" i="1"/>
  <c r="M2226" i="1"/>
  <c r="M2227" i="1"/>
  <c r="M2228" i="1"/>
  <c r="M2229" i="1"/>
  <c r="M2232" i="1"/>
  <c r="M2233" i="1"/>
  <c r="M2242" i="1"/>
  <c r="M2243" i="1"/>
  <c r="M2244" i="1"/>
  <c r="M2245" i="1"/>
  <c r="M2248" i="1"/>
  <c r="M2249" i="1"/>
  <c r="M2258" i="1"/>
  <c r="M2259" i="1"/>
  <c r="M2260" i="1"/>
  <c r="M2261" i="1"/>
  <c r="M2264" i="1"/>
  <c r="M2265" i="1"/>
  <c r="M2266" i="1"/>
  <c r="M2274" i="1"/>
  <c r="M2275" i="1"/>
  <c r="M2276" i="1"/>
  <c r="M2280" i="1"/>
  <c r="M2281" i="1"/>
  <c r="M2290" i="1"/>
  <c r="M2292" i="1"/>
  <c r="M2293" i="1"/>
  <c r="M2296" i="1"/>
  <c r="M2297" i="1"/>
  <c r="M2306" i="1"/>
  <c r="M2307" i="1"/>
  <c r="M2308" i="1"/>
  <c r="M2312" i="1"/>
  <c r="M2313" i="1"/>
  <c r="M2322" i="1"/>
  <c r="M2323" i="1"/>
  <c r="M2328" i="1"/>
  <c r="M2329" i="1"/>
  <c r="M2338" i="1"/>
  <c r="M2339" i="1"/>
  <c r="M2341" i="1"/>
  <c r="M2344" i="1"/>
  <c r="M2345" i="1"/>
  <c r="M2354" i="1"/>
  <c r="M2356" i="1"/>
  <c r="M2357" i="1"/>
  <c r="M2360" i="1"/>
  <c r="M2361" i="1"/>
  <c r="M2370" i="1"/>
  <c r="M2371" i="1"/>
  <c r="M2372" i="1"/>
  <c r="M2373" i="1"/>
  <c r="M2376" i="1"/>
  <c r="M2377" i="1"/>
  <c r="M2386" i="1"/>
  <c r="M2388" i="1"/>
  <c r="M2392" i="1"/>
  <c r="M2393" i="1"/>
  <c r="M2402" i="1"/>
  <c r="M2403" i="1"/>
  <c r="M2404" i="1"/>
  <c r="M2408" i="1"/>
  <c r="M2409" i="1"/>
  <c r="M2410" i="1"/>
  <c r="M2418" i="1"/>
  <c r="M2419" i="1"/>
  <c r="M2420" i="1"/>
  <c r="M2422" i="1"/>
  <c r="M2424" i="1"/>
  <c r="M2425" i="1"/>
  <c r="M2434" i="1"/>
  <c r="M2435" i="1"/>
  <c r="M2436" i="1"/>
  <c r="M2437" i="1"/>
  <c r="M2440" i="1"/>
  <c r="M2441" i="1"/>
  <c r="M2450" i="1"/>
  <c r="M2451" i="1"/>
  <c r="M2452" i="1"/>
  <c r="M2456" i="1"/>
  <c r="M2457" i="1"/>
  <c r="M2466" i="1"/>
  <c r="M2467" i="1"/>
  <c r="M2469" i="1"/>
  <c r="M2472" i="1"/>
  <c r="M2473" i="1"/>
  <c r="M2482" i="1"/>
  <c r="M2483" i="1"/>
  <c r="M2484" i="1"/>
  <c r="M2485" i="1"/>
  <c r="M2488" i="1"/>
  <c r="M2498" i="1"/>
  <c r="M2499" i="1"/>
  <c r="M2500" i="1"/>
  <c r="M2501" i="1"/>
  <c r="M2504" i="1"/>
  <c r="M2514" i="1"/>
  <c r="M2515" i="1"/>
  <c r="M2516" i="1"/>
  <c r="M2520" i="1"/>
  <c r="M2521" i="1"/>
  <c r="M2530" i="1"/>
  <c r="M2531" i="1"/>
  <c r="M2532" i="1"/>
  <c r="M2536" i="1"/>
  <c r="M2546" i="1"/>
  <c r="M2548" i="1"/>
  <c r="M2549" i="1"/>
  <c r="M2552" i="1"/>
  <c r="M2553" i="1"/>
  <c r="M2562" i="1"/>
  <c r="M2563" i="1"/>
  <c r="M2564" i="1"/>
  <c r="M2568" i="1"/>
  <c r="M2578" i="1"/>
  <c r="M2579" i="1"/>
  <c r="M2584" i="1"/>
  <c r="M2585" i="1"/>
  <c r="M2594" i="1"/>
  <c r="M2595" i="1"/>
  <c r="M2596" i="1"/>
  <c r="M2598" i="1"/>
  <c r="M2600" i="1"/>
  <c r="M2601" i="1"/>
  <c r="M2602" i="1"/>
  <c r="M2610" i="1"/>
  <c r="M2612" i="1"/>
  <c r="M2616" i="1"/>
  <c r="M2617" i="1"/>
  <c r="M2626" i="1"/>
  <c r="M2627" i="1"/>
  <c r="M2628" i="1"/>
  <c r="M2632" i="1"/>
  <c r="M2642" i="1"/>
  <c r="M2643" i="1"/>
  <c r="M2644" i="1"/>
  <c r="M2645" i="1"/>
  <c r="M2648" i="1"/>
  <c r="M2649" i="1"/>
  <c r="M2658" i="1"/>
  <c r="M2659" i="1"/>
  <c r="M2664" i="1"/>
  <c r="M2674" i="1"/>
  <c r="M2675" i="1"/>
  <c r="M2676" i="1"/>
  <c r="M2680" i="1"/>
  <c r="M2681" i="1"/>
  <c r="M2690" i="1"/>
  <c r="M2691" i="1"/>
  <c r="M2692" i="1"/>
  <c r="M2693" i="1"/>
  <c r="M2694" i="1"/>
  <c r="M2695" i="1"/>
  <c r="M2696" i="1"/>
  <c r="M2697" i="1"/>
  <c r="M2706" i="1"/>
  <c r="M2707" i="1"/>
  <c r="M2708" i="1"/>
  <c r="M2709" i="1"/>
  <c r="M2712" i="1"/>
  <c r="M2722" i="1"/>
  <c r="M2723" i="1"/>
  <c r="M2724" i="1"/>
  <c r="M2725" i="1"/>
  <c r="M2728" i="1"/>
  <c r="M2729" i="1"/>
  <c r="M2738" i="1"/>
  <c r="M2739" i="1"/>
  <c r="M2740" i="1"/>
  <c r="M2744" i="1"/>
  <c r="M2754" i="1"/>
  <c r="M2755" i="1"/>
  <c r="M2756" i="1"/>
  <c r="M2757" i="1"/>
  <c r="M2760" i="1"/>
  <c r="M2770" i="1"/>
  <c r="M2771" i="1"/>
  <c r="M2772" i="1"/>
  <c r="M2773" i="1"/>
  <c r="M2776" i="1"/>
  <c r="M2777" i="1"/>
  <c r="M2786" i="1"/>
  <c r="M2787" i="1"/>
  <c r="M2788" i="1"/>
  <c r="M2792" i="1"/>
  <c r="M2793" i="1"/>
  <c r="M2802" i="1"/>
  <c r="M2803" i="1"/>
  <c r="M2805" i="1"/>
  <c r="M2808" i="1"/>
  <c r="M2809" i="1"/>
  <c r="M2818" i="1"/>
  <c r="M2819" i="1"/>
  <c r="M2820" i="1"/>
  <c r="M2821" i="1"/>
  <c r="M2822" i="1"/>
  <c r="M2823" i="1"/>
  <c r="M2824" i="1"/>
  <c r="M2834" i="1"/>
  <c r="M2835" i="1"/>
  <c r="M2840" i="1"/>
  <c r="M2841" i="1"/>
  <c r="M2850" i="1"/>
  <c r="M2851" i="1"/>
  <c r="M2853" i="1"/>
  <c r="M2854" i="1"/>
  <c r="M2856" i="1"/>
  <c r="M2857" i="1"/>
  <c r="M2866" i="1"/>
  <c r="M2867" i="1"/>
  <c r="M2869" i="1"/>
  <c r="M2872" i="1"/>
  <c r="M2873" i="1"/>
  <c r="M2882" i="1"/>
  <c r="M2883" i="1"/>
  <c r="M2884" i="1"/>
  <c r="M2885" i="1"/>
  <c r="M2888" i="1"/>
  <c r="M2889" i="1"/>
  <c r="M2898" i="1"/>
  <c r="M2899" i="1"/>
  <c r="M2900" i="1"/>
  <c r="M2901" i="1"/>
  <c r="M2904" i="1"/>
  <c r="M2914" i="1"/>
  <c r="M2915" i="1"/>
  <c r="M2916" i="1"/>
  <c r="M2917" i="1"/>
  <c r="M2920" i="1"/>
  <c r="M2921" i="1"/>
  <c r="M2930" i="1"/>
  <c r="M2931" i="1"/>
  <c r="M2932" i="1"/>
  <c r="M2933" i="1"/>
  <c r="M2936" i="1"/>
  <c r="M2937" i="1"/>
  <c r="M2946" i="1"/>
  <c r="M2947" i="1"/>
  <c r="M2949" i="1"/>
  <c r="M2952" i="1"/>
  <c r="M2953" i="1"/>
  <c r="M2962" i="1"/>
  <c r="M2963" i="1"/>
  <c r="M2968" i="1"/>
  <c r="M2969" i="1"/>
  <c r="M2978" i="1"/>
  <c r="M2979" i="1"/>
  <c r="M2982" i="1"/>
  <c r="M2984" i="1"/>
  <c r="M2994" i="1"/>
  <c r="M2995" i="1"/>
  <c r="M2996" i="1"/>
  <c r="M2997" i="1"/>
  <c r="M3000" i="1"/>
  <c r="M3001" i="1"/>
  <c r="M3010" i="1"/>
  <c r="M3011" i="1"/>
  <c r="M3012" i="1"/>
  <c r="M3013" i="1"/>
  <c r="M3016" i="1"/>
  <c r="M3017" i="1"/>
  <c r="M3026" i="1"/>
  <c r="M3027" i="1"/>
  <c r="M3029" i="1"/>
  <c r="M3032" i="1"/>
  <c r="M3033" i="1"/>
  <c r="M3042" i="1"/>
  <c r="M3043" i="1"/>
  <c r="M3044" i="1"/>
  <c r="M3045" i="1"/>
  <c r="M3048" i="1"/>
  <c r="M3049" i="1"/>
  <c r="M3058" i="1"/>
  <c r="M3059" i="1"/>
  <c r="M3060" i="1"/>
  <c r="M3061" i="1"/>
  <c r="M3064" i="1"/>
  <c r="M3074" i="1"/>
  <c r="M3075" i="1"/>
  <c r="M3076" i="1"/>
  <c r="M3077" i="1"/>
  <c r="M3080" i="1"/>
  <c r="M3090" i="1"/>
  <c r="M3091" i="1"/>
  <c r="M3092" i="1"/>
  <c r="M3093" i="1"/>
  <c r="M3094" i="1"/>
  <c r="M3096" i="1"/>
  <c r="M3106" i="1"/>
  <c r="M3107" i="1"/>
  <c r="M3108" i="1"/>
  <c r="M3112" i="1"/>
  <c r="M3113" i="1"/>
  <c r="M3122" i="1"/>
  <c r="M3123" i="1"/>
  <c r="M3124" i="1"/>
  <c r="M3128" i="1"/>
  <c r="M3129" i="1"/>
  <c r="M3138" i="1"/>
  <c r="M3139" i="1"/>
  <c r="M3140" i="1"/>
  <c r="M3141" i="1"/>
  <c r="M3143" i="1"/>
  <c r="M3144" i="1"/>
  <c r="M3145" i="1"/>
  <c r="M3154" i="1"/>
  <c r="M3155" i="1"/>
  <c r="M3156" i="1"/>
  <c r="M3157" i="1"/>
  <c r="M3160" i="1"/>
  <c r="M3170" i="1"/>
  <c r="M3171" i="1"/>
  <c r="M3172" i="1"/>
  <c r="M3173" i="1"/>
  <c r="M3176" i="1"/>
  <c r="M3177" i="1"/>
  <c r="M3186" i="1"/>
  <c r="M3187" i="1"/>
  <c r="M3188" i="1"/>
  <c r="M3192" i="1"/>
  <c r="M3193" i="1"/>
  <c r="M3202" i="1"/>
  <c r="M3203" i="1"/>
  <c r="M3208" i="1"/>
  <c r="M3209" i="1"/>
  <c r="M3218" i="1"/>
  <c r="M3219" i="1"/>
  <c r="M3220" i="1"/>
  <c r="M3221" i="1"/>
  <c r="M3222" i="1"/>
  <c r="M3224" i="1"/>
  <c r="M3234" i="1"/>
  <c r="M3235" i="1"/>
  <c r="M3236" i="1"/>
  <c r="M3237" i="1"/>
  <c r="M3238" i="1"/>
  <c r="M3240" i="1"/>
  <c r="M3241" i="1"/>
  <c r="M3250" i="1"/>
  <c r="M3251" i="1"/>
  <c r="M3252" i="1"/>
  <c r="M3253" i="1"/>
  <c r="M3256" i="1"/>
  <c r="M3257" i="1"/>
  <c r="M3266" i="1"/>
  <c r="M3267" i="1"/>
  <c r="M3272" i="1"/>
  <c r="M3273" i="1"/>
  <c r="M3282" i="1"/>
  <c r="M3283" i="1"/>
  <c r="M3285" i="1"/>
  <c r="M3286" i="1"/>
  <c r="M3288" i="1"/>
  <c r="M3289" i="1"/>
  <c r="M3298" i="1"/>
  <c r="M3299" i="1"/>
  <c r="M3300" i="1"/>
  <c r="M3301" i="1"/>
  <c r="M3304" i="1"/>
  <c r="M3314" i="1"/>
  <c r="M3315" i="1"/>
  <c r="M3316" i="1"/>
  <c r="M3317" i="1"/>
  <c r="M3320" i="1"/>
  <c r="M3321" i="1"/>
  <c r="M3330" i="1"/>
  <c r="M3331" i="1"/>
  <c r="M3332" i="1"/>
  <c r="M3333" i="1"/>
  <c r="M3336" i="1"/>
  <c r="M3346" i="1"/>
  <c r="M3347" i="1"/>
  <c r="M3348" i="1"/>
  <c r="M3352" i="1"/>
  <c r="M3353" i="1"/>
  <c r="M3362" i="1"/>
  <c r="M3363" i="1"/>
  <c r="M3368" i="1"/>
  <c r="M3369" i="1"/>
  <c r="M3378" i="1"/>
  <c r="M3379" i="1"/>
  <c r="M3380" i="1"/>
  <c r="M3384" i="1"/>
  <c r="M3385" i="1"/>
  <c r="M3394" i="1"/>
  <c r="M3395" i="1"/>
  <c r="M3396" i="1"/>
  <c r="M3397" i="1"/>
  <c r="M3398" i="1"/>
  <c r="M3400" i="1"/>
  <c r="M3410" i="1"/>
  <c r="M3411" i="1"/>
  <c r="M3416" i="1"/>
  <c r="M3417" i="1"/>
  <c r="M3426" i="1"/>
  <c r="M3427" i="1"/>
  <c r="M3428" i="1"/>
  <c r="M3432" i="1"/>
  <c r="M3433" i="1"/>
  <c r="M3442" i="1"/>
  <c r="M3443" i="1"/>
  <c r="M3444" i="1"/>
  <c r="M3446" i="1"/>
  <c r="M3448" i="1"/>
  <c r="M3449" i="1"/>
  <c r="M3458" i="1"/>
  <c r="M3459" i="1"/>
  <c r="M3460" i="1"/>
  <c r="M3461" i="1"/>
  <c r="M3464" i="1"/>
  <c r="M3465" i="1"/>
  <c r="M3474" i="1"/>
  <c r="M3475" i="1"/>
  <c r="M3476" i="1"/>
  <c r="M3477" i="1"/>
  <c r="M3478" i="1"/>
  <c r="M3480" i="1"/>
  <c r="M3481" i="1"/>
  <c r="M3490" i="1"/>
  <c r="M3491" i="1"/>
  <c r="M3492" i="1"/>
  <c r="M3496" i="1"/>
  <c r="M3497" i="1"/>
  <c r="M3506" i="1"/>
  <c r="M3507" i="1"/>
  <c r="M3510" i="1"/>
  <c r="M3512" i="1"/>
  <c r="M3513" i="1"/>
  <c r="M3522" i="1"/>
  <c r="M3523" i="1"/>
  <c r="M3524" i="1"/>
  <c r="M3525" i="1"/>
  <c r="M3528" i="1"/>
  <c r="M3529" i="1"/>
  <c r="M3538" i="1"/>
  <c r="M3539" i="1"/>
  <c r="M3544" i="1"/>
  <c r="M3545" i="1"/>
  <c r="M3554" i="1"/>
  <c r="M3555" i="1"/>
  <c r="M3556" i="1"/>
  <c r="M3560" i="1"/>
  <c r="M3561" i="1"/>
  <c r="M3563" i="1"/>
  <c r="M3570" i="1"/>
  <c r="M3571" i="1"/>
  <c r="M3572" i="1"/>
  <c r="M3573" i="1"/>
  <c r="M3574" i="1"/>
  <c r="M3576" i="1"/>
  <c r="M3586" i="1"/>
  <c r="M3587" i="1"/>
  <c r="M3588" i="1"/>
  <c r="M3589" i="1"/>
  <c r="M3592" i="1"/>
  <c r="M3602" i="1"/>
  <c r="M3603" i="1"/>
  <c r="M3604" i="1"/>
  <c r="M3605" i="1"/>
  <c r="M3606" i="1"/>
  <c r="M3608" i="1"/>
  <c r="M3609" i="1"/>
  <c r="M3618" i="1"/>
  <c r="M3619" i="1"/>
  <c r="M3623" i="1"/>
  <c r="M3624" i="1"/>
  <c r="M3625" i="1"/>
  <c r="M3634" i="1"/>
  <c r="M3635" i="1"/>
  <c r="M3636" i="1"/>
  <c r="M3637" i="1"/>
  <c r="M3640" i="1"/>
  <c r="M3641" i="1"/>
  <c r="M3650" i="1"/>
  <c r="M3651" i="1"/>
  <c r="M3652" i="1"/>
  <c r="M3656" i="1"/>
  <c r="M3657" i="1"/>
  <c r="M3666" i="1"/>
  <c r="M3667" i="1"/>
  <c r="M3672" i="1"/>
  <c r="M3673" i="1"/>
  <c r="M3682" i="1"/>
  <c r="M3683" i="1"/>
  <c r="M3684" i="1"/>
  <c r="M3685" i="1"/>
  <c r="M3688" i="1"/>
  <c r="M3692" i="1"/>
  <c r="M3698" i="1"/>
  <c r="M3699" i="1"/>
  <c r="M3700" i="1"/>
  <c r="M3704" i="1"/>
  <c r="M3705" i="1"/>
  <c r="M3714" i="1"/>
  <c r="M3715" i="1"/>
  <c r="M3716" i="1"/>
  <c r="M3717" i="1"/>
  <c r="M3720" i="1"/>
  <c r="M3721" i="1"/>
  <c r="K184" i="1"/>
  <c r="K185" i="1"/>
  <c r="K215" i="1"/>
  <c r="K327" i="1"/>
  <c r="K328" i="1"/>
  <c r="K402" i="1"/>
  <c r="K519" i="1"/>
  <c r="K568" i="1"/>
  <c r="K685" i="1"/>
  <c r="K760" i="1"/>
  <c r="K872" i="1"/>
  <c r="K907" i="1"/>
  <c r="K1128" i="1"/>
  <c r="K1144" i="1"/>
  <c r="K1150" i="1"/>
  <c r="K1208" i="1"/>
  <c r="K1211" i="1"/>
  <c r="K1239" i="1"/>
  <c r="K1575" i="1"/>
  <c r="K1601" i="1"/>
  <c r="K1752" i="1"/>
  <c r="K1755" i="1"/>
  <c r="K1756" i="1"/>
  <c r="K1757" i="1"/>
  <c r="K1775" i="1"/>
  <c r="K1785" i="1"/>
  <c r="K1911" i="1"/>
  <c r="K1938" i="1"/>
  <c r="K2041" i="1"/>
  <c r="K2073" i="1"/>
  <c r="K2169" i="1"/>
  <c r="K2200" i="1"/>
  <c r="K2205" i="1"/>
  <c r="K2248" i="1"/>
  <c r="K2249" i="1"/>
  <c r="K2329" i="1"/>
  <c r="K2444" i="1"/>
  <c r="K2445" i="1"/>
  <c r="K2488" i="1"/>
  <c r="K2583" i="1"/>
  <c r="K2600" i="1"/>
  <c r="K2605" i="1"/>
  <c r="K2606" i="1"/>
  <c r="K2665" i="1"/>
  <c r="K2666" i="1"/>
  <c r="K2697" i="1"/>
  <c r="K2699" i="1"/>
  <c r="K2793" i="1"/>
  <c r="K2903" i="1"/>
  <c r="K2904" i="1"/>
  <c r="K2905" i="1"/>
  <c r="K2953" i="1"/>
  <c r="K2969" i="1"/>
  <c r="K2991" i="1"/>
  <c r="K3063" i="1"/>
  <c r="K3065" i="1"/>
  <c r="K3070" i="1"/>
  <c r="K3095" i="1"/>
  <c r="K3207" i="1"/>
  <c r="K3272" i="1"/>
  <c r="K3303" i="1"/>
  <c r="K3305" i="1"/>
  <c r="K3319" i="1"/>
  <c r="K3385" i="1"/>
  <c r="K3399" i="1"/>
  <c r="K3416" i="1"/>
  <c r="K3431" i="1"/>
  <c r="K3465" i="1"/>
  <c r="K3479" i="1"/>
  <c r="K3575" i="1"/>
  <c r="K3585" i="1"/>
  <c r="K3586" i="1"/>
  <c r="K3641" i="1"/>
  <c r="K3655" i="1"/>
  <c r="K3673" i="1"/>
  <c r="K3687" i="1"/>
  <c r="K3719" i="1"/>
  <c r="K3720" i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J185" i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J328" i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J1209" i="1"/>
  <c r="K1209" i="1" s="1"/>
  <c r="J1210" i="1"/>
  <c r="K1210" i="1" s="1"/>
  <c r="J1211" i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J1753" i="1"/>
  <c r="K1753" i="1" s="1"/>
  <c r="J1754" i="1"/>
  <c r="K1754" i="1" s="1"/>
  <c r="J1755" i="1"/>
  <c r="J1756" i="1"/>
  <c r="J1757" i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J2201" i="1"/>
  <c r="K2201" i="1" s="1"/>
  <c r="J2202" i="1"/>
  <c r="K2202" i="1" s="1"/>
  <c r="J2203" i="1"/>
  <c r="K2203" i="1" s="1"/>
  <c r="J2204" i="1"/>
  <c r="K2204" i="1" s="1"/>
  <c r="J2205" i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J2249" i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J2445" i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J2601" i="1"/>
  <c r="K2601" i="1" s="1"/>
  <c r="J2602" i="1"/>
  <c r="K2602" i="1" s="1"/>
  <c r="J2603" i="1"/>
  <c r="K2603" i="1" s="1"/>
  <c r="J2604" i="1"/>
  <c r="K2604" i="1" s="1"/>
  <c r="J2605" i="1"/>
  <c r="J2606" i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J2666" i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J2698" i="1"/>
  <c r="K2698" i="1" s="1"/>
  <c r="J2699" i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J2904" i="1"/>
  <c r="J2905" i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J3064" i="1"/>
  <c r="K3064" i="1" s="1"/>
  <c r="J3065" i="1"/>
  <c r="J3066" i="1"/>
  <c r="K3066" i="1" s="1"/>
  <c r="J3067" i="1"/>
  <c r="K3067" i="1" s="1"/>
  <c r="J3068" i="1"/>
  <c r="K3068" i="1" s="1"/>
  <c r="J3069" i="1"/>
  <c r="K3069" i="1" s="1"/>
  <c r="J3070" i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J3304" i="1"/>
  <c r="K3304" i="1" s="1"/>
  <c r="J3305" i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J3586" i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J3720" i="1"/>
  <c r="J3721" i="1"/>
  <c r="K3721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</calcChain>
</file>

<file path=xl/sharedStrings.xml><?xml version="1.0" encoding="utf-8"?>
<sst xmlns="http://schemas.openxmlformats.org/spreadsheetml/2006/main" count="7478" uniqueCount="28">
  <si>
    <t>site_id</t>
  </si>
  <si>
    <t>timestamp</t>
  </si>
  <si>
    <t>dc_kw</t>
  </si>
  <si>
    <t>ac_kw</t>
  </si>
  <si>
    <t>energy_kwh</t>
  </si>
  <si>
    <t>battery_soc</t>
  </si>
  <si>
    <t>SITE_1</t>
  </si>
  <si>
    <t>SITE_2</t>
  </si>
  <si>
    <t>SITE_3</t>
  </si>
  <si>
    <t>SITE_4</t>
  </si>
  <si>
    <t>SITE_5</t>
  </si>
  <si>
    <t>expected_kwh</t>
  </si>
  <si>
    <t>irradiance</t>
  </si>
  <si>
    <t>AC_DC_Check</t>
  </si>
  <si>
    <t>Zero_Energy</t>
  </si>
  <si>
    <t>Performance_Ratio</t>
  </si>
  <si>
    <t>Grand Total</t>
  </si>
  <si>
    <t>Average of Performance_Ratio</t>
  </si>
  <si>
    <t>Underperformance_Flag</t>
  </si>
  <si>
    <t>Count of Underperformance_Flag</t>
  </si>
  <si>
    <t>(All)</t>
  </si>
  <si>
    <t>Performance_Status</t>
  </si>
  <si>
    <t>Performance_Deviation</t>
  </si>
  <si>
    <t>Sum of Performance_Deviation</t>
  </si>
  <si>
    <t>Finanacial_Impact</t>
  </si>
  <si>
    <t>Sum of Finanacial_Impact</t>
  </si>
  <si>
    <t>SITE</t>
  </si>
  <si>
    <t>Financial_Impact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</si>
</sst>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11" fontId="0" fillId="0" borderId="0" xfId="0" applyNumberFormat="1"/>
    <xf numFmtId="22" fontId="0" fillId="3" borderId="1" xfId="0" applyNumberFormat="1" applyFill="1" applyBorder="1"/>
    <xf numFmtId="0" fontId="0" fillId="3" borderId="1" xfId="0" applyFill="1" applyBorder="1"/>
    <xf numFmtId="22" fontId="0" fillId="0" borderId="1" xfId="0" applyNumberFormat="1" applyBorder="1"/>
    <xf numFmtId="0" fontId="0" fillId="0" borderId="1" xfId="0" applyBorder="1"/>
    <xf numFmtId="11" fontId="0" fillId="3" borderId="1" xfId="0" applyNumberFormat="1" applyFill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20"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m/d/yyyy\ 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Impact Due to Energy Underperformance ($)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77046324145121E-2"/>
          <c:y val="0.14393518518518519"/>
          <c:w val="0.89917936760050921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Pivotsheeat!$C$11</c:f>
              <c:strCache>
                <c:ptCount val="1"/>
                <c:pt idx="0">
                  <c:v>Financial_Impact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Pivotsheeat!$B$12:$B$16</c:f>
              <c:strCache>
                <c:ptCount val="5"/>
                <c:pt idx="0">
                  <c:v>SITE_1</c:v>
                </c:pt>
                <c:pt idx="1">
                  <c:v>SITE_2</c:v>
                </c:pt>
                <c:pt idx="2">
                  <c:v>SITE_3</c:v>
                </c:pt>
                <c:pt idx="3">
                  <c:v>SITE_4</c:v>
                </c:pt>
                <c:pt idx="4">
                  <c:v>SITE_5</c:v>
                </c:pt>
              </c:strCache>
            </c:strRef>
          </c:cat>
          <c:val>
            <c:numRef>
              <c:f>Pivotsheeat!$C$12:$C$16</c:f>
              <c:numCache>
                <c:formatCode>General</c:formatCode>
                <c:ptCount val="5"/>
                <c:pt idx="0">
                  <c:v>-188.08429430853437</c:v>
                </c:pt>
                <c:pt idx="1">
                  <c:v>-177.20651466647553</c:v>
                </c:pt>
                <c:pt idx="2">
                  <c:v>-364.64366781198834</c:v>
                </c:pt>
                <c:pt idx="3">
                  <c:v>-532.08062862812812</c:v>
                </c:pt>
                <c:pt idx="4">
                  <c:v>-527.36877720043572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8-46CF-87B4-A095EB476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69856"/>
        <c:axId val="209070336"/>
      </c:barChart>
      <c:catAx>
        <c:axId val="2090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0336"/>
        <c:crosses val="autoZero"/>
        <c:auto val="1"/>
        <c:lblAlgn val="ctr"/>
        <c:lblOffset val="100"/>
        <c:noMultiLvlLbl val="0"/>
      </c:catAx>
      <c:valAx>
        <c:axId val="209070336"/>
        <c:scaling>
          <c:orientation val="minMax"/>
          <c:max val="0"/>
          <c:min val="-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6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9</xdr:row>
      <xdr:rowOff>148590</xdr:rowOff>
    </xdr:from>
    <xdr:to>
      <xdr:col>8</xdr:col>
      <xdr:colOff>381000</xdr:colOff>
      <xdr:row>24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2DFCE2-3048-7F9B-E2D6-DB33BFE69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350520</xdr:colOff>
      <xdr:row>24</xdr:row>
      <xdr:rowOff>152400</xdr:rowOff>
    </xdr:from>
    <xdr:to>
      <xdr:col>8</xdr:col>
      <xdr:colOff>388620</xdr:colOff>
      <xdr:row>27</xdr:row>
      <xdr:rowOff>53340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C104DE-0E9C-99C5-0E23-83006FEE0078}"/>
            </a:ext>
          </a:extLst>
        </xdr:cNvPr>
        <xdr:cNvSpPr txBox="1"/>
      </xdr:nvSpPr>
      <xdr:spPr>
        <a:xfrm>
          <a:off x="5699760" y="4541520"/>
          <a:ext cx="5349240" cy="449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rgbClr val="FF0000"/>
              </a:solidFill>
            </a:rPr>
            <a:t>“All sites show negative financial impact due to underperformance, with SITE_4 and SITE_5 contributing the highest portfolio loss.”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 Ravi" refreshedDate="46061.508837499998" createdVersion="8" refreshedVersion="8" minRefreshableVersion="3" recordCount="3720" xr:uid="{6A3F6A7D-C4D6-4836-8F10-F5B7AEBA0842}">
  <cacheSource type="worksheet">
    <worksheetSource name="Table4"/>
  </cacheSource>
  <cacheFields count="14">
    <cacheField name="site_id" numFmtId="0">
      <sharedItems count="5">
        <s v="SITE_1"/>
        <s v="SITE_2"/>
        <s v="SITE_3"/>
        <s v="SITE_4"/>
        <s v="SITE_5"/>
      </sharedItems>
    </cacheField>
    <cacheField name="timestamp" numFmtId="22">
      <sharedItems containsSemiMixedTypes="0" containsNonDate="0" containsDate="1" containsString="0" minDate="2024-01-01T00:00:00" maxDate="2024-02-01T00:00:00"/>
    </cacheField>
    <cacheField name="dc_kw" numFmtId="0">
      <sharedItems containsSemiMixedTypes="0" containsString="0" containsNumber="1" minValue="0" maxValue="1286.13701905363"/>
    </cacheField>
    <cacheField name="ac_kw" numFmtId="0">
      <sharedItems containsSemiMixedTypes="0" containsString="0" containsNumber="1" minValue="0" maxValue="1216.99525187583"/>
    </cacheField>
    <cacheField name="energy_kwh" numFmtId="0">
      <sharedItems containsSemiMixedTypes="0" containsString="0" containsNumber="1" minValue="0" maxValue="1216.99525187583"/>
    </cacheField>
    <cacheField name="battery_soc" numFmtId="0">
      <sharedItems containsSemiMixedTypes="0" containsString="0" containsNumber="1" minValue="20.030771707938101" maxValue="94.985385810035098"/>
    </cacheField>
    <cacheField name="AC_DC_Check" numFmtId="0">
      <sharedItems/>
    </cacheField>
    <cacheField name="Zero_Energy" numFmtId="0">
      <sharedItems/>
    </cacheField>
    <cacheField name="expected_kwh" numFmtId="0">
      <sharedItems containsSemiMixedTypes="0" containsString="0" containsNumber="1" minValue="0" maxValue="1200"/>
    </cacheField>
    <cacheField name="Performance_Ratio" numFmtId="0">
      <sharedItems containsSemiMixedTypes="0" containsString="0" containsNumber="1" minValue="0" maxValue="1.27177740274464"/>
    </cacheField>
    <cacheField name="Underperformance_Flag" numFmtId="0">
      <sharedItems count="2">
        <s v="Underperforming"/>
        <s v="Performing"/>
      </sharedItems>
    </cacheField>
    <cacheField name="Performance_Deviation" numFmtId="0">
      <sharedItems containsSemiMixedTypes="0" containsString="0" containsNumber="1" minValue="-927.28879323750505" maxValue="119.71326379552102"/>
    </cacheField>
    <cacheField name="Performance_Status" numFmtId="0">
      <sharedItems count="2">
        <s v="Outperforming"/>
        <s v="Underperforming"/>
      </sharedItems>
    </cacheField>
    <cacheField name="Finanacial_Impact" numFmtId="0">
      <sharedItems containsSemiMixedTypes="0" containsString="0" containsNumber="1" minValue="-46.36443966187525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0">
  <r>
    <x v="0"/>
    <d v="2024-01-01T00:00:00"/>
    <n v="0"/>
    <n v="0"/>
    <n v="0"/>
    <n v="92.743238912149494"/>
    <s v="OK"/>
    <s v="ZERO"/>
    <n v="0"/>
    <n v="0"/>
    <x v="0"/>
    <n v="0"/>
    <x v="0"/>
    <n v="0"/>
  </r>
  <r>
    <x v="0"/>
    <d v="2024-01-01T01:00:00"/>
    <n v="0"/>
    <n v="0"/>
    <n v="0"/>
    <n v="33.636872540532501"/>
    <s v="OK"/>
    <s v="ZERO"/>
    <n v="0"/>
    <n v="0"/>
    <x v="0"/>
    <n v="0"/>
    <x v="0"/>
    <n v="0"/>
  </r>
  <r>
    <x v="0"/>
    <d v="2024-01-01T02:00:00"/>
    <n v="0"/>
    <n v="0"/>
    <n v="0"/>
    <n v="41.842185514853099"/>
    <s v="OK"/>
    <s v="ZERO"/>
    <n v="0"/>
    <n v="0"/>
    <x v="0"/>
    <n v="0"/>
    <x v="0"/>
    <n v="0"/>
  </r>
  <r>
    <x v="0"/>
    <d v="2024-01-01T03:00:00"/>
    <n v="0"/>
    <n v="0"/>
    <n v="0"/>
    <n v="41.910848640141303"/>
    <s v="OK"/>
    <s v="ZERO"/>
    <n v="0"/>
    <n v="0"/>
    <x v="0"/>
    <n v="0"/>
    <x v="0"/>
    <n v="0"/>
  </r>
  <r>
    <x v="0"/>
    <d v="2024-01-01T04:00:00"/>
    <n v="0"/>
    <n v="0"/>
    <n v="0"/>
    <n v="58.567582881020797"/>
    <s v="OK"/>
    <s v="ZERO"/>
    <n v="0"/>
    <n v="0"/>
    <x v="0"/>
    <n v="0"/>
    <x v="0"/>
    <n v="0"/>
  </r>
  <r>
    <x v="0"/>
    <d v="2024-01-01T05:00:00"/>
    <n v="0"/>
    <n v="0"/>
    <n v="0"/>
    <n v="65.565863892607794"/>
    <s v="OK"/>
    <s v="ZERO"/>
    <n v="0"/>
    <n v="0"/>
    <x v="0"/>
    <n v="0"/>
    <x v="0"/>
    <n v="0"/>
  </r>
  <r>
    <x v="0"/>
    <d v="2024-01-01T06:00:00"/>
    <n v="0"/>
    <n v="0"/>
    <n v="0"/>
    <n v="53.011437030470098"/>
    <s v="OK"/>
    <s v="ZERO"/>
    <n v="0"/>
    <n v="0"/>
    <x v="0"/>
    <n v="0"/>
    <x v="0"/>
    <n v="0"/>
  </r>
  <r>
    <x v="0"/>
    <d v="2024-01-01T07:00:00"/>
    <n v="105.217270292668"/>
    <n v="100.48055763191699"/>
    <n v="100.48055763191699"/>
    <n v="22.579139083641302"/>
    <s v="OK"/>
    <s v="NON-ZERO"/>
    <n v="103.527618041008"/>
    <n v="0.97056765656596056"/>
    <x v="1"/>
    <n v="-3.047060409091003"/>
    <x v="1"/>
    <n v="0"/>
  </r>
  <r>
    <x v="0"/>
    <d v="2024-01-01T08:00:00"/>
    <n v="186.78769364635201"/>
    <n v="178.378811426672"/>
    <n v="178.378811426672"/>
    <n v="59.005101588335798"/>
    <s v="OK"/>
    <s v="NON-ZERO"/>
    <n v="199.99999999999901"/>
    <n v="0.89189405713336445"/>
    <x v="1"/>
    <n v="-21.621188573327004"/>
    <x v="1"/>
    <n v="0"/>
  </r>
  <r>
    <x v="0"/>
    <d v="2024-01-01T09:00:00"/>
    <n v="276.40929204159602"/>
    <n v="263.96578928277103"/>
    <n v="263.96578928277103"/>
    <n v="92.718847082341895"/>
    <s v="OK"/>
    <s v="NON-ZERO"/>
    <n v="282.84271247461902"/>
    <n v="0.93325999801553339"/>
    <x v="1"/>
    <n v="-18.876923191847993"/>
    <x v="1"/>
    <n v="0"/>
  </r>
  <r>
    <x v="0"/>
    <d v="2024-01-01T10:00:00"/>
    <n v="334.39135084449799"/>
    <n v="319.33758884530198"/>
    <n v="319.33758884530198"/>
    <n v="34.698714681435803"/>
    <s v="OK"/>
    <s v="NON-ZERO"/>
    <n v="346.41016151377499"/>
    <n v="0.92184821441100684"/>
    <x v="1"/>
    <n v="-27.072572668473015"/>
    <x v="1"/>
    <n v="0"/>
  </r>
  <r>
    <x v="0"/>
    <d v="2024-01-01T11:00:00"/>
    <n v="390.89985527365201"/>
    <n v="373.30217108729698"/>
    <n v="373.30217108729698"/>
    <n v="49.1507967267111"/>
    <s v="OK"/>
    <s v="NON-ZERO"/>
    <n v="386.37033051562702"/>
    <n v="0.96617711455512112"/>
    <x v="1"/>
    <n v="-13.068159428330034"/>
    <x v="1"/>
    <n v="0"/>
  </r>
  <r>
    <x v="0"/>
    <d v="2024-01-01T12:00:00"/>
    <n v="401.66361167134301"/>
    <n v="383.58136044514401"/>
    <n v="383.58136044514401"/>
    <n v="60.702206236868598"/>
    <s v="OK"/>
    <s v="NON-ZERO"/>
    <n v="400"/>
    <n v="0.95895340111285998"/>
    <x v="1"/>
    <n v="-16.418639554855986"/>
    <x v="1"/>
    <n v="0"/>
  </r>
  <r>
    <x v="0"/>
    <d v="2024-01-01T13:00:00"/>
    <n v="352.49727597217901"/>
    <n v="336.62841427928799"/>
    <n v="336.62841427928799"/>
    <n v="25.591298275982801"/>
    <s v="OK"/>
    <s v="NON-ZERO"/>
    <n v="386.37033051562702"/>
    <n v="0.87125844738141156"/>
    <x v="1"/>
    <n v="-49.741916236339023"/>
    <x v="1"/>
    <n v="0"/>
  </r>
  <r>
    <x v="0"/>
    <d v="2024-01-01T14:00:00"/>
    <n v="343.20538103170401"/>
    <n v="327.75482553782803"/>
    <n v="327.75482553782803"/>
    <n v="25.553348880056699"/>
    <s v="OK"/>
    <s v="NON-ZERO"/>
    <n v="346.41016151377499"/>
    <n v="0.94614668376232047"/>
    <x v="1"/>
    <n v="-18.655335975946969"/>
    <x v="1"/>
    <n v="0"/>
  </r>
  <r>
    <x v="0"/>
    <d v="2024-01-01T15:00:00"/>
    <n v="286.27709961234598"/>
    <n v="273.38936399208899"/>
    <n v="273.38936399208899"/>
    <n v="84.732756940669503"/>
    <s v="OK"/>
    <s v="NON-ZERO"/>
    <n v="282.84271247461902"/>
    <n v="0.96657736591541732"/>
    <x v="1"/>
    <n v="-9.453348482530032"/>
    <x v="1"/>
    <n v="0"/>
  </r>
  <r>
    <x v="0"/>
    <d v="2024-01-01T16:00:00"/>
    <n v="168.885853946335"/>
    <n v="161.282883821903"/>
    <n v="161.282883821903"/>
    <n v="44.388749152006"/>
    <s v="OK"/>
    <s v="NON-ZERO"/>
    <n v="199.99999999999901"/>
    <n v="0.80641441910951905"/>
    <x v="0"/>
    <n v="-38.717116178096006"/>
    <x v="1"/>
    <n v="-1.9358558089048004"/>
  </r>
  <r>
    <x v="0"/>
    <d v="2024-01-01T17:00:00"/>
    <n v="106.32030538518799"/>
    <n v="101.533935854671"/>
    <n v="101.533935854671"/>
    <n v="86.540955693224404"/>
    <s v="OK"/>
    <s v="NON-ZERO"/>
    <n v="103.527618041008"/>
    <n v="0.98074250886804637"/>
    <x v="1"/>
    <n v="-1.9936821863369971"/>
    <x v="1"/>
    <n v="0"/>
  </r>
  <r>
    <x v="0"/>
    <d v="2024-01-01T18:00:00"/>
    <n v="4.29778482658637E-14"/>
    <n v="4.1043054505803899E-14"/>
    <n v="4.1043054505803899E-14"/>
    <n v="62.095789817712202"/>
    <s v="OK"/>
    <s v="NON-ZERO"/>
    <n v="4.8985871965894097E-14"/>
    <n v="0.83785493365065944"/>
    <x v="0"/>
    <n v="-7.942817460090198E-15"/>
    <x v="1"/>
    <n v="-3.971408730045099E-16"/>
  </r>
  <r>
    <x v="0"/>
    <d v="2024-01-01T19:00:00"/>
    <n v="0"/>
    <n v="0"/>
    <n v="0"/>
    <n v="59.204962203649501"/>
    <s v="OK"/>
    <s v="ZERO"/>
    <n v="0"/>
    <n v="0"/>
    <x v="0"/>
    <n v="0"/>
    <x v="0"/>
    <n v="0"/>
  </r>
  <r>
    <x v="0"/>
    <d v="2024-01-01T20:00:00"/>
    <n v="0"/>
    <n v="0"/>
    <n v="0"/>
    <n v="67.730780844783496"/>
    <s v="OK"/>
    <s v="ZERO"/>
    <n v="0"/>
    <n v="0"/>
    <x v="0"/>
    <n v="0"/>
    <x v="0"/>
    <n v="0"/>
  </r>
  <r>
    <x v="0"/>
    <d v="2024-01-01T21:00:00"/>
    <n v="0"/>
    <n v="0"/>
    <n v="0"/>
    <n v="88.0674855444569"/>
    <s v="OK"/>
    <s v="ZERO"/>
    <n v="0"/>
    <n v="0"/>
    <x v="0"/>
    <n v="0"/>
    <x v="0"/>
    <n v="0"/>
  </r>
  <r>
    <x v="0"/>
    <d v="2024-01-01T22:00:00"/>
    <n v="0"/>
    <n v="0"/>
    <n v="0"/>
    <n v="25.7734932371594"/>
    <s v="OK"/>
    <s v="ZERO"/>
    <n v="0"/>
    <n v="0"/>
    <x v="0"/>
    <n v="0"/>
    <x v="0"/>
    <n v="0"/>
  </r>
  <r>
    <x v="0"/>
    <d v="2024-01-01T23:00:00"/>
    <n v="0"/>
    <n v="0"/>
    <n v="0"/>
    <n v="89.7273239256929"/>
    <s v="OK"/>
    <s v="ZERO"/>
    <n v="0"/>
    <n v="0"/>
    <x v="0"/>
    <n v="0"/>
    <x v="0"/>
    <n v="0"/>
  </r>
  <r>
    <x v="0"/>
    <d v="2024-01-02T00:00:00"/>
    <n v="0"/>
    <n v="0"/>
    <n v="0"/>
    <n v="33.992754416452598"/>
    <s v="OK"/>
    <s v="ZERO"/>
    <n v="0"/>
    <n v="0"/>
    <x v="0"/>
    <n v="0"/>
    <x v="0"/>
    <n v="0"/>
  </r>
  <r>
    <x v="0"/>
    <d v="2024-01-02T01:00:00"/>
    <n v="0"/>
    <n v="0"/>
    <n v="0"/>
    <n v="80.558011637304602"/>
    <s v="OK"/>
    <s v="ZERO"/>
    <n v="0"/>
    <n v="0"/>
    <x v="0"/>
    <n v="0"/>
    <x v="0"/>
    <n v="0"/>
  </r>
  <r>
    <x v="0"/>
    <d v="2024-01-02T02:00:00"/>
    <n v="0"/>
    <n v="0"/>
    <n v="0"/>
    <n v="52.033084146969202"/>
    <s v="OK"/>
    <s v="ZERO"/>
    <n v="0"/>
    <n v="0"/>
    <x v="0"/>
    <n v="0"/>
    <x v="0"/>
    <n v="0"/>
  </r>
  <r>
    <x v="0"/>
    <d v="2024-01-02T03:00:00"/>
    <n v="0"/>
    <n v="0"/>
    <n v="0"/>
    <n v="20.5214097898393"/>
    <s v="OK"/>
    <s v="ZERO"/>
    <n v="0"/>
    <n v="0"/>
    <x v="0"/>
    <n v="0"/>
    <x v="0"/>
    <n v="0"/>
  </r>
  <r>
    <x v="0"/>
    <d v="2024-01-02T04:00:00"/>
    <n v="0"/>
    <n v="0"/>
    <n v="0"/>
    <n v="45.321137855272099"/>
    <s v="OK"/>
    <s v="ZERO"/>
    <n v="0"/>
    <n v="0"/>
    <x v="0"/>
    <n v="0"/>
    <x v="0"/>
    <n v="0"/>
  </r>
  <r>
    <x v="0"/>
    <d v="2024-01-02T05:00:00"/>
    <n v="0"/>
    <n v="0"/>
    <n v="0"/>
    <n v="58.909296630752401"/>
    <s v="OK"/>
    <s v="ZERO"/>
    <n v="0"/>
    <n v="0"/>
    <x v="0"/>
    <n v="0"/>
    <x v="0"/>
    <n v="0"/>
  </r>
  <r>
    <x v="0"/>
    <d v="2024-01-02T06:00:00"/>
    <n v="0"/>
    <n v="0"/>
    <n v="0"/>
    <n v="38.883672186902302"/>
    <s v="OK"/>
    <s v="ZERO"/>
    <n v="0"/>
    <n v="0"/>
    <x v="0"/>
    <n v="0"/>
    <x v="0"/>
    <n v="0"/>
  </r>
  <r>
    <x v="0"/>
    <d v="2024-01-02T07:00:00"/>
    <n v="108.525632421845"/>
    <n v="103.639982607145"/>
    <n v="103.639982607145"/>
    <n v="41.363037078310001"/>
    <s v="OK"/>
    <s v="NON-ZERO"/>
    <n v="103.527618041008"/>
    <n v="1.001085358363915"/>
    <x v="1"/>
    <n v="0.11236456613700341"/>
    <x v="0"/>
    <n v="0"/>
  </r>
  <r>
    <x v="0"/>
    <d v="2024-01-02T08:00:00"/>
    <n v="191.432867555695"/>
    <n v="182.81486706097701"/>
    <n v="182.81486706097701"/>
    <n v="40.898484817745803"/>
    <s v="OK"/>
    <s v="NON-ZERO"/>
    <n v="199.99999999999901"/>
    <n v="0.91407433530488957"/>
    <x v="1"/>
    <n v="-17.185132939021997"/>
    <x v="1"/>
    <n v="0"/>
  </r>
  <r>
    <x v="0"/>
    <d v="2024-01-02T09:00:00"/>
    <n v="260.13535008625502"/>
    <n v="248.42447407858799"/>
    <n v="248.42447407858799"/>
    <n v="30.867115406841702"/>
    <s v="OK"/>
    <s v="NON-ZERO"/>
    <n v="282.84271247461902"/>
    <n v="0.87831315116835629"/>
    <x v="1"/>
    <n v="-34.418238396031029"/>
    <x v="1"/>
    <n v="0"/>
  </r>
  <r>
    <x v="0"/>
    <d v="2024-01-02T10:00:00"/>
    <n v="337.329873894363"/>
    <n v="322.14382430306699"/>
    <n v="322.14382430306699"/>
    <n v="77.1214711496538"/>
    <s v="OK"/>
    <s v="NON-ZERO"/>
    <n v="346.41016151377499"/>
    <n v="0.92994911839575745"/>
    <x v="1"/>
    <n v="-24.266337210708002"/>
    <x v="1"/>
    <n v="0"/>
  </r>
  <r>
    <x v="0"/>
    <d v="2024-01-02T11:00:00"/>
    <n v="366.85221102171198"/>
    <n v="350.33711318902903"/>
    <n v="350.33711318902903"/>
    <n v="47.583734953943903"/>
    <s v="OK"/>
    <s v="NON-ZERO"/>
    <n v="386.37033051562702"/>
    <n v="0.90673917099558299"/>
    <x v="1"/>
    <n v="-36.033217326597992"/>
    <x v="1"/>
    <n v="0"/>
  </r>
  <r>
    <x v="0"/>
    <d v="2024-01-02T12:00:00"/>
    <n v="419.34574856458897"/>
    <n v="400.46747591093401"/>
    <n v="400.46747591093401"/>
    <n v="82.647687169192807"/>
    <s v="OK"/>
    <s v="NON-ZERO"/>
    <n v="400"/>
    <n v="1.0011686897773351"/>
    <x v="1"/>
    <n v="0.46747591093401297"/>
    <x v="0"/>
    <n v="0"/>
  </r>
  <r>
    <x v="0"/>
    <d v="2024-01-02T13:00:00"/>
    <n v="404.70854929919199"/>
    <n v="386.48921986736298"/>
    <n v="386.48921986736298"/>
    <n v="23.058135616607199"/>
    <s v="OK"/>
    <s v="NON-ZERO"/>
    <n v="386.37033051562702"/>
    <n v="1.0003077082848917"/>
    <x v="1"/>
    <n v="0.11888935173595883"/>
    <x v="0"/>
    <n v="0"/>
  </r>
  <r>
    <x v="0"/>
    <d v="2024-01-02T14:00:00"/>
    <n v="370.472624273164"/>
    <n v="353.794541245772"/>
    <n v="353.794541245772"/>
    <n v="36.9871831398453"/>
    <s v="OK"/>
    <s v="NON-ZERO"/>
    <n v="346.41016151377499"/>
    <n v="1.0213168681303344"/>
    <x v="1"/>
    <n v="7.3843797319970008"/>
    <x v="0"/>
    <n v="0"/>
  </r>
  <r>
    <x v="0"/>
    <d v="2024-01-02T15:00:00"/>
    <n v="285.99676484440801"/>
    <n v="273.12164944553399"/>
    <n v="273.12164944553399"/>
    <n v="71.820330357684895"/>
    <s v="OK"/>
    <s v="NON-ZERO"/>
    <n v="282.84271247461902"/>
    <n v="0.96563085205896071"/>
    <x v="1"/>
    <n v="-9.7210630290850304"/>
    <x v="1"/>
    <n v="0"/>
  </r>
  <r>
    <x v="0"/>
    <d v="2024-01-02T16:00:00"/>
    <n v="198.68767502346401"/>
    <n v="189.74307473872801"/>
    <n v="189.74307473872801"/>
    <n v="28.510514093044101"/>
    <s v="OK"/>
    <s v="NON-ZERO"/>
    <n v="199.99999999999901"/>
    <n v="0.94871537369364478"/>
    <x v="1"/>
    <n v="-10.256925261270993"/>
    <x v="1"/>
    <n v="0"/>
  </r>
  <r>
    <x v="0"/>
    <d v="2024-01-02T17:00:00"/>
    <n v="97.184934709329895"/>
    <n v="92.809824906618303"/>
    <n v="92.809824906618303"/>
    <n v="39.345622078636602"/>
    <s v="OK"/>
    <s v="NON-ZERO"/>
    <n v="103.527618041008"/>
    <n v="0.89647406810669306"/>
    <x v="1"/>
    <n v="-10.717793134389694"/>
    <x v="1"/>
    <n v="0"/>
  </r>
  <r>
    <x v="0"/>
    <d v="2024-01-02T18:00:00"/>
    <n v="5.01159879241685E-14"/>
    <n v="4.7859846571649197E-14"/>
    <n v="4.7859846571649197E-14"/>
    <n v="38.138921817533799"/>
    <s v="OK"/>
    <s v="NON-ZERO"/>
    <n v="4.8985871965894097E-14"/>
    <n v="0.97701326221101292"/>
    <x v="1"/>
    <n v="-1.1260253942448999E-15"/>
    <x v="1"/>
    <n v="0"/>
  </r>
  <r>
    <x v="0"/>
    <d v="2024-01-02T19:00:00"/>
    <n v="0"/>
    <n v="0"/>
    <n v="0"/>
    <n v="87.531354287249698"/>
    <s v="OK"/>
    <s v="ZERO"/>
    <n v="0"/>
    <n v="0"/>
    <x v="0"/>
    <n v="0"/>
    <x v="0"/>
    <n v="0"/>
  </r>
  <r>
    <x v="0"/>
    <d v="2024-01-02T20:00:00"/>
    <n v="0"/>
    <n v="0"/>
    <n v="0"/>
    <n v="87.283269496443197"/>
    <s v="OK"/>
    <s v="ZERO"/>
    <n v="0"/>
    <n v="0"/>
    <x v="0"/>
    <n v="0"/>
    <x v="0"/>
    <n v="0"/>
  </r>
  <r>
    <x v="0"/>
    <d v="2024-01-02T21:00:00"/>
    <n v="0"/>
    <n v="0"/>
    <n v="0"/>
    <n v="68.1523734615715"/>
    <s v="OK"/>
    <s v="ZERO"/>
    <n v="0"/>
    <n v="0"/>
    <x v="0"/>
    <n v="0"/>
    <x v="0"/>
    <n v="0"/>
  </r>
  <r>
    <x v="0"/>
    <d v="2024-01-02T22:00:00"/>
    <n v="0"/>
    <n v="0"/>
    <n v="0"/>
    <n v="69.762632683104101"/>
    <s v="OK"/>
    <s v="ZERO"/>
    <n v="0"/>
    <n v="0"/>
    <x v="0"/>
    <n v="0"/>
    <x v="0"/>
    <n v="0"/>
  </r>
  <r>
    <x v="0"/>
    <d v="2024-01-02T23:00:00"/>
    <n v="0"/>
    <n v="0"/>
    <n v="0"/>
    <n v="61.155034202493901"/>
    <s v="OK"/>
    <s v="ZERO"/>
    <n v="0"/>
    <n v="0"/>
    <x v="0"/>
    <n v="0"/>
    <x v="0"/>
    <n v="0"/>
  </r>
  <r>
    <x v="0"/>
    <d v="2024-01-03T00:00:00"/>
    <n v="0"/>
    <n v="0"/>
    <n v="0"/>
    <n v="37.793681562259998"/>
    <s v="OK"/>
    <s v="ZERO"/>
    <n v="0"/>
    <n v="0"/>
    <x v="0"/>
    <n v="0"/>
    <x v="0"/>
    <n v="0"/>
  </r>
  <r>
    <x v="0"/>
    <d v="2024-01-03T01:00:00"/>
    <n v="0"/>
    <n v="0"/>
    <n v="0"/>
    <n v="68.722467428541094"/>
    <s v="OK"/>
    <s v="ZERO"/>
    <n v="0"/>
    <n v="0"/>
    <x v="0"/>
    <n v="0"/>
    <x v="0"/>
    <n v="0"/>
  </r>
  <r>
    <x v="0"/>
    <d v="2024-01-03T02:00:00"/>
    <n v="0"/>
    <n v="0"/>
    <n v="0"/>
    <n v="47.578685229457498"/>
    <s v="OK"/>
    <s v="ZERO"/>
    <n v="0"/>
    <n v="0"/>
    <x v="0"/>
    <n v="0"/>
    <x v="0"/>
    <n v="0"/>
  </r>
  <r>
    <x v="0"/>
    <d v="2024-01-03T03:00:00"/>
    <n v="0"/>
    <n v="0"/>
    <n v="0"/>
    <n v="92.975791606433404"/>
    <s v="OK"/>
    <s v="ZERO"/>
    <n v="0"/>
    <n v="0"/>
    <x v="0"/>
    <n v="0"/>
    <x v="0"/>
    <n v="0"/>
  </r>
  <r>
    <x v="0"/>
    <d v="2024-01-03T04:00:00"/>
    <n v="0"/>
    <n v="0"/>
    <n v="0"/>
    <n v="57.697781982889403"/>
    <s v="OK"/>
    <s v="ZERO"/>
    <n v="0"/>
    <n v="0"/>
    <x v="0"/>
    <n v="0"/>
    <x v="0"/>
    <n v="0"/>
  </r>
  <r>
    <x v="0"/>
    <d v="2024-01-03T05:00:00"/>
    <n v="0"/>
    <n v="0"/>
    <n v="0"/>
    <n v="34.643224084853301"/>
    <s v="OK"/>
    <s v="ZERO"/>
    <n v="0"/>
    <n v="0"/>
    <x v="0"/>
    <n v="0"/>
    <x v="0"/>
    <n v="0"/>
  </r>
  <r>
    <x v="0"/>
    <d v="2024-01-03T06:00:00"/>
    <n v="0"/>
    <n v="0"/>
    <n v="0"/>
    <n v="33.283300955528603"/>
    <s v="OK"/>
    <s v="ZERO"/>
    <n v="0"/>
    <n v="0"/>
    <x v="0"/>
    <n v="0"/>
    <x v="0"/>
    <n v="0"/>
  </r>
  <r>
    <x v="0"/>
    <d v="2024-01-03T07:00:00"/>
    <n v="105.43279539066199"/>
    <n v="100.686380135863"/>
    <n v="100.686380135863"/>
    <n v="88.614829266533604"/>
    <s v="OK"/>
    <s v="NON-ZERO"/>
    <n v="103.527618041008"/>
    <n v="0.9725557492878899"/>
    <x v="1"/>
    <n v="-2.8412379051449932"/>
    <x v="1"/>
    <n v="0"/>
  </r>
  <r>
    <x v="0"/>
    <d v="2024-01-03T08:00:00"/>
    <n v="188.26214655565599"/>
    <n v="179.78688683213301"/>
    <n v="179.78688683213301"/>
    <n v="83.975709160052006"/>
    <s v="OK"/>
    <s v="NON-ZERO"/>
    <n v="199.99999999999901"/>
    <n v="0.89893443416066954"/>
    <x v="1"/>
    <n v="-20.213113167865998"/>
    <x v="1"/>
    <n v="0"/>
  </r>
  <r>
    <x v="0"/>
    <d v="2024-01-03T09:00:00"/>
    <n v="283.35857720816898"/>
    <n v="270.60222878303699"/>
    <n v="270.60222878303699"/>
    <n v="83.835250363764203"/>
    <s v="OK"/>
    <s v="NON-ZERO"/>
    <n v="282.84271247461902"/>
    <n v="0.95672335488339499"/>
    <x v="1"/>
    <n v="-12.240483691582028"/>
    <x v="1"/>
    <n v="0"/>
  </r>
  <r>
    <x v="0"/>
    <d v="2024-01-03T10:00:00"/>
    <n v="306.63421631296302"/>
    <n v="292.83003596700598"/>
    <n v="292.83003596700598"/>
    <n v="72.202234750622907"/>
    <s v="OK"/>
    <s v="NON-ZERO"/>
    <n v="346.41016151377499"/>
    <n v="0.84532750046179461"/>
    <x v="0"/>
    <n v="-53.580125546769011"/>
    <x v="1"/>
    <n v="-2.6790062773384506"/>
  </r>
  <r>
    <x v="0"/>
    <d v="2024-01-03T11:00:00"/>
    <n v="353.17819343758998"/>
    <n v="337.278677933111"/>
    <n v="337.278677933111"/>
    <n v="66.125542002437697"/>
    <s v="OK"/>
    <s v="NON-ZERO"/>
    <n v="386.37033051562702"/>
    <n v="0.87294145356088493"/>
    <x v="1"/>
    <n v="-49.091652582516019"/>
    <x v="1"/>
    <n v="0"/>
  </r>
  <r>
    <x v="0"/>
    <d v="2024-01-03T12:00:00"/>
    <n v="409.60785824814599"/>
    <n v="391.16796978961997"/>
    <n v="391.16796978961997"/>
    <n v="72.686306299033106"/>
    <s v="OK"/>
    <s v="NON-ZERO"/>
    <n v="400"/>
    <n v="0.97791992447404996"/>
    <x v="1"/>
    <n v="-8.8320302103800259"/>
    <x v="1"/>
    <n v="0"/>
  </r>
  <r>
    <x v="0"/>
    <d v="2024-01-03T13:00:00"/>
    <n v="368.440915847535"/>
    <n v="351.85429707307401"/>
    <n v="351.85429707307401"/>
    <n v="80.702086660888497"/>
    <s v="OK"/>
    <s v="NON-ZERO"/>
    <n v="386.37033051562702"/>
    <n v="0.91066593183671751"/>
    <x v="1"/>
    <n v="-34.51603344255301"/>
    <x v="1"/>
    <n v="0"/>
  </r>
  <r>
    <x v="0"/>
    <d v="2024-01-03T14:00:00"/>
    <n v="336.47215225318899"/>
    <n v="321.32471591374798"/>
    <n v="321.32471591374798"/>
    <n v="57.613722101539899"/>
    <s v="OK"/>
    <s v="NON-ZERO"/>
    <n v="346.41016151377499"/>
    <n v="0.92758455615041335"/>
    <x v="1"/>
    <n v="-25.085445600027015"/>
    <x v="1"/>
    <n v="0"/>
  </r>
  <r>
    <x v="0"/>
    <d v="2024-01-03T15:00:00"/>
    <n v="273.79302536012"/>
    <n v="261.46730272883099"/>
    <n v="261.46730272883099"/>
    <n v="72.647515794327703"/>
    <s v="OK"/>
    <s v="NON-ZERO"/>
    <n v="282.84271247461902"/>
    <n v="0.92442651409056131"/>
    <x v="1"/>
    <n v="-21.375409745788033"/>
    <x v="1"/>
    <n v="0"/>
  </r>
  <r>
    <x v="0"/>
    <d v="2024-01-03T16:00:00"/>
    <n v="193.25214621446901"/>
    <n v="184.55224471402801"/>
    <n v="184.55224471402801"/>
    <n v="27.048645488065102"/>
    <s v="OK"/>
    <s v="NON-ZERO"/>
    <n v="199.99999999999901"/>
    <n v="0.92276122357014467"/>
    <x v="1"/>
    <n v="-15.447755285970999"/>
    <x v="1"/>
    <n v="0"/>
  </r>
  <r>
    <x v="0"/>
    <d v="2024-01-03T17:00:00"/>
    <n v="99.628008523262096"/>
    <n v="95.142915457979498"/>
    <n v="95.142915457979498"/>
    <n v="54.919851359934498"/>
    <s v="OK"/>
    <s v="NON-ZERO"/>
    <n v="103.527618041008"/>
    <n v="0.91900999229300084"/>
    <x v="1"/>
    <n v="-8.3847025830284991"/>
    <x v="1"/>
    <n v="0"/>
  </r>
  <r>
    <x v="0"/>
    <d v="2024-01-03T18:00:00"/>
    <n v="4.0403804111289701E-14"/>
    <n v="3.8584889688361403E-14"/>
    <n v="3.8584889688361403E-14"/>
    <n v="22.801114156191002"/>
    <s v="OK"/>
    <s v="NON-ZERO"/>
    <n v="4.8985871965894097E-14"/>
    <n v="0.78767383614658792"/>
    <x v="0"/>
    <n v="-1.0400982277532694E-14"/>
    <x v="1"/>
    <n v="-5.2004911387663476E-16"/>
  </r>
  <r>
    <x v="0"/>
    <d v="2024-01-03T19:00:00"/>
    <n v="0"/>
    <n v="0"/>
    <n v="0"/>
    <n v="29.529538448891302"/>
    <s v="OK"/>
    <s v="ZERO"/>
    <n v="0"/>
    <n v="0"/>
    <x v="0"/>
    <n v="0"/>
    <x v="0"/>
    <n v="0"/>
  </r>
  <r>
    <x v="0"/>
    <d v="2024-01-03T20:00:00"/>
    <n v="0"/>
    <n v="0"/>
    <n v="0"/>
    <n v="26.401059874532599"/>
    <s v="OK"/>
    <s v="ZERO"/>
    <n v="0"/>
    <n v="0"/>
    <x v="0"/>
    <n v="0"/>
    <x v="0"/>
    <n v="0"/>
  </r>
  <r>
    <x v="0"/>
    <d v="2024-01-03T21:00:00"/>
    <n v="0"/>
    <n v="0"/>
    <n v="0"/>
    <n v="60.547634120757898"/>
    <s v="OK"/>
    <s v="ZERO"/>
    <n v="0"/>
    <n v="0"/>
    <x v="0"/>
    <n v="0"/>
    <x v="0"/>
    <n v="0"/>
  </r>
  <r>
    <x v="0"/>
    <d v="2024-01-03T22:00:00"/>
    <n v="0"/>
    <n v="0"/>
    <n v="0"/>
    <n v="44.221735470593401"/>
    <s v="OK"/>
    <s v="ZERO"/>
    <n v="0"/>
    <n v="0"/>
    <x v="0"/>
    <n v="0"/>
    <x v="0"/>
    <n v="0"/>
  </r>
  <r>
    <x v="0"/>
    <d v="2024-01-03T23:00:00"/>
    <n v="0"/>
    <n v="0"/>
    <n v="0"/>
    <n v="52.922856552922703"/>
    <s v="OK"/>
    <s v="ZERO"/>
    <n v="0"/>
    <n v="0"/>
    <x v="0"/>
    <n v="0"/>
    <x v="0"/>
    <n v="0"/>
  </r>
  <r>
    <x v="0"/>
    <d v="2024-01-04T00:00:00"/>
    <n v="0"/>
    <n v="0"/>
    <n v="0"/>
    <n v="38.7682173623446"/>
    <s v="OK"/>
    <s v="ZERO"/>
    <n v="0"/>
    <n v="0"/>
    <x v="0"/>
    <n v="0"/>
    <x v="0"/>
    <n v="0"/>
  </r>
  <r>
    <x v="0"/>
    <d v="2024-01-04T01:00:00"/>
    <n v="0"/>
    <n v="0"/>
    <n v="0"/>
    <n v="69.514803253829797"/>
    <s v="OK"/>
    <s v="ZERO"/>
    <n v="0"/>
    <n v="0"/>
    <x v="0"/>
    <n v="0"/>
    <x v="0"/>
    <n v="0"/>
  </r>
  <r>
    <x v="0"/>
    <d v="2024-01-04T02:00:00"/>
    <n v="0"/>
    <n v="0"/>
    <n v="0"/>
    <n v="38.5798242125868"/>
    <s v="OK"/>
    <s v="ZERO"/>
    <n v="0"/>
    <n v="0"/>
    <x v="0"/>
    <n v="0"/>
    <x v="0"/>
    <n v="0"/>
  </r>
  <r>
    <x v="0"/>
    <d v="2024-01-04T03:00:00"/>
    <n v="0"/>
    <n v="0"/>
    <n v="0"/>
    <n v="21.079511647231602"/>
    <s v="OK"/>
    <s v="ZERO"/>
    <n v="0"/>
    <n v="0"/>
    <x v="0"/>
    <n v="0"/>
    <x v="0"/>
    <n v="0"/>
  </r>
  <r>
    <x v="0"/>
    <d v="2024-01-04T04:00:00"/>
    <n v="0"/>
    <n v="0"/>
    <n v="0"/>
    <n v="55.510382808542403"/>
    <s v="OK"/>
    <s v="ZERO"/>
    <n v="0"/>
    <n v="0"/>
    <x v="0"/>
    <n v="0"/>
    <x v="0"/>
    <n v="0"/>
  </r>
  <r>
    <x v="0"/>
    <d v="2024-01-04T05:00:00"/>
    <n v="0"/>
    <n v="0"/>
    <n v="0"/>
    <n v="49.887855079803003"/>
    <s v="OK"/>
    <s v="ZERO"/>
    <n v="0"/>
    <n v="0"/>
    <x v="0"/>
    <n v="0"/>
    <x v="0"/>
    <n v="0"/>
  </r>
  <r>
    <x v="0"/>
    <d v="2024-01-04T06:00:00"/>
    <n v="0"/>
    <n v="0"/>
    <n v="0"/>
    <n v="66.9394936785677"/>
    <s v="OK"/>
    <s v="ZERO"/>
    <n v="0"/>
    <n v="0"/>
    <x v="0"/>
    <n v="0"/>
    <x v="0"/>
    <n v="0"/>
  </r>
  <r>
    <x v="0"/>
    <d v="2024-01-04T07:00:00"/>
    <n v="107.94084163855401"/>
    <n v="103.081518166473"/>
    <n v="103.081518166473"/>
    <n v="69.402022371420799"/>
    <s v="OK"/>
    <s v="NON-ZERO"/>
    <n v="103.527618041008"/>
    <n v="0.99569100610082339"/>
    <x v="1"/>
    <n v="-0.446099874534994"/>
    <x v="1"/>
    <n v="0"/>
  </r>
  <r>
    <x v="0"/>
    <d v="2024-01-04T08:00:00"/>
    <n v="187.16559463835799"/>
    <n v="178.739699922456"/>
    <n v="178.739699922456"/>
    <n v="63.160563340690899"/>
    <s v="OK"/>
    <s v="NON-ZERO"/>
    <n v="199.99999999999901"/>
    <n v="0.89369849961228442"/>
    <x v="1"/>
    <n v="-21.260300077543008"/>
    <x v="1"/>
    <n v="0"/>
  </r>
  <r>
    <x v="0"/>
    <d v="2024-01-04T09:00:00"/>
    <n v="269.90626815851402"/>
    <n v="257.75552109915299"/>
    <n v="257.75552109915299"/>
    <n v="54.368966786863702"/>
    <s v="OK"/>
    <s v="NON-ZERO"/>
    <n v="282.84271247461902"/>
    <n v="0.91130338428741653"/>
    <x v="1"/>
    <n v="-25.087191375466034"/>
    <x v="1"/>
    <n v="0"/>
  </r>
  <r>
    <x v="0"/>
    <d v="2024-01-04T10:00:00"/>
    <n v="345.74484473507903"/>
    <n v="330.17996666049203"/>
    <n v="330.17996666049203"/>
    <n v="87.901298146704704"/>
    <s v="OK"/>
    <s v="NON-ZERO"/>
    <n v="346.41016151377499"/>
    <n v="0.95314746316228494"/>
    <x v="1"/>
    <n v="-16.230194853282967"/>
    <x v="1"/>
    <n v="0"/>
  </r>
  <r>
    <x v="0"/>
    <d v="2024-01-04T11:00:00"/>
    <n v="368.97132848802102"/>
    <n v="352.36083138766702"/>
    <n v="352.36083138766702"/>
    <n v="27.558350103306999"/>
    <s v="OK"/>
    <s v="NON-ZERO"/>
    <n v="386.37033051562702"/>
    <n v="0.9119769391128637"/>
    <x v="1"/>
    <n v="-34.009499127959998"/>
    <x v="1"/>
    <n v="0"/>
  </r>
  <r>
    <x v="0"/>
    <d v="2024-01-04T12:00:00"/>
    <n v="366.37988255053301"/>
    <n v="349.88604818765202"/>
    <n v="349.88604818765202"/>
    <n v="21.7453951801869"/>
    <s v="OK"/>
    <s v="NON-ZERO"/>
    <n v="400"/>
    <n v="0.87471512046913003"/>
    <x v="1"/>
    <n v="-50.113951812347977"/>
    <x v="1"/>
    <n v="0"/>
  </r>
  <r>
    <x v="0"/>
    <d v="2024-01-04T13:00:00"/>
    <n v="372.66650060776601"/>
    <n v="355.88965278842198"/>
    <n v="355.88965278842198"/>
    <n v="28.862362071624201"/>
    <s v="OK"/>
    <s v="NON-ZERO"/>
    <n v="386.37033051562702"/>
    <n v="0.92111020096567109"/>
    <x v="1"/>
    <n v="-30.480677727205034"/>
    <x v="1"/>
    <n v="0"/>
  </r>
  <r>
    <x v="0"/>
    <d v="2024-01-04T14:00:00"/>
    <n v="352.17469561284997"/>
    <n v="336.32035597007399"/>
    <n v="336.32035597007399"/>
    <n v="80.2610697788636"/>
    <s v="OK"/>
    <s v="NON-ZERO"/>
    <n v="346.41016151377499"/>
    <n v="0.97087324026636623"/>
    <x v="1"/>
    <n v="-10.089805543701004"/>
    <x v="1"/>
    <n v="0"/>
  </r>
  <r>
    <x v="0"/>
    <d v="2024-01-04T15:00:00"/>
    <n v="297.459604490743"/>
    <n v="284.06845044602898"/>
    <n v="284.06845044602898"/>
    <n v="76.296106373064305"/>
    <s v="OK"/>
    <s v="NON-ZERO"/>
    <n v="282.84271247461902"/>
    <n v="1.004333638157709"/>
    <x v="1"/>
    <n v="1.2257379714099557"/>
    <x v="0"/>
    <n v="0"/>
  </r>
  <r>
    <x v="0"/>
    <d v="2024-01-04T16:00:00"/>
    <n v="164.97259743295501"/>
    <n v="157.54579583694101"/>
    <n v="157.54579583694101"/>
    <n v="89.806799420267296"/>
    <s v="OK"/>
    <s v="NON-ZERO"/>
    <n v="199.99999999999901"/>
    <n v="0.78772897918470897"/>
    <x v="0"/>
    <n v="-42.454204163057994"/>
    <x v="1"/>
    <n v="-2.1227102081528995"/>
  </r>
  <r>
    <x v="0"/>
    <d v="2024-01-04T17:00:00"/>
    <n v="89.505847050572299"/>
    <n v="85.476437451212206"/>
    <n v="85.476437451212206"/>
    <n v="76.315330084362301"/>
    <s v="OK"/>
    <s v="NON-ZERO"/>
    <n v="103.527618041008"/>
    <n v="0.82563898473308261"/>
    <x v="0"/>
    <n v="-18.051180589795791"/>
    <x v="1"/>
    <n v="-0.9025590294897895"/>
  </r>
  <r>
    <x v="0"/>
    <d v="2024-01-04T18:00:00"/>
    <n v="4.5137832120535002E-14"/>
    <n v="4.3105799353580399E-14"/>
    <n v="4.3105799353580399E-14"/>
    <n v="81.984309958080601"/>
    <s v="OK"/>
    <s v="NON-ZERO"/>
    <n v="4.8985871965894097E-14"/>
    <n v="0.87996390844267025"/>
    <x v="1"/>
    <n v="-5.8800726123136979E-15"/>
    <x v="1"/>
    <n v="0"/>
  </r>
  <r>
    <x v="0"/>
    <d v="2024-01-04T19:00:00"/>
    <n v="0"/>
    <n v="0"/>
    <n v="0"/>
    <n v="49.190125905062203"/>
    <s v="OK"/>
    <s v="ZERO"/>
    <n v="0"/>
    <n v="0"/>
    <x v="0"/>
    <n v="0"/>
    <x v="0"/>
    <n v="0"/>
  </r>
  <r>
    <x v="0"/>
    <d v="2024-01-04T20:00:00"/>
    <n v="0"/>
    <n v="0"/>
    <n v="0"/>
    <n v="63.007841609246398"/>
    <s v="OK"/>
    <s v="ZERO"/>
    <n v="0"/>
    <n v="0"/>
    <x v="0"/>
    <n v="0"/>
    <x v="0"/>
    <n v="0"/>
  </r>
  <r>
    <x v="0"/>
    <d v="2024-01-04T21:00:00"/>
    <n v="0"/>
    <n v="0"/>
    <n v="0"/>
    <n v="41.990807877354797"/>
    <s v="OK"/>
    <s v="ZERO"/>
    <n v="0"/>
    <n v="0"/>
    <x v="0"/>
    <n v="0"/>
    <x v="0"/>
    <n v="0"/>
  </r>
  <r>
    <x v="0"/>
    <d v="2024-01-04T22:00:00"/>
    <n v="0"/>
    <n v="0"/>
    <n v="0"/>
    <n v="79.221360709591494"/>
    <s v="OK"/>
    <s v="ZERO"/>
    <n v="0"/>
    <n v="0"/>
    <x v="0"/>
    <n v="0"/>
    <x v="0"/>
    <n v="0"/>
  </r>
  <r>
    <x v="0"/>
    <d v="2024-01-04T23:00:00"/>
    <n v="0"/>
    <n v="0"/>
    <n v="0"/>
    <n v="24.3169070012483"/>
    <s v="OK"/>
    <s v="ZERO"/>
    <n v="0"/>
    <n v="0"/>
    <x v="0"/>
    <n v="0"/>
    <x v="0"/>
    <n v="0"/>
  </r>
  <r>
    <x v="0"/>
    <d v="2024-01-05T00:00:00"/>
    <n v="0"/>
    <n v="0"/>
    <n v="0"/>
    <n v="28.780026232070401"/>
    <s v="OK"/>
    <s v="ZERO"/>
    <n v="0"/>
    <n v="0"/>
    <x v="0"/>
    <n v="0"/>
    <x v="0"/>
    <n v="0"/>
  </r>
  <r>
    <x v="0"/>
    <d v="2024-01-05T01:00:00"/>
    <n v="0"/>
    <n v="0"/>
    <n v="0"/>
    <n v="66.366354748719502"/>
    <s v="OK"/>
    <s v="ZERO"/>
    <n v="0"/>
    <n v="0"/>
    <x v="0"/>
    <n v="0"/>
    <x v="0"/>
    <n v="0"/>
  </r>
  <r>
    <x v="0"/>
    <d v="2024-01-05T02:00:00"/>
    <n v="0"/>
    <n v="0"/>
    <n v="0"/>
    <n v="26.101158548142401"/>
    <s v="OK"/>
    <s v="ZERO"/>
    <n v="0"/>
    <n v="0"/>
    <x v="0"/>
    <n v="0"/>
    <x v="0"/>
    <n v="0"/>
  </r>
  <r>
    <x v="0"/>
    <d v="2024-01-05T03:00:00"/>
    <n v="0"/>
    <n v="0"/>
    <n v="0"/>
    <n v="48.070309681708999"/>
    <s v="OK"/>
    <s v="ZERO"/>
    <n v="0"/>
    <n v="0"/>
    <x v="0"/>
    <n v="0"/>
    <x v="0"/>
    <n v="0"/>
  </r>
  <r>
    <x v="0"/>
    <d v="2024-01-05T04:00:00"/>
    <n v="0"/>
    <n v="0"/>
    <n v="0"/>
    <n v="76.503363894420602"/>
    <s v="OK"/>
    <s v="ZERO"/>
    <n v="0"/>
    <n v="0"/>
    <x v="0"/>
    <n v="0"/>
    <x v="0"/>
    <n v="0"/>
  </r>
  <r>
    <x v="0"/>
    <d v="2024-01-05T05:00:00"/>
    <n v="0"/>
    <n v="0"/>
    <n v="0"/>
    <n v="78.286018694557697"/>
    <s v="OK"/>
    <s v="ZERO"/>
    <n v="0"/>
    <n v="0"/>
    <x v="0"/>
    <n v="0"/>
    <x v="0"/>
    <n v="0"/>
  </r>
  <r>
    <x v="0"/>
    <d v="2024-01-05T06:00:00"/>
    <n v="0"/>
    <n v="0"/>
    <n v="0"/>
    <n v="56.946882821814398"/>
    <s v="OK"/>
    <s v="ZERO"/>
    <n v="0"/>
    <n v="0"/>
    <x v="0"/>
    <n v="0"/>
    <x v="0"/>
    <n v="0"/>
  </r>
  <r>
    <x v="0"/>
    <d v="2024-01-05T07:00:00"/>
    <n v="109.72915629660299"/>
    <n v="104.78932576842"/>
    <n v="104.78932576842"/>
    <n v="24.222745676137801"/>
    <s v="OK"/>
    <s v="NON-ZERO"/>
    <n v="103.527618041008"/>
    <n v="1.0121871607913575"/>
    <x v="1"/>
    <n v="1.2617077274120021"/>
    <x v="0"/>
    <n v="0"/>
  </r>
  <r>
    <x v="0"/>
    <d v="2024-01-05T08:00:00"/>
    <n v="207.795935163732"/>
    <n v="198.44129562399701"/>
    <n v="198.44129562399701"/>
    <n v="48.115293464277798"/>
    <s v="OK"/>
    <s v="NON-ZERO"/>
    <n v="199.99999999999901"/>
    <n v="0.99220647811998997"/>
    <x v="1"/>
    <n v="-1.5587043760019981"/>
    <x v="1"/>
    <n v="0"/>
  </r>
  <r>
    <x v="0"/>
    <d v="2024-01-05T09:00:00"/>
    <n v="283.96288759041602"/>
    <n v="271.17933408164498"/>
    <n v="271.17933408164498"/>
    <n v="36.769687888958899"/>
    <s v="OK"/>
    <s v="NON-ZERO"/>
    <n v="282.84271247461902"/>
    <n v="0.95876373023391703"/>
    <x v="1"/>
    <n v="-11.663378392974039"/>
    <x v="1"/>
    <n v="0"/>
  </r>
  <r>
    <x v="0"/>
    <d v="2024-01-05T10:00:00"/>
    <n v="330.77864079169598"/>
    <n v="315.88751720156603"/>
    <n v="315.88751720156603"/>
    <n v="61.539071330098999"/>
    <s v="OK"/>
    <s v="NON-ZERO"/>
    <n v="346.41016151377499"/>
    <n v="0.91188871544983463"/>
    <x v="1"/>
    <n v="-30.522644312208968"/>
    <x v="1"/>
    <n v="0"/>
  </r>
  <r>
    <x v="0"/>
    <d v="2024-01-05T11:00:00"/>
    <n v="393.65159586363399"/>
    <n v="375.93003273178499"/>
    <n v="375.93003273178499"/>
    <n v="67.204897860144598"/>
    <s v="OK"/>
    <s v="NON-ZERO"/>
    <n v="386.37033051562702"/>
    <n v="0.97297852097000037"/>
    <x v="1"/>
    <n v="-10.440297783842027"/>
    <x v="1"/>
    <n v="0"/>
  </r>
  <r>
    <x v="0"/>
    <d v="2024-01-05T12:00:00"/>
    <n v="367.90561835496499"/>
    <n v="351.34309781459802"/>
    <n v="351.34309781459802"/>
    <n v="87.586850786824101"/>
    <s v="OK"/>
    <s v="NON-ZERO"/>
    <n v="400"/>
    <n v="0.87835774453649507"/>
    <x v="1"/>
    <n v="-48.656902185401975"/>
    <x v="1"/>
    <n v="0"/>
  </r>
  <r>
    <x v="0"/>
    <d v="2024-01-05T13:00:00"/>
    <n v="417.35633868296202"/>
    <n v="398.56762606966498"/>
    <n v="398.56762606966498"/>
    <n v="91.280861305741894"/>
    <s v="OK"/>
    <s v="NON-ZERO"/>
    <n v="386.37033051562702"/>
    <n v="1.0315689238812933"/>
    <x v="1"/>
    <n v="12.197295554037964"/>
    <x v="0"/>
    <n v="0"/>
  </r>
  <r>
    <x v="0"/>
    <d v="2024-01-05T14:00:00"/>
    <n v="326.399696956394"/>
    <n v="311.70570639060202"/>
    <n v="311.70570639060202"/>
    <n v="34.109086979282097"/>
    <s v="OK"/>
    <s v="NON-ZERO"/>
    <n v="346.41016151377499"/>
    <n v="0.89981686746278389"/>
    <x v="1"/>
    <n v="-34.704455123172977"/>
    <x v="1"/>
    <n v="0"/>
  </r>
  <r>
    <x v="0"/>
    <d v="2024-01-05T15:00:00"/>
    <n v="288.03051135922198"/>
    <n v="275.063839955915"/>
    <n v="275.063839955915"/>
    <n v="63.774208388815403"/>
    <s v="OK"/>
    <s v="NON-ZERO"/>
    <n v="282.84271247461902"/>
    <n v="0.97249753246019355"/>
    <x v="1"/>
    <n v="-7.77887251870402"/>
    <x v="1"/>
    <n v="0"/>
  </r>
  <r>
    <x v="0"/>
    <d v="2024-01-05T16:00:00"/>
    <n v="163.2221087611"/>
    <n v="155.87411135599001"/>
    <n v="155.87411135599001"/>
    <n v="32.196270450866798"/>
    <s v="OK"/>
    <s v="NON-ZERO"/>
    <n v="199.99999999999901"/>
    <n v="0.77937055677995393"/>
    <x v="0"/>
    <n v="-44.125888644008995"/>
    <x v="1"/>
    <n v="-2.2062944322004494"/>
  </r>
  <r>
    <x v="0"/>
    <d v="2024-01-05T17:00:00"/>
    <n v="100.978079845281"/>
    <n v="96.432208735613898"/>
    <n v="96.432208735613898"/>
    <n v="91.234993496894305"/>
    <s v="OK"/>
    <s v="NON-ZERO"/>
    <n v="103.527618041008"/>
    <n v="0.9314636090382804"/>
    <x v="1"/>
    <n v="-7.0954093053940994"/>
    <x v="1"/>
    <n v="0"/>
  </r>
  <r>
    <x v="0"/>
    <d v="2024-01-05T18:00:00"/>
    <n v="4.9080777740779199E-14"/>
    <n v="4.6871239889458598E-14"/>
    <n v="4.6871239889458598E-14"/>
    <n v="84.954791712530593"/>
    <s v="OK"/>
    <s v="NON-ZERO"/>
    <n v="4.8985871965894097E-14"/>
    <n v="0.95683179676973418"/>
    <x v="1"/>
    <n v="-2.1146320764354995E-15"/>
    <x v="1"/>
    <n v="0"/>
  </r>
  <r>
    <x v="0"/>
    <d v="2024-01-05T19:00:00"/>
    <n v="0"/>
    <n v="0"/>
    <n v="0"/>
    <n v="48.2347525158537"/>
    <s v="OK"/>
    <s v="ZERO"/>
    <n v="0"/>
    <n v="0"/>
    <x v="0"/>
    <n v="0"/>
    <x v="0"/>
    <n v="0"/>
  </r>
  <r>
    <x v="0"/>
    <d v="2024-01-05T20:00:00"/>
    <n v="0"/>
    <n v="0"/>
    <n v="0"/>
    <n v="83.158919235178104"/>
    <s v="OK"/>
    <s v="ZERO"/>
    <n v="0"/>
    <n v="0"/>
    <x v="0"/>
    <n v="0"/>
    <x v="0"/>
    <n v="0"/>
  </r>
  <r>
    <x v="0"/>
    <d v="2024-01-05T21:00:00"/>
    <n v="0"/>
    <n v="0"/>
    <n v="0"/>
    <n v="51.111462675324802"/>
    <s v="OK"/>
    <s v="ZERO"/>
    <n v="0"/>
    <n v="0"/>
    <x v="0"/>
    <n v="0"/>
    <x v="0"/>
    <n v="0"/>
  </r>
  <r>
    <x v="0"/>
    <d v="2024-01-05T22:00:00"/>
    <n v="0"/>
    <n v="0"/>
    <n v="0"/>
    <n v="94.978825496459706"/>
    <s v="OK"/>
    <s v="ZERO"/>
    <n v="0"/>
    <n v="0"/>
    <x v="0"/>
    <n v="0"/>
    <x v="0"/>
    <n v="0"/>
  </r>
  <r>
    <x v="0"/>
    <d v="2024-01-05T23:00:00"/>
    <n v="0"/>
    <n v="0"/>
    <n v="0"/>
    <n v="77.674056138538205"/>
    <s v="OK"/>
    <s v="ZERO"/>
    <n v="0"/>
    <n v="0"/>
    <x v="0"/>
    <n v="0"/>
    <x v="0"/>
    <n v="0"/>
  </r>
  <r>
    <x v="0"/>
    <d v="2024-01-06T00:00:00"/>
    <n v="0"/>
    <n v="0"/>
    <n v="0"/>
    <n v="65.463097583815994"/>
    <s v="OK"/>
    <s v="ZERO"/>
    <n v="0"/>
    <n v="0"/>
    <x v="0"/>
    <n v="0"/>
    <x v="0"/>
    <n v="0"/>
  </r>
  <r>
    <x v="0"/>
    <d v="2024-01-06T01:00:00"/>
    <n v="0"/>
    <n v="0"/>
    <n v="0"/>
    <n v="66.359618034342105"/>
    <s v="OK"/>
    <s v="ZERO"/>
    <n v="0"/>
    <n v="0"/>
    <x v="0"/>
    <n v="0"/>
    <x v="0"/>
    <n v="0"/>
  </r>
  <r>
    <x v="0"/>
    <d v="2024-01-06T02:00:00"/>
    <n v="0"/>
    <n v="0"/>
    <n v="0"/>
    <n v="77.923879380172906"/>
    <s v="OK"/>
    <s v="ZERO"/>
    <n v="0"/>
    <n v="0"/>
    <x v="0"/>
    <n v="0"/>
    <x v="0"/>
    <n v="0"/>
  </r>
  <r>
    <x v="0"/>
    <d v="2024-01-06T03:00:00"/>
    <n v="0"/>
    <n v="0"/>
    <n v="0"/>
    <n v="61.393012908086398"/>
    <s v="OK"/>
    <s v="ZERO"/>
    <n v="0"/>
    <n v="0"/>
    <x v="0"/>
    <n v="0"/>
    <x v="0"/>
    <n v="0"/>
  </r>
  <r>
    <x v="0"/>
    <d v="2024-01-06T04:00:00"/>
    <n v="0"/>
    <n v="0"/>
    <n v="0"/>
    <n v="22.158700723500399"/>
    <s v="OK"/>
    <s v="ZERO"/>
    <n v="0"/>
    <n v="0"/>
    <x v="0"/>
    <n v="0"/>
    <x v="0"/>
    <n v="0"/>
  </r>
  <r>
    <x v="0"/>
    <d v="2024-01-06T05:00:00"/>
    <n v="0"/>
    <n v="0"/>
    <n v="0"/>
    <n v="72.805982607441706"/>
    <s v="OK"/>
    <s v="ZERO"/>
    <n v="0"/>
    <n v="0"/>
    <x v="0"/>
    <n v="0"/>
    <x v="0"/>
    <n v="0"/>
  </r>
  <r>
    <x v="0"/>
    <d v="2024-01-06T06:00:00"/>
    <n v="0"/>
    <n v="0"/>
    <n v="0"/>
    <n v="64.243826514097407"/>
    <s v="OK"/>
    <s v="ZERO"/>
    <n v="0"/>
    <n v="0"/>
    <x v="0"/>
    <n v="0"/>
    <x v="0"/>
    <n v="0"/>
  </r>
  <r>
    <x v="0"/>
    <d v="2024-01-06T07:00:00"/>
    <n v="95.870549279542701"/>
    <n v="91.554610999614994"/>
    <n v="91.554610999614994"/>
    <n v="87.8119020870311"/>
    <s v="OK"/>
    <s v="NON-ZERO"/>
    <n v="103.527618041008"/>
    <n v="0.88434963280377599"/>
    <x v="1"/>
    <n v="-11.973007041393004"/>
    <x v="1"/>
    <n v="0"/>
  </r>
  <r>
    <x v="0"/>
    <d v="2024-01-06T08:00:00"/>
    <n v="192.80188186842699"/>
    <n v="184.122250546282"/>
    <n v="184.122250546282"/>
    <n v="66.656502517090502"/>
    <s v="OK"/>
    <s v="NON-ZERO"/>
    <n v="199.99999999999901"/>
    <n v="0.92061125273141464"/>
    <x v="1"/>
    <n v="-15.877749453717001"/>
    <x v="1"/>
    <n v="0"/>
  </r>
  <r>
    <x v="0"/>
    <d v="2024-01-06T09:00:00"/>
    <n v="225.71962630360699"/>
    <n v="215.558090951868"/>
    <n v="215.558090951868"/>
    <n v="31.0305110696778"/>
    <s v="OK"/>
    <s v="NON-ZERO"/>
    <n v="282.84271247461902"/>
    <n v="0.76211293925846213"/>
    <x v="0"/>
    <n v="-67.284621522751024"/>
    <x v="1"/>
    <n v="-3.3642310761375511"/>
  </r>
  <r>
    <x v="0"/>
    <d v="2024-01-06T10:00:00"/>
    <n v="328.73275463352098"/>
    <n v="313.933733555088"/>
    <n v="313.933733555088"/>
    <n v="93.502443146410698"/>
    <s v="OK"/>
    <s v="NON-ZERO"/>
    <n v="346.41016151377499"/>
    <n v="0.90624862787867277"/>
    <x v="1"/>
    <n v="-32.476427958686997"/>
    <x v="1"/>
    <n v="0"/>
  </r>
  <r>
    <x v="0"/>
    <d v="2024-01-06T11:00:00"/>
    <n v="388.59133402658"/>
    <n v="371.09757576215998"/>
    <n v="371.09757576215998"/>
    <n v="67.505064073754397"/>
    <s v="OK"/>
    <s v="NON-ZERO"/>
    <n v="386.37033051562702"/>
    <n v="0.96047120198622671"/>
    <x v="1"/>
    <n v="-15.272754753467041"/>
    <x v="1"/>
    <n v="0"/>
  </r>
  <r>
    <x v="0"/>
    <d v="2024-01-06T12:00:00"/>
    <n v="376.558483416559"/>
    <n v="359.60642477683803"/>
    <n v="359.60642477683803"/>
    <n v="31.392702013421999"/>
    <s v="OK"/>
    <s v="NON-ZERO"/>
    <n v="400"/>
    <n v="0.89901606194209505"/>
    <x v="1"/>
    <n v="-40.393575223161974"/>
    <x v="1"/>
    <n v="0"/>
  </r>
  <r>
    <x v="0"/>
    <d v="2024-01-06T13:00:00"/>
    <n v="365.01515713147103"/>
    <n v="348.58276051690802"/>
    <n v="348.58276051690802"/>
    <n v="33.641006329935799"/>
    <s v="OK"/>
    <s v="NON-ZERO"/>
    <n v="386.37033051562702"/>
    <n v="0.90219857216186883"/>
    <x v="1"/>
    <n v="-37.787569998718993"/>
    <x v="1"/>
    <n v="0"/>
  </r>
  <r>
    <x v="0"/>
    <d v="2024-01-06T14:00:00"/>
    <n v="347.21236507594801"/>
    <n v="331.58142159062299"/>
    <n v="331.58142159062299"/>
    <n v="32.923990340122202"/>
    <s v="OK"/>
    <s v="NON-ZERO"/>
    <n v="346.41016151377499"/>
    <n v="0.95719311506812621"/>
    <x v="1"/>
    <n v="-14.828739923152"/>
    <x v="1"/>
    <n v="0"/>
  </r>
  <r>
    <x v="0"/>
    <d v="2024-01-06T15:00:00"/>
    <n v="262.94516278795697"/>
    <n v="251.10779352151701"/>
    <n v="251.10779352151701"/>
    <n v="32.670129730412299"/>
    <s v="OK"/>
    <s v="NON-ZERO"/>
    <n v="282.84271247461902"/>
    <n v="0.88780011803928038"/>
    <x v="1"/>
    <n v="-31.73491895310201"/>
    <x v="1"/>
    <n v="0"/>
  </r>
  <r>
    <x v="0"/>
    <d v="2024-01-06T16:00:00"/>
    <n v="178.58301297396099"/>
    <n v="170.54349231165801"/>
    <n v="170.54349231165801"/>
    <n v="54.558407602454402"/>
    <s v="OK"/>
    <s v="NON-ZERO"/>
    <n v="199.99999999999901"/>
    <n v="0.85271746155829431"/>
    <x v="1"/>
    <n v="-29.456507688340992"/>
    <x v="1"/>
    <n v="0"/>
  </r>
  <r>
    <x v="0"/>
    <d v="2024-01-06T17:00:00"/>
    <n v="94.300016697248907"/>
    <n v="90.054781273857799"/>
    <n v="90.054781273857799"/>
    <n v="57.756295314114197"/>
    <s v="OK"/>
    <s v="NON-ZERO"/>
    <n v="103.527618041008"/>
    <n v="0.86986239013232669"/>
    <x v="1"/>
    <n v="-13.472836767150199"/>
    <x v="1"/>
    <n v="0"/>
  </r>
  <r>
    <x v="0"/>
    <d v="2024-01-06T18:00:00"/>
    <n v="4.6186992364026701E-14"/>
    <n v="4.4107728086554102E-14"/>
    <n v="4.4107728086554102E-14"/>
    <n v="26.131927396165299"/>
    <s v="OK"/>
    <s v="NON-ZERO"/>
    <n v="4.8985871965894097E-14"/>
    <n v="0.90041733088396692"/>
    <x v="1"/>
    <n v="-4.8781438793399949E-15"/>
    <x v="1"/>
    <n v="0"/>
  </r>
  <r>
    <x v="0"/>
    <d v="2024-01-06T19:00:00"/>
    <n v="0"/>
    <n v="0"/>
    <n v="0"/>
    <n v="24.580846989114701"/>
    <s v="OK"/>
    <s v="ZERO"/>
    <n v="0"/>
    <n v="0"/>
    <x v="0"/>
    <n v="0"/>
    <x v="0"/>
    <n v="0"/>
  </r>
  <r>
    <x v="0"/>
    <d v="2024-01-06T20:00:00"/>
    <n v="0"/>
    <n v="0"/>
    <n v="0"/>
    <n v="35.701199250253197"/>
    <s v="OK"/>
    <s v="ZERO"/>
    <n v="0"/>
    <n v="0"/>
    <x v="0"/>
    <n v="0"/>
    <x v="0"/>
    <n v="0"/>
  </r>
  <r>
    <x v="0"/>
    <d v="2024-01-06T21:00:00"/>
    <n v="0"/>
    <n v="0"/>
    <n v="0"/>
    <n v="66.369107864772104"/>
    <s v="OK"/>
    <s v="ZERO"/>
    <n v="0"/>
    <n v="0"/>
    <x v="0"/>
    <n v="0"/>
    <x v="0"/>
    <n v="0"/>
  </r>
  <r>
    <x v="0"/>
    <d v="2024-01-06T22:00:00"/>
    <n v="0"/>
    <n v="0"/>
    <n v="0"/>
    <n v="38.932770825801498"/>
    <s v="OK"/>
    <s v="ZERO"/>
    <n v="0"/>
    <n v="0"/>
    <x v="0"/>
    <n v="0"/>
    <x v="0"/>
    <n v="0"/>
  </r>
  <r>
    <x v="0"/>
    <d v="2024-01-06T23:00:00"/>
    <n v="0"/>
    <n v="0"/>
    <n v="0"/>
    <n v="58.3758081586749"/>
    <s v="OK"/>
    <s v="ZERO"/>
    <n v="0"/>
    <n v="0"/>
    <x v="0"/>
    <n v="0"/>
    <x v="0"/>
    <n v="0"/>
  </r>
  <r>
    <x v="0"/>
    <d v="2024-01-07T00:00:00"/>
    <n v="0"/>
    <n v="0"/>
    <n v="0"/>
    <n v="38.185287772604703"/>
    <s v="OK"/>
    <s v="ZERO"/>
    <n v="0"/>
    <n v="0"/>
    <x v="0"/>
    <n v="0"/>
    <x v="0"/>
    <n v="0"/>
  </r>
  <r>
    <x v="0"/>
    <d v="2024-01-07T01:00:00"/>
    <n v="0"/>
    <n v="0"/>
    <n v="0"/>
    <n v="21.505339833329401"/>
    <s v="OK"/>
    <s v="ZERO"/>
    <n v="0"/>
    <n v="0"/>
    <x v="0"/>
    <n v="0"/>
    <x v="0"/>
    <n v="0"/>
  </r>
  <r>
    <x v="0"/>
    <d v="2024-01-07T02:00:00"/>
    <n v="0"/>
    <n v="0"/>
    <n v="0"/>
    <n v="86.789546055492096"/>
    <s v="OK"/>
    <s v="ZERO"/>
    <n v="0"/>
    <n v="0"/>
    <x v="0"/>
    <n v="0"/>
    <x v="0"/>
    <n v="0"/>
  </r>
  <r>
    <x v="0"/>
    <d v="2024-01-07T03:00:00"/>
    <n v="0"/>
    <n v="0"/>
    <n v="0"/>
    <n v="79.187842895550304"/>
    <s v="OK"/>
    <s v="ZERO"/>
    <n v="0"/>
    <n v="0"/>
    <x v="0"/>
    <n v="0"/>
    <x v="0"/>
    <n v="0"/>
  </r>
  <r>
    <x v="0"/>
    <d v="2024-01-07T04:00:00"/>
    <n v="0"/>
    <n v="0"/>
    <n v="0"/>
    <n v="75.907960563824702"/>
    <s v="OK"/>
    <s v="ZERO"/>
    <n v="0"/>
    <n v="0"/>
    <x v="0"/>
    <n v="0"/>
    <x v="0"/>
    <n v="0"/>
  </r>
  <r>
    <x v="0"/>
    <d v="2024-01-07T05:00:00"/>
    <n v="0"/>
    <n v="0"/>
    <n v="0"/>
    <n v="41.283192934904299"/>
    <s v="OK"/>
    <s v="ZERO"/>
    <n v="0"/>
    <n v="0"/>
    <x v="0"/>
    <n v="0"/>
    <x v="0"/>
    <n v="0"/>
  </r>
  <r>
    <x v="0"/>
    <d v="2024-01-07T06:00:00"/>
    <n v="0"/>
    <n v="0"/>
    <n v="0"/>
    <n v="93.988643659473396"/>
    <s v="OK"/>
    <s v="ZERO"/>
    <n v="0"/>
    <n v="0"/>
    <x v="0"/>
    <n v="0"/>
    <x v="0"/>
    <n v="0"/>
  </r>
  <r>
    <x v="0"/>
    <d v="2024-01-07T07:00:00"/>
    <n v="88.860296136475796"/>
    <n v="84.859948203317899"/>
    <n v="84.859948203317899"/>
    <n v="27.633685446530201"/>
    <s v="OK"/>
    <s v="NON-ZERO"/>
    <n v="103.527618041008"/>
    <n v="0.81968415587137622"/>
    <x v="0"/>
    <n v="-18.667669837690099"/>
    <x v="1"/>
    <n v="-0.93338349188450487"/>
  </r>
  <r>
    <x v="0"/>
    <d v="2024-01-07T08:00:00"/>
    <n v="183.58646136036"/>
    <n v="175.32169348100601"/>
    <n v="175.32169348100601"/>
    <n v="41.382137652038502"/>
    <s v="OK"/>
    <s v="NON-ZERO"/>
    <n v="199.99999999999901"/>
    <n v="0.8766084674050344"/>
    <x v="1"/>
    <n v="-24.678306518992997"/>
    <x v="1"/>
    <n v="0"/>
  </r>
  <r>
    <x v="0"/>
    <d v="2024-01-07T09:00:00"/>
    <n v="256.30654916407099"/>
    <n v="244.768039629638"/>
    <n v="244.768039629638"/>
    <n v="26.017530924623099"/>
    <s v="OK"/>
    <s v="NON-ZERO"/>
    <n v="282.84271247461902"/>
    <n v="0.8653857031992731"/>
    <x v="1"/>
    <n v="-38.074672844981023"/>
    <x v="1"/>
    <n v="0"/>
  </r>
  <r>
    <x v="0"/>
    <d v="2024-01-07T10:00:00"/>
    <n v="268.40096032904597"/>
    <n v="256.31797981251901"/>
    <n v="256.31797981251901"/>
    <n v="49.8391699284306"/>
    <s v="OK"/>
    <s v="NON-ZERO"/>
    <n v="346.41016151377499"/>
    <n v="0.73992627321449556"/>
    <x v="0"/>
    <n v="-90.092181701255981"/>
    <x v="1"/>
    <n v="-4.5046090850627989"/>
  </r>
  <r>
    <x v="0"/>
    <d v="2024-01-07T11:00:00"/>
    <n v="385.56859434883302"/>
    <n v="368.21091497395201"/>
    <n v="368.21091497395201"/>
    <n v="81.2804053211959"/>
    <s v="OK"/>
    <s v="NON-ZERO"/>
    <n v="386.37033051562702"/>
    <n v="0.95299997409883797"/>
    <x v="1"/>
    <n v="-18.159415541675003"/>
    <x v="1"/>
    <n v="0"/>
  </r>
  <r>
    <x v="0"/>
    <d v="2024-01-07T12:00:00"/>
    <n v="359.72794969507902"/>
    <n v="343.53357467463502"/>
    <n v="343.53357467463502"/>
    <n v="61.757216976044703"/>
    <s v="OK"/>
    <s v="NON-ZERO"/>
    <n v="400"/>
    <n v="0.85883393668658758"/>
    <x v="1"/>
    <n v="-56.46642532536498"/>
    <x v="1"/>
    <n v="0"/>
  </r>
  <r>
    <x v="0"/>
    <d v="2024-01-07T13:00:00"/>
    <n v="352.64768807219502"/>
    <n v="336.77205506793501"/>
    <n v="336.77205506793501"/>
    <n v="77.7119699893952"/>
    <s v="OK"/>
    <s v="NON-ZERO"/>
    <n v="386.37033051562702"/>
    <n v="0.87163021709896549"/>
    <x v="1"/>
    <n v="-49.598275447692004"/>
    <x v="1"/>
    <n v="0"/>
  </r>
  <r>
    <x v="0"/>
    <d v="2024-01-07T14:00:00"/>
    <n v="315.39987365004203"/>
    <n v="301.20107747749302"/>
    <n v="301.20107747749302"/>
    <n v="38.180729931130998"/>
    <s v="OK"/>
    <s v="NON-ZERO"/>
    <n v="346.41016151377499"/>
    <n v="0.8694926158091808"/>
    <x v="1"/>
    <n v="-45.209084036281979"/>
    <x v="1"/>
    <n v="0"/>
  </r>
  <r>
    <x v="0"/>
    <d v="2024-01-07T15:00:00"/>
    <n v="248.86106391726599"/>
    <n v="237.65773818047199"/>
    <n v="237.65773818047199"/>
    <n v="41.647291493019097"/>
    <s v="OK"/>
    <s v="NON-ZERO"/>
    <n v="282.84271247461902"/>
    <n v="0.840246991344344"/>
    <x v="0"/>
    <n v="-45.184974294147025"/>
    <x v="1"/>
    <n v="-2.259248714707351"/>
  </r>
  <r>
    <x v="0"/>
    <d v="2024-01-07T16:00:00"/>
    <n v="174.05201579974101"/>
    <n v="166.21647335908699"/>
    <n v="166.21647335908699"/>
    <n v="23.886765261682001"/>
    <s v="OK"/>
    <s v="NON-ZERO"/>
    <n v="199.99999999999901"/>
    <n v="0.83108236679543912"/>
    <x v="0"/>
    <n v="-33.783526640912015"/>
    <x v="1"/>
    <n v="-1.6891763320456008"/>
  </r>
  <r>
    <x v="0"/>
    <d v="2024-01-07T17:00:00"/>
    <n v="100.29155036893199"/>
    <n v="95.776585714579198"/>
    <n v="95.776585714579198"/>
    <n v="24.753122785457499"/>
    <s v="OK"/>
    <s v="NON-ZERO"/>
    <n v="103.527618041008"/>
    <n v="0.92513077695500956"/>
    <x v="1"/>
    <n v="-7.751032326428799"/>
    <x v="1"/>
    <n v="0"/>
  </r>
  <r>
    <x v="0"/>
    <d v="2024-01-07T18:00:00"/>
    <n v="4.4472421123366598E-14"/>
    <n v="4.24703440916836E-14"/>
    <n v="4.24703440916836E-14"/>
    <n v="64.672905545588307"/>
    <s v="OK"/>
    <s v="NON-ZERO"/>
    <n v="4.8985871965894097E-14"/>
    <n v="0.86699169346731508"/>
    <x v="1"/>
    <n v="-6.5155278742104969E-15"/>
    <x v="1"/>
    <n v="0"/>
  </r>
  <r>
    <x v="0"/>
    <d v="2024-01-07T19:00:00"/>
    <n v="0"/>
    <n v="0"/>
    <n v="0"/>
    <n v="46.165119990724598"/>
    <s v="OK"/>
    <s v="ZERO"/>
    <n v="0"/>
    <n v="0"/>
    <x v="0"/>
    <n v="0"/>
    <x v="0"/>
    <n v="0"/>
  </r>
  <r>
    <x v="0"/>
    <d v="2024-01-07T20:00:00"/>
    <n v="0"/>
    <n v="0"/>
    <n v="0"/>
    <n v="75.584048696754394"/>
    <s v="OK"/>
    <s v="ZERO"/>
    <n v="0"/>
    <n v="0"/>
    <x v="0"/>
    <n v="0"/>
    <x v="0"/>
    <n v="0"/>
  </r>
  <r>
    <x v="0"/>
    <d v="2024-01-07T21:00:00"/>
    <n v="0"/>
    <n v="0"/>
    <n v="0"/>
    <n v="30.482928246971699"/>
    <s v="OK"/>
    <s v="ZERO"/>
    <n v="0"/>
    <n v="0"/>
    <x v="0"/>
    <n v="0"/>
    <x v="0"/>
    <n v="0"/>
  </r>
  <r>
    <x v="0"/>
    <d v="2024-01-07T22:00:00"/>
    <n v="0"/>
    <n v="0"/>
    <n v="0"/>
    <n v="81.093104017353596"/>
    <s v="OK"/>
    <s v="ZERO"/>
    <n v="0"/>
    <n v="0"/>
    <x v="0"/>
    <n v="0"/>
    <x v="0"/>
    <n v="0"/>
  </r>
  <r>
    <x v="0"/>
    <d v="2024-01-07T23:00:00"/>
    <n v="0"/>
    <n v="0"/>
    <n v="0"/>
    <n v="46.912286309262598"/>
    <s v="OK"/>
    <s v="ZERO"/>
    <n v="0"/>
    <n v="0"/>
    <x v="0"/>
    <n v="0"/>
    <x v="0"/>
    <n v="0"/>
  </r>
  <r>
    <x v="0"/>
    <d v="2024-01-08T00:00:00"/>
    <n v="0"/>
    <n v="0"/>
    <n v="0"/>
    <n v="48.270832206868"/>
    <s v="OK"/>
    <s v="ZERO"/>
    <n v="0"/>
    <n v="0"/>
    <x v="0"/>
    <n v="0"/>
    <x v="0"/>
    <n v="0"/>
  </r>
  <r>
    <x v="0"/>
    <d v="2024-01-08T01:00:00"/>
    <n v="0"/>
    <n v="0"/>
    <n v="0"/>
    <n v="76.070703513218803"/>
    <s v="OK"/>
    <s v="ZERO"/>
    <n v="0"/>
    <n v="0"/>
    <x v="0"/>
    <n v="0"/>
    <x v="0"/>
    <n v="0"/>
  </r>
  <r>
    <x v="0"/>
    <d v="2024-01-08T02:00:00"/>
    <n v="0"/>
    <n v="0"/>
    <n v="0"/>
    <n v="60.766464583549102"/>
    <s v="OK"/>
    <s v="ZERO"/>
    <n v="0"/>
    <n v="0"/>
    <x v="0"/>
    <n v="0"/>
    <x v="0"/>
    <n v="0"/>
  </r>
  <r>
    <x v="0"/>
    <d v="2024-01-08T03:00:00"/>
    <n v="0"/>
    <n v="0"/>
    <n v="0"/>
    <n v="28.767353053127302"/>
    <s v="OK"/>
    <s v="ZERO"/>
    <n v="0"/>
    <n v="0"/>
    <x v="0"/>
    <n v="0"/>
    <x v="0"/>
    <n v="0"/>
  </r>
  <r>
    <x v="0"/>
    <d v="2024-01-08T04:00:00"/>
    <n v="0"/>
    <n v="0"/>
    <n v="0"/>
    <n v="79.551889195272196"/>
    <s v="OK"/>
    <s v="ZERO"/>
    <n v="0"/>
    <n v="0"/>
    <x v="0"/>
    <n v="0"/>
    <x v="0"/>
    <n v="0"/>
  </r>
  <r>
    <x v="0"/>
    <d v="2024-01-08T05:00:00"/>
    <n v="0"/>
    <n v="0"/>
    <n v="0"/>
    <n v="87.041943728821806"/>
    <s v="OK"/>
    <s v="ZERO"/>
    <n v="0"/>
    <n v="0"/>
    <x v="0"/>
    <n v="0"/>
    <x v="0"/>
    <n v="0"/>
  </r>
  <r>
    <x v="0"/>
    <d v="2024-01-08T06:00:00"/>
    <n v="0"/>
    <n v="0"/>
    <n v="0"/>
    <n v="75.7959719429507"/>
    <s v="OK"/>
    <s v="ZERO"/>
    <n v="0"/>
    <n v="0"/>
    <x v="0"/>
    <n v="0"/>
    <x v="0"/>
    <n v="0"/>
  </r>
  <r>
    <x v="0"/>
    <d v="2024-01-08T07:00:00"/>
    <n v="101.277697777881"/>
    <n v="96.718338349701597"/>
    <n v="96.718338349701597"/>
    <n v="77.184401430551702"/>
    <s v="OK"/>
    <s v="NON-ZERO"/>
    <n v="103.527618041008"/>
    <n v="0.93422740887741473"/>
    <x v="1"/>
    <n v="-6.8092796913064007"/>
    <x v="1"/>
    <n v="0"/>
  </r>
  <r>
    <x v="0"/>
    <d v="2024-01-08T08:00:00"/>
    <n v="185.13462572717799"/>
    <n v="176.800161972452"/>
    <n v="176.800161972452"/>
    <n v="83.483921880088801"/>
    <s v="OK"/>
    <s v="NON-ZERO"/>
    <n v="199.99999999999901"/>
    <n v="0.88400080986226437"/>
    <x v="1"/>
    <n v="-23.199838027547003"/>
    <x v="1"/>
    <n v="0"/>
  </r>
  <r>
    <x v="0"/>
    <d v="2024-01-08T09:00:00"/>
    <n v="285.11668527048897"/>
    <n v="272.28118964172302"/>
    <n v="272.28118964172302"/>
    <n v="79.797152433466493"/>
    <s v="OK"/>
    <s v="NON-ZERO"/>
    <n v="282.84271247461902"/>
    <n v="0.96265937792601342"/>
    <x v="1"/>
    <n v="-10.561522832896003"/>
    <x v="1"/>
    <n v="0"/>
  </r>
  <r>
    <x v="0"/>
    <d v="2024-01-08T10:00:00"/>
    <n v="318.72556163175301"/>
    <n v="304.37704832317701"/>
    <n v="304.37704832317701"/>
    <n v="68.086072466397297"/>
    <s v="OK"/>
    <s v="NON-ZERO"/>
    <n v="346.41016151377499"/>
    <n v="0.87866085392265103"/>
    <x v="1"/>
    <n v="-42.033113190597987"/>
    <x v="1"/>
    <n v="0"/>
  </r>
  <r>
    <x v="0"/>
    <d v="2024-01-08T11:00:00"/>
    <n v="352.10499888241498"/>
    <n v="336.25379687459701"/>
    <n v="336.25379687459701"/>
    <n v="38.8849294180214"/>
    <s v="OK"/>
    <s v="NON-ZERO"/>
    <n v="386.37033051562702"/>
    <n v="0.87028886619180246"/>
    <x v="1"/>
    <n v="-50.116533641030003"/>
    <x v="1"/>
    <n v="0"/>
  </r>
  <r>
    <x v="0"/>
    <d v="2024-01-08T12:00:00"/>
    <n v="350.365208720282"/>
    <n v="334.59232927362802"/>
    <n v="334.59232927362802"/>
    <n v="50.063856257272903"/>
    <s v="OK"/>
    <s v="NON-ZERO"/>
    <n v="400"/>
    <n v="0.83648082318407002"/>
    <x v="0"/>
    <n v="-65.407670726371975"/>
    <x v="1"/>
    <n v="-3.2703835363185991"/>
  </r>
  <r>
    <x v="0"/>
    <d v="2024-01-08T13:00:00"/>
    <n v="353.17957122897099"/>
    <n v="337.27999369853501"/>
    <n v="337.27999369853501"/>
    <n v="31.501355233706001"/>
    <s v="OK"/>
    <s v="NON-ZERO"/>
    <n v="386.37033051562702"/>
    <n v="0.87294485901239116"/>
    <x v="1"/>
    <n v="-49.090336817092009"/>
    <x v="1"/>
    <n v="0"/>
  </r>
  <r>
    <x v="0"/>
    <d v="2024-01-08T14:00:00"/>
    <n v="333.46729370284902"/>
    <n v="318.45513127328502"/>
    <n v="318.45513127328502"/>
    <n v="85.409293170811296"/>
    <s v="OK"/>
    <s v="NON-ZERO"/>
    <n v="346.41016151377499"/>
    <n v="0.91930077882724481"/>
    <x v="1"/>
    <n v="-27.955030240489975"/>
    <x v="1"/>
    <n v="0"/>
  </r>
  <r>
    <x v="0"/>
    <d v="2024-01-08T15:00:00"/>
    <n v="321.040623859736"/>
    <n v="306.587890164763"/>
    <n v="306.587890164763"/>
    <n v="72.248811790766894"/>
    <s v="OK"/>
    <s v="NON-ZERO"/>
    <n v="282.84271247461902"/>
    <n v="1.0839518808259017"/>
    <x v="1"/>
    <n v="23.745177690143976"/>
    <x v="0"/>
    <n v="0"/>
  </r>
  <r>
    <x v="0"/>
    <d v="2024-01-08T16:00:00"/>
    <n v="193.03605451776099"/>
    <n v="184.345881118731"/>
    <n v="184.345881118731"/>
    <n v="65.503628478714106"/>
    <s v="OK"/>
    <s v="NON-ZERO"/>
    <n v="199.99999999999901"/>
    <n v="0.92172940559365957"/>
    <x v="1"/>
    <n v="-15.654118881268005"/>
    <x v="1"/>
    <n v="0"/>
  </r>
  <r>
    <x v="0"/>
    <d v="2024-01-08T17:00:00"/>
    <n v="101.555227106887"/>
    <n v="96.983373753681704"/>
    <n v="96.983373753681704"/>
    <n v="90.077526107676107"/>
    <s v="OK"/>
    <s v="NON-ZERO"/>
    <n v="103.527618041008"/>
    <n v="0.93678745429326815"/>
    <x v="1"/>
    <n v="-6.5442442873262934"/>
    <x v="1"/>
    <n v="0"/>
  </r>
  <r>
    <x v="0"/>
    <d v="2024-01-08T18:00:00"/>
    <n v="4.62271867116526E-14"/>
    <n v="4.41461129491519E-14"/>
    <n v="4.41461129491519E-14"/>
    <n v="82.917356483445005"/>
    <s v="OK"/>
    <s v="NON-ZERO"/>
    <n v="4.8985871965894097E-14"/>
    <n v="0.90120092135724705"/>
    <x v="1"/>
    <n v="-4.8397590167421975E-15"/>
    <x v="1"/>
    <n v="0"/>
  </r>
  <r>
    <x v="0"/>
    <d v="2024-01-08T19:00:00"/>
    <n v="0"/>
    <n v="0"/>
    <n v="0"/>
    <n v="85.242227154659602"/>
    <s v="OK"/>
    <s v="ZERO"/>
    <n v="0"/>
    <n v="0"/>
    <x v="0"/>
    <n v="0"/>
    <x v="0"/>
    <n v="0"/>
  </r>
  <r>
    <x v="0"/>
    <d v="2024-01-08T20:00:00"/>
    <n v="0"/>
    <n v="0"/>
    <n v="0"/>
    <n v="45.139793123442502"/>
    <s v="OK"/>
    <s v="ZERO"/>
    <n v="0"/>
    <n v="0"/>
    <x v="0"/>
    <n v="0"/>
    <x v="0"/>
    <n v="0"/>
  </r>
  <r>
    <x v="0"/>
    <d v="2024-01-08T21:00:00"/>
    <n v="0"/>
    <n v="0"/>
    <n v="0"/>
    <n v="45.012437876835797"/>
    <s v="OK"/>
    <s v="ZERO"/>
    <n v="0"/>
    <n v="0"/>
    <x v="0"/>
    <n v="0"/>
    <x v="0"/>
    <n v="0"/>
  </r>
  <r>
    <x v="0"/>
    <d v="2024-01-08T22:00:00"/>
    <n v="0"/>
    <n v="0"/>
    <n v="0"/>
    <n v="46.021490142216997"/>
    <s v="OK"/>
    <s v="ZERO"/>
    <n v="0"/>
    <n v="0"/>
    <x v="0"/>
    <n v="0"/>
    <x v="0"/>
    <n v="0"/>
  </r>
  <r>
    <x v="0"/>
    <d v="2024-01-08T23:00:00"/>
    <n v="0"/>
    <n v="0"/>
    <n v="0"/>
    <n v="36.845361720498602"/>
    <s v="OK"/>
    <s v="ZERO"/>
    <n v="0"/>
    <n v="0"/>
    <x v="0"/>
    <n v="0"/>
    <x v="0"/>
    <n v="0"/>
  </r>
  <r>
    <x v="0"/>
    <d v="2024-01-09T00:00:00"/>
    <n v="0"/>
    <n v="0"/>
    <n v="0"/>
    <n v="51.419408712840998"/>
    <s v="OK"/>
    <s v="ZERO"/>
    <n v="0"/>
    <n v="0"/>
    <x v="0"/>
    <n v="0"/>
    <x v="0"/>
    <n v="0"/>
  </r>
  <r>
    <x v="0"/>
    <d v="2024-01-09T01:00:00"/>
    <n v="0"/>
    <n v="0"/>
    <n v="0"/>
    <n v="63.544126270853198"/>
    <s v="OK"/>
    <s v="ZERO"/>
    <n v="0"/>
    <n v="0"/>
    <x v="0"/>
    <n v="0"/>
    <x v="0"/>
    <n v="0"/>
  </r>
  <r>
    <x v="0"/>
    <d v="2024-01-09T02:00:00"/>
    <n v="0"/>
    <n v="0"/>
    <n v="0"/>
    <n v="51.096809279526703"/>
    <s v="OK"/>
    <s v="ZERO"/>
    <n v="0"/>
    <n v="0"/>
    <x v="0"/>
    <n v="0"/>
    <x v="0"/>
    <n v="0"/>
  </r>
  <r>
    <x v="0"/>
    <d v="2024-01-09T03:00:00"/>
    <n v="0"/>
    <n v="0"/>
    <n v="0"/>
    <n v="57.664625774843103"/>
    <s v="OK"/>
    <s v="ZERO"/>
    <n v="0"/>
    <n v="0"/>
    <x v="0"/>
    <n v="0"/>
    <x v="0"/>
    <n v="0"/>
  </r>
  <r>
    <x v="0"/>
    <d v="2024-01-09T04:00:00"/>
    <n v="0"/>
    <n v="0"/>
    <n v="0"/>
    <n v="87.354071708053496"/>
    <s v="OK"/>
    <s v="ZERO"/>
    <n v="0"/>
    <n v="0"/>
    <x v="0"/>
    <n v="0"/>
    <x v="0"/>
    <n v="0"/>
  </r>
  <r>
    <x v="0"/>
    <d v="2024-01-09T05:00:00"/>
    <n v="0"/>
    <n v="0"/>
    <n v="0"/>
    <n v="22.741225088607099"/>
    <s v="OK"/>
    <s v="ZERO"/>
    <n v="0"/>
    <n v="0"/>
    <x v="0"/>
    <n v="0"/>
    <x v="0"/>
    <n v="0"/>
  </r>
  <r>
    <x v="0"/>
    <d v="2024-01-09T06:00:00"/>
    <n v="0"/>
    <n v="0"/>
    <n v="0"/>
    <n v="53.996662606101999"/>
    <s v="OK"/>
    <s v="ZERO"/>
    <n v="0"/>
    <n v="0"/>
    <x v="0"/>
    <n v="0"/>
    <x v="0"/>
    <n v="0"/>
  </r>
  <r>
    <x v="0"/>
    <d v="2024-01-09T07:00:00"/>
    <n v="90.328125041444693"/>
    <n v="86.261697806489394"/>
    <n v="86.261697806489394"/>
    <n v="50.057229565649401"/>
    <s v="OK"/>
    <s v="NON-ZERO"/>
    <n v="103.527618041008"/>
    <n v="0.8332240173083143"/>
    <x v="0"/>
    <n v="-17.265920234518603"/>
    <x v="1"/>
    <n v="-0.86329601172593018"/>
  </r>
  <r>
    <x v="0"/>
    <d v="2024-01-09T08:00:00"/>
    <n v="173.51460288614999"/>
    <n v="165.703253912451"/>
    <n v="165.703253912451"/>
    <n v="90.958659660022406"/>
    <s v="OK"/>
    <s v="NON-ZERO"/>
    <n v="199.99999999999901"/>
    <n v="0.8285162695622591"/>
    <x v="0"/>
    <n v="-34.296746087548001"/>
    <x v="1"/>
    <n v="-1.7148373043773999"/>
  </r>
  <r>
    <x v="0"/>
    <d v="2024-01-09T09:00:00"/>
    <n v="272.73366668939599"/>
    <n v="260.45563468545299"/>
    <n v="260.45563468545299"/>
    <n v="68.299965742926105"/>
    <s v="OK"/>
    <s v="NON-ZERO"/>
    <n v="282.84271247461902"/>
    <n v="0.92084972742164983"/>
    <x v="1"/>
    <n v="-22.387077789166028"/>
    <x v="1"/>
    <n v="0"/>
  </r>
  <r>
    <x v="0"/>
    <d v="2024-01-09T10:00:00"/>
    <n v="320.31426375242199"/>
    <n v="305.89422962384998"/>
    <n v="305.89422962384998"/>
    <n v="69.419295643261293"/>
    <s v="OK"/>
    <s v="NON-ZERO"/>
    <n v="346.41016151377499"/>
    <n v="0.88304057908441613"/>
    <x v="1"/>
    <n v="-40.515931889925014"/>
    <x v="1"/>
    <n v="0"/>
  </r>
  <r>
    <x v="0"/>
    <d v="2024-01-09T11:00:00"/>
    <n v="365.16969298828599"/>
    <n v="348.73033941744001"/>
    <n v="348.73033941744001"/>
    <n v="37.330609744105303"/>
    <s v="OK"/>
    <s v="NON-ZERO"/>
    <n v="386.37033051562702"/>
    <n v="0.90258053446299846"/>
    <x v="1"/>
    <n v="-37.639991098187011"/>
    <x v="1"/>
    <n v="0"/>
  </r>
  <r>
    <x v="0"/>
    <d v="2024-01-09T12:00:00"/>
    <n v="382.76488177384499"/>
    <n v="365.53342103982101"/>
    <n v="365.53342103982101"/>
    <n v="37.863708578504401"/>
    <s v="OK"/>
    <s v="NON-ZERO"/>
    <n v="400"/>
    <n v="0.91383355259955257"/>
    <x v="1"/>
    <n v="-34.466578960178992"/>
    <x v="1"/>
    <n v="0"/>
  </r>
  <r>
    <x v="0"/>
    <d v="2024-01-09T13:00:00"/>
    <n v="363.52650919031203"/>
    <n v="347.161129117146"/>
    <n v="347.161129117146"/>
    <n v="74.170019889174398"/>
    <s v="OK"/>
    <s v="NON-ZERO"/>
    <n v="386.37033051562702"/>
    <n v="0.89851911934812712"/>
    <x v="1"/>
    <n v="-39.209201398481014"/>
    <x v="1"/>
    <n v="0"/>
  </r>
  <r>
    <x v="0"/>
    <d v="2024-01-09T14:00:00"/>
    <n v="334.779662168458"/>
    <n v="319.70841901659998"/>
    <n v="319.70841901659998"/>
    <n v="35.373822156186499"/>
    <s v="OK"/>
    <s v="NON-ZERO"/>
    <n v="346.41016151377499"/>
    <n v="0.92291870890711958"/>
    <x v="1"/>
    <n v="-26.701742497175019"/>
    <x v="1"/>
    <n v="0"/>
  </r>
  <r>
    <x v="0"/>
    <d v="2024-01-09T15:00:00"/>
    <n v="273.70488058503202"/>
    <n v="261.38312609006698"/>
    <n v="261.38312609006698"/>
    <n v="20.9751442633052"/>
    <s v="OK"/>
    <s v="NON-ZERO"/>
    <n v="282.84271247461902"/>
    <n v="0.92412890473012377"/>
    <x v="1"/>
    <n v="-21.45958638455204"/>
    <x v="1"/>
    <n v="0"/>
  </r>
  <r>
    <x v="0"/>
    <d v="2024-01-09T16:00:00"/>
    <n v="166.623091591042"/>
    <n v="159.121987396668"/>
    <n v="159.121987396668"/>
    <n v="45.6363013773407"/>
    <s v="OK"/>
    <s v="NON-ZERO"/>
    <n v="199.99999999999901"/>
    <n v="0.79560993698334392"/>
    <x v="0"/>
    <n v="-40.878012603331001"/>
    <x v="1"/>
    <n v="-2.0439006301665499"/>
  </r>
  <r>
    <x v="0"/>
    <d v="2024-01-09T17:00:00"/>
    <n v="111.139805581419"/>
    <n v="106.136469886179"/>
    <n v="106.136469886179"/>
    <n v="64.272120688610499"/>
    <s v="OK"/>
    <s v="NON-ZERO"/>
    <n v="103.527618041008"/>
    <n v="1.0251995737421258"/>
    <x v="1"/>
    <n v="2.608851845171003"/>
    <x v="0"/>
    <n v="0"/>
  </r>
  <r>
    <x v="0"/>
    <d v="2024-01-09T18:00:00"/>
    <n v="4.9130116247001398E-14"/>
    <n v="4.6918357255306801E-14"/>
    <n v="4.6918357255306801E-14"/>
    <n v="52.709489685148696"/>
    <s v="OK"/>
    <s v="NON-ZERO"/>
    <n v="4.8985871965894097E-14"/>
    <n v="0.95779365299393304"/>
    <x v="1"/>
    <n v="-2.0675147105872962E-15"/>
    <x v="1"/>
    <n v="0"/>
  </r>
  <r>
    <x v="0"/>
    <d v="2024-01-09T19:00:00"/>
    <n v="0"/>
    <n v="0"/>
    <n v="0"/>
    <n v="77.270434561982"/>
    <s v="OK"/>
    <s v="ZERO"/>
    <n v="0"/>
    <n v="0"/>
    <x v="0"/>
    <n v="0"/>
    <x v="0"/>
    <n v="0"/>
  </r>
  <r>
    <x v="0"/>
    <d v="2024-01-09T20:00:00"/>
    <n v="0"/>
    <n v="0"/>
    <n v="0"/>
    <n v="21.685198124008799"/>
    <s v="OK"/>
    <s v="ZERO"/>
    <n v="0"/>
    <n v="0"/>
    <x v="0"/>
    <n v="0"/>
    <x v="0"/>
    <n v="0"/>
  </r>
  <r>
    <x v="0"/>
    <d v="2024-01-09T21:00:00"/>
    <n v="0"/>
    <n v="0"/>
    <n v="0"/>
    <n v="67.510866486961007"/>
    <s v="OK"/>
    <s v="ZERO"/>
    <n v="0"/>
    <n v="0"/>
    <x v="0"/>
    <n v="0"/>
    <x v="0"/>
    <n v="0"/>
  </r>
  <r>
    <x v="0"/>
    <d v="2024-01-09T22:00:00"/>
    <n v="0"/>
    <n v="0"/>
    <n v="0"/>
    <n v="59.426763672701398"/>
    <s v="OK"/>
    <s v="ZERO"/>
    <n v="0"/>
    <n v="0"/>
    <x v="0"/>
    <n v="0"/>
    <x v="0"/>
    <n v="0"/>
  </r>
  <r>
    <x v="0"/>
    <d v="2024-01-09T23:00:00"/>
    <n v="0"/>
    <n v="0"/>
    <n v="0"/>
    <n v="21.37930074106"/>
    <s v="OK"/>
    <s v="ZERO"/>
    <n v="0"/>
    <n v="0"/>
    <x v="0"/>
    <n v="0"/>
    <x v="0"/>
    <n v="0"/>
  </r>
  <r>
    <x v="0"/>
    <d v="2024-01-10T00:00:00"/>
    <n v="0"/>
    <n v="0"/>
    <n v="0"/>
    <n v="82.230635278040097"/>
    <s v="OK"/>
    <s v="ZERO"/>
    <n v="0"/>
    <n v="0"/>
    <x v="0"/>
    <n v="0"/>
    <x v="0"/>
    <n v="0"/>
  </r>
  <r>
    <x v="0"/>
    <d v="2024-01-10T01:00:00"/>
    <n v="0"/>
    <n v="0"/>
    <n v="0"/>
    <n v="30.266422255160499"/>
    <s v="OK"/>
    <s v="ZERO"/>
    <n v="0"/>
    <n v="0"/>
    <x v="0"/>
    <n v="0"/>
    <x v="0"/>
    <n v="0"/>
  </r>
  <r>
    <x v="0"/>
    <d v="2024-01-10T02:00:00"/>
    <n v="0"/>
    <n v="0"/>
    <n v="0"/>
    <n v="88.580895944371903"/>
    <s v="OK"/>
    <s v="ZERO"/>
    <n v="0"/>
    <n v="0"/>
    <x v="0"/>
    <n v="0"/>
    <x v="0"/>
    <n v="0"/>
  </r>
  <r>
    <x v="0"/>
    <d v="2024-01-10T03:00:00"/>
    <n v="0"/>
    <n v="0"/>
    <n v="0"/>
    <n v="58.918827896212797"/>
    <s v="OK"/>
    <s v="ZERO"/>
    <n v="0"/>
    <n v="0"/>
    <x v="0"/>
    <n v="0"/>
    <x v="0"/>
    <n v="0"/>
  </r>
  <r>
    <x v="0"/>
    <d v="2024-01-10T04:00:00"/>
    <n v="0"/>
    <n v="0"/>
    <n v="0"/>
    <n v="49.197171053148203"/>
    <s v="OK"/>
    <s v="ZERO"/>
    <n v="0"/>
    <n v="0"/>
    <x v="0"/>
    <n v="0"/>
    <x v="0"/>
    <n v="0"/>
  </r>
  <r>
    <x v="0"/>
    <d v="2024-01-10T05:00:00"/>
    <n v="0"/>
    <n v="0"/>
    <n v="0"/>
    <n v="73.928442888818395"/>
    <s v="OK"/>
    <s v="ZERO"/>
    <n v="0"/>
    <n v="0"/>
    <x v="0"/>
    <n v="0"/>
    <x v="0"/>
    <n v="0"/>
  </r>
  <r>
    <x v="0"/>
    <d v="2024-01-10T06:00:00"/>
    <n v="0"/>
    <n v="0"/>
    <n v="0"/>
    <n v="90.262230449356807"/>
    <s v="OK"/>
    <s v="ZERO"/>
    <n v="0"/>
    <n v="0"/>
    <x v="0"/>
    <n v="0"/>
    <x v="0"/>
    <n v="0"/>
  </r>
  <r>
    <x v="0"/>
    <d v="2024-01-10T07:00:00"/>
    <n v="85.643205433749699"/>
    <n v="81.787685761389795"/>
    <n v="81.787685761389795"/>
    <n v="22.338735129596301"/>
    <s v="OK"/>
    <s v="NON-ZERO"/>
    <n v="103.527618041008"/>
    <n v="0.7900083794934134"/>
    <x v="0"/>
    <n v="-21.739932279618202"/>
    <x v="1"/>
    <n v="-1.08699661398091"/>
  </r>
  <r>
    <x v="0"/>
    <d v="2024-01-10T08:00:00"/>
    <n v="198.505936100638"/>
    <n v="189.56951741056201"/>
    <n v="189.56951741056201"/>
    <n v="64.763213668766696"/>
    <s v="OK"/>
    <s v="NON-ZERO"/>
    <n v="199.99999999999901"/>
    <n v="0.9478475870528148"/>
    <x v="1"/>
    <n v="-10.430482589436991"/>
    <x v="1"/>
    <n v="0"/>
  </r>
  <r>
    <x v="0"/>
    <d v="2024-01-10T09:00:00"/>
    <n v="238.622347752141"/>
    <n v="227.87995258648101"/>
    <n v="227.87995258648101"/>
    <n v="27.994868985032799"/>
    <s v="OK"/>
    <s v="NON-ZERO"/>
    <n v="282.84271247461902"/>
    <n v="0.80567729885184824"/>
    <x v="0"/>
    <n v="-54.96275988813801"/>
    <x v="1"/>
    <n v="-2.7481379944069002"/>
  </r>
  <r>
    <x v="0"/>
    <d v="2024-01-10T10:00:00"/>
    <n v="333.450673076523"/>
    <n v="318.43925888088398"/>
    <n v="318.43925888088398"/>
    <n v="52.612050395280903"/>
    <s v="OK"/>
    <s v="NON-ZERO"/>
    <n v="346.41016151377499"/>
    <n v="0.91925495917711775"/>
    <x v="1"/>
    <n v="-27.970902632891011"/>
    <x v="1"/>
    <n v="0"/>
  </r>
  <r>
    <x v="0"/>
    <d v="2024-01-10T11:00:00"/>
    <n v="357.99542516921503"/>
    <n v="341.87904562264902"/>
    <n v="341.87904562264902"/>
    <n v="79.9561909226734"/>
    <s v="OK"/>
    <s v="NON-ZERO"/>
    <n v="386.37033051562702"/>
    <n v="0.88484808128615222"/>
    <x v="1"/>
    <n v="-44.491284892978001"/>
    <x v="1"/>
    <n v="0"/>
  </r>
  <r>
    <x v="0"/>
    <d v="2024-01-10T12:00:00"/>
    <n v="349.54213381266999"/>
    <n v="333.80630787752398"/>
    <n v="333.80630787752398"/>
    <n v="26.8686554994975"/>
    <s v="OK"/>
    <s v="NON-ZERO"/>
    <n v="400"/>
    <n v="0.83451576969380992"/>
    <x v="0"/>
    <n v="-66.193692122476023"/>
    <x v="1"/>
    <n v="-3.3096846061238012"/>
  </r>
  <r>
    <x v="0"/>
    <d v="2024-01-10T13:00:00"/>
    <n v="392.19052643983599"/>
    <n v="374.53473830878897"/>
    <n v="374.53473830878897"/>
    <n v="91.2678015365601"/>
    <s v="OK"/>
    <s v="NON-ZERO"/>
    <n v="386.37033051562702"/>
    <n v="0.96936723326803342"/>
    <x v="1"/>
    <n v="-11.835592206838044"/>
    <x v="1"/>
    <n v="0"/>
  </r>
  <r>
    <x v="0"/>
    <d v="2024-01-10T14:00:00"/>
    <n v="297.09716736226"/>
    <n v="283.72232965544703"/>
    <n v="283.72232965544703"/>
    <n v="74.916866480717005"/>
    <s v="OK"/>
    <s v="NON-ZERO"/>
    <n v="346.41016151377499"/>
    <n v="0.81903581700840156"/>
    <x v="0"/>
    <n v="-62.687831858327968"/>
    <x v="1"/>
    <n v="-3.1343915929163986"/>
  </r>
  <r>
    <x v="0"/>
    <d v="2024-01-10T15:00:00"/>
    <n v="264.22115005086999"/>
    <n v="252.32633788549899"/>
    <n v="252.32633788549899"/>
    <n v="71.920742338838906"/>
    <s v="OK"/>
    <s v="NON-ZERO"/>
    <n v="282.84271247461902"/>
    <n v="0.89210832295402187"/>
    <x v="1"/>
    <n v="-30.516374589120034"/>
    <x v="1"/>
    <n v="0"/>
  </r>
  <r>
    <x v="0"/>
    <d v="2024-01-10T16:00:00"/>
    <n v="183.647579680489"/>
    <n v="175.380060352442"/>
    <n v="175.380060352442"/>
    <n v="94.075100599748495"/>
    <s v="OK"/>
    <s v="NON-ZERO"/>
    <n v="199.99999999999901"/>
    <n v="0.87690030176221434"/>
    <x v="1"/>
    <n v="-24.619939647557004"/>
    <x v="1"/>
    <n v="0"/>
  </r>
  <r>
    <x v="0"/>
    <d v="2024-01-10T17:00:00"/>
    <n v="102.938122918351"/>
    <n v="98.304013814920907"/>
    <n v="98.304013814920907"/>
    <n v="72.918137938676594"/>
    <s v="OK"/>
    <s v="NON-ZERO"/>
    <n v="103.527618041008"/>
    <n v="0.94954385771709748"/>
    <x v="1"/>
    <n v="-5.2236042260870903"/>
    <x v="1"/>
    <n v="0"/>
  </r>
  <r>
    <x v="0"/>
    <d v="2024-01-10T18:00:00"/>
    <n v="4.93431715567923E-14"/>
    <n v="4.7121821156952301E-14"/>
    <n v="4.7121821156952301E-14"/>
    <n v="42.301175552941302"/>
    <s v="OK"/>
    <s v="NON-ZERO"/>
    <n v="4.8985871965894097E-14"/>
    <n v="0.96194717509081762"/>
    <x v="1"/>
    <n v="-1.8640508089417958E-15"/>
    <x v="1"/>
    <n v="0"/>
  </r>
  <r>
    <x v="0"/>
    <d v="2024-01-10T19:00:00"/>
    <n v="0"/>
    <n v="0"/>
    <n v="0"/>
    <n v="90.819986683507494"/>
    <s v="OK"/>
    <s v="ZERO"/>
    <n v="0"/>
    <n v="0"/>
    <x v="0"/>
    <n v="0"/>
    <x v="0"/>
    <n v="0"/>
  </r>
  <r>
    <x v="0"/>
    <d v="2024-01-10T20:00:00"/>
    <n v="0"/>
    <n v="0"/>
    <n v="0"/>
    <n v="82.168660561300797"/>
    <s v="OK"/>
    <s v="ZERO"/>
    <n v="0"/>
    <n v="0"/>
    <x v="0"/>
    <n v="0"/>
    <x v="0"/>
    <n v="0"/>
  </r>
  <r>
    <x v="0"/>
    <d v="2024-01-10T21:00:00"/>
    <n v="0"/>
    <n v="0"/>
    <n v="0"/>
    <n v="37.2506627965777"/>
    <s v="OK"/>
    <s v="ZERO"/>
    <n v="0"/>
    <n v="0"/>
    <x v="0"/>
    <n v="0"/>
    <x v="0"/>
    <n v="0"/>
  </r>
  <r>
    <x v="0"/>
    <d v="2024-01-10T22:00:00"/>
    <n v="0"/>
    <n v="0"/>
    <n v="0"/>
    <n v="43.646775337295701"/>
    <s v="OK"/>
    <s v="ZERO"/>
    <n v="0"/>
    <n v="0"/>
    <x v="0"/>
    <n v="0"/>
    <x v="0"/>
    <n v="0"/>
  </r>
  <r>
    <x v="0"/>
    <d v="2024-01-10T23:00:00"/>
    <n v="0"/>
    <n v="0"/>
    <n v="0"/>
    <n v="43.906437719905199"/>
    <s v="OK"/>
    <s v="ZERO"/>
    <n v="0"/>
    <n v="0"/>
    <x v="0"/>
    <n v="0"/>
    <x v="0"/>
    <n v="0"/>
  </r>
  <r>
    <x v="0"/>
    <d v="2024-01-11T00:00:00"/>
    <n v="0"/>
    <n v="0"/>
    <n v="0"/>
    <n v="21.830058616740299"/>
    <s v="OK"/>
    <s v="ZERO"/>
    <n v="0"/>
    <n v="0"/>
    <x v="0"/>
    <n v="0"/>
    <x v="0"/>
    <n v="0"/>
  </r>
  <r>
    <x v="0"/>
    <d v="2024-01-11T01:00:00"/>
    <n v="0"/>
    <n v="0"/>
    <n v="0"/>
    <n v="85.602625451314907"/>
    <s v="OK"/>
    <s v="ZERO"/>
    <n v="0"/>
    <n v="0"/>
    <x v="0"/>
    <n v="0"/>
    <x v="0"/>
    <n v="0"/>
  </r>
  <r>
    <x v="0"/>
    <d v="2024-01-11T02:00:00"/>
    <n v="0"/>
    <n v="0"/>
    <n v="0"/>
    <n v="46.303386158878197"/>
    <s v="OK"/>
    <s v="ZERO"/>
    <n v="0"/>
    <n v="0"/>
    <x v="0"/>
    <n v="0"/>
    <x v="0"/>
    <n v="0"/>
  </r>
  <r>
    <x v="0"/>
    <d v="2024-01-11T03:00:00"/>
    <n v="0"/>
    <n v="0"/>
    <n v="0"/>
    <n v="55.9906715227931"/>
    <s v="OK"/>
    <s v="ZERO"/>
    <n v="0"/>
    <n v="0"/>
    <x v="0"/>
    <n v="0"/>
    <x v="0"/>
    <n v="0"/>
  </r>
  <r>
    <x v="0"/>
    <d v="2024-01-11T04:00:00"/>
    <n v="0"/>
    <n v="0"/>
    <n v="0"/>
    <n v="51.332508662549998"/>
    <s v="OK"/>
    <s v="ZERO"/>
    <n v="0"/>
    <n v="0"/>
    <x v="0"/>
    <n v="0"/>
    <x v="0"/>
    <n v="0"/>
  </r>
  <r>
    <x v="0"/>
    <d v="2024-01-11T05:00:00"/>
    <n v="0"/>
    <n v="0"/>
    <n v="0"/>
    <n v="37.908285932622597"/>
    <s v="OK"/>
    <s v="ZERO"/>
    <n v="0"/>
    <n v="0"/>
    <x v="0"/>
    <n v="0"/>
    <x v="0"/>
    <n v="0"/>
  </r>
  <r>
    <x v="0"/>
    <d v="2024-01-11T06:00:00"/>
    <n v="0"/>
    <n v="0"/>
    <n v="0"/>
    <n v="37.520581328743198"/>
    <s v="OK"/>
    <s v="ZERO"/>
    <n v="0"/>
    <n v="0"/>
    <x v="0"/>
    <n v="0"/>
    <x v="0"/>
    <n v="0"/>
  </r>
  <r>
    <x v="0"/>
    <d v="2024-01-11T07:00:00"/>
    <n v="92.519000063089095"/>
    <n v="88.353943150474507"/>
    <n v="88.353943150474507"/>
    <n v="94.0791792302023"/>
    <s v="OK"/>
    <s v="NON-ZERO"/>
    <n v="103.527618041008"/>
    <n v="0.85343355543519706"/>
    <x v="1"/>
    <n v="-15.173674890533491"/>
    <x v="1"/>
    <n v="0"/>
  </r>
  <r>
    <x v="0"/>
    <d v="2024-01-11T08:00:00"/>
    <n v="162.92850378449401"/>
    <n v="155.59372400426699"/>
    <n v="155.59372400426699"/>
    <n v="91.247088796266894"/>
    <s v="OK"/>
    <s v="NON-ZERO"/>
    <n v="199.99999999999901"/>
    <n v="0.77796862002133882"/>
    <x v="0"/>
    <n v="-44.406275995732017"/>
    <x v="1"/>
    <n v="-2.2203137997866005"/>
  </r>
  <r>
    <x v="0"/>
    <d v="2024-01-11T09:00:00"/>
    <n v="244.79535900714899"/>
    <n v="233.77506478095299"/>
    <n v="233.77506478095299"/>
    <n v="51.318558183869598"/>
    <s v="OK"/>
    <s v="NON-ZERO"/>
    <n v="282.84271247461902"/>
    <n v="0.82651966789468145"/>
    <x v="0"/>
    <n v="-49.067647693666032"/>
    <x v="1"/>
    <n v="-2.4533823846833016"/>
  </r>
  <r>
    <x v="0"/>
    <d v="2024-01-11T10:00:00"/>
    <n v="385.09745373074702"/>
    <n v="367.76098435042798"/>
    <n v="367.76098435042798"/>
    <n v="37.375377603758203"/>
    <s v="OK"/>
    <s v="NON-ZERO"/>
    <n v="346.41016151377499"/>
    <n v="1.0616345165608081"/>
    <x v="1"/>
    <n v="21.350822836652981"/>
    <x v="0"/>
    <n v="0"/>
  </r>
  <r>
    <x v="0"/>
    <d v="2024-01-11T11:00:00"/>
    <n v="349.09610909577202"/>
    <n v="333.38036247762102"/>
    <n v="333.38036247762102"/>
    <n v="65.5802596159144"/>
    <s v="OK"/>
    <s v="NON-ZERO"/>
    <n v="386.37033051562702"/>
    <n v="0.86285187072390179"/>
    <x v="1"/>
    <n v="-52.989968038005998"/>
    <x v="1"/>
    <n v="0"/>
  </r>
  <r>
    <x v="0"/>
    <d v="2024-01-11T12:00:00"/>
    <n v="336.04111054559399"/>
    <n v="320.91307901211201"/>
    <n v="320.91307901211201"/>
    <n v="33.982869660818999"/>
    <s v="OK"/>
    <s v="NON-ZERO"/>
    <n v="400"/>
    <n v="0.80228269753028003"/>
    <x v="0"/>
    <n v="-79.086920987887993"/>
    <x v="1"/>
    <n v="-3.9543460493943994"/>
  </r>
  <r>
    <x v="0"/>
    <d v="2024-01-11T13:00:00"/>
    <n v="369.05221063109701"/>
    <n v="352.43807234645698"/>
    <n v="352.43807234645698"/>
    <n v="24.338200742254699"/>
    <s v="OK"/>
    <s v="NON-ZERO"/>
    <n v="386.37033051562702"/>
    <n v="0.9121768534248319"/>
    <x v="1"/>
    <n v="-33.932258169170041"/>
    <x v="1"/>
    <n v="0"/>
  </r>
  <r>
    <x v="0"/>
    <d v="2024-01-11T14:00:00"/>
    <n v="320.03520237736501"/>
    <n v="305.62773114407298"/>
    <n v="305.62773114407298"/>
    <n v="31.542192975489101"/>
    <s v="OK"/>
    <s v="NON-ZERO"/>
    <n v="346.41016151377499"/>
    <n v="0.88227126423922675"/>
    <x v="1"/>
    <n v="-40.782430369702013"/>
    <x v="1"/>
    <n v="0"/>
  </r>
  <r>
    <x v="0"/>
    <d v="2024-01-11T15:00:00"/>
    <n v="245.465072206738"/>
    <n v="234.414628567021"/>
    <n v="234.414628567021"/>
    <n v="36.786321111696701"/>
    <s v="OK"/>
    <s v="NON-ZERO"/>
    <n v="282.84271247461902"/>
    <n v="0.82878086734533163"/>
    <x v="0"/>
    <n v="-48.428083907598023"/>
    <x v="1"/>
    <n v="-2.421404195379901"/>
  </r>
  <r>
    <x v="0"/>
    <d v="2024-01-11T16:00:00"/>
    <n v="223.00326911045701"/>
    <n v="212.964019800469"/>
    <n v="212.964019800469"/>
    <n v="85.809564697278503"/>
    <s v="OK"/>
    <s v="NON-ZERO"/>
    <n v="199.99999999999901"/>
    <n v="1.0648200990023504"/>
    <x v="1"/>
    <n v="12.964019800469998"/>
    <x v="0"/>
    <n v="0"/>
  </r>
  <r>
    <x v="0"/>
    <d v="2024-01-11T17:00:00"/>
    <n v="105.147688721775"/>
    <n v="100.41410851168401"/>
    <n v="100.41410851168401"/>
    <n v="86.656105990173202"/>
    <s v="OK"/>
    <s v="NON-ZERO"/>
    <n v="103.527618041008"/>
    <n v="0.96992580735228828"/>
    <x v="1"/>
    <n v="-3.1135095293239914"/>
    <x v="1"/>
    <n v="0"/>
  </r>
  <r>
    <x v="0"/>
    <d v="2024-01-11T18:00:00"/>
    <n v="4.8400242789996601E-14"/>
    <n v="4.6221341530068998E-14"/>
    <n v="4.6221341530068998E-14"/>
    <n v="50.6339909803024"/>
    <s v="OK"/>
    <s v="NON-ZERO"/>
    <n v="4.8985871965894097E-14"/>
    <n v="0.94356473969168342"/>
    <x v="1"/>
    <n v="-2.7645304358250995E-15"/>
    <x v="1"/>
    <n v="0"/>
  </r>
  <r>
    <x v="0"/>
    <d v="2024-01-11T19:00:00"/>
    <n v="0"/>
    <n v="0"/>
    <n v="0"/>
    <n v="74.256508526643799"/>
    <s v="OK"/>
    <s v="ZERO"/>
    <n v="0"/>
    <n v="0"/>
    <x v="0"/>
    <n v="0"/>
    <x v="0"/>
    <n v="0"/>
  </r>
  <r>
    <x v="0"/>
    <d v="2024-01-11T20:00:00"/>
    <n v="0"/>
    <n v="0"/>
    <n v="0"/>
    <n v="25.709814461772499"/>
    <s v="OK"/>
    <s v="ZERO"/>
    <n v="0"/>
    <n v="0"/>
    <x v="0"/>
    <n v="0"/>
    <x v="0"/>
    <n v="0"/>
  </r>
  <r>
    <x v="0"/>
    <d v="2024-01-11T21:00:00"/>
    <n v="0"/>
    <n v="0"/>
    <n v="0"/>
    <n v="56.043993299498602"/>
    <s v="OK"/>
    <s v="ZERO"/>
    <n v="0"/>
    <n v="0"/>
    <x v="0"/>
    <n v="0"/>
    <x v="0"/>
    <n v="0"/>
  </r>
  <r>
    <x v="0"/>
    <d v="2024-01-11T22:00:00"/>
    <n v="0"/>
    <n v="0"/>
    <n v="0"/>
    <n v="62.429897299684299"/>
    <s v="OK"/>
    <s v="ZERO"/>
    <n v="0"/>
    <n v="0"/>
    <x v="0"/>
    <n v="0"/>
    <x v="0"/>
    <n v="0"/>
  </r>
  <r>
    <x v="0"/>
    <d v="2024-01-11T23:00:00"/>
    <n v="0"/>
    <n v="0"/>
    <n v="0"/>
    <n v="79.806951620519598"/>
    <s v="OK"/>
    <s v="ZERO"/>
    <n v="0"/>
    <n v="0"/>
    <x v="0"/>
    <n v="0"/>
    <x v="0"/>
    <n v="0"/>
  </r>
  <r>
    <x v="0"/>
    <d v="2024-01-12T00:00:00"/>
    <n v="0"/>
    <n v="0"/>
    <n v="0"/>
    <n v="82.775999627275397"/>
    <s v="OK"/>
    <s v="ZERO"/>
    <n v="0"/>
    <n v="0"/>
    <x v="0"/>
    <n v="0"/>
    <x v="0"/>
    <n v="0"/>
  </r>
  <r>
    <x v="0"/>
    <d v="2024-01-12T01:00:00"/>
    <n v="0"/>
    <n v="0"/>
    <n v="0"/>
    <n v="66.395853366138795"/>
    <s v="OK"/>
    <s v="ZERO"/>
    <n v="0"/>
    <n v="0"/>
    <x v="0"/>
    <n v="0"/>
    <x v="0"/>
    <n v="0"/>
  </r>
  <r>
    <x v="0"/>
    <d v="2024-01-12T02:00:00"/>
    <n v="0"/>
    <n v="0"/>
    <n v="0"/>
    <n v="22.193546227591899"/>
    <s v="OK"/>
    <s v="ZERO"/>
    <n v="0"/>
    <n v="0"/>
    <x v="0"/>
    <n v="0"/>
    <x v="0"/>
    <n v="0"/>
  </r>
  <r>
    <x v="0"/>
    <d v="2024-01-12T03:00:00"/>
    <n v="0"/>
    <n v="0"/>
    <n v="0"/>
    <n v="45.133914069435598"/>
    <s v="OK"/>
    <s v="ZERO"/>
    <n v="0"/>
    <n v="0"/>
    <x v="0"/>
    <n v="0"/>
    <x v="0"/>
    <n v="0"/>
  </r>
  <r>
    <x v="0"/>
    <d v="2024-01-12T04:00:00"/>
    <n v="0"/>
    <n v="0"/>
    <n v="0"/>
    <n v="58.0600800320627"/>
    <s v="OK"/>
    <s v="ZERO"/>
    <n v="0"/>
    <n v="0"/>
    <x v="0"/>
    <n v="0"/>
    <x v="0"/>
    <n v="0"/>
  </r>
  <r>
    <x v="0"/>
    <d v="2024-01-12T05:00:00"/>
    <n v="0"/>
    <n v="0"/>
    <n v="0"/>
    <n v="66.269518878180605"/>
    <s v="OK"/>
    <s v="ZERO"/>
    <n v="0"/>
    <n v="0"/>
    <x v="0"/>
    <n v="0"/>
    <x v="0"/>
    <n v="0"/>
  </r>
  <r>
    <x v="0"/>
    <d v="2024-01-12T06:00:00"/>
    <n v="0"/>
    <n v="0"/>
    <n v="0"/>
    <n v="60.498903478689101"/>
    <s v="OK"/>
    <s v="ZERO"/>
    <n v="0"/>
    <n v="0"/>
    <x v="0"/>
    <n v="0"/>
    <x v="0"/>
    <n v="0"/>
  </r>
  <r>
    <x v="0"/>
    <d v="2024-01-12T07:00:00"/>
    <n v="99.003143341017605"/>
    <n v="94.546180703484794"/>
    <n v="94.546180703484794"/>
    <n v="77.077092687652097"/>
    <s v="OK"/>
    <s v="NON-ZERO"/>
    <n v="103.527618041008"/>
    <n v="0.91324597718489386"/>
    <x v="1"/>
    <n v="-8.9814373375232037"/>
    <x v="1"/>
    <n v="0"/>
  </r>
  <r>
    <x v="0"/>
    <d v="2024-01-12T08:00:00"/>
    <n v="197.53231296715501"/>
    <n v="188.63972522812199"/>
    <n v="188.63972522812199"/>
    <n v="89.902107913251299"/>
    <s v="OK"/>
    <s v="NON-ZERO"/>
    <n v="199.99999999999901"/>
    <n v="0.94319862614061467"/>
    <x v="1"/>
    <n v="-11.360274771877016"/>
    <x v="1"/>
    <n v="0"/>
  </r>
  <r>
    <x v="0"/>
    <d v="2024-01-12T09:00:00"/>
    <n v="269.65001860682298"/>
    <n v="257.51080749106097"/>
    <n v="257.51080749106097"/>
    <n v="71.591429172560893"/>
    <s v="OK"/>
    <s v="NON-ZERO"/>
    <n v="282.84271247461902"/>
    <n v="0.910438191028764"/>
    <x v="1"/>
    <n v="-25.331904983558047"/>
    <x v="1"/>
    <n v="0"/>
  </r>
  <r>
    <x v="0"/>
    <d v="2024-01-12T10:00:00"/>
    <n v="324.570363051774"/>
    <n v="309.958726162738"/>
    <n v="309.958726162738"/>
    <n v="63.662784513220402"/>
    <s v="OK"/>
    <s v="NON-ZERO"/>
    <n v="346.41016151377499"/>
    <n v="0.89477376993865265"/>
    <x v="1"/>
    <n v="-36.451435351036992"/>
    <x v="1"/>
    <n v="0"/>
  </r>
  <r>
    <x v="0"/>
    <d v="2024-01-12T11:00:00"/>
    <n v="356.10725323687899"/>
    <n v="340.07587616065598"/>
    <n v="340.07587616065598"/>
    <n v="23.4306525359384"/>
    <s v="OK"/>
    <s v="NON-ZERO"/>
    <n v="386.37033051562702"/>
    <n v="0.88018113530304154"/>
    <x v="1"/>
    <n v="-46.294454354971037"/>
    <x v="1"/>
    <n v="0"/>
  </r>
  <r>
    <x v="0"/>
    <d v="2024-01-12T12:00:00"/>
    <n v="390.27886347006501"/>
    <n v="372.70913533816901"/>
    <n v="372.70913533816901"/>
    <n v="44.270766436215503"/>
    <s v="OK"/>
    <s v="NON-ZERO"/>
    <n v="400"/>
    <n v="0.93177283834542246"/>
    <x v="1"/>
    <n v="-27.290864661830994"/>
    <x v="1"/>
    <n v="0"/>
  </r>
  <r>
    <x v="0"/>
    <d v="2024-01-12T13:00:00"/>
    <n v="352.83092190003498"/>
    <n v="336.94704000289198"/>
    <n v="336.94704000289198"/>
    <n v="71.247153245487794"/>
    <s v="OK"/>
    <s v="NON-ZERO"/>
    <n v="386.37033051562702"/>
    <n v="0.87208311143669437"/>
    <x v="1"/>
    <n v="-49.423290512735036"/>
    <x v="1"/>
    <n v="0"/>
  </r>
  <r>
    <x v="0"/>
    <d v="2024-01-12T14:00:00"/>
    <n v="287.842751863817"/>
    <n v="274.884533091685"/>
    <n v="274.884533091685"/>
    <n v="53.854026824725601"/>
    <s v="OK"/>
    <s v="NON-ZERO"/>
    <n v="346.41016151377499"/>
    <n v="0.79352329588274573"/>
    <x v="0"/>
    <n v="-71.525628422089994"/>
    <x v="1"/>
    <n v="-3.5762814211044995"/>
  </r>
  <r>
    <x v="0"/>
    <d v="2024-01-12T15:00:00"/>
    <n v="260.652428501641"/>
    <n v="248.91827445349699"/>
    <n v="248.91827445349699"/>
    <n v="72.026166933611606"/>
    <s v="OK"/>
    <s v="NON-ZERO"/>
    <n v="282.84271247461902"/>
    <n v="0.88005899913660934"/>
    <x v="1"/>
    <n v="-33.924438021122029"/>
    <x v="1"/>
    <n v="0"/>
  </r>
  <r>
    <x v="0"/>
    <d v="2024-01-12T16:00:00"/>
    <n v="205.70594465197499"/>
    <n v="196.44539313115899"/>
    <n v="196.44539313115899"/>
    <n v="31.329341883567501"/>
    <s v="OK"/>
    <s v="NON-ZERO"/>
    <n v="199.99999999999901"/>
    <n v="0.98222696565579981"/>
    <x v="1"/>
    <n v="-3.5546068688400112"/>
    <x v="1"/>
    <n v="0"/>
  </r>
  <r>
    <x v="0"/>
    <d v="2024-01-12T17:00:00"/>
    <n v="107.848660774569"/>
    <n v="102.99348713705599"/>
    <n v="102.99348713705599"/>
    <n v="51.4795487694591"/>
    <s v="OK"/>
    <s v="NON-ZERO"/>
    <n v="103.527618041008"/>
    <n v="0.9948406916525363"/>
    <x v="1"/>
    <n v="-0.53413090395200413"/>
    <x v="1"/>
    <n v="0"/>
  </r>
  <r>
    <x v="0"/>
    <d v="2024-01-12T18:00:00"/>
    <n v="4.2328291032803701E-14"/>
    <n v="4.0422739296996802E-14"/>
    <n v="4.0422739296996802E-14"/>
    <n v="50.700050473628202"/>
    <s v="OK"/>
    <s v="NON-ZERO"/>
    <n v="4.8985871965894097E-14"/>
    <n v="0.82519178846383934"/>
    <x v="0"/>
    <n v="-8.563132668897295E-15"/>
    <x v="1"/>
    <n v="-4.2815663344486471E-16"/>
  </r>
  <r>
    <x v="0"/>
    <d v="2024-01-12T19:00:00"/>
    <n v="0"/>
    <n v="0"/>
    <n v="0"/>
    <n v="35.982852801881201"/>
    <s v="OK"/>
    <s v="ZERO"/>
    <n v="0"/>
    <n v="0"/>
    <x v="0"/>
    <n v="0"/>
    <x v="0"/>
    <n v="0"/>
  </r>
  <r>
    <x v="0"/>
    <d v="2024-01-12T20:00:00"/>
    <n v="0"/>
    <n v="0"/>
    <n v="0"/>
    <n v="55.490743001866697"/>
    <s v="OK"/>
    <s v="ZERO"/>
    <n v="0"/>
    <n v="0"/>
    <x v="0"/>
    <n v="0"/>
    <x v="0"/>
    <n v="0"/>
  </r>
  <r>
    <x v="0"/>
    <d v="2024-01-12T21:00:00"/>
    <n v="0"/>
    <n v="0"/>
    <n v="0"/>
    <n v="85.146737596670803"/>
    <s v="OK"/>
    <s v="ZERO"/>
    <n v="0"/>
    <n v="0"/>
    <x v="0"/>
    <n v="0"/>
    <x v="0"/>
    <n v="0"/>
  </r>
  <r>
    <x v="0"/>
    <d v="2024-01-12T22:00:00"/>
    <n v="0"/>
    <n v="0"/>
    <n v="0"/>
    <n v="66.966524122356105"/>
    <s v="OK"/>
    <s v="ZERO"/>
    <n v="0"/>
    <n v="0"/>
    <x v="0"/>
    <n v="0"/>
    <x v="0"/>
    <n v="0"/>
  </r>
  <r>
    <x v="0"/>
    <d v="2024-01-12T23:00:00"/>
    <n v="0"/>
    <n v="0"/>
    <n v="0"/>
    <n v="89.063588586176493"/>
    <s v="OK"/>
    <s v="ZERO"/>
    <n v="0"/>
    <n v="0"/>
    <x v="0"/>
    <n v="0"/>
    <x v="0"/>
    <n v="0"/>
  </r>
  <r>
    <x v="0"/>
    <d v="2024-01-13T00:00:00"/>
    <n v="0"/>
    <n v="0"/>
    <n v="0"/>
    <n v="29.388934415191201"/>
    <s v="OK"/>
    <s v="ZERO"/>
    <n v="0"/>
    <n v="0"/>
    <x v="0"/>
    <n v="0"/>
    <x v="0"/>
    <n v="0"/>
  </r>
  <r>
    <x v="0"/>
    <d v="2024-01-13T01:00:00"/>
    <n v="0"/>
    <n v="0"/>
    <n v="0"/>
    <n v="35.0393545025252"/>
    <s v="OK"/>
    <s v="ZERO"/>
    <n v="0"/>
    <n v="0"/>
    <x v="0"/>
    <n v="0"/>
    <x v="0"/>
    <n v="0"/>
  </r>
  <r>
    <x v="0"/>
    <d v="2024-01-13T02:00:00"/>
    <n v="0"/>
    <n v="0"/>
    <n v="0"/>
    <n v="79.816932547789094"/>
    <s v="OK"/>
    <s v="ZERO"/>
    <n v="0"/>
    <n v="0"/>
    <x v="0"/>
    <n v="0"/>
    <x v="0"/>
    <n v="0"/>
  </r>
  <r>
    <x v="0"/>
    <d v="2024-01-13T03:00:00"/>
    <n v="0"/>
    <n v="0"/>
    <n v="0"/>
    <n v="20.871540493107499"/>
    <s v="OK"/>
    <s v="ZERO"/>
    <n v="0"/>
    <n v="0"/>
    <x v="0"/>
    <n v="0"/>
    <x v="0"/>
    <n v="0"/>
  </r>
  <r>
    <x v="0"/>
    <d v="2024-01-13T04:00:00"/>
    <n v="0"/>
    <n v="0"/>
    <n v="0"/>
    <n v="41.874693403197703"/>
    <s v="OK"/>
    <s v="ZERO"/>
    <n v="0"/>
    <n v="0"/>
    <x v="0"/>
    <n v="0"/>
    <x v="0"/>
    <n v="0"/>
  </r>
  <r>
    <x v="0"/>
    <d v="2024-01-13T05:00:00"/>
    <n v="0"/>
    <n v="0"/>
    <n v="0"/>
    <n v="78.488824167001198"/>
    <s v="OK"/>
    <s v="ZERO"/>
    <n v="0"/>
    <n v="0"/>
    <x v="0"/>
    <n v="0"/>
    <x v="0"/>
    <n v="0"/>
  </r>
  <r>
    <x v="0"/>
    <d v="2024-01-13T06:00:00"/>
    <n v="0"/>
    <n v="0"/>
    <n v="0"/>
    <n v="93.999694495035897"/>
    <s v="OK"/>
    <s v="ZERO"/>
    <n v="0"/>
    <n v="0"/>
    <x v="0"/>
    <n v="0"/>
    <x v="0"/>
    <n v="0"/>
  </r>
  <r>
    <x v="0"/>
    <d v="2024-01-13T07:00:00"/>
    <n v="94.213204042945705"/>
    <n v="89.971876785938406"/>
    <n v="89.971876785938406"/>
    <n v="66.361680073858906"/>
    <s v="OK"/>
    <s v="NON-ZERO"/>
    <n v="103.527618041008"/>
    <n v="0.86906159427236052"/>
    <x v="1"/>
    <n v="-13.555741255069591"/>
    <x v="1"/>
    <n v="0"/>
  </r>
  <r>
    <x v="0"/>
    <d v="2024-01-13T08:00:00"/>
    <n v="0"/>
    <n v="0"/>
    <n v="0"/>
    <n v="58.8283732538533"/>
    <s v="OK"/>
    <s v="ZERO"/>
    <n v="199.99999999999901"/>
    <n v="0"/>
    <x v="0"/>
    <n v="-199.99999999999901"/>
    <x v="1"/>
    <n v="-9.9999999999999503"/>
  </r>
  <r>
    <x v="0"/>
    <d v="2024-01-13T09:00:00"/>
    <n v="303.9749539741"/>
    <n v="290.29048935117697"/>
    <n v="290.29048935117697"/>
    <n v="22.4902331593524"/>
    <s v="OK"/>
    <s v="NON-ZERO"/>
    <n v="282.84271247461902"/>
    <n v="1.0263318676708926"/>
    <x v="1"/>
    <n v="7.4477768765579526"/>
    <x v="0"/>
    <n v="0"/>
  </r>
  <r>
    <x v="0"/>
    <d v="2024-01-13T10:00:00"/>
    <n v="324.74884392714199"/>
    <n v="310.129172115514"/>
    <n v="310.129172115514"/>
    <n v="71.709872685294897"/>
    <s v="OK"/>
    <s v="NON-ZERO"/>
    <n v="346.41016151377499"/>
    <n v="0.89526580502224018"/>
    <x v="1"/>
    <n v="-36.280989398260999"/>
    <x v="1"/>
    <n v="0"/>
  </r>
  <r>
    <x v="0"/>
    <d v="2024-01-13T11:00:00"/>
    <n v="347.25752258682201"/>
    <n v="331.62454618282499"/>
    <n v="331.62454618282499"/>
    <n v="32.561193669430203"/>
    <s v="OK"/>
    <s v="NON-ZERO"/>
    <n v="386.37033051562702"/>
    <n v="0.85830748375595622"/>
    <x v="1"/>
    <n v="-54.745784332802032"/>
    <x v="1"/>
    <n v="0"/>
  </r>
  <r>
    <x v="0"/>
    <d v="2024-01-13T12:00:00"/>
    <n v="387.71429574575097"/>
    <n v="370.26002033730299"/>
    <n v="370.26002033730299"/>
    <n v="90.215918468276698"/>
    <s v="OK"/>
    <s v="NON-ZERO"/>
    <n v="400"/>
    <n v="0.92565005084325747"/>
    <x v="1"/>
    <n v="-29.73997966269701"/>
    <x v="1"/>
    <n v="0"/>
  </r>
  <r>
    <x v="0"/>
    <d v="2024-01-13T13:00:00"/>
    <n v="345.454418763273"/>
    <n v="329.90261519987399"/>
    <n v="329.90261519987399"/>
    <n v="73.179538958818696"/>
    <s v="OK"/>
    <s v="NON-ZERO"/>
    <n v="386.37033051562702"/>
    <n v="0.85385079842855804"/>
    <x v="1"/>
    <n v="-56.467715315753026"/>
    <x v="1"/>
    <n v="0"/>
  </r>
  <r>
    <x v="0"/>
    <d v="2024-01-13T14:00:00"/>
    <n v="338.625778063263"/>
    <n v="323.38138894589099"/>
    <n v="323.38138894589099"/>
    <n v="81.111883530988393"/>
    <s v="OK"/>
    <s v="NON-ZERO"/>
    <n v="346.41016151377499"/>
    <n v="0.93352165979412738"/>
    <x v="1"/>
    <n v="-23.028772567884005"/>
    <x v="1"/>
    <n v="0"/>
  </r>
  <r>
    <x v="0"/>
    <d v="2024-01-13T15:00:00"/>
    <n v="282.192501096039"/>
    <n v="269.48864754621098"/>
    <n v="269.48864754621098"/>
    <n v="61.069428211530202"/>
    <s v="OK"/>
    <s v="NON-ZERO"/>
    <n v="282.84271247461902"/>
    <n v="0.95278625066358613"/>
    <x v="1"/>
    <n v="-13.354064928408036"/>
    <x v="1"/>
    <n v="0"/>
  </r>
  <r>
    <x v="0"/>
    <d v="2024-01-13T16:00:00"/>
    <n v="187.22865622804301"/>
    <n v="178.799922580572"/>
    <n v="178.799922580572"/>
    <n v="74.869214131649898"/>
    <s v="OK"/>
    <s v="NON-ZERO"/>
    <n v="199.99999999999901"/>
    <n v="0.89399961290286445"/>
    <x v="1"/>
    <n v="-21.200077419427004"/>
    <x v="1"/>
    <n v="0"/>
  </r>
  <r>
    <x v="0"/>
    <d v="2024-01-13T17:00:00"/>
    <n v="107.897464536711"/>
    <n v="103.040093832145"/>
    <n v="103.040093832145"/>
    <n v="38.532742550760901"/>
    <s v="OK"/>
    <s v="NON-ZERO"/>
    <n v="103.527618041008"/>
    <n v="0.99529087775718084"/>
    <x v="1"/>
    <n v="-0.48752420886299319"/>
    <x v="1"/>
    <n v="0"/>
  </r>
  <r>
    <x v="0"/>
    <d v="2024-01-13T18:00:00"/>
    <n v="4.2999292030942603E-14"/>
    <n v="4.10635329069909E-14"/>
    <n v="4.10635329069909E-14"/>
    <n v="57.3646787339854"/>
    <s v="OK"/>
    <s v="NON-ZERO"/>
    <n v="4.8985871965894097E-14"/>
    <n v="0.83827298073985412"/>
    <x v="0"/>
    <n v="-7.9223390589031972E-15"/>
    <x v="1"/>
    <n v="-3.9611695294515985E-16"/>
  </r>
  <r>
    <x v="0"/>
    <d v="2024-01-13T19:00:00"/>
    <n v="0"/>
    <n v="0"/>
    <n v="0"/>
    <n v="37.134105599847402"/>
    <s v="OK"/>
    <s v="ZERO"/>
    <n v="0"/>
    <n v="0"/>
    <x v="0"/>
    <n v="0"/>
    <x v="0"/>
    <n v="0"/>
  </r>
  <r>
    <x v="0"/>
    <d v="2024-01-13T20:00:00"/>
    <n v="0"/>
    <n v="0"/>
    <n v="0"/>
    <n v="22.2989376654354"/>
    <s v="OK"/>
    <s v="ZERO"/>
    <n v="0"/>
    <n v="0"/>
    <x v="0"/>
    <n v="0"/>
    <x v="0"/>
    <n v="0"/>
  </r>
  <r>
    <x v="0"/>
    <d v="2024-01-13T21:00:00"/>
    <n v="0"/>
    <n v="0"/>
    <n v="0"/>
    <n v="85.120437905628506"/>
    <s v="OK"/>
    <s v="ZERO"/>
    <n v="0"/>
    <n v="0"/>
    <x v="0"/>
    <n v="0"/>
    <x v="0"/>
    <n v="0"/>
  </r>
  <r>
    <x v="0"/>
    <d v="2024-01-13T22:00:00"/>
    <n v="0"/>
    <n v="0"/>
    <n v="0"/>
    <n v="47.827907223845202"/>
    <s v="OK"/>
    <s v="ZERO"/>
    <n v="0"/>
    <n v="0"/>
    <x v="0"/>
    <n v="0"/>
    <x v="0"/>
    <n v="0"/>
  </r>
  <r>
    <x v="0"/>
    <d v="2024-01-13T23:00:00"/>
    <n v="0"/>
    <n v="0"/>
    <n v="0"/>
    <n v="85.027362209183593"/>
    <s v="OK"/>
    <s v="ZERO"/>
    <n v="0"/>
    <n v="0"/>
    <x v="0"/>
    <n v="0"/>
    <x v="0"/>
    <n v="0"/>
  </r>
  <r>
    <x v="0"/>
    <d v="2024-01-14T00:00:00"/>
    <n v="0"/>
    <n v="0"/>
    <n v="0"/>
    <n v="85.506742856124504"/>
    <s v="OK"/>
    <s v="ZERO"/>
    <n v="0"/>
    <n v="0"/>
    <x v="0"/>
    <n v="0"/>
    <x v="0"/>
    <n v="0"/>
  </r>
  <r>
    <x v="0"/>
    <d v="2024-01-14T01:00:00"/>
    <n v="0"/>
    <n v="0"/>
    <n v="0"/>
    <n v="40.762084792628798"/>
    <s v="OK"/>
    <s v="ZERO"/>
    <n v="0"/>
    <n v="0"/>
    <x v="0"/>
    <n v="0"/>
    <x v="0"/>
    <n v="0"/>
  </r>
  <r>
    <x v="0"/>
    <d v="2024-01-14T02:00:00"/>
    <n v="0"/>
    <n v="0"/>
    <n v="0"/>
    <n v="67.367016506938995"/>
    <s v="OK"/>
    <s v="ZERO"/>
    <n v="0"/>
    <n v="0"/>
    <x v="0"/>
    <n v="0"/>
    <x v="0"/>
    <n v="0"/>
  </r>
  <r>
    <x v="0"/>
    <d v="2024-01-14T03:00:00"/>
    <n v="0"/>
    <n v="0"/>
    <n v="0"/>
    <n v="73.686872351156595"/>
    <s v="OK"/>
    <s v="ZERO"/>
    <n v="0"/>
    <n v="0"/>
    <x v="0"/>
    <n v="0"/>
    <x v="0"/>
    <n v="0"/>
  </r>
  <r>
    <x v="0"/>
    <d v="2024-01-14T04:00:00"/>
    <n v="0"/>
    <n v="0"/>
    <n v="0"/>
    <n v="85.306242595438306"/>
    <s v="OK"/>
    <s v="ZERO"/>
    <n v="0"/>
    <n v="0"/>
    <x v="0"/>
    <n v="0"/>
    <x v="0"/>
    <n v="0"/>
  </r>
  <r>
    <x v="0"/>
    <d v="2024-01-14T05:00:00"/>
    <n v="0"/>
    <n v="0"/>
    <n v="0"/>
    <n v="46.942502704982402"/>
    <s v="OK"/>
    <s v="ZERO"/>
    <n v="0"/>
    <n v="0"/>
    <x v="0"/>
    <n v="0"/>
    <x v="0"/>
    <n v="0"/>
  </r>
  <r>
    <x v="0"/>
    <d v="2024-01-14T06:00:00"/>
    <n v="0"/>
    <n v="0"/>
    <n v="0"/>
    <n v="39.360007452584497"/>
    <s v="OK"/>
    <s v="ZERO"/>
    <n v="0"/>
    <n v="0"/>
    <x v="0"/>
    <n v="0"/>
    <x v="0"/>
    <n v="0"/>
  </r>
  <r>
    <x v="0"/>
    <d v="2024-01-14T07:00:00"/>
    <n v="100.664627395799"/>
    <n v="96.132867412393395"/>
    <n v="96.132867412393395"/>
    <n v="78.010484426494997"/>
    <s v="OK"/>
    <s v="NON-ZERO"/>
    <n v="103.527618041008"/>
    <n v="0.92857219388853807"/>
    <x v="1"/>
    <n v="-7.3947506286146023"/>
    <x v="1"/>
    <n v="0"/>
  </r>
  <r>
    <x v="0"/>
    <d v="2024-01-14T08:00:00"/>
    <n v="168.217418893141"/>
    <n v="160.64454064213001"/>
    <n v="160.64454064213001"/>
    <n v="58.983046141701301"/>
    <s v="OK"/>
    <s v="NON-ZERO"/>
    <n v="199.99999999999901"/>
    <n v="0.80322270321065403"/>
    <x v="0"/>
    <n v="-39.355459357868995"/>
    <x v="1"/>
    <n v="-1.9677729678934497"/>
  </r>
  <r>
    <x v="0"/>
    <d v="2024-01-14T09:00:00"/>
    <n v="263.30741178945499"/>
    <n v="251.45373465428801"/>
    <n v="251.45373465428801"/>
    <n v="52.316564274635397"/>
    <s v="OK"/>
    <s v="NON-ZERO"/>
    <n v="282.84271247461902"/>
    <n v="0.88902320464364903"/>
    <x v="1"/>
    <n v="-31.388977820331007"/>
    <x v="1"/>
    <n v="0"/>
  </r>
  <r>
    <x v="0"/>
    <d v="2024-01-14T10:00:00"/>
    <n v="344.82522927812101"/>
    <n v="329.30175081565"/>
    <n v="329.30175081565"/>
    <n v="32.5714412216238"/>
    <s v="OK"/>
    <s v="NON-ZERO"/>
    <n v="346.41016151377499"/>
    <n v="0.95061227239015422"/>
    <x v="1"/>
    <n v="-17.108410698124999"/>
    <x v="1"/>
    <n v="0"/>
  </r>
  <r>
    <x v="0"/>
    <d v="2024-01-14T11:00:00"/>
    <n v="329.40398804853402"/>
    <n v="314.574749118922"/>
    <n v="314.574749118922"/>
    <n v="69.785339571635305"/>
    <s v="OK"/>
    <s v="NON-ZERO"/>
    <n v="386.37033051562702"/>
    <n v="0.81417936180324491"/>
    <x v="0"/>
    <n v="-71.795581396705018"/>
    <x v="1"/>
    <n v="-3.589779069835251"/>
  </r>
  <r>
    <x v="0"/>
    <d v="2024-01-14T12:00:00"/>
    <n v="414.006259988549"/>
    <n v="395.36836254202302"/>
    <n v="395.36836254202302"/>
    <n v="85.120346038494404"/>
    <s v="OK"/>
    <s v="NON-ZERO"/>
    <n v="400"/>
    <n v="0.98842090635505753"/>
    <x v="1"/>
    <n v="-4.6316374579769786"/>
    <x v="1"/>
    <n v="0"/>
  </r>
  <r>
    <x v="0"/>
    <d v="2024-01-14T13:00:00"/>
    <n v="364.630592354138"/>
    <n v="348.21550822871802"/>
    <n v="348.21550822871802"/>
    <n v="40.231220863774197"/>
    <s v="OK"/>
    <s v="NON-ZERO"/>
    <n v="386.37033051562702"/>
    <n v="0.9012480532964583"/>
    <x v="1"/>
    <n v="-38.154822286908995"/>
    <x v="1"/>
    <n v="0"/>
  </r>
  <r>
    <x v="0"/>
    <d v="2024-01-14T14:00:00"/>
    <n v="330.26293020290399"/>
    <n v="315.39502307589203"/>
    <n v="315.39502307589203"/>
    <n v="29.158243550752001"/>
    <s v="OK"/>
    <s v="NON-ZERO"/>
    <n v="346.41016151377499"/>
    <n v="0.91046700736967368"/>
    <x v="1"/>
    <n v="-31.015138437882968"/>
    <x v="1"/>
    <n v="0"/>
  </r>
  <r>
    <x v="0"/>
    <d v="2024-01-14T15:00:00"/>
    <n v="255.087911020414"/>
    <n v="243.60426261959401"/>
    <n v="243.60426261959401"/>
    <n v="43.711707873256202"/>
    <s v="OK"/>
    <s v="NON-ZERO"/>
    <n v="282.84271247461902"/>
    <n v="0.86127113012131762"/>
    <x v="1"/>
    <n v="-39.23844985502501"/>
    <x v="1"/>
    <n v="0"/>
  </r>
  <r>
    <x v="0"/>
    <d v="2024-01-14T16:00:00"/>
    <n v="181.757310493104"/>
    <n v="173.57488805045699"/>
    <n v="173.57488805045699"/>
    <n v="92.383902232703406"/>
    <s v="OK"/>
    <s v="NON-ZERO"/>
    <n v="199.99999999999901"/>
    <n v="0.86787444025228933"/>
    <x v="1"/>
    <n v="-26.425111949542014"/>
    <x v="1"/>
    <n v="0"/>
  </r>
  <r>
    <x v="0"/>
    <d v="2024-01-14T17:00:00"/>
    <n v="0"/>
    <n v="0"/>
    <n v="0"/>
    <n v="67.933995336162496"/>
    <s v="OK"/>
    <s v="ZERO"/>
    <n v="103.527618041008"/>
    <n v="0"/>
    <x v="0"/>
    <n v="-103.527618041008"/>
    <x v="1"/>
    <n v="-5.1763809020503997"/>
  </r>
  <r>
    <x v="0"/>
    <d v="2024-01-14T18:00:00"/>
    <n v="4.6078531617361298E-14"/>
    <n v="4.4004150068650702E-14"/>
    <n v="4.4004150068650702E-14"/>
    <n v="70.014819315957794"/>
    <s v="OK"/>
    <s v="NON-ZERO"/>
    <n v="4.8985871965894097E-14"/>
    <n v="0.89830288413132942"/>
    <x v="1"/>
    <n v="-4.9817218972433955E-15"/>
    <x v="1"/>
    <n v="0"/>
  </r>
  <r>
    <x v="0"/>
    <d v="2024-01-14T19:00:00"/>
    <n v="0"/>
    <n v="0"/>
    <n v="0"/>
    <n v="43.094745619339299"/>
    <s v="OK"/>
    <s v="ZERO"/>
    <n v="0"/>
    <n v="0"/>
    <x v="0"/>
    <n v="0"/>
    <x v="0"/>
    <n v="0"/>
  </r>
  <r>
    <x v="0"/>
    <d v="2024-01-14T20:00:00"/>
    <n v="0"/>
    <n v="0"/>
    <n v="0"/>
    <n v="27.0425536842063"/>
    <s v="OK"/>
    <s v="ZERO"/>
    <n v="0"/>
    <n v="0"/>
    <x v="0"/>
    <n v="0"/>
    <x v="0"/>
    <n v="0"/>
  </r>
  <r>
    <x v="0"/>
    <d v="2024-01-14T21:00:00"/>
    <n v="0"/>
    <n v="0"/>
    <n v="0"/>
    <n v="85.110669078312895"/>
    <s v="OK"/>
    <s v="ZERO"/>
    <n v="0"/>
    <n v="0"/>
    <x v="0"/>
    <n v="0"/>
    <x v="0"/>
    <n v="0"/>
  </r>
  <r>
    <x v="0"/>
    <d v="2024-01-14T22:00:00"/>
    <n v="0"/>
    <n v="0"/>
    <n v="0"/>
    <n v="71.243602121723399"/>
    <s v="OK"/>
    <s v="ZERO"/>
    <n v="0"/>
    <n v="0"/>
    <x v="0"/>
    <n v="0"/>
    <x v="0"/>
    <n v="0"/>
  </r>
  <r>
    <x v="0"/>
    <d v="2024-01-14T23:00:00"/>
    <n v="0"/>
    <n v="0"/>
    <n v="0"/>
    <n v="85.167873835903805"/>
    <s v="OK"/>
    <s v="ZERO"/>
    <n v="0"/>
    <n v="0"/>
    <x v="0"/>
    <n v="0"/>
    <x v="0"/>
    <n v="0"/>
  </r>
  <r>
    <x v="0"/>
    <d v="2024-01-15T00:00:00"/>
    <n v="0"/>
    <n v="0"/>
    <n v="0"/>
    <n v="70.738503933293401"/>
    <s v="OK"/>
    <s v="ZERO"/>
    <n v="0"/>
    <n v="0"/>
    <x v="0"/>
    <n v="0"/>
    <x v="0"/>
    <n v="0"/>
  </r>
  <r>
    <x v="0"/>
    <d v="2024-01-15T01:00:00"/>
    <n v="0"/>
    <n v="0"/>
    <n v="0"/>
    <n v="49.539830424061797"/>
    <s v="OK"/>
    <s v="ZERO"/>
    <n v="0"/>
    <n v="0"/>
    <x v="0"/>
    <n v="0"/>
    <x v="0"/>
    <n v="0"/>
  </r>
  <r>
    <x v="0"/>
    <d v="2024-01-15T02:00:00"/>
    <n v="0"/>
    <n v="0"/>
    <n v="0"/>
    <n v="23.615902914541699"/>
    <s v="OK"/>
    <s v="ZERO"/>
    <n v="0"/>
    <n v="0"/>
    <x v="0"/>
    <n v="0"/>
    <x v="0"/>
    <n v="0"/>
  </r>
  <r>
    <x v="0"/>
    <d v="2024-01-15T03:00:00"/>
    <n v="0"/>
    <n v="0"/>
    <n v="0"/>
    <n v="85.306508775294404"/>
    <s v="OK"/>
    <s v="ZERO"/>
    <n v="0"/>
    <n v="0"/>
    <x v="0"/>
    <n v="0"/>
    <x v="0"/>
    <n v="0"/>
  </r>
  <r>
    <x v="0"/>
    <d v="2024-01-15T04:00:00"/>
    <n v="0"/>
    <n v="0"/>
    <n v="0"/>
    <n v="50.310524123827399"/>
    <s v="OK"/>
    <s v="ZERO"/>
    <n v="0"/>
    <n v="0"/>
    <x v="0"/>
    <n v="0"/>
    <x v="0"/>
    <n v="0"/>
  </r>
  <r>
    <x v="0"/>
    <d v="2024-01-15T05:00:00"/>
    <n v="0"/>
    <n v="0"/>
    <n v="0"/>
    <n v="80.588445645594305"/>
    <s v="OK"/>
    <s v="ZERO"/>
    <n v="0"/>
    <n v="0"/>
    <x v="0"/>
    <n v="0"/>
    <x v="0"/>
    <n v="0"/>
  </r>
  <r>
    <x v="0"/>
    <d v="2024-01-15T06:00:00"/>
    <n v="0"/>
    <n v="0"/>
    <n v="0"/>
    <n v="29.015679152795599"/>
    <s v="OK"/>
    <s v="ZERO"/>
    <n v="0"/>
    <n v="0"/>
    <x v="0"/>
    <n v="0"/>
    <x v="0"/>
    <n v="0"/>
  </r>
  <r>
    <x v="0"/>
    <d v="2024-01-15T07:00:00"/>
    <n v="102.955916302151"/>
    <n v="98.321006169136695"/>
    <n v="98.321006169136695"/>
    <n v="44.343937242520198"/>
    <s v="OK"/>
    <s v="NON-ZERO"/>
    <n v="103.527618041008"/>
    <n v="0.94970799125496219"/>
    <x v="1"/>
    <n v="-5.2066118718713028"/>
    <x v="1"/>
    <n v="0"/>
  </r>
  <r>
    <x v="0"/>
    <d v="2024-01-15T08:00:00"/>
    <n v="172.10768383189"/>
    <n v="164.359672096254"/>
    <n v="164.359672096254"/>
    <n v="53.6520216966898"/>
    <s v="OK"/>
    <s v="NON-ZERO"/>
    <n v="199.99999999999901"/>
    <n v="0.82179836048127408"/>
    <x v="0"/>
    <n v="-35.640327903745003"/>
    <x v="1"/>
    <n v="-1.7820163951872501"/>
  </r>
  <r>
    <x v="0"/>
    <d v="2024-01-15T09:00:00"/>
    <n v="236.15617106875499"/>
    <n v="225.52479921977499"/>
    <n v="225.52479921977499"/>
    <n v="37.045222044736299"/>
    <s v="OK"/>
    <s v="NON-ZERO"/>
    <n v="282.84271247461902"/>
    <n v="0.79735057427018752"/>
    <x v="0"/>
    <n v="-57.317913254844029"/>
    <x v="1"/>
    <n v="-2.8658956627422012"/>
  </r>
  <r>
    <x v="0"/>
    <d v="2024-01-15T10:00:00"/>
    <n v="333.20450921924498"/>
    <n v="318.20417692542799"/>
    <n v="318.20417692542799"/>
    <n v="54.762053285042903"/>
    <s v="OK"/>
    <s v="NON-ZERO"/>
    <n v="346.41016151377499"/>
    <n v="0.91857633602579702"/>
    <x v="1"/>
    <n v="-28.205984588347008"/>
    <x v="1"/>
    <n v="0"/>
  </r>
  <r>
    <x v="0"/>
    <d v="2024-01-15T11:00:00"/>
    <n v="348.11653389678401"/>
    <n v="332.44488618211398"/>
    <n v="332.44488618211398"/>
    <n v="58.931133885216298"/>
    <s v="OK"/>
    <s v="NON-ZERO"/>
    <n v="386.37033051562702"/>
    <n v="0.86043067990871003"/>
    <x v="1"/>
    <n v="-53.925444333513042"/>
    <x v="1"/>
    <n v="0"/>
  </r>
  <r>
    <x v="0"/>
    <d v="2024-01-15T12:00:00"/>
    <n v="367.28116029570799"/>
    <n v="350.746751855068"/>
    <n v="350.746751855068"/>
    <n v="49.911708567267503"/>
    <s v="OK"/>
    <s v="NON-ZERO"/>
    <n v="400"/>
    <n v="0.87686687963766996"/>
    <x v="1"/>
    <n v="-49.253248144932002"/>
    <x v="1"/>
    <n v="0"/>
  </r>
  <r>
    <x v="0"/>
    <d v="2024-01-15T13:00:00"/>
    <n v="366.51264282234001"/>
    <n v="350.01283180506903"/>
    <n v="350.01283180506903"/>
    <n v="65.592881959508304"/>
    <s v="OK"/>
    <s v="NON-ZERO"/>
    <n v="386.37033051562702"/>
    <n v="0.90589986901417241"/>
    <x v="1"/>
    <n v="-36.357498710557991"/>
    <x v="1"/>
    <n v="0"/>
  </r>
  <r>
    <x v="0"/>
    <d v="2024-01-15T14:00:00"/>
    <n v="345.57812424212102"/>
    <n v="330.02075165658101"/>
    <n v="330.02075165658101"/>
    <n v="21.367443700727101"/>
    <s v="OK"/>
    <s v="NON-ZERO"/>
    <n v="346.41016151377499"/>
    <n v="0.95268784903544967"/>
    <x v="1"/>
    <n v="-16.389409857193982"/>
    <x v="1"/>
    <n v="0"/>
  </r>
  <r>
    <x v="0"/>
    <d v="2024-01-15T15:00:00"/>
    <n v="280.09427517096702"/>
    <n v="267.48488038514898"/>
    <n v="267.48488038514898"/>
    <n v="68.560603561595201"/>
    <s v="OK"/>
    <s v="NON-ZERO"/>
    <n v="282.84271247461902"/>
    <n v="0.94570186392605682"/>
    <x v="1"/>
    <n v="-15.357832089470037"/>
    <x v="1"/>
    <n v="0"/>
  </r>
  <r>
    <x v="0"/>
    <d v="2024-01-15T16:00:00"/>
    <n v="186.46240036798599"/>
    <n v="178.068162329682"/>
    <n v="178.068162329682"/>
    <n v="90.082702010413499"/>
    <s v="OK"/>
    <s v="NON-ZERO"/>
    <n v="199.99999999999901"/>
    <n v="0.89034081164841439"/>
    <x v="1"/>
    <n v="-21.931837670317009"/>
    <x v="1"/>
    <n v="0"/>
  </r>
  <r>
    <x v="0"/>
    <d v="2024-01-15T17:00:00"/>
    <n v="101.192647559104"/>
    <n v="96.637116955288505"/>
    <n v="96.637116955288505"/>
    <n v="56.440381938974397"/>
    <s v="OK"/>
    <s v="NON-ZERO"/>
    <n v="103.527618041008"/>
    <n v="0.93344287045230656"/>
    <x v="1"/>
    <n v="-6.8905010857194924"/>
    <x v="1"/>
    <n v="0"/>
  </r>
  <r>
    <x v="0"/>
    <d v="2024-01-15T18:00:00"/>
    <n v="4.3551375257394503E-14"/>
    <n v="4.1590762232545698E-14"/>
    <n v="4.1590762232545698E-14"/>
    <n v="60.437095750643998"/>
    <s v="OK"/>
    <s v="NON-ZERO"/>
    <n v="4.8985871965894097E-14"/>
    <n v="0.84903586612692805"/>
    <x v="0"/>
    <n v="-7.3951097333483994E-15"/>
    <x v="1"/>
    <n v="-3.6975548666741992E-16"/>
  </r>
  <r>
    <x v="0"/>
    <d v="2024-01-15T19:00:00"/>
    <n v="0"/>
    <n v="0"/>
    <n v="0"/>
    <n v="73.711300566739496"/>
    <s v="OK"/>
    <s v="ZERO"/>
    <n v="0"/>
    <n v="0"/>
    <x v="0"/>
    <n v="0"/>
    <x v="0"/>
    <n v="0"/>
  </r>
  <r>
    <x v="0"/>
    <d v="2024-01-15T20:00:00"/>
    <n v="0"/>
    <n v="0"/>
    <n v="0"/>
    <n v="71.083839047373701"/>
    <s v="OK"/>
    <s v="ZERO"/>
    <n v="0"/>
    <n v="0"/>
    <x v="0"/>
    <n v="0"/>
    <x v="0"/>
    <n v="0"/>
  </r>
  <r>
    <x v="0"/>
    <d v="2024-01-15T21:00:00"/>
    <n v="0"/>
    <n v="0"/>
    <n v="0"/>
    <n v="73.178469629182402"/>
    <s v="OK"/>
    <s v="ZERO"/>
    <n v="0"/>
    <n v="0"/>
    <x v="0"/>
    <n v="0"/>
    <x v="0"/>
    <n v="0"/>
  </r>
  <r>
    <x v="0"/>
    <d v="2024-01-15T22:00:00"/>
    <n v="0"/>
    <n v="0"/>
    <n v="0"/>
    <n v="56.265923503994301"/>
    <s v="OK"/>
    <s v="ZERO"/>
    <n v="0"/>
    <n v="0"/>
    <x v="0"/>
    <n v="0"/>
    <x v="0"/>
    <n v="0"/>
  </r>
  <r>
    <x v="0"/>
    <d v="2024-01-15T23:00:00"/>
    <n v="0"/>
    <n v="0"/>
    <n v="0"/>
    <n v="23.255939964111398"/>
    <s v="OK"/>
    <s v="ZERO"/>
    <n v="0"/>
    <n v="0"/>
    <x v="0"/>
    <n v="0"/>
    <x v="0"/>
    <n v="0"/>
  </r>
  <r>
    <x v="0"/>
    <d v="2024-01-16T00:00:00"/>
    <n v="0"/>
    <n v="0"/>
    <n v="0"/>
    <n v="86.315484751130498"/>
    <s v="OK"/>
    <s v="ZERO"/>
    <n v="0"/>
    <n v="0"/>
    <x v="0"/>
    <n v="0"/>
    <x v="0"/>
    <n v="0"/>
  </r>
  <r>
    <x v="0"/>
    <d v="2024-01-16T01:00:00"/>
    <n v="0"/>
    <n v="0"/>
    <n v="0"/>
    <n v="65.823574163824304"/>
    <s v="OK"/>
    <s v="ZERO"/>
    <n v="0"/>
    <n v="0"/>
    <x v="0"/>
    <n v="0"/>
    <x v="0"/>
    <n v="0"/>
  </r>
  <r>
    <x v="0"/>
    <d v="2024-01-16T02:00:00"/>
    <n v="0"/>
    <n v="0"/>
    <n v="0"/>
    <n v="37.765291923086103"/>
    <s v="OK"/>
    <s v="ZERO"/>
    <n v="0"/>
    <n v="0"/>
    <x v="0"/>
    <n v="0"/>
    <x v="0"/>
    <n v="0"/>
  </r>
  <r>
    <x v="0"/>
    <d v="2024-01-16T03:00:00"/>
    <n v="0"/>
    <n v="0"/>
    <n v="0"/>
    <n v="81.696073888525802"/>
    <s v="OK"/>
    <s v="ZERO"/>
    <n v="0"/>
    <n v="0"/>
    <x v="0"/>
    <n v="0"/>
    <x v="0"/>
    <n v="0"/>
  </r>
  <r>
    <x v="0"/>
    <d v="2024-01-16T04:00:00"/>
    <n v="0"/>
    <n v="0"/>
    <n v="0"/>
    <n v="53.8825759052921"/>
    <s v="OK"/>
    <s v="ZERO"/>
    <n v="0"/>
    <n v="0"/>
    <x v="0"/>
    <n v="0"/>
    <x v="0"/>
    <n v="0"/>
  </r>
  <r>
    <x v="0"/>
    <d v="2024-01-16T05:00:00"/>
    <n v="0"/>
    <n v="0"/>
    <n v="0"/>
    <n v="75.265530870813606"/>
    <s v="OK"/>
    <s v="ZERO"/>
    <n v="0"/>
    <n v="0"/>
    <x v="0"/>
    <n v="0"/>
    <x v="0"/>
    <n v="0"/>
  </r>
  <r>
    <x v="0"/>
    <d v="2024-01-16T06:00:00"/>
    <n v="0"/>
    <n v="0"/>
    <n v="0"/>
    <n v="68.147862533244904"/>
    <s v="OK"/>
    <s v="ZERO"/>
    <n v="0"/>
    <n v="0"/>
    <x v="0"/>
    <n v="0"/>
    <x v="0"/>
    <n v="0"/>
  </r>
  <r>
    <x v="0"/>
    <d v="2024-01-16T07:00:00"/>
    <n v="101.637995552296"/>
    <n v="97.062416096500797"/>
    <n v="97.062416096500797"/>
    <n v="37.396032208698102"/>
    <s v="OK"/>
    <s v="NON-ZERO"/>
    <n v="103.527618041008"/>
    <n v="0.93755094469626177"/>
    <x v="1"/>
    <n v="-6.4652019445072"/>
    <x v="1"/>
    <n v="0"/>
  </r>
  <r>
    <x v="0"/>
    <d v="2024-01-16T08:00:00"/>
    <n v="210.43291044736901"/>
    <n v="200.95955851206099"/>
    <n v="200.95955851206099"/>
    <n v="30.232981441754902"/>
    <s v="OK"/>
    <s v="NON-ZERO"/>
    <n v="199.99999999999901"/>
    <n v="1.00479779256031"/>
    <x v="1"/>
    <n v="0.95955851206198872"/>
    <x v="0"/>
    <n v="0"/>
  </r>
  <r>
    <x v="0"/>
    <d v="2024-01-16T09:00:00"/>
    <n v="235.333122641107"/>
    <n v="224.73880311155"/>
    <n v="224.73880311155"/>
    <n v="52.114971119421099"/>
    <s v="OK"/>
    <s v="NON-ZERO"/>
    <n v="282.84271247461902"/>
    <n v="0.79457165837962684"/>
    <x v="0"/>
    <n v="-58.103909363069022"/>
    <x v="1"/>
    <n v="-2.9051954681534511"/>
  </r>
  <r>
    <x v="0"/>
    <d v="2024-01-16T10:00:00"/>
    <n v="352.76570604936501"/>
    <n v="336.88476006516299"/>
    <n v="336.88476006516299"/>
    <n v="27.808223703812398"/>
    <s v="OK"/>
    <s v="NON-ZERO"/>
    <n v="346.41016151377499"/>
    <n v="0.972502534547523"/>
    <x v="1"/>
    <n v="-9.5254014486120013"/>
    <x v="1"/>
    <n v="0"/>
  </r>
  <r>
    <x v="0"/>
    <d v="2024-01-16T11:00:00"/>
    <n v="396.911842073645"/>
    <n v="379.04350788931401"/>
    <n v="379.04350788931401"/>
    <n v="40.562049991985397"/>
    <s v="OK"/>
    <s v="NON-ZERO"/>
    <n v="386.37033051562702"/>
    <n v="0.98103678764222124"/>
    <x v="1"/>
    <n v="-7.3268226263130032"/>
    <x v="1"/>
    <n v="0"/>
  </r>
  <r>
    <x v="0"/>
    <d v="2024-01-16T12:00:00"/>
    <n v="349.17818008057202"/>
    <n v="333.45873875838902"/>
    <n v="333.45873875838902"/>
    <n v="58.929484318120203"/>
    <s v="OK"/>
    <s v="NON-ZERO"/>
    <n v="400"/>
    <n v="0.83364684689597257"/>
    <x v="0"/>
    <n v="-66.541261241610982"/>
    <x v="1"/>
    <n v="-3.327063062080549"/>
  </r>
  <r>
    <x v="0"/>
    <d v="2024-01-16T13:00:00"/>
    <n v="347.81408605776301"/>
    <n v="332.15605405945098"/>
    <n v="332.15605405945098"/>
    <n v="37.528406143282403"/>
    <s v="OK"/>
    <s v="NON-ZERO"/>
    <n v="386.37033051562702"/>
    <n v="0.85968312736688435"/>
    <x v="1"/>
    <n v="-54.214276456176037"/>
    <x v="1"/>
    <n v="0"/>
  </r>
  <r>
    <x v="0"/>
    <d v="2024-01-16T14:00:00"/>
    <n v="354.09160037766901"/>
    <n v="338.15096475854102"/>
    <n v="338.15096475854102"/>
    <n v="44.325031483653099"/>
    <s v="OK"/>
    <s v="NON-ZERO"/>
    <n v="346.41016151377499"/>
    <n v="0.97615775265037785"/>
    <x v="1"/>
    <n v="-8.2591967552339725"/>
    <x v="1"/>
    <n v="0"/>
  </r>
  <r>
    <x v="0"/>
    <d v="2024-01-16T15:00:00"/>
    <n v="270.84961219438702"/>
    <n v="258.656397300366"/>
    <n v="258.656397300366"/>
    <n v="94.560452091587507"/>
    <s v="OK"/>
    <s v="NON-ZERO"/>
    <n v="282.84271247461902"/>
    <n v="0.91448846264185302"/>
    <x v="1"/>
    <n v="-24.186315174253025"/>
    <x v="1"/>
    <n v="0"/>
  </r>
  <r>
    <x v="0"/>
    <d v="2024-01-16T16:00:00"/>
    <n v="199.72997061087599"/>
    <n v="190.73844785142199"/>
    <n v="190.73844785142199"/>
    <n v="24.510675695058801"/>
    <s v="OK"/>
    <s v="NON-ZERO"/>
    <n v="199.99999999999901"/>
    <n v="0.95369223925711477"/>
    <x v="1"/>
    <n v="-9.2615521485770103"/>
    <x v="1"/>
    <n v="0"/>
  </r>
  <r>
    <x v="0"/>
    <d v="2024-01-16T17:00:00"/>
    <n v="112.457703175746"/>
    <n v="107.395037845711"/>
    <n v="107.395037845711"/>
    <n v="33.147720676824399"/>
    <s v="OK"/>
    <s v="NON-ZERO"/>
    <n v="103.527618041008"/>
    <n v="1.0373564067046446"/>
    <x v="1"/>
    <n v="3.8674198047030046"/>
    <x v="0"/>
    <n v="0"/>
  </r>
  <r>
    <x v="0"/>
    <d v="2024-01-16T18:00:00"/>
    <n v="4.3139483232081898E-14"/>
    <n v="4.1197412925227298E-14"/>
    <n v="4.1197412925227298E-14"/>
    <n v="53.777820219363797"/>
    <s v="OK"/>
    <s v="NON-ZERO"/>
    <n v="4.8985871965894097E-14"/>
    <n v="0.84100601401788999"/>
    <x v="0"/>
    <n v="-7.7884590406667994E-15"/>
    <x v="1"/>
    <n v="-3.8942295203333995E-16"/>
  </r>
  <r>
    <x v="0"/>
    <d v="2024-01-16T19:00:00"/>
    <n v="0"/>
    <n v="0"/>
    <n v="0"/>
    <n v="69.868379336541295"/>
    <s v="OK"/>
    <s v="ZERO"/>
    <n v="0"/>
    <n v="0"/>
    <x v="0"/>
    <n v="0"/>
    <x v="0"/>
    <n v="0"/>
  </r>
  <r>
    <x v="0"/>
    <d v="2024-01-16T20:00:00"/>
    <n v="0"/>
    <n v="0"/>
    <n v="0"/>
    <n v="89.525072594322097"/>
    <s v="OK"/>
    <s v="ZERO"/>
    <n v="0"/>
    <n v="0"/>
    <x v="0"/>
    <n v="0"/>
    <x v="0"/>
    <n v="0"/>
  </r>
  <r>
    <x v="0"/>
    <d v="2024-01-16T21:00:00"/>
    <n v="0"/>
    <n v="0"/>
    <n v="0"/>
    <n v="59.0718482954031"/>
    <s v="OK"/>
    <s v="ZERO"/>
    <n v="0"/>
    <n v="0"/>
    <x v="0"/>
    <n v="0"/>
    <x v="0"/>
    <n v="0"/>
  </r>
  <r>
    <x v="0"/>
    <d v="2024-01-16T22:00:00"/>
    <n v="0"/>
    <n v="0"/>
    <n v="0"/>
    <n v="81.955072268939603"/>
    <s v="OK"/>
    <s v="ZERO"/>
    <n v="0"/>
    <n v="0"/>
    <x v="0"/>
    <n v="0"/>
    <x v="0"/>
    <n v="0"/>
  </r>
  <r>
    <x v="0"/>
    <d v="2024-01-16T23:00:00"/>
    <n v="0"/>
    <n v="0"/>
    <n v="0"/>
    <n v="22.7120285393571"/>
    <s v="OK"/>
    <s v="ZERO"/>
    <n v="0"/>
    <n v="0"/>
    <x v="0"/>
    <n v="0"/>
    <x v="0"/>
    <n v="0"/>
  </r>
  <r>
    <x v="0"/>
    <d v="2024-01-17T00:00:00"/>
    <n v="0"/>
    <n v="0"/>
    <n v="0"/>
    <n v="90.271836727329699"/>
    <s v="OK"/>
    <s v="ZERO"/>
    <n v="0"/>
    <n v="0"/>
    <x v="0"/>
    <n v="0"/>
    <x v="0"/>
    <n v="0"/>
  </r>
  <r>
    <x v="0"/>
    <d v="2024-01-17T01:00:00"/>
    <n v="0"/>
    <n v="0"/>
    <n v="0"/>
    <n v="49.773613780571203"/>
    <s v="OK"/>
    <s v="ZERO"/>
    <n v="0"/>
    <n v="0"/>
    <x v="0"/>
    <n v="0"/>
    <x v="0"/>
    <n v="0"/>
  </r>
  <r>
    <x v="0"/>
    <d v="2024-01-17T02:00:00"/>
    <n v="0"/>
    <n v="0"/>
    <n v="0"/>
    <n v="57.272261217937199"/>
    <s v="OK"/>
    <s v="ZERO"/>
    <n v="0"/>
    <n v="0"/>
    <x v="0"/>
    <n v="0"/>
    <x v="0"/>
    <n v="0"/>
  </r>
  <r>
    <x v="0"/>
    <d v="2024-01-17T03:00:00"/>
    <n v="0"/>
    <n v="0"/>
    <n v="0"/>
    <n v="35.6382885768001"/>
    <s v="OK"/>
    <s v="ZERO"/>
    <n v="0"/>
    <n v="0"/>
    <x v="0"/>
    <n v="0"/>
    <x v="0"/>
    <n v="0"/>
  </r>
  <r>
    <x v="0"/>
    <d v="2024-01-17T04:00:00"/>
    <n v="0"/>
    <n v="0"/>
    <n v="0"/>
    <n v="80.444405008821505"/>
    <s v="OK"/>
    <s v="ZERO"/>
    <n v="0"/>
    <n v="0"/>
    <x v="0"/>
    <n v="0"/>
    <x v="0"/>
    <n v="0"/>
  </r>
  <r>
    <x v="0"/>
    <d v="2024-01-17T05:00:00"/>
    <n v="0"/>
    <n v="0"/>
    <n v="0"/>
    <n v="26.068946228843899"/>
    <s v="OK"/>
    <s v="ZERO"/>
    <n v="0"/>
    <n v="0"/>
    <x v="0"/>
    <n v="0"/>
    <x v="0"/>
    <n v="0"/>
  </r>
  <r>
    <x v="0"/>
    <d v="2024-01-17T06:00:00"/>
    <n v="0"/>
    <n v="0"/>
    <n v="0"/>
    <n v="93.170765064493594"/>
    <s v="OK"/>
    <s v="ZERO"/>
    <n v="0"/>
    <n v="0"/>
    <x v="0"/>
    <n v="0"/>
    <x v="0"/>
    <n v="0"/>
  </r>
  <r>
    <x v="0"/>
    <d v="2024-01-17T07:00:00"/>
    <n v="95.792953335145995"/>
    <n v="91.480508300112604"/>
    <n v="91.480508300112604"/>
    <n v="29.9393504556386"/>
    <s v="OK"/>
    <s v="NON-ZERO"/>
    <n v="103.527618041008"/>
    <n v="0.88363385569130504"/>
    <x v="1"/>
    <n v="-12.047109740895394"/>
    <x v="1"/>
    <n v="0"/>
  </r>
  <r>
    <x v="0"/>
    <d v="2024-01-17T08:00:00"/>
    <n v="224.508286902007"/>
    <n v="214.401284106226"/>
    <n v="214.401284106226"/>
    <n v="57.692455734758099"/>
    <s v="OK"/>
    <s v="NON-ZERO"/>
    <n v="199.99999999999901"/>
    <n v="1.0720064205311353"/>
    <x v="1"/>
    <n v="14.401284106226996"/>
    <x v="0"/>
    <n v="0"/>
  </r>
  <r>
    <x v="0"/>
    <d v="2024-01-17T09:00:00"/>
    <n v="262.75810239965398"/>
    <n v="250.92915429171001"/>
    <n v="250.92915429171001"/>
    <n v="47.565081671864803"/>
    <s v="OK"/>
    <s v="NON-ZERO"/>
    <n v="282.84271247461902"/>
    <n v="0.88716853298536802"/>
    <x v="1"/>
    <n v="-31.913558182909014"/>
    <x v="1"/>
    <n v="0"/>
  </r>
  <r>
    <x v="0"/>
    <d v="2024-01-17T10:00:00"/>
    <n v="341.40212259885902"/>
    <n v="326.03274690584402"/>
    <n v="326.03274690584402"/>
    <n v="57.960639713018303"/>
    <s v="OK"/>
    <s v="NON-ZERO"/>
    <n v="346.41016151377499"/>
    <n v="0.94117547095361209"/>
    <x v="1"/>
    <n v="-20.377414607930973"/>
    <x v="1"/>
    <n v="0"/>
  </r>
  <r>
    <x v="0"/>
    <d v="2024-01-17T11:00:00"/>
    <n v="368.51198060537001"/>
    <n v="351.922162609552"/>
    <n v="351.922162609552"/>
    <n v="68.061973601765402"/>
    <s v="OK"/>
    <s v="NON-ZERO"/>
    <n v="386.37033051562702"/>
    <n v="0.91084158077018351"/>
    <x v="1"/>
    <n v="-34.448167906075014"/>
    <x v="1"/>
    <n v="0"/>
  </r>
  <r>
    <x v="0"/>
    <d v="2024-01-17T12:00:00"/>
    <n v="395.12315592712702"/>
    <n v="377.33534552271101"/>
    <n v="377.33534552271101"/>
    <n v="24.6012220333001"/>
    <s v="OK"/>
    <s v="NON-ZERO"/>
    <n v="400"/>
    <n v="0.94333836380677749"/>
    <x v="1"/>
    <n v="-22.664654477288991"/>
    <x v="1"/>
    <n v="0"/>
  </r>
  <r>
    <x v="0"/>
    <d v="2024-01-17T13:00:00"/>
    <n v="332.365454860846"/>
    <n v="317.40289544776903"/>
    <n v="317.40289544776903"/>
    <n v="24.3622846629106"/>
    <s v="OK"/>
    <s v="NON-ZERO"/>
    <n v="386.37033051562702"/>
    <n v="0.82149914312566874"/>
    <x v="0"/>
    <n v="-68.967435067857991"/>
    <x v="1"/>
    <n v="-3.4483717533928995"/>
  </r>
  <r>
    <x v="0"/>
    <d v="2024-01-17T14:00:00"/>
    <n v="315.42189089413699"/>
    <n v="301.22210354059098"/>
    <n v="301.22210354059098"/>
    <n v="27.578435825798501"/>
    <s v="OK"/>
    <s v="NON-ZERO"/>
    <n v="346.41016151377499"/>
    <n v="0.86955331282512882"/>
    <x v="1"/>
    <n v="-45.188057973184016"/>
    <x v="1"/>
    <n v="0"/>
  </r>
  <r>
    <x v="0"/>
    <d v="2024-01-17T15:00:00"/>
    <n v="260.56455504872798"/>
    <n v="248.834356922419"/>
    <n v="248.834356922419"/>
    <n v="58.206659611234201"/>
    <s v="OK"/>
    <s v="NON-ZERO"/>
    <n v="282.84271247461902"/>
    <n v="0.879762305860181"/>
    <x v="1"/>
    <n v="-34.008355552200015"/>
    <x v="1"/>
    <n v="0"/>
  </r>
  <r>
    <x v="0"/>
    <d v="2024-01-17T16:00:00"/>
    <n v="168.519819230617"/>
    <n v="160.933327401691"/>
    <n v="160.933327401691"/>
    <n v="51.956253791777797"/>
    <s v="OK"/>
    <s v="NON-ZERO"/>
    <n v="199.99999999999901"/>
    <n v="0.80466663700845897"/>
    <x v="0"/>
    <n v="-39.066672598308003"/>
    <x v="1"/>
    <n v="-1.9533336299154003"/>
  </r>
  <r>
    <x v="0"/>
    <d v="2024-01-17T17:00:00"/>
    <n v="104.96359449702901"/>
    <n v="100.23830191351"/>
    <n v="100.23830191351"/>
    <n v="53.733848661599097"/>
    <s v="OK"/>
    <s v="NON-ZERO"/>
    <n v="103.527618041008"/>
    <n v="0.96822764601620526"/>
    <x v="1"/>
    <n v="-3.2893161274979974"/>
    <x v="1"/>
    <n v="0"/>
  </r>
  <r>
    <x v="0"/>
    <d v="2024-01-17T18:00:00"/>
    <n v="4.4797699801358197E-14"/>
    <n v="4.2780979245584298E-14"/>
    <n v="4.2780979245584298E-14"/>
    <n v="75.021078542105101"/>
    <s v="OK"/>
    <s v="NON-ZERO"/>
    <n v="4.8985871965894097E-14"/>
    <n v="0.87333301477965131"/>
    <x v="1"/>
    <n v="-6.2048927203097991E-15"/>
    <x v="1"/>
    <n v="0"/>
  </r>
  <r>
    <x v="0"/>
    <d v="2024-01-17T19:00:00"/>
    <n v="0"/>
    <n v="0"/>
    <n v="0"/>
    <n v="51.211549863482098"/>
    <s v="OK"/>
    <s v="ZERO"/>
    <n v="0"/>
    <n v="0"/>
    <x v="0"/>
    <n v="0"/>
    <x v="0"/>
    <n v="0"/>
  </r>
  <r>
    <x v="0"/>
    <d v="2024-01-17T20:00:00"/>
    <n v="0"/>
    <n v="0"/>
    <n v="0"/>
    <n v="30.283227929674901"/>
    <s v="OK"/>
    <s v="ZERO"/>
    <n v="0"/>
    <n v="0"/>
    <x v="0"/>
    <n v="0"/>
    <x v="0"/>
    <n v="0"/>
  </r>
  <r>
    <x v="0"/>
    <d v="2024-01-17T21:00:00"/>
    <n v="0"/>
    <n v="0"/>
    <n v="0"/>
    <n v="20.909058098291901"/>
    <s v="OK"/>
    <s v="ZERO"/>
    <n v="0"/>
    <n v="0"/>
    <x v="0"/>
    <n v="0"/>
    <x v="0"/>
    <n v="0"/>
  </r>
  <r>
    <x v="0"/>
    <d v="2024-01-17T22:00:00"/>
    <n v="0"/>
    <n v="0"/>
    <n v="0"/>
    <n v="83.326781205471207"/>
    <s v="OK"/>
    <s v="ZERO"/>
    <n v="0"/>
    <n v="0"/>
    <x v="0"/>
    <n v="0"/>
    <x v="0"/>
    <n v="0"/>
  </r>
  <r>
    <x v="0"/>
    <d v="2024-01-17T23:00:00"/>
    <n v="0"/>
    <n v="0"/>
    <n v="0"/>
    <n v="31.253649852048799"/>
    <s v="OK"/>
    <s v="ZERO"/>
    <n v="0"/>
    <n v="0"/>
    <x v="0"/>
    <n v="0"/>
    <x v="0"/>
    <n v="0"/>
  </r>
  <r>
    <x v="0"/>
    <d v="2024-01-18T00:00:00"/>
    <n v="0"/>
    <n v="0"/>
    <n v="0"/>
    <n v="49.585720892752597"/>
    <s v="OK"/>
    <s v="ZERO"/>
    <n v="0"/>
    <n v="0"/>
    <x v="0"/>
    <n v="0"/>
    <x v="0"/>
    <n v="0"/>
  </r>
  <r>
    <x v="0"/>
    <d v="2024-01-18T01:00:00"/>
    <n v="0"/>
    <n v="0"/>
    <n v="0"/>
    <n v="86.906351670517495"/>
    <s v="OK"/>
    <s v="ZERO"/>
    <n v="0"/>
    <n v="0"/>
    <x v="0"/>
    <n v="0"/>
    <x v="0"/>
    <n v="0"/>
  </r>
  <r>
    <x v="0"/>
    <d v="2024-01-18T02:00:00"/>
    <n v="0"/>
    <n v="0"/>
    <n v="0"/>
    <n v="83.065368456944199"/>
    <s v="OK"/>
    <s v="ZERO"/>
    <n v="0"/>
    <n v="0"/>
    <x v="0"/>
    <n v="0"/>
    <x v="0"/>
    <n v="0"/>
  </r>
  <r>
    <x v="0"/>
    <d v="2024-01-18T03:00:00"/>
    <n v="0"/>
    <n v="0"/>
    <n v="0"/>
    <n v="54.610809846854998"/>
    <s v="OK"/>
    <s v="ZERO"/>
    <n v="0"/>
    <n v="0"/>
    <x v="0"/>
    <n v="0"/>
    <x v="0"/>
    <n v="0"/>
  </r>
  <r>
    <x v="0"/>
    <d v="2024-01-18T04:00:00"/>
    <n v="0"/>
    <n v="0"/>
    <n v="0"/>
    <n v="66.045018857004607"/>
    <s v="OK"/>
    <s v="ZERO"/>
    <n v="0"/>
    <n v="0"/>
    <x v="0"/>
    <n v="0"/>
    <x v="0"/>
    <n v="0"/>
  </r>
  <r>
    <x v="0"/>
    <d v="2024-01-18T05:00:00"/>
    <n v="0"/>
    <n v="0"/>
    <n v="0"/>
    <n v="31.262675061278099"/>
    <s v="OK"/>
    <s v="ZERO"/>
    <n v="0"/>
    <n v="0"/>
    <x v="0"/>
    <n v="0"/>
    <x v="0"/>
    <n v="0"/>
  </r>
  <r>
    <x v="0"/>
    <d v="2024-01-18T06:00:00"/>
    <n v="0"/>
    <n v="0"/>
    <n v="0"/>
    <n v="26.359401203435201"/>
    <s v="OK"/>
    <s v="ZERO"/>
    <n v="0"/>
    <n v="0"/>
    <x v="0"/>
    <n v="0"/>
    <x v="0"/>
    <n v="0"/>
  </r>
  <r>
    <x v="0"/>
    <d v="2024-01-18T07:00:00"/>
    <n v="110.831388214437"/>
    <n v="105.84193697412501"/>
    <n v="105.84193697412501"/>
    <n v="25.344254582394299"/>
    <s v="OK"/>
    <s v="NON-ZERO"/>
    <n v="103.527618041008"/>
    <n v="1.0223546042776748"/>
    <x v="1"/>
    <n v="2.3143189331170078"/>
    <x v="0"/>
    <n v="0"/>
  </r>
  <r>
    <x v="0"/>
    <d v="2024-01-18T08:00:00"/>
    <n v="178.76510173503601"/>
    <n v="170.71738372891801"/>
    <n v="170.71738372891801"/>
    <n v="78.099014838588602"/>
    <s v="OK"/>
    <s v="NON-ZERO"/>
    <n v="199.99999999999901"/>
    <n v="0.85358691864459424"/>
    <x v="1"/>
    <n v="-29.282616271080997"/>
    <x v="1"/>
    <n v="0"/>
  </r>
  <r>
    <x v="0"/>
    <d v="2024-01-18T09:00:00"/>
    <n v="294.41572911876199"/>
    <n v="281.161605458623"/>
    <n v="281.161605458623"/>
    <n v="33.058200150056301"/>
    <s v="OK"/>
    <s v="NON-ZERO"/>
    <n v="282.84271247461902"/>
    <n v="0.9940563891454447"/>
    <x v="1"/>
    <n v="-1.6811070159960195"/>
    <x v="1"/>
    <n v="0"/>
  </r>
  <r>
    <x v="0"/>
    <d v="2024-01-18T10:00:00"/>
    <n v="335.94096983401897"/>
    <n v="320.81744647467099"/>
    <n v="320.81744647467099"/>
    <n v="21.570872077318398"/>
    <s v="OK"/>
    <s v="NON-ZERO"/>
    <n v="346.41016151377499"/>
    <n v="0.92612019541439949"/>
    <x v="1"/>
    <n v="-25.592715039104007"/>
    <x v="1"/>
    <n v="0"/>
  </r>
  <r>
    <x v="0"/>
    <d v="2024-01-18T11:00:00"/>
    <n v="347.90728490297101"/>
    <n v="332.24505724221001"/>
    <n v="332.24505724221001"/>
    <n v="42.158358310806499"/>
    <s v="OK"/>
    <s v="NON-ZERO"/>
    <n v="386.37033051562702"/>
    <n v="0.85991348455461214"/>
    <x v="1"/>
    <n v="-54.125273273417008"/>
    <x v="1"/>
    <n v="0"/>
  </r>
  <r>
    <x v="0"/>
    <d v="2024-01-18T12:00:00"/>
    <n v="396.99967082194098"/>
    <n v="379.12738272830501"/>
    <n v="379.12738272830501"/>
    <n v="29.103981361955402"/>
    <s v="OK"/>
    <s v="NON-ZERO"/>
    <n v="400"/>
    <n v="0.94781845682076249"/>
    <x v="1"/>
    <n v="-20.872617271694992"/>
    <x v="1"/>
    <n v="0"/>
  </r>
  <r>
    <x v="0"/>
    <d v="2024-01-18T13:00:00"/>
    <n v="402.51331644841099"/>
    <n v="384.39281287671599"/>
    <n v="384.39281287671599"/>
    <n v="68.292819015584797"/>
    <s v="OK"/>
    <s v="NON-ZERO"/>
    <n v="386.37033051562702"/>
    <n v="0.9948818077302366"/>
    <x v="1"/>
    <n v="-1.9775176389110243"/>
    <x v="1"/>
    <n v="0"/>
  </r>
  <r>
    <x v="0"/>
    <d v="2024-01-18T14:00:00"/>
    <n v="314.94397438151299"/>
    <n v="300.76570206242599"/>
    <n v="300.76570206242599"/>
    <n v="41.961652752572299"/>
    <s v="OK"/>
    <s v="NON-ZERO"/>
    <n v="346.41016151377499"/>
    <n v="0.86823579524374328"/>
    <x v="1"/>
    <n v="-45.644459451349007"/>
    <x v="1"/>
    <n v="0"/>
  </r>
  <r>
    <x v="0"/>
    <d v="2024-01-18T15:00:00"/>
    <n v="269.46465828463101"/>
    <n v="257.33379179311601"/>
    <n v="257.33379179311601"/>
    <n v="63.681699365543402"/>
    <s v="OK"/>
    <s v="NON-ZERO"/>
    <n v="282.84271247461902"/>
    <n v="0.90981234602679728"/>
    <x v="1"/>
    <n v="-25.508920681503014"/>
    <x v="1"/>
    <n v="0"/>
  </r>
  <r>
    <x v="0"/>
    <d v="2024-01-18T16:00:00"/>
    <n v="200.44121751484499"/>
    <n v="191.41767556115099"/>
    <n v="191.41767556115099"/>
    <n v="45.3700629495873"/>
    <s v="OK"/>
    <s v="NON-ZERO"/>
    <n v="199.99999999999901"/>
    <n v="0.95708837780575973"/>
    <x v="1"/>
    <n v="-8.5823244388480191"/>
    <x v="1"/>
    <n v="0"/>
  </r>
  <r>
    <x v="0"/>
    <d v="2024-01-18T17:00:00"/>
    <n v="102.651778753332"/>
    <n v="98.030560404699202"/>
    <n v="98.030560404699202"/>
    <n v="47.912526787813498"/>
    <s v="OK"/>
    <s v="NON-ZERO"/>
    <n v="103.527618041008"/>
    <n v="0.94690250060489778"/>
    <x v="1"/>
    <n v="-5.4970576363087957"/>
    <x v="1"/>
    <n v="0"/>
  </r>
  <r>
    <x v="0"/>
    <d v="2024-01-18T18:00:00"/>
    <n v="4.0577883857140703E-14"/>
    <n v="3.8751132643409397E-14"/>
    <n v="3.8751132643409397E-14"/>
    <n v="38.051953387437798"/>
    <s v="OK"/>
    <s v="NON-ZERO"/>
    <n v="4.8985871965894097E-14"/>
    <n v="0.79106752800867708"/>
    <x v="0"/>
    <n v="-1.02347393224847E-14"/>
    <x v="1"/>
    <n v="-5.1173696612423493E-16"/>
  </r>
  <r>
    <x v="0"/>
    <d v="2024-01-18T19:00:00"/>
    <n v="0"/>
    <n v="0"/>
    <n v="0"/>
    <n v="86.519367515695194"/>
    <s v="OK"/>
    <s v="ZERO"/>
    <n v="0"/>
    <n v="0"/>
    <x v="0"/>
    <n v="0"/>
    <x v="0"/>
    <n v="0"/>
  </r>
  <r>
    <x v="0"/>
    <d v="2024-01-18T20:00:00"/>
    <n v="0"/>
    <n v="0"/>
    <n v="0"/>
    <n v="83.488575401770802"/>
    <s v="OK"/>
    <s v="ZERO"/>
    <n v="0"/>
    <n v="0"/>
    <x v="0"/>
    <n v="0"/>
    <x v="0"/>
    <n v="0"/>
  </r>
  <r>
    <x v="0"/>
    <d v="2024-01-18T21:00:00"/>
    <n v="0"/>
    <n v="0"/>
    <n v="0"/>
    <n v="76.6281446559708"/>
    <s v="OK"/>
    <s v="ZERO"/>
    <n v="0"/>
    <n v="0"/>
    <x v="0"/>
    <n v="0"/>
    <x v="0"/>
    <n v="0"/>
  </r>
  <r>
    <x v="0"/>
    <d v="2024-01-18T22:00:00"/>
    <n v="0"/>
    <n v="0"/>
    <n v="0"/>
    <n v="69.212137826080294"/>
    <s v="OK"/>
    <s v="ZERO"/>
    <n v="0"/>
    <n v="0"/>
    <x v="0"/>
    <n v="0"/>
    <x v="0"/>
    <n v="0"/>
  </r>
  <r>
    <x v="0"/>
    <d v="2024-01-18T23:00:00"/>
    <n v="0"/>
    <n v="0"/>
    <n v="0"/>
    <n v="93.850230464338097"/>
    <s v="OK"/>
    <s v="ZERO"/>
    <n v="0"/>
    <n v="0"/>
    <x v="0"/>
    <n v="0"/>
    <x v="0"/>
    <n v="0"/>
  </r>
  <r>
    <x v="0"/>
    <d v="2024-01-19T00:00:00"/>
    <n v="0"/>
    <n v="0"/>
    <n v="0"/>
    <n v="36.013352473300301"/>
    <s v="OK"/>
    <s v="ZERO"/>
    <n v="0"/>
    <n v="0"/>
    <x v="0"/>
    <n v="0"/>
    <x v="0"/>
    <n v="0"/>
  </r>
  <r>
    <x v="0"/>
    <d v="2024-01-19T01:00:00"/>
    <n v="0"/>
    <n v="0"/>
    <n v="0"/>
    <n v="74.960115857468793"/>
    <s v="OK"/>
    <s v="ZERO"/>
    <n v="0"/>
    <n v="0"/>
    <x v="0"/>
    <n v="0"/>
    <x v="0"/>
    <n v="0"/>
  </r>
  <r>
    <x v="0"/>
    <d v="2024-01-19T02:00:00"/>
    <n v="0"/>
    <n v="0"/>
    <n v="0"/>
    <n v="62.376649464426201"/>
    <s v="OK"/>
    <s v="ZERO"/>
    <n v="0"/>
    <n v="0"/>
    <x v="0"/>
    <n v="0"/>
    <x v="0"/>
    <n v="0"/>
  </r>
  <r>
    <x v="0"/>
    <d v="2024-01-19T03:00:00"/>
    <n v="0"/>
    <n v="0"/>
    <n v="0"/>
    <n v="67.721851548443595"/>
    <s v="OK"/>
    <s v="ZERO"/>
    <n v="0"/>
    <n v="0"/>
    <x v="0"/>
    <n v="0"/>
    <x v="0"/>
    <n v="0"/>
  </r>
  <r>
    <x v="0"/>
    <d v="2024-01-19T04:00:00"/>
    <n v="0"/>
    <n v="0"/>
    <n v="0"/>
    <n v="38.500914839121698"/>
    <s v="OK"/>
    <s v="ZERO"/>
    <n v="0"/>
    <n v="0"/>
    <x v="0"/>
    <n v="0"/>
    <x v="0"/>
    <n v="0"/>
  </r>
  <r>
    <x v="0"/>
    <d v="2024-01-19T05:00:00"/>
    <n v="0"/>
    <n v="0"/>
    <n v="0"/>
    <n v="27.438357469041101"/>
    <s v="OK"/>
    <s v="ZERO"/>
    <n v="0"/>
    <n v="0"/>
    <x v="0"/>
    <n v="0"/>
    <x v="0"/>
    <n v="0"/>
  </r>
  <r>
    <x v="0"/>
    <d v="2024-01-19T06:00:00"/>
    <n v="0"/>
    <n v="0"/>
    <n v="0"/>
    <n v="74.980347202225602"/>
    <s v="OK"/>
    <s v="ZERO"/>
    <n v="0"/>
    <n v="0"/>
    <x v="0"/>
    <n v="0"/>
    <x v="0"/>
    <n v="0"/>
  </r>
  <r>
    <x v="0"/>
    <d v="2024-01-19T07:00:00"/>
    <n v="95.287147074227505"/>
    <n v="90.9974726253661"/>
    <n v="90.9974726253661"/>
    <n v="46.653842651430402"/>
    <s v="OK"/>
    <s v="NON-ZERO"/>
    <n v="103.527618041008"/>
    <n v="0.87896808935873882"/>
    <x v="1"/>
    <n v="-12.530145415641897"/>
    <x v="1"/>
    <n v="0"/>
  </r>
  <r>
    <x v="0"/>
    <d v="2024-01-19T08:00:00"/>
    <n v="0"/>
    <n v="0"/>
    <n v="0"/>
    <n v="22.6483516205179"/>
    <s v="OK"/>
    <s v="ZERO"/>
    <n v="199.99999999999901"/>
    <n v="0"/>
    <x v="0"/>
    <n v="-199.99999999999901"/>
    <x v="1"/>
    <n v="-9.9999999999999503"/>
  </r>
  <r>
    <x v="0"/>
    <d v="2024-01-19T09:00:00"/>
    <n v="297.504358078537"/>
    <n v="284.111189299118"/>
    <n v="284.111189299118"/>
    <n v="91.855511008953499"/>
    <s v="OK"/>
    <s v="NON-ZERO"/>
    <n v="282.84271247461902"/>
    <n v="1.0044847428219059"/>
    <x v="1"/>
    <n v="1.2684768244989755"/>
    <x v="0"/>
    <n v="0"/>
  </r>
  <r>
    <x v="0"/>
    <d v="2024-01-19T10:00:00"/>
    <n v="293.93250014668303"/>
    <n v="280.700130679403"/>
    <n v="280.700130679403"/>
    <n v="85.748807137114994"/>
    <s v="OK"/>
    <s v="NON-ZERO"/>
    <n v="346.41016151377499"/>
    <n v="0.81031148004658338"/>
    <x v="0"/>
    <n v="-65.710030834371992"/>
    <x v="1"/>
    <n v="-3.2855015417185998"/>
  </r>
  <r>
    <x v="0"/>
    <d v="2024-01-19T11:00:00"/>
    <n v="337.13068795551197"/>
    <n v="321.953605395539"/>
    <n v="321.953605395539"/>
    <n v="53.645797321590599"/>
    <s v="OK"/>
    <s v="NON-ZERO"/>
    <n v="386.37033051562702"/>
    <n v="0.83327724715787244"/>
    <x v="0"/>
    <n v="-64.416725120088017"/>
    <x v="1"/>
    <n v="-3.2208362560044006"/>
  </r>
  <r>
    <x v="0"/>
    <d v="2024-01-19T12:00:00"/>
    <n v="396.493594527364"/>
    <n v="378.64408917638201"/>
    <n v="378.64408917638201"/>
    <n v="50.946638063646702"/>
    <s v="OK"/>
    <s v="NON-ZERO"/>
    <n v="400"/>
    <n v="0.94661022294095498"/>
    <x v="1"/>
    <n v="-21.35591082361799"/>
    <x v="1"/>
    <n v="0"/>
  </r>
  <r>
    <x v="0"/>
    <d v="2024-01-19T13:00:00"/>
    <n v="376.21282267507701"/>
    <n v="451.455387210092"/>
    <n v="451.455387210092"/>
    <n v="66.469200309488002"/>
    <s v="ERROR"/>
    <s v="NON-ZERO"/>
    <n v="386.37033051562702"/>
    <n v="1.1684525222410487"/>
    <x v="1"/>
    <n v="65.085056694464981"/>
    <x v="0"/>
    <n v="0"/>
  </r>
  <r>
    <x v="0"/>
    <d v="2024-01-19T14:00:00"/>
    <n v="357.37695344506699"/>
    <n v="341.28841650302797"/>
    <n v="341.28841650302797"/>
    <n v="56.072966741459197"/>
    <s v="OK"/>
    <s v="NON-ZERO"/>
    <n v="346.41016151377499"/>
    <n v="0.98521479569662296"/>
    <x v="1"/>
    <n v="-5.1217450107470199"/>
    <x v="1"/>
    <n v="0"/>
  </r>
  <r>
    <x v="0"/>
    <d v="2024-01-19T15:00:00"/>
    <n v="257.355799112493"/>
    <n v="245.77005402916899"/>
    <n v="245.77005402916899"/>
    <n v="63.498784057109802"/>
    <s v="OK"/>
    <s v="NON-ZERO"/>
    <n v="282.84271247461902"/>
    <n v="0.86892835908304777"/>
    <x v="1"/>
    <n v="-37.072658445450031"/>
    <x v="1"/>
    <n v="0"/>
  </r>
  <r>
    <x v="0"/>
    <d v="2024-01-19T16:00:00"/>
    <n v="216.05841836130901"/>
    <n v="206.331815087271"/>
    <n v="206.331815087271"/>
    <n v="80.374174976057702"/>
    <s v="OK"/>
    <s v="NON-ZERO"/>
    <n v="199.99999999999901"/>
    <n v="1.0316590754363602"/>
    <x v="1"/>
    <n v="6.3318150872719912"/>
    <x v="0"/>
    <n v="0"/>
  </r>
  <r>
    <x v="0"/>
    <d v="2024-01-19T17:00:00"/>
    <n v="112.02340757192199"/>
    <n v="106.98029353303301"/>
    <n v="106.98029353303301"/>
    <n v="57.369176169759001"/>
    <s v="OK"/>
    <s v="NON-ZERO"/>
    <n v="103.527618041008"/>
    <n v="1.0333502842754227"/>
    <x v="1"/>
    <n v="3.4526754920250085"/>
    <x v="0"/>
    <n v="0"/>
  </r>
  <r>
    <x v="0"/>
    <d v="2024-01-19T18:00:00"/>
    <n v="5.0363018825483702E-14"/>
    <n v="4.8095756538211099E-14"/>
    <n v="4.8095756538211099E-14"/>
    <n v="58.795179233120699"/>
    <s v="OK"/>
    <s v="NON-ZERO"/>
    <n v="4.8985871965894097E-14"/>
    <n v="0.98182913987317133"/>
    <x v="1"/>
    <n v="-8.9011542768299837E-16"/>
    <x v="1"/>
    <n v="0"/>
  </r>
  <r>
    <x v="0"/>
    <d v="2024-01-19T19:00:00"/>
    <n v="0"/>
    <n v="0"/>
    <n v="0"/>
    <n v="44.614456520698297"/>
    <s v="OK"/>
    <s v="ZERO"/>
    <n v="0"/>
    <n v="0"/>
    <x v="0"/>
    <n v="0"/>
    <x v="0"/>
    <n v="0"/>
  </r>
  <r>
    <x v="0"/>
    <d v="2024-01-19T20:00:00"/>
    <n v="0"/>
    <n v="0"/>
    <n v="0"/>
    <n v="75.174733567939199"/>
    <s v="OK"/>
    <s v="ZERO"/>
    <n v="0"/>
    <n v="0"/>
    <x v="0"/>
    <n v="0"/>
    <x v="0"/>
    <n v="0"/>
  </r>
  <r>
    <x v="0"/>
    <d v="2024-01-19T21:00:00"/>
    <n v="0"/>
    <n v="0"/>
    <n v="0"/>
    <n v="68.192389965139299"/>
    <s v="OK"/>
    <s v="ZERO"/>
    <n v="0"/>
    <n v="0"/>
    <x v="0"/>
    <n v="0"/>
    <x v="0"/>
    <n v="0"/>
  </r>
  <r>
    <x v="0"/>
    <d v="2024-01-19T22:00:00"/>
    <n v="0"/>
    <n v="0"/>
    <n v="0"/>
    <n v="50.742866727221603"/>
    <s v="OK"/>
    <s v="ZERO"/>
    <n v="0"/>
    <n v="0"/>
    <x v="0"/>
    <n v="0"/>
    <x v="0"/>
    <n v="0"/>
  </r>
  <r>
    <x v="0"/>
    <d v="2024-01-19T23:00:00"/>
    <n v="0"/>
    <n v="0"/>
    <n v="0"/>
    <n v="62.890420342038901"/>
    <s v="OK"/>
    <s v="ZERO"/>
    <n v="0"/>
    <n v="0"/>
    <x v="0"/>
    <n v="0"/>
    <x v="0"/>
    <n v="0"/>
  </r>
  <r>
    <x v="0"/>
    <d v="2024-01-20T00:00:00"/>
    <n v="0"/>
    <n v="0"/>
    <n v="0"/>
    <n v="21.964753139904801"/>
    <s v="OK"/>
    <s v="ZERO"/>
    <n v="0"/>
    <n v="0"/>
    <x v="0"/>
    <n v="0"/>
    <x v="0"/>
    <n v="0"/>
  </r>
  <r>
    <x v="0"/>
    <d v="2024-01-20T01:00:00"/>
    <n v="0"/>
    <n v="0"/>
    <n v="0"/>
    <n v="40.4803107479609"/>
    <s v="OK"/>
    <s v="ZERO"/>
    <n v="0"/>
    <n v="0"/>
    <x v="0"/>
    <n v="0"/>
    <x v="0"/>
    <n v="0"/>
  </r>
  <r>
    <x v="0"/>
    <d v="2024-01-20T02:00:00"/>
    <n v="0"/>
    <n v="0"/>
    <n v="0"/>
    <n v="52.2242609554201"/>
    <s v="OK"/>
    <s v="ZERO"/>
    <n v="0"/>
    <n v="0"/>
    <x v="0"/>
    <n v="0"/>
    <x v="0"/>
    <n v="0"/>
  </r>
  <r>
    <x v="0"/>
    <d v="2024-01-20T03:00:00"/>
    <n v="0"/>
    <n v="0"/>
    <n v="0"/>
    <n v="33.957606338470796"/>
    <s v="OK"/>
    <s v="ZERO"/>
    <n v="0"/>
    <n v="0"/>
    <x v="0"/>
    <n v="0"/>
    <x v="0"/>
    <n v="0"/>
  </r>
  <r>
    <x v="0"/>
    <d v="2024-01-20T04:00:00"/>
    <n v="0"/>
    <n v="0"/>
    <n v="0"/>
    <n v="26.045113531784299"/>
    <s v="OK"/>
    <s v="ZERO"/>
    <n v="0"/>
    <n v="0"/>
    <x v="0"/>
    <n v="0"/>
    <x v="0"/>
    <n v="0"/>
  </r>
  <r>
    <x v="0"/>
    <d v="2024-01-20T05:00:00"/>
    <n v="0"/>
    <n v="0"/>
    <n v="0"/>
    <n v="52.763802696138399"/>
    <s v="OK"/>
    <s v="ZERO"/>
    <n v="0"/>
    <n v="0"/>
    <x v="0"/>
    <n v="0"/>
    <x v="0"/>
    <n v="0"/>
  </r>
  <r>
    <x v="0"/>
    <d v="2024-01-20T06:00:00"/>
    <n v="0"/>
    <n v="0"/>
    <n v="0"/>
    <n v="30.151556170826399"/>
    <s v="OK"/>
    <s v="ZERO"/>
    <n v="0"/>
    <n v="0"/>
    <x v="0"/>
    <n v="0"/>
    <x v="0"/>
    <n v="0"/>
  </r>
  <r>
    <x v="0"/>
    <d v="2024-01-20T07:00:00"/>
    <n v="103.990142482039"/>
    <n v="99.308673146084303"/>
    <n v="99.308673146084303"/>
    <n v="91.746096581259295"/>
    <s v="OK"/>
    <s v="NON-ZERO"/>
    <n v="103.527618041008"/>
    <n v="0.95924812166302775"/>
    <x v="1"/>
    <n v="-4.2189448949236947"/>
    <x v="1"/>
    <n v="0"/>
  </r>
  <r>
    <x v="0"/>
    <d v="2024-01-20T08:00:00"/>
    <n v="176.330746202032"/>
    <n v="168.392618975468"/>
    <n v="168.392618975468"/>
    <n v="38.715964988712898"/>
    <s v="OK"/>
    <s v="NON-ZERO"/>
    <n v="199.99999999999901"/>
    <n v="0.84196309487734422"/>
    <x v="0"/>
    <n v="-31.607381024531009"/>
    <x v="1"/>
    <n v="-1.5803690512265505"/>
  </r>
  <r>
    <x v="0"/>
    <d v="2024-01-20T09:00:00"/>
    <n v="251.030852725161"/>
    <n v="239.729846578213"/>
    <n v="239.729846578213"/>
    <n v="53.730488183790499"/>
    <s v="OK"/>
    <s v="NON-ZERO"/>
    <n v="282.84271247461902"/>
    <n v="0.84757300084132536"/>
    <x v="0"/>
    <n v="-43.112865896406021"/>
    <x v="1"/>
    <n v="-2.155643294820301"/>
  </r>
  <r>
    <x v="0"/>
    <d v="2024-01-20T10:00:00"/>
    <n v="316.33293911056899"/>
    <n v="302.092137828327"/>
    <n v="302.092137828327"/>
    <n v="30.443402833819601"/>
    <s v="OK"/>
    <s v="NON-ZERO"/>
    <n v="346.41016151377499"/>
    <n v="0.87206488547627181"/>
    <x v="1"/>
    <n v="-44.318023685447997"/>
    <x v="1"/>
    <n v="0"/>
  </r>
  <r>
    <x v="0"/>
    <d v="2024-01-20T11:00:00"/>
    <n v="366.67264263572702"/>
    <n v="350.16562868361802"/>
    <n v="350.16562868361802"/>
    <n v="46.050749469413198"/>
    <s v="OK"/>
    <s v="NON-ZERO"/>
    <n v="386.37033051562702"/>
    <n v="0.90629533643617943"/>
    <x v="1"/>
    <n v="-36.204701832008993"/>
    <x v="1"/>
    <n v="0"/>
  </r>
  <r>
    <x v="0"/>
    <d v="2024-01-20T12:00:00"/>
    <n v="386.91816657857601"/>
    <n v="369.49973162764297"/>
    <n v="369.49973162764297"/>
    <n v="23.919340946451701"/>
    <s v="OK"/>
    <s v="NON-ZERO"/>
    <n v="400"/>
    <n v="0.92374932906910745"/>
    <x v="1"/>
    <n v="-30.500268372357027"/>
    <x v="1"/>
    <n v="0"/>
  </r>
  <r>
    <x v="0"/>
    <d v="2024-01-20T13:00:00"/>
    <n v="369.41376306961899"/>
    <n v="352.7833482744"/>
    <n v="352.7833482744"/>
    <n v="74.811572373554696"/>
    <s v="OK"/>
    <s v="NON-ZERO"/>
    <n v="386.37033051562702"/>
    <n v="0.91307049328450296"/>
    <x v="1"/>
    <n v="-33.58698224122702"/>
    <x v="1"/>
    <n v="0"/>
  </r>
  <r>
    <x v="0"/>
    <d v="2024-01-20T14:00:00"/>
    <n v="302.16389610889303"/>
    <n v="288.56096240476001"/>
    <n v="288.56096240476001"/>
    <n v="92.900399722365194"/>
    <s v="OK"/>
    <s v="NON-ZERO"/>
    <n v="346.41016151377499"/>
    <n v="0.83300374661002941"/>
    <x v="0"/>
    <n v="-57.84919910901499"/>
    <x v="1"/>
    <n v="-2.8924599554507493"/>
  </r>
  <r>
    <x v="0"/>
    <d v="2024-01-20T15:00:00"/>
    <n v="279.92770329720997"/>
    <n v="267.32580730984199"/>
    <n v="267.32580730984199"/>
    <n v="28.557183866595"/>
    <s v="OK"/>
    <s v="NON-ZERO"/>
    <n v="282.84271247461902"/>
    <n v="0.94513945567478796"/>
    <x v="1"/>
    <n v="-15.516905164777029"/>
    <x v="1"/>
    <n v="0"/>
  </r>
  <r>
    <x v="0"/>
    <d v="2024-01-20T16:00:00"/>
    <n v="184.02540036364701"/>
    <n v="175.74087215475299"/>
    <n v="175.74087215475299"/>
    <n v="62.091709121189297"/>
    <s v="OK"/>
    <s v="NON-ZERO"/>
    <n v="199.99999999999901"/>
    <n v="0.87870436077376934"/>
    <x v="1"/>
    <n v="-24.259127845246013"/>
    <x v="1"/>
    <n v="0"/>
  </r>
  <r>
    <x v="0"/>
    <d v="2024-01-20T17:00:00"/>
    <n v="94.424595143835006"/>
    <n v="90.173751398696297"/>
    <n v="90.173751398696297"/>
    <n v="84.510477001207605"/>
    <s v="OK"/>
    <s v="NON-ZERO"/>
    <n v="103.527618041008"/>
    <n v="0.87101155329371005"/>
    <x v="1"/>
    <n v="-13.353866642311701"/>
    <x v="1"/>
    <n v="0"/>
  </r>
  <r>
    <x v="0"/>
    <d v="2024-01-20T18:00:00"/>
    <n v="4.5523164193067102E-14"/>
    <n v="4.3473784394570299E-14"/>
    <n v="4.3473784394570299E-14"/>
    <n v="26.129400931008298"/>
    <s v="OK"/>
    <s v="NON-ZERO"/>
    <n v="4.8985871965894097E-14"/>
    <n v="0.88747597317117211"/>
    <x v="1"/>
    <n v="-5.5120875713237982E-15"/>
    <x v="1"/>
    <n v="0"/>
  </r>
  <r>
    <x v="0"/>
    <d v="2024-01-20T19:00:00"/>
    <n v="0"/>
    <n v="0"/>
    <n v="0"/>
    <n v="32.433090512245599"/>
    <s v="OK"/>
    <s v="ZERO"/>
    <n v="0"/>
    <n v="0"/>
    <x v="0"/>
    <n v="0"/>
    <x v="0"/>
    <n v="0"/>
  </r>
  <r>
    <x v="0"/>
    <d v="2024-01-20T20:00:00"/>
    <n v="0"/>
    <n v="0"/>
    <n v="0"/>
    <n v="60.907390205517899"/>
    <s v="OK"/>
    <s v="ZERO"/>
    <n v="0"/>
    <n v="0"/>
    <x v="0"/>
    <n v="0"/>
    <x v="0"/>
    <n v="0"/>
  </r>
  <r>
    <x v="0"/>
    <d v="2024-01-20T21:00:00"/>
    <n v="0"/>
    <n v="0"/>
    <n v="0"/>
    <n v="80.480271292462902"/>
    <s v="OK"/>
    <s v="ZERO"/>
    <n v="0"/>
    <n v="0"/>
    <x v="0"/>
    <n v="0"/>
    <x v="0"/>
    <n v="0"/>
  </r>
  <r>
    <x v="0"/>
    <d v="2024-01-20T22:00:00"/>
    <n v="0"/>
    <n v="0"/>
    <n v="0"/>
    <n v="39.3965626166029"/>
    <s v="OK"/>
    <s v="ZERO"/>
    <n v="0"/>
    <n v="0"/>
    <x v="0"/>
    <n v="0"/>
    <x v="0"/>
    <n v="0"/>
  </r>
  <r>
    <x v="0"/>
    <d v="2024-01-20T23:00:00"/>
    <n v="0"/>
    <n v="0"/>
    <n v="0"/>
    <n v="76.756362926647597"/>
    <s v="OK"/>
    <s v="ZERO"/>
    <n v="0"/>
    <n v="0"/>
    <x v="0"/>
    <n v="0"/>
    <x v="0"/>
    <n v="0"/>
  </r>
  <r>
    <x v="0"/>
    <d v="2024-01-21T00:00:00"/>
    <n v="0"/>
    <n v="0"/>
    <n v="0"/>
    <n v="85.293381878450504"/>
    <s v="OK"/>
    <s v="ZERO"/>
    <n v="0"/>
    <n v="0"/>
    <x v="0"/>
    <n v="0"/>
    <x v="0"/>
    <n v="0"/>
  </r>
  <r>
    <x v="0"/>
    <d v="2024-01-21T01:00:00"/>
    <n v="0"/>
    <n v="0"/>
    <n v="0"/>
    <n v="93.8742242105656"/>
    <s v="OK"/>
    <s v="ZERO"/>
    <n v="0"/>
    <n v="0"/>
    <x v="0"/>
    <n v="0"/>
    <x v="0"/>
    <n v="0"/>
  </r>
  <r>
    <x v="0"/>
    <d v="2024-01-21T02:00:00"/>
    <n v="0"/>
    <n v="0"/>
    <n v="0"/>
    <n v="57.335938102571703"/>
    <s v="OK"/>
    <s v="ZERO"/>
    <n v="0"/>
    <n v="0"/>
    <x v="0"/>
    <n v="0"/>
    <x v="0"/>
    <n v="0"/>
  </r>
  <r>
    <x v="0"/>
    <d v="2024-01-21T03:00:00"/>
    <n v="0"/>
    <n v="0"/>
    <n v="0"/>
    <n v="81.657737045016901"/>
    <s v="OK"/>
    <s v="ZERO"/>
    <n v="0"/>
    <n v="0"/>
    <x v="0"/>
    <n v="0"/>
    <x v="0"/>
    <n v="0"/>
  </r>
  <r>
    <x v="0"/>
    <d v="2024-01-21T04:00:00"/>
    <n v="0"/>
    <n v="0"/>
    <n v="0"/>
    <n v="59.249722339605597"/>
    <s v="OK"/>
    <s v="ZERO"/>
    <n v="0"/>
    <n v="0"/>
    <x v="0"/>
    <n v="0"/>
    <x v="0"/>
    <n v="0"/>
  </r>
  <r>
    <x v="0"/>
    <d v="2024-01-21T05:00:00"/>
    <n v="0"/>
    <n v="0"/>
    <n v="0"/>
    <n v="63.319502441086797"/>
    <s v="OK"/>
    <s v="ZERO"/>
    <n v="0"/>
    <n v="0"/>
    <x v="0"/>
    <n v="0"/>
    <x v="0"/>
    <n v="0"/>
  </r>
  <r>
    <x v="0"/>
    <d v="2024-01-21T06:00:00"/>
    <n v="0"/>
    <n v="0"/>
    <n v="0"/>
    <n v="59.977165043460403"/>
    <s v="OK"/>
    <s v="ZERO"/>
    <n v="0"/>
    <n v="0"/>
    <x v="0"/>
    <n v="0"/>
    <x v="0"/>
    <n v="0"/>
  </r>
  <r>
    <x v="0"/>
    <d v="2024-01-21T07:00:00"/>
    <n v="102.2409823542"/>
    <n v="97.638257400228994"/>
    <n v="97.638257400228994"/>
    <n v="79.494601282868999"/>
    <s v="OK"/>
    <s v="NON-ZERO"/>
    <n v="103.527618041008"/>
    <n v="0.94311314456741213"/>
    <x v="1"/>
    <n v="-5.8893606407790031"/>
    <x v="1"/>
    <n v="0"/>
  </r>
  <r>
    <x v="0"/>
    <d v="2024-01-21T08:00:00"/>
    <n v="201.67330274823101"/>
    <n v="192.594294294523"/>
    <n v="192.594294294523"/>
    <n v="93.764110453641607"/>
    <s v="OK"/>
    <s v="NON-ZERO"/>
    <n v="199.99999999999901"/>
    <n v="0.96297147147261974"/>
    <x v="1"/>
    <n v="-7.4057057054760094"/>
    <x v="1"/>
    <n v="0"/>
  </r>
  <r>
    <x v="0"/>
    <d v="2024-01-21T09:00:00"/>
    <n v="260.23144633483503"/>
    <n v="248.51624422826799"/>
    <n v="248.51624422826799"/>
    <n v="33.816862942851898"/>
    <s v="OK"/>
    <s v="NON-ZERO"/>
    <n v="282.84271247461902"/>
    <n v="0.87863760764410248"/>
    <x v="1"/>
    <n v="-34.326468246351027"/>
    <x v="1"/>
    <n v="0"/>
  </r>
  <r>
    <x v="0"/>
    <d v="2024-01-21T10:00:00"/>
    <n v="336.31533866230899"/>
    <n v="321.17496181908098"/>
    <n v="321.17496181908098"/>
    <n v="66.147351880235107"/>
    <s v="OK"/>
    <s v="NON-ZERO"/>
    <n v="346.41016151377499"/>
    <n v="0.92715225331607209"/>
    <x v="1"/>
    <n v="-25.235199694694018"/>
    <x v="1"/>
    <n v="0"/>
  </r>
  <r>
    <x v="0"/>
    <d v="2024-01-21T11:00:00"/>
    <n v="387.63118518715697"/>
    <n v="370.18065128268501"/>
    <n v="370.18065128268501"/>
    <n v="80.270265158115095"/>
    <s v="OK"/>
    <s v="NON-ZERO"/>
    <n v="386.37033051562702"/>
    <n v="0.95809802680413836"/>
    <x v="1"/>
    <n v="-16.189679232942012"/>
    <x v="1"/>
    <n v="0"/>
  </r>
  <r>
    <x v="0"/>
    <d v="2024-01-21T12:00:00"/>
    <n v="394.59626813668098"/>
    <n v="376.83217737506499"/>
    <n v="376.83217737506499"/>
    <n v="70.093999910272004"/>
    <s v="OK"/>
    <s v="NON-ZERO"/>
    <n v="400"/>
    <n v="0.94208044343766251"/>
    <x v="1"/>
    <n v="-23.167822624935013"/>
    <x v="1"/>
    <n v="0"/>
  </r>
  <r>
    <x v="0"/>
    <d v="2024-01-21T13:00:00"/>
    <n v="367.20896590956198"/>
    <n v="350.67780754433198"/>
    <n v="350.67780754433198"/>
    <n v="86.144581872848207"/>
    <s v="OK"/>
    <s v="NON-ZERO"/>
    <n v="386.37033051562702"/>
    <n v="0.90762095287269628"/>
    <x v="1"/>
    <n v="-35.692522971295034"/>
    <x v="1"/>
    <n v="0"/>
  </r>
  <r>
    <x v="0"/>
    <d v="2024-01-21T14:00:00"/>
    <n v="300.257662112118"/>
    <n v="286.74054400348302"/>
    <n v="286.74054400348302"/>
    <n v="59.554971659200703"/>
    <s v="OK"/>
    <s v="NON-ZERO"/>
    <n v="346.41016151377499"/>
    <n v="0.82774865133995434"/>
    <x v="0"/>
    <n v="-59.669617510291971"/>
    <x v="1"/>
    <n v="-2.9834808755145987"/>
  </r>
  <r>
    <x v="0"/>
    <d v="2024-01-21T15:00:00"/>
    <n v="263.64684623408402"/>
    <n v="251.77788830492901"/>
    <n v="251.77788830492901"/>
    <n v="25.955493848227199"/>
    <s v="OK"/>
    <s v="NON-ZERO"/>
    <n v="282.84271247461902"/>
    <n v="0.89016926086622217"/>
    <x v="1"/>
    <n v="-31.064824169690013"/>
    <x v="1"/>
    <n v="0"/>
  </r>
  <r>
    <x v="0"/>
    <d v="2024-01-21T16:00:00"/>
    <n v="178.724794421295"/>
    <n v="170.67889098575799"/>
    <n v="170.67889098575799"/>
    <n v="60.559531623915802"/>
    <s v="OK"/>
    <s v="NON-ZERO"/>
    <n v="199.99999999999901"/>
    <n v="0.85339445492879418"/>
    <x v="1"/>
    <n v="-29.321109014241017"/>
    <x v="1"/>
    <n v="0"/>
  </r>
  <r>
    <x v="0"/>
    <d v="2024-01-21T17:00:00"/>
    <n v="102.673614968904"/>
    <n v="98.051413588887897"/>
    <n v="98.051413588887897"/>
    <n v="55.337592419961098"/>
    <s v="OK"/>
    <s v="NON-ZERO"/>
    <n v="103.527618041008"/>
    <n v="0.94710392689657996"/>
    <x v="1"/>
    <n v="-5.4762044521201005"/>
    <x v="1"/>
    <n v="0"/>
  </r>
  <r>
    <x v="0"/>
    <d v="2024-01-21T18:00:00"/>
    <n v="4.5969423308774997E-14"/>
    <n v="4.3899953641024998E-14"/>
    <n v="4.3899953641024998E-14"/>
    <n v="82.118693932791302"/>
    <s v="OK"/>
    <s v="NON-ZERO"/>
    <n v="4.8985871965894097E-14"/>
    <n v="0.89617581313220029"/>
    <x v="1"/>
    <n v="-5.0859183248690987E-15"/>
    <x v="1"/>
    <n v="0"/>
  </r>
  <r>
    <x v="0"/>
    <d v="2024-01-21T19:00:00"/>
    <n v="0"/>
    <n v="0"/>
    <n v="0"/>
    <n v="73.401051524808494"/>
    <s v="OK"/>
    <s v="ZERO"/>
    <n v="0"/>
    <n v="0"/>
    <x v="0"/>
    <n v="0"/>
    <x v="0"/>
    <n v="0"/>
  </r>
  <r>
    <x v="0"/>
    <d v="2024-01-21T20:00:00"/>
    <n v="0"/>
    <n v="0"/>
    <n v="0"/>
    <n v="76.161975272247901"/>
    <s v="OK"/>
    <s v="ZERO"/>
    <n v="0"/>
    <n v="0"/>
    <x v="0"/>
    <n v="0"/>
    <x v="0"/>
    <n v="0"/>
  </r>
  <r>
    <x v="0"/>
    <d v="2024-01-21T21:00:00"/>
    <n v="0"/>
    <n v="0"/>
    <n v="0"/>
    <n v="46.428120995724001"/>
    <s v="OK"/>
    <s v="ZERO"/>
    <n v="0"/>
    <n v="0"/>
    <x v="0"/>
    <n v="0"/>
    <x v="0"/>
    <n v="0"/>
  </r>
  <r>
    <x v="0"/>
    <d v="2024-01-21T22:00:00"/>
    <n v="0"/>
    <n v="0"/>
    <n v="0"/>
    <n v="29.4698556173377"/>
    <s v="OK"/>
    <s v="ZERO"/>
    <n v="0"/>
    <n v="0"/>
    <x v="0"/>
    <n v="0"/>
    <x v="0"/>
    <n v="0"/>
  </r>
  <r>
    <x v="0"/>
    <d v="2024-01-21T23:00:00"/>
    <n v="0"/>
    <n v="0"/>
    <n v="0"/>
    <n v="71.4745397514573"/>
    <s v="OK"/>
    <s v="ZERO"/>
    <n v="0"/>
    <n v="0"/>
    <x v="0"/>
    <n v="0"/>
    <x v="0"/>
    <n v="0"/>
  </r>
  <r>
    <x v="0"/>
    <d v="2024-01-22T00:00:00"/>
    <n v="0"/>
    <n v="0"/>
    <n v="0"/>
    <n v="68.216143254402994"/>
    <s v="OK"/>
    <s v="ZERO"/>
    <n v="0"/>
    <n v="0"/>
    <x v="0"/>
    <n v="0"/>
    <x v="0"/>
    <n v="0"/>
  </r>
  <r>
    <x v="0"/>
    <d v="2024-01-22T01:00:00"/>
    <n v="0"/>
    <n v="0"/>
    <n v="0"/>
    <n v="42.898300752254798"/>
    <s v="OK"/>
    <s v="ZERO"/>
    <n v="0"/>
    <n v="0"/>
    <x v="0"/>
    <n v="0"/>
    <x v="0"/>
    <n v="0"/>
  </r>
  <r>
    <x v="0"/>
    <d v="2024-01-22T02:00:00"/>
    <n v="0"/>
    <n v="0"/>
    <n v="0"/>
    <n v="77.454858240147701"/>
    <s v="OK"/>
    <s v="ZERO"/>
    <n v="0"/>
    <n v="0"/>
    <x v="0"/>
    <n v="0"/>
    <x v="0"/>
    <n v="0"/>
  </r>
  <r>
    <x v="0"/>
    <d v="2024-01-22T03:00:00"/>
    <n v="0"/>
    <n v="0"/>
    <n v="0"/>
    <n v="39.521514317450197"/>
    <s v="OK"/>
    <s v="ZERO"/>
    <n v="0"/>
    <n v="0"/>
    <x v="0"/>
    <n v="0"/>
    <x v="0"/>
    <n v="0"/>
  </r>
  <r>
    <x v="0"/>
    <d v="2024-01-22T04:00:00"/>
    <n v="0"/>
    <n v="0"/>
    <n v="0"/>
    <n v="53.529165785481901"/>
    <s v="OK"/>
    <s v="ZERO"/>
    <n v="0"/>
    <n v="0"/>
    <x v="0"/>
    <n v="0"/>
    <x v="0"/>
    <n v="0"/>
  </r>
  <r>
    <x v="0"/>
    <d v="2024-01-22T05:00:00"/>
    <n v="0"/>
    <n v="0"/>
    <n v="0"/>
    <n v="60.998616514084098"/>
    <s v="OK"/>
    <s v="ZERO"/>
    <n v="0"/>
    <n v="0"/>
    <x v="0"/>
    <n v="0"/>
    <x v="0"/>
    <n v="0"/>
  </r>
  <r>
    <x v="0"/>
    <d v="2024-01-22T06:00:00"/>
    <n v="0"/>
    <n v="0"/>
    <n v="0"/>
    <n v="23.151850637855301"/>
    <s v="OK"/>
    <s v="ZERO"/>
    <n v="0"/>
    <n v="0"/>
    <x v="0"/>
    <n v="0"/>
    <x v="0"/>
    <n v="0"/>
  </r>
  <r>
    <x v="0"/>
    <d v="2024-01-22T07:00:00"/>
    <n v="97.891447747762797"/>
    <n v="93.484531861840495"/>
    <n v="93.484531861840495"/>
    <n v="41.002799716286702"/>
    <s v="OK"/>
    <s v="NON-ZERO"/>
    <n v="103.527618041008"/>
    <n v="0.90299123683895277"/>
    <x v="1"/>
    <n v="-10.043086179167503"/>
    <x v="1"/>
    <n v="0"/>
  </r>
  <r>
    <x v="0"/>
    <d v="2024-01-22T08:00:00"/>
    <n v="183.906888740791"/>
    <n v="175.62769573497599"/>
    <n v="175.62769573497599"/>
    <n v="80.368008263107896"/>
    <s v="OK"/>
    <s v="NON-ZERO"/>
    <n v="199.99999999999901"/>
    <n v="0.87813847867488426"/>
    <x v="1"/>
    <n v="-24.372304265023018"/>
    <x v="1"/>
    <n v="0"/>
  </r>
  <r>
    <x v="0"/>
    <d v="2024-01-22T09:00:00"/>
    <n v="283.561438368957"/>
    <n v="270.795957459909"/>
    <n v="270.795957459909"/>
    <n v="74.500324405274199"/>
    <s v="OK"/>
    <s v="NON-ZERO"/>
    <n v="282.84271247461902"/>
    <n v="0.95740828918902754"/>
    <x v="1"/>
    <n v="-12.046755014710016"/>
    <x v="1"/>
    <n v="0"/>
  </r>
  <r>
    <x v="0"/>
    <d v="2024-01-22T10:00:00"/>
    <n v="350.63857999730698"/>
    <n v="334.85339381445499"/>
    <n v="334.85339381445499"/>
    <n v="28.443529280895198"/>
    <s v="OK"/>
    <s v="NON-ZERO"/>
    <n v="346.41016151377499"/>
    <n v="0.96663848528917806"/>
    <x v="1"/>
    <n v="-11.556767699320005"/>
    <x v="1"/>
    <n v="0"/>
  </r>
  <r>
    <x v="0"/>
    <d v="2024-01-22T11:00:00"/>
    <n v="352.80522704673899"/>
    <n v="336.92250189065697"/>
    <n v="336.92250189065697"/>
    <n v="27.240085264657999"/>
    <s v="OK"/>
    <s v="NON-ZERO"/>
    <n v="386.37033051562702"/>
    <n v="0.87201960212892149"/>
    <x v="1"/>
    <n v="-49.447828624970043"/>
    <x v="1"/>
    <n v="0"/>
  </r>
  <r>
    <x v="0"/>
    <d v="2024-01-22T12:00:00"/>
    <n v="327.21439854340798"/>
    <n v="312.48373141956398"/>
    <n v="312.48373141956398"/>
    <n v="42.4939333630238"/>
    <s v="OK"/>
    <s v="NON-ZERO"/>
    <n v="400"/>
    <n v="0.7812093285489099"/>
    <x v="0"/>
    <n v="-87.516268580436019"/>
    <x v="1"/>
    <n v="-4.3758134290218011"/>
  </r>
  <r>
    <x v="0"/>
    <d v="2024-01-22T13:00:00"/>
    <n v="359.03898748497699"/>
    <n v="342.87562843761702"/>
    <n v="342.87562843761702"/>
    <n v="87.717124639399003"/>
    <s v="OK"/>
    <s v="NON-ZERO"/>
    <n v="386.37033051562702"/>
    <n v="0.88742742741150815"/>
    <x v="1"/>
    <n v="-43.494702078009993"/>
    <x v="1"/>
    <n v="0"/>
  </r>
  <r>
    <x v="0"/>
    <d v="2024-01-22T14:00:00"/>
    <n v="339.47569081370801"/>
    <n v="324.19303998821198"/>
    <n v="324.19303998821198"/>
    <n v="33.899763464653503"/>
    <s v="OK"/>
    <s v="NON-ZERO"/>
    <n v="346.41016151377499"/>
    <n v="0.93586469453298771"/>
    <x v="1"/>
    <n v="-22.217121525563016"/>
    <x v="1"/>
    <n v="0"/>
  </r>
  <r>
    <x v="0"/>
    <d v="2024-01-22T15:00:00"/>
    <n v="286.50255574084002"/>
    <n v="273.60467044747901"/>
    <n v="273.60467044747901"/>
    <n v="79.593370902514195"/>
    <s v="OK"/>
    <s v="NON-ZERO"/>
    <n v="282.84271247461902"/>
    <n v="0.96733858918861493"/>
    <x v="1"/>
    <n v="-9.2380420271400112"/>
    <x v="1"/>
    <n v="0"/>
  </r>
  <r>
    <x v="0"/>
    <d v="2024-01-22T16:00:00"/>
    <n v="191.16371451919301"/>
    <n v="182.55783086225401"/>
    <n v="182.55783086225401"/>
    <n v="59.108426678269197"/>
    <s v="OK"/>
    <s v="NON-ZERO"/>
    <n v="199.99999999999901"/>
    <n v="0.91278915431127461"/>
    <x v="1"/>
    <n v="-17.442169137744997"/>
    <x v="1"/>
    <n v="0"/>
  </r>
  <r>
    <x v="0"/>
    <d v="2024-01-22T17:00:00"/>
    <n v="94.966169923085701"/>
    <n v="90.690945350479396"/>
    <n v="90.690945350479396"/>
    <n v="64.923388113290798"/>
    <s v="OK"/>
    <s v="NON-ZERO"/>
    <n v="103.527618041008"/>
    <n v="0.8760072632459881"/>
    <x v="1"/>
    <n v="-12.836672690528601"/>
    <x v="1"/>
    <n v="0"/>
  </r>
  <r>
    <x v="0"/>
    <d v="2024-01-22T18:00:00"/>
    <n v="4.74457995973912E-14"/>
    <n v="4.53098658383484E-14"/>
    <n v="4.53098658383484E-14"/>
    <n v="62.882926403624097"/>
    <s v="OK"/>
    <s v="NON-ZERO"/>
    <n v="4.8985871965894097E-14"/>
    <n v="0.92495783008404797"/>
    <x v="1"/>
    <n v="-3.676006127545697E-15"/>
    <x v="1"/>
    <n v="0"/>
  </r>
  <r>
    <x v="0"/>
    <d v="2024-01-22T19:00:00"/>
    <n v="0"/>
    <n v="0"/>
    <n v="0"/>
    <n v="43.7709940843339"/>
    <s v="OK"/>
    <s v="ZERO"/>
    <n v="0"/>
    <n v="0"/>
    <x v="0"/>
    <n v="0"/>
    <x v="0"/>
    <n v="0"/>
  </r>
  <r>
    <x v="0"/>
    <d v="2024-01-22T20:00:00"/>
    <n v="0"/>
    <n v="0"/>
    <n v="0"/>
    <n v="53.253501078439001"/>
    <s v="OK"/>
    <s v="ZERO"/>
    <n v="0"/>
    <n v="0"/>
    <x v="0"/>
    <n v="0"/>
    <x v="0"/>
    <n v="0"/>
  </r>
  <r>
    <x v="0"/>
    <d v="2024-01-22T21:00:00"/>
    <n v="0"/>
    <n v="0"/>
    <n v="0"/>
    <n v="64.377287172974405"/>
    <s v="OK"/>
    <s v="ZERO"/>
    <n v="0"/>
    <n v="0"/>
    <x v="0"/>
    <n v="0"/>
    <x v="0"/>
    <n v="0"/>
  </r>
  <r>
    <x v="0"/>
    <d v="2024-01-22T22:00:00"/>
    <n v="0"/>
    <n v="0"/>
    <n v="0"/>
    <n v="48.838349573360901"/>
    <s v="OK"/>
    <s v="ZERO"/>
    <n v="0"/>
    <n v="0"/>
    <x v="0"/>
    <n v="0"/>
    <x v="0"/>
    <n v="0"/>
  </r>
  <r>
    <x v="0"/>
    <d v="2024-01-22T23:00:00"/>
    <n v="0"/>
    <n v="0"/>
    <n v="0"/>
    <n v="91.289828943965205"/>
    <s v="OK"/>
    <s v="ZERO"/>
    <n v="0"/>
    <n v="0"/>
    <x v="0"/>
    <n v="0"/>
    <x v="0"/>
    <n v="0"/>
  </r>
  <r>
    <x v="0"/>
    <d v="2024-01-23T00:00:00"/>
    <n v="0"/>
    <n v="0"/>
    <n v="0"/>
    <n v="25.319916210033"/>
    <s v="OK"/>
    <s v="ZERO"/>
    <n v="0"/>
    <n v="0"/>
    <x v="0"/>
    <n v="0"/>
    <x v="0"/>
    <n v="0"/>
  </r>
  <r>
    <x v="0"/>
    <d v="2024-01-23T01:00:00"/>
    <n v="0"/>
    <n v="0"/>
    <n v="0"/>
    <n v="55.437001625488499"/>
    <s v="OK"/>
    <s v="ZERO"/>
    <n v="0"/>
    <n v="0"/>
    <x v="0"/>
    <n v="0"/>
    <x v="0"/>
    <n v="0"/>
  </r>
  <r>
    <x v="0"/>
    <d v="2024-01-23T02:00:00"/>
    <n v="0"/>
    <n v="0"/>
    <n v="0"/>
    <n v="41.051241163698002"/>
    <s v="OK"/>
    <s v="ZERO"/>
    <n v="0"/>
    <n v="0"/>
    <x v="0"/>
    <n v="0"/>
    <x v="0"/>
    <n v="0"/>
  </r>
  <r>
    <x v="0"/>
    <d v="2024-01-23T03:00:00"/>
    <n v="0"/>
    <n v="0"/>
    <n v="0"/>
    <n v="20.412934937031501"/>
    <s v="OK"/>
    <s v="ZERO"/>
    <n v="0"/>
    <n v="0"/>
    <x v="0"/>
    <n v="0"/>
    <x v="0"/>
    <n v="0"/>
  </r>
  <r>
    <x v="0"/>
    <d v="2024-01-23T04:00:00"/>
    <n v="0"/>
    <n v="0"/>
    <n v="0"/>
    <n v="42.0116617406091"/>
    <s v="OK"/>
    <s v="ZERO"/>
    <n v="0"/>
    <n v="0"/>
    <x v="0"/>
    <n v="0"/>
    <x v="0"/>
    <n v="0"/>
  </r>
  <r>
    <x v="0"/>
    <d v="2024-01-23T05:00:00"/>
    <n v="0"/>
    <n v="0"/>
    <n v="0"/>
    <n v="26.531957509682801"/>
    <s v="OK"/>
    <s v="ZERO"/>
    <n v="0"/>
    <n v="0"/>
    <x v="0"/>
    <n v="0"/>
    <x v="0"/>
    <n v="0"/>
  </r>
  <r>
    <x v="0"/>
    <d v="2024-01-23T06:00:00"/>
    <n v="0"/>
    <n v="0"/>
    <n v="0"/>
    <n v="85.566689351388106"/>
    <s v="OK"/>
    <s v="ZERO"/>
    <n v="0"/>
    <n v="0"/>
    <x v="0"/>
    <n v="0"/>
    <x v="0"/>
    <n v="0"/>
  </r>
  <r>
    <x v="0"/>
    <d v="2024-01-23T07:00:00"/>
    <n v="100.29820856844201"/>
    <n v="95.782944172632199"/>
    <n v="95.782944172632199"/>
    <n v="94.461262924930196"/>
    <s v="OK"/>
    <s v="NON-ZERO"/>
    <n v="103.527618041008"/>
    <n v="0.92519219494349725"/>
    <x v="1"/>
    <n v="-7.7446738683757985"/>
    <x v="1"/>
    <n v="0"/>
  </r>
  <r>
    <x v="0"/>
    <d v="2024-01-23T08:00:00"/>
    <n v="184.41243406916101"/>
    <n v="176.11048222393899"/>
    <n v="176.11048222393899"/>
    <n v="50.8265806449159"/>
    <s v="OK"/>
    <s v="NON-ZERO"/>
    <n v="199.99999999999901"/>
    <n v="0.88055241111969929"/>
    <x v="1"/>
    <n v="-23.889517776060018"/>
    <x v="1"/>
    <n v="0"/>
  </r>
  <r>
    <x v="0"/>
    <d v="2024-01-23T09:00:00"/>
    <n v="255.773880265651"/>
    <n v="244.259350630222"/>
    <n v="244.259350630222"/>
    <n v="65.592891056802699"/>
    <s v="OK"/>
    <s v="NON-ZERO"/>
    <n v="282.84271247461902"/>
    <n v="0.86358721599426291"/>
    <x v="1"/>
    <n v="-38.583361844397018"/>
    <x v="1"/>
    <n v="0"/>
  </r>
  <r>
    <x v="0"/>
    <d v="2024-01-23T10:00:00"/>
    <n v="351.42872259076501"/>
    <n v="335.60796545634003"/>
    <n v="335.60796545634003"/>
    <n v="20.1173828893604"/>
    <s v="OK"/>
    <s v="NON-ZERO"/>
    <n v="346.41016151377499"/>
    <n v="0.96881674599200396"/>
    <x v="1"/>
    <n v="-10.802196057434969"/>
    <x v="1"/>
    <n v="0"/>
  </r>
  <r>
    <x v="0"/>
    <d v="2024-01-23T11:00:00"/>
    <n v="352.38285387306701"/>
    <n v="336.519143279459"/>
    <n v="336.519143279459"/>
    <n v="39.3205415250291"/>
    <s v="OK"/>
    <s v="NON-ZERO"/>
    <n v="386.37033051562702"/>
    <n v="0.87097563322308014"/>
    <x v="1"/>
    <n v="-49.851187236168016"/>
    <x v="1"/>
    <n v="0"/>
  </r>
  <r>
    <x v="0"/>
    <d v="2024-01-23T12:00:00"/>
    <n v="384.05629461041099"/>
    <n v="366.76669654288497"/>
    <n v="366.76669654288497"/>
    <n v="48.787916228373398"/>
    <s v="OK"/>
    <s v="NON-ZERO"/>
    <n v="400"/>
    <n v="0.91691674135721246"/>
    <x v="1"/>
    <n v="-33.233303457115028"/>
    <x v="1"/>
    <n v="0"/>
  </r>
  <r>
    <x v="0"/>
    <d v="2024-01-23T13:00:00"/>
    <n v="350.42471433265501"/>
    <n v="334.649156038824"/>
    <n v="334.649156038824"/>
    <n v="29.076875036389399"/>
    <s v="OK"/>
    <s v="NON-ZERO"/>
    <n v="386.37033051562702"/>
    <n v="0.86613575010332966"/>
    <x v="1"/>
    <n v="-51.721174476803014"/>
    <x v="1"/>
    <n v="0"/>
  </r>
  <r>
    <x v="0"/>
    <d v="2024-01-23T14:00:00"/>
    <n v="365.98160639333997"/>
    <n v="349.50570178392002"/>
    <n v="349.50570178392002"/>
    <n v="46.607846887698798"/>
    <s v="OK"/>
    <s v="NON-ZERO"/>
    <n v="346.41016151377499"/>
    <n v="1.0089360550412778"/>
    <x v="1"/>
    <n v="3.0955402701450225"/>
    <x v="0"/>
    <n v="0"/>
  </r>
  <r>
    <x v="0"/>
    <d v="2024-01-23T15:00:00"/>
    <n v="258.98051125249799"/>
    <n v="247.321624235895"/>
    <n v="247.321624235895"/>
    <n v="70.900246750442307"/>
    <s v="OK"/>
    <s v="NON-ZERO"/>
    <n v="282.84271247461902"/>
    <n v="0.87441398815636262"/>
    <x v="1"/>
    <n v="-35.521088238724019"/>
    <x v="1"/>
    <n v="0"/>
  </r>
  <r>
    <x v="0"/>
    <d v="2024-01-23T16:00:00"/>
    <n v="206.46645147335801"/>
    <n v="197.17166315586999"/>
    <n v="197.17166315586999"/>
    <n v="88.496521068217703"/>
    <s v="OK"/>
    <s v="NON-ZERO"/>
    <n v="199.99999999999901"/>
    <n v="0.9858583157793549"/>
    <x v="1"/>
    <n v="-2.8283368441290122"/>
    <x v="1"/>
    <n v="0"/>
  </r>
  <r>
    <x v="0"/>
    <d v="2024-01-23T17:00:00"/>
    <n v="85.785174222353604"/>
    <n v="81.923263342955593"/>
    <n v="81.923263342955593"/>
    <n v="74.297979159956995"/>
    <s v="OK"/>
    <s v="NON-ZERO"/>
    <n v="103.527618041008"/>
    <n v="0.79131795836841556"/>
    <x v="0"/>
    <n v="-21.604354698052404"/>
    <x v="1"/>
    <n v="-1.0802177349026201"/>
  </r>
  <r>
    <x v="0"/>
    <d v="2024-01-23T18:00:00"/>
    <n v="4.6736664605350098E-14"/>
    <n v="4.4632654965661702E-14"/>
    <n v="4.4632654965661702E-14"/>
    <n v="51.652569509572899"/>
    <s v="OK"/>
    <s v="NON-ZERO"/>
    <n v="4.8985871965894097E-14"/>
    <n v="0.911133214016007"/>
    <x v="1"/>
    <n v="-4.3532170002323952E-15"/>
    <x v="1"/>
    <n v="0"/>
  </r>
  <r>
    <x v="0"/>
    <d v="2024-01-23T19:00:00"/>
    <n v="0"/>
    <n v="0"/>
    <n v="0"/>
    <n v="63.289991505091301"/>
    <s v="OK"/>
    <s v="ZERO"/>
    <n v="0"/>
    <n v="0"/>
    <x v="0"/>
    <n v="0"/>
    <x v="0"/>
    <n v="0"/>
  </r>
  <r>
    <x v="0"/>
    <d v="2024-01-23T20:00:00"/>
    <n v="0"/>
    <n v="0"/>
    <n v="0"/>
    <n v="83.420327224242996"/>
    <s v="OK"/>
    <s v="ZERO"/>
    <n v="0"/>
    <n v="0"/>
    <x v="0"/>
    <n v="0"/>
    <x v="0"/>
    <n v="0"/>
  </r>
  <r>
    <x v="0"/>
    <d v="2024-01-23T21:00:00"/>
    <n v="0"/>
    <n v="0"/>
    <n v="0"/>
    <n v="70.472496679582406"/>
    <s v="OK"/>
    <s v="ZERO"/>
    <n v="0"/>
    <n v="0"/>
    <x v="0"/>
    <n v="0"/>
    <x v="0"/>
    <n v="0"/>
  </r>
  <r>
    <x v="0"/>
    <d v="2024-01-23T22:00:00"/>
    <n v="0"/>
    <n v="0"/>
    <n v="0"/>
    <n v="79.878525538876403"/>
    <s v="OK"/>
    <s v="ZERO"/>
    <n v="0"/>
    <n v="0"/>
    <x v="0"/>
    <n v="0"/>
    <x v="0"/>
    <n v="0"/>
  </r>
  <r>
    <x v="0"/>
    <d v="2024-01-23T23:00:00"/>
    <n v="0"/>
    <n v="0"/>
    <n v="0"/>
    <n v="88.747642688090494"/>
    <s v="OK"/>
    <s v="ZERO"/>
    <n v="0"/>
    <n v="0"/>
    <x v="0"/>
    <n v="0"/>
    <x v="0"/>
    <n v="0"/>
  </r>
  <r>
    <x v="0"/>
    <d v="2024-01-24T00:00:00"/>
    <n v="0"/>
    <n v="0"/>
    <n v="0"/>
    <n v="65.080562510017401"/>
    <s v="OK"/>
    <s v="ZERO"/>
    <n v="0"/>
    <n v="0"/>
    <x v="0"/>
    <n v="0"/>
    <x v="0"/>
    <n v="0"/>
  </r>
  <r>
    <x v="0"/>
    <d v="2024-01-24T01:00:00"/>
    <n v="0"/>
    <n v="0"/>
    <n v="0"/>
    <n v="48.091466526509102"/>
    <s v="OK"/>
    <s v="ZERO"/>
    <n v="0"/>
    <n v="0"/>
    <x v="0"/>
    <n v="0"/>
    <x v="0"/>
    <n v="0"/>
  </r>
  <r>
    <x v="0"/>
    <d v="2024-01-24T02:00:00"/>
    <n v="0"/>
    <n v="0"/>
    <n v="0"/>
    <n v="45.9408095553393"/>
    <s v="OK"/>
    <s v="ZERO"/>
    <n v="0"/>
    <n v="0"/>
    <x v="0"/>
    <n v="0"/>
    <x v="0"/>
    <n v="0"/>
  </r>
  <r>
    <x v="0"/>
    <d v="2024-01-24T03:00:00"/>
    <n v="0"/>
    <n v="0"/>
    <n v="0"/>
    <n v="68.436678971486302"/>
    <s v="OK"/>
    <s v="ZERO"/>
    <n v="0"/>
    <n v="0"/>
    <x v="0"/>
    <n v="0"/>
    <x v="0"/>
    <n v="0"/>
  </r>
  <r>
    <x v="0"/>
    <d v="2024-01-24T04:00:00"/>
    <n v="0"/>
    <n v="0"/>
    <n v="0"/>
    <n v="43.341312129754499"/>
    <s v="OK"/>
    <s v="ZERO"/>
    <n v="0"/>
    <n v="0"/>
    <x v="0"/>
    <n v="0"/>
    <x v="0"/>
    <n v="0"/>
  </r>
  <r>
    <x v="0"/>
    <d v="2024-01-24T05:00:00"/>
    <n v="0"/>
    <n v="0"/>
    <n v="0"/>
    <n v="47.344529614815499"/>
    <s v="OK"/>
    <s v="ZERO"/>
    <n v="0"/>
    <n v="0"/>
    <x v="0"/>
    <n v="0"/>
    <x v="0"/>
    <n v="0"/>
  </r>
  <r>
    <x v="0"/>
    <d v="2024-01-24T06:00:00"/>
    <n v="0"/>
    <n v="0"/>
    <n v="0"/>
    <n v="22.0652539902099"/>
    <s v="OK"/>
    <s v="ZERO"/>
    <n v="0"/>
    <n v="0"/>
    <x v="0"/>
    <n v="0"/>
    <x v="0"/>
    <n v="0"/>
  </r>
  <r>
    <x v="0"/>
    <d v="2024-01-24T07:00:00"/>
    <n v="95.002458130752998"/>
    <n v="90.725599921271098"/>
    <n v="90.725599921271098"/>
    <n v="48.815503473935003"/>
    <s v="OK"/>
    <s v="NON-ZERO"/>
    <n v="103.527618041008"/>
    <n v="0.8763420006952547"/>
    <x v="1"/>
    <n v="-12.8020181197369"/>
    <x v="1"/>
    <n v="0"/>
  </r>
  <r>
    <x v="0"/>
    <d v="2024-01-24T08:00:00"/>
    <n v="174.62596330756799"/>
    <n v="166.76458267115601"/>
    <n v="166.76458267115601"/>
    <n v="54.389225666141797"/>
    <s v="OK"/>
    <s v="NON-ZERO"/>
    <n v="199.99999999999901"/>
    <n v="0.83382291335578418"/>
    <x v="0"/>
    <n v="-33.235417328842999"/>
    <x v="1"/>
    <n v="-1.66177086644215"/>
  </r>
  <r>
    <x v="0"/>
    <d v="2024-01-24T09:00:00"/>
    <n v="261.53707780940499"/>
    <n v="249.76309826906899"/>
    <n v="249.76309826906899"/>
    <n v="28.710422015039399"/>
    <s v="OK"/>
    <s v="NON-ZERO"/>
    <n v="282.84271247461902"/>
    <n v="0.88304590238110359"/>
    <x v="1"/>
    <n v="-33.07961420555003"/>
    <x v="1"/>
    <n v="0"/>
  </r>
  <r>
    <x v="0"/>
    <d v="2024-01-24T10:00:00"/>
    <n v="326.82399762627898"/>
    <n v="312.11090572522698"/>
    <n v="312.11090572522698"/>
    <n v="82.003051980611502"/>
    <s v="OK"/>
    <s v="NON-ZERO"/>
    <n v="346.41016151377499"/>
    <n v="0.90098657718738973"/>
    <x v="1"/>
    <n v="-34.29925578854801"/>
    <x v="1"/>
    <n v="0"/>
  </r>
  <r>
    <x v="0"/>
    <d v="2024-01-24T11:00:00"/>
    <n v="373.244855057564"/>
    <n v="356.44197064900698"/>
    <n v="356.44197064900698"/>
    <n v="92.085161405569394"/>
    <s v="OK"/>
    <s v="NON-ZERO"/>
    <n v="386.37033051562702"/>
    <n v="0.92253970477836789"/>
    <x v="1"/>
    <n v="-29.928359866620042"/>
    <x v="1"/>
    <n v="0"/>
  </r>
  <r>
    <x v="0"/>
    <d v="2024-01-24T12:00:00"/>
    <n v="336.88933746034701"/>
    <n v="321.723120112358"/>
    <n v="321.723120112358"/>
    <n v="31.560878238386501"/>
    <s v="OK"/>
    <s v="NON-ZERO"/>
    <n v="400"/>
    <n v="0.80430780028089499"/>
    <x v="0"/>
    <n v="-78.276879887641996"/>
    <x v="1"/>
    <n v="-3.9138439943820997"/>
  </r>
  <r>
    <x v="0"/>
    <d v="2024-01-24T13:00:00"/>
    <n v="326.854079678868"/>
    <n v="312.139633532083"/>
    <n v="312.139633532083"/>
    <n v="77.1426359453652"/>
    <s v="OK"/>
    <s v="NON-ZERO"/>
    <n v="386.37033051562702"/>
    <n v="0.80787681889424556"/>
    <x v="0"/>
    <n v="-74.230696983544021"/>
    <x v="1"/>
    <n v="-3.7115348491772009"/>
  </r>
  <r>
    <x v="0"/>
    <d v="2024-01-24T14:00:00"/>
    <n v="323.77540238509999"/>
    <n v="309.19955334956097"/>
    <n v="309.19955334956097"/>
    <n v="34.596787752865303"/>
    <s v="OK"/>
    <s v="NON-ZERO"/>
    <n v="346.41016151377499"/>
    <n v="0.8925822267984066"/>
    <x v="1"/>
    <n v="-37.210608164214023"/>
    <x v="1"/>
    <n v="0"/>
  </r>
  <r>
    <x v="0"/>
    <d v="2024-01-24T15:00:00"/>
    <n v="293.00821006451099"/>
    <n v="279.81745065347297"/>
    <n v="279.81745065347297"/>
    <n v="40.268576909808701"/>
    <s v="OK"/>
    <s v="NON-ZERO"/>
    <n v="282.84271247461902"/>
    <n v="0.98930408425701433"/>
    <x v="1"/>
    <n v="-3.0252618211460458"/>
    <x v="1"/>
    <n v="0"/>
  </r>
  <r>
    <x v="0"/>
    <d v="2024-01-24T16:00:00"/>
    <n v="190.85561853114299"/>
    <n v="182.26360486116801"/>
    <n v="182.26360486116801"/>
    <n v="30.4397526009271"/>
    <s v="OK"/>
    <s v="NON-ZERO"/>
    <n v="199.99999999999901"/>
    <n v="0.91131802430584452"/>
    <x v="1"/>
    <n v="-17.736395138831"/>
    <x v="1"/>
    <n v="0"/>
  </r>
  <r>
    <x v="0"/>
    <d v="2024-01-24T17:00:00"/>
    <n v="101.930873390366"/>
    <n v="97.342109044298198"/>
    <n v="97.342109044298198"/>
    <n v="56.6673373844338"/>
    <s v="OK"/>
    <s v="NON-ZERO"/>
    <n v="103.527618041008"/>
    <n v="0.94025257111334604"/>
    <x v="1"/>
    <n v="-6.1855089967097996"/>
    <x v="1"/>
    <n v="0"/>
  </r>
  <r>
    <x v="0"/>
    <d v="2024-01-24T18:00:00"/>
    <n v="4.7537375570954499E-14"/>
    <n v="4.5397319208538697E-14"/>
    <n v="4.5397319208538697E-14"/>
    <n v="35.098408086682497"/>
    <s v="OK"/>
    <s v="NON-ZERO"/>
    <n v="4.8985871965894097E-14"/>
    <n v="0.9267431074850746"/>
    <x v="1"/>
    <n v="-3.5885527573553996E-15"/>
    <x v="1"/>
    <n v="0"/>
  </r>
  <r>
    <x v="0"/>
    <d v="2024-01-24T19:00:00"/>
    <n v="0"/>
    <n v="0"/>
    <n v="0"/>
    <n v="55.665952811512"/>
    <s v="OK"/>
    <s v="ZERO"/>
    <n v="0"/>
    <n v="0"/>
    <x v="0"/>
    <n v="0"/>
    <x v="0"/>
    <n v="0"/>
  </r>
  <r>
    <x v="0"/>
    <d v="2024-01-24T20:00:00"/>
    <n v="0"/>
    <n v="0"/>
    <n v="0"/>
    <n v="74.160742659192906"/>
    <s v="OK"/>
    <s v="ZERO"/>
    <n v="0"/>
    <n v="0"/>
    <x v="0"/>
    <n v="0"/>
    <x v="0"/>
    <n v="0"/>
  </r>
  <r>
    <x v="0"/>
    <d v="2024-01-24T21:00:00"/>
    <n v="0"/>
    <n v="0"/>
    <n v="0"/>
    <n v="29.7989257867597"/>
    <s v="OK"/>
    <s v="ZERO"/>
    <n v="0"/>
    <n v="0"/>
    <x v="0"/>
    <n v="0"/>
    <x v="0"/>
    <n v="0"/>
  </r>
  <r>
    <x v="0"/>
    <d v="2024-01-24T22:00:00"/>
    <n v="0"/>
    <n v="0"/>
    <n v="0"/>
    <n v="85.781793576364095"/>
    <s v="OK"/>
    <s v="ZERO"/>
    <n v="0"/>
    <n v="0"/>
    <x v="0"/>
    <n v="0"/>
    <x v="0"/>
    <n v="0"/>
  </r>
  <r>
    <x v="0"/>
    <d v="2024-01-24T23:00:00"/>
    <n v="0"/>
    <n v="0"/>
    <n v="0"/>
    <n v="54.700670379904501"/>
    <s v="OK"/>
    <s v="ZERO"/>
    <n v="0"/>
    <n v="0"/>
    <x v="0"/>
    <n v="0"/>
    <x v="0"/>
    <n v="0"/>
  </r>
  <r>
    <x v="0"/>
    <d v="2024-01-25T00:00:00"/>
    <n v="0"/>
    <n v="0"/>
    <n v="0"/>
    <n v="48.149743093970102"/>
    <s v="OK"/>
    <s v="ZERO"/>
    <n v="0"/>
    <n v="0"/>
    <x v="0"/>
    <n v="0"/>
    <x v="0"/>
    <n v="0"/>
  </r>
  <r>
    <x v="0"/>
    <d v="2024-01-25T01:00:00"/>
    <n v="0"/>
    <n v="0"/>
    <n v="0"/>
    <n v="77.134864353327202"/>
    <s v="OK"/>
    <s v="ZERO"/>
    <n v="0"/>
    <n v="0"/>
    <x v="0"/>
    <n v="0"/>
    <x v="0"/>
    <n v="0"/>
  </r>
  <r>
    <x v="0"/>
    <d v="2024-01-25T02:00:00"/>
    <n v="0"/>
    <n v="0"/>
    <n v="0"/>
    <n v="84.918285921841402"/>
    <s v="OK"/>
    <s v="ZERO"/>
    <n v="0"/>
    <n v="0"/>
    <x v="0"/>
    <n v="0"/>
    <x v="0"/>
    <n v="0"/>
  </r>
  <r>
    <x v="0"/>
    <d v="2024-01-25T03:00:00"/>
    <n v="0"/>
    <n v="0"/>
    <n v="0"/>
    <n v="82.063919157972705"/>
    <s v="OK"/>
    <s v="ZERO"/>
    <n v="0"/>
    <n v="0"/>
    <x v="0"/>
    <n v="0"/>
    <x v="0"/>
    <n v="0"/>
  </r>
  <r>
    <x v="0"/>
    <d v="2024-01-25T04:00:00"/>
    <n v="0"/>
    <n v="0"/>
    <n v="0"/>
    <n v="28.194815773221599"/>
    <s v="OK"/>
    <s v="ZERO"/>
    <n v="0"/>
    <n v="0"/>
    <x v="0"/>
    <n v="0"/>
    <x v="0"/>
    <n v="0"/>
  </r>
  <r>
    <x v="0"/>
    <d v="2024-01-25T05:00:00"/>
    <n v="0"/>
    <n v="0"/>
    <n v="0"/>
    <n v="83.522664065529497"/>
    <s v="OK"/>
    <s v="ZERO"/>
    <n v="0"/>
    <n v="0"/>
    <x v="0"/>
    <n v="0"/>
    <x v="0"/>
    <n v="0"/>
  </r>
  <r>
    <x v="0"/>
    <d v="2024-01-25T06:00:00"/>
    <n v="0"/>
    <n v="0"/>
    <n v="0"/>
    <n v="89.478695504756502"/>
    <s v="OK"/>
    <s v="ZERO"/>
    <n v="0"/>
    <n v="0"/>
    <x v="0"/>
    <n v="0"/>
    <x v="0"/>
    <n v="0"/>
  </r>
  <r>
    <x v="0"/>
    <d v="2024-01-25T07:00:00"/>
    <n v="105.62401702545399"/>
    <n v="100.86899327952101"/>
    <n v="100.86899327952101"/>
    <n v="71.579153182292004"/>
    <s v="OK"/>
    <s v="NON-ZERO"/>
    <n v="103.527618041008"/>
    <n v="0.97431965680468091"/>
    <x v="1"/>
    <n v="-2.6586247614869905"/>
    <x v="1"/>
    <n v="0"/>
  </r>
  <r>
    <x v="0"/>
    <d v="2024-01-25T08:00:00"/>
    <n v="203.327445089137"/>
    <n v="194.17396980173299"/>
    <n v="194.17396980173299"/>
    <n v="46.903664406276"/>
    <s v="OK"/>
    <s v="NON-ZERO"/>
    <n v="199.99999999999901"/>
    <n v="0.97086984900866979"/>
    <x v="1"/>
    <n v="-5.826030198266011"/>
    <x v="1"/>
    <n v="0"/>
  </r>
  <r>
    <x v="0"/>
    <d v="2024-01-25T09:00:00"/>
    <n v="290.50234863646301"/>
    <n v="277.424399085625"/>
    <n v="277.424399085625"/>
    <n v="35.802872290040199"/>
    <s v="OK"/>
    <s v="NON-ZERO"/>
    <n v="282.84271247461902"/>
    <n v="0.9808433693002423"/>
    <x v="1"/>
    <n v="-5.4183133889940223"/>
    <x v="1"/>
    <n v="0"/>
  </r>
  <r>
    <x v="0"/>
    <d v="2024-01-25T10:00:00"/>
    <n v="316.10172022298502"/>
    <n v="301.87132804401199"/>
    <n v="301.87132804401199"/>
    <n v="82.560844775050597"/>
    <s v="OK"/>
    <s v="NON-ZERO"/>
    <n v="346.41016151377499"/>
    <n v="0.87142746253420189"/>
    <x v="1"/>
    <n v="-44.538833469763006"/>
    <x v="1"/>
    <n v="0"/>
  </r>
  <r>
    <x v="0"/>
    <d v="2024-01-25T11:00:00"/>
    <n v="390.219814358615"/>
    <n v="372.65274452295699"/>
    <n v="372.65274452295699"/>
    <n v="76.507094169272605"/>
    <s v="OK"/>
    <s v="NON-ZERO"/>
    <n v="386.37033051562702"/>
    <n v="0.96449627492265422"/>
    <x v="1"/>
    <n v="-13.717585992670024"/>
    <x v="1"/>
    <n v="0"/>
  </r>
  <r>
    <x v="0"/>
    <d v="2024-01-25T12:00:00"/>
    <n v="399.51887996543098"/>
    <n v="381.53318111886603"/>
    <n v="381.53318111886603"/>
    <n v="66.020308567809295"/>
    <s v="OK"/>
    <s v="NON-ZERO"/>
    <n v="400"/>
    <n v="0.95383295279716507"/>
    <x v="1"/>
    <n v="-18.466818881133975"/>
    <x v="1"/>
    <n v="0"/>
  </r>
  <r>
    <x v="0"/>
    <d v="2024-01-25T13:00:00"/>
    <n v="399.032369296193"/>
    <n v="381.06857237922702"/>
    <n v="381.06857237922702"/>
    <n v="25.823700100370299"/>
    <s v="OK"/>
    <s v="NON-ZERO"/>
    <n v="386.37033051562702"/>
    <n v="0.98627804021772436"/>
    <x v="1"/>
    <n v="-5.3017581363999966"/>
    <x v="1"/>
    <n v="0"/>
  </r>
  <r>
    <x v="0"/>
    <d v="2024-01-25T14:00:00"/>
    <n v="289.31530123870698"/>
    <n v="276.29079065679701"/>
    <n v="276.29079065679701"/>
    <n v="28.324857409348599"/>
    <s v="OK"/>
    <s v="NON-ZERO"/>
    <n v="346.41016151377499"/>
    <n v="0.79758281180158253"/>
    <x v="0"/>
    <n v="-70.11937085697798"/>
    <x v="1"/>
    <n v="-3.5059685428488994"/>
  </r>
  <r>
    <x v="0"/>
    <d v="2024-01-25T15:00:00"/>
    <n v="236.377569562601"/>
    <n v="225.73623070871801"/>
    <n v="225.73623070871801"/>
    <n v="25.4237356443453"/>
    <s v="OK"/>
    <s v="NON-ZERO"/>
    <n v="282.84271247461902"/>
    <n v="0.79809809746812732"/>
    <x v="0"/>
    <n v="-57.106481765901009"/>
    <x v="1"/>
    <n v="-2.8553240882950504"/>
  </r>
  <r>
    <x v="0"/>
    <d v="2024-01-25T16:00:00"/>
    <n v="190.422671020942"/>
    <n v="181.85014795310201"/>
    <n v="181.85014795310201"/>
    <n v="57.546820105281299"/>
    <s v="OK"/>
    <s v="NON-ZERO"/>
    <n v="199.99999999999901"/>
    <n v="0.90925073976551452"/>
    <x v="1"/>
    <n v="-18.149852046896996"/>
    <x v="1"/>
    <n v="0"/>
  </r>
  <r>
    <x v="0"/>
    <d v="2024-01-25T17:00:00"/>
    <n v="102.761774657003"/>
    <n v="98.135604469303402"/>
    <n v="98.135604469303402"/>
    <n v="23.766950859798001"/>
    <s v="OK"/>
    <s v="NON-ZERO"/>
    <n v="103.527618041008"/>
    <n v="0.94791714835389351"/>
    <x v="1"/>
    <n v="-5.3920135717045952"/>
    <x v="1"/>
    <n v="0"/>
  </r>
  <r>
    <x v="0"/>
    <d v="2024-01-25T18:00:00"/>
    <n v="4.5983258151472297E-14"/>
    <n v="4.3913165661305603E-14"/>
    <n v="4.3913165661305603E-14"/>
    <n v="41.075337418153502"/>
    <s v="OK"/>
    <s v="NON-ZERO"/>
    <n v="4.8985871965894097E-14"/>
    <n v="0.89644552396412758"/>
    <x v="1"/>
    <n v="-5.0727063045884941E-15"/>
    <x v="1"/>
    <n v="0"/>
  </r>
  <r>
    <x v="0"/>
    <d v="2024-01-25T19:00:00"/>
    <n v="0"/>
    <n v="0"/>
    <n v="0"/>
    <n v="50.382702089567402"/>
    <s v="OK"/>
    <s v="ZERO"/>
    <n v="0"/>
    <n v="0"/>
    <x v="0"/>
    <n v="0"/>
    <x v="0"/>
    <n v="0"/>
  </r>
  <r>
    <x v="0"/>
    <d v="2024-01-25T20:00:00"/>
    <n v="0"/>
    <n v="0"/>
    <n v="0"/>
    <n v="68.035703163188202"/>
    <s v="OK"/>
    <s v="ZERO"/>
    <n v="0"/>
    <n v="0"/>
    <x v="0"/>
    <n v="0"/>
    <x v="0"/>
    <n v="0"/>
  </r>
  <r>
    <x v="0"/>
    <d v="2024-01-25T21:00:00"/>
    <n v="0"/>
    <n v="0"/>
    <n v="0"/>
    <n v="46.836056308516099"/>
    <s v="OK"/>
    <s v="ZERO"/>
    <n v="0"/>
    <n v="0"/>
    <x v="0"/>
    <n v="0"/>
    <x v="0"/>
    <n v="0"/>
  </r>
  <r>
    <x v="0"/>
    <d v="2024-01-25T22:00:00"/>
    <n v="0"/>
    <n v="0"/>
    <n v="0"/>
    <n v="53.701230652973102"/>
    <s v="OK"/>
    <s v="ZERO"/>
    <n v="0"/>
    <n v="0"/>
    <x v="0"/>
    <n v="0"/>
    <x v="0"/>
    <n v="0"/>
  </r>
  <r>
    <x v="0"/>
    <d v="2024-01-25T23:00:00"/>
    <n v="0"/>
    <n v="0"/>
    <n v="0"/>
    <n v="25.383185466988401"/>
    <s v="OK"/>
    <s v="ZERO"/>
    <n v="0"/>
    <n v="0"/>
    <x v="0"/>
    <n v="0"/>
    <x v="0"/>
    <n v="0"/>
  </r>
  <r>
    <x v="0"/>
    <d v="2024-01-26T00:00:00"/>
    <n v="0"/>
    <n v="0"/>
    <n v="0"/>
    <n v="80.296888066438996"/>
    <s v="OK"/>
    <s v="ZERO"/>
    <n v="0"/>
    <n v="0"/>
    <x v="0"/>
    <n v="0"/>
    <x v="0"/>
    <n v="0"/>
  </r>
  <r>
    <x v="0"/>
    <d v="2024-01-26T01:00:00"/>
    <n v="0"/>
    <n v="0"/>
    <n v="0"/>
    <n v="30.715697100455799"/>
    <s v="OK"/>
    <s v="ZERO"/>
    <n v="0"/>
    <n v="0"/>
    <x v="0"/>
    <n v="0"/>
    <x v="0"/>
    <n v="0"/>
  </r>
  <r>
    <x v="0"/>
    <d v="2024-01-26T02:00:00"/>
    <n v="0"/>
    <n v="0"/>
    <n v="0"/>
    <n v="30.037127224976899"/>
    <s v="OK"/>
    <s v="ZERO"/>
    <n v="0"/>
    <n v="0"/>
    <x v="0"/>
    <n v="0"/>
    <x v="0"/>
    <n v="0"/>
  </r>
  <r>
    <x v="0"/>
    <d v="2024-01-26T03:00:00"/>
    <n v="0"/>
    <n v="0"/>
    <n v="0"/>
    <n v="76.148392559464995"/>
    <s v="OK"/>
    <s v="ZERO"/>
    <n v="0"/>
    <n v="0"/>
    <x v="0"/>
    <n v="0"/>
    <x v="0"/>
    <n v="0"/>
  </r>
  <r>
    <x v="0"/>
    <d v="2024-01-26T04:00:00"/>
    <n v="0"/>
    <n v="0"/>
    <n v="0"/>
    <n v="24.701721621639901"/>
    <s v="OK"/>
    <s v="ZERO"/>
    <n v="0"/>
    <n v="0"/>
    <x v="0"/>
    <n v="0"/>
    <x v="0"/>
    <n v="0"/>
  </r>
  <r>
    <x v="0"/>
    <d v="2024-01-26T05:00:00"/>
    <n v="0"/>
    <n v="0"/>
    <n v="0"/>
    <n v="38.511790190142598"/>
    <s v="OK"/>
    <s v="ZERO"/>
    <n v="0"/>
    <n v="0"/>
    <x v="0"/>
    <n v="0"/>
    <x v="0"/>
    <n v="0"/>
  </r>
  <r>
    <x v="0"/>
    <d v="2024-01-26T06:00:00"/>
    <n v="0"/>
    <n v="0"/>
    <n v="0"/>
    <n v="40.279496478839398"/>
    <s v="OK"/>
    <s v="ZERO"/>
    <n v="0"/>
    <n v="0"/>
    <x v="0"/>
    <n v="0"/>
    <x v="0"/>
    <n v="0"/>
  </r>
  <r>
    <x v="0"/>
    <d v="2024-01-26T07:00:00"/>
    <n v="106.50829659719"/>
    <n v="101.71346400398799"/>
    <n v="101.71346400398799"/>
    <n v="79.169935383200496"/>
    <s v="OK"/>
    <s v="NON-ZERO"/>
    <n v="103.527618041008"/>
    <n v="0.98247661762775795"/>
    <x v="1"/>
    <n v="-1.8141540370200033"/>
    <x v="1"/>
    <n v="0"/>
  </r>
  <r>
    <x v="0"/>
    <d v="2024-01-26T08:00:00"/>
    <n v="187.76567613444999"/>
    <n v="179.312766712577"/>
    <n v="179.312766712577"/>
    <n v="92.305881236758097"/>
    <s v="OK"/>
    <s v="NON-ZERO"/>
    <n v="199.99999999999901"/>
    <n v="0.89656383356288949"/>
    <x v="1"/>
    <n v="-20.687233287422004"/>
    <x v="1"/>
    <n v="0"/>
  </r>
  <r>
    <x v="0"/>
    <d v="2024-01-26T09:00:00"/>
    <n v="287.41006128440199"/>
    <n v="274.47132154779302"/>
    <n v="274.47132154779302"/>
    <n v="57.036053034269599"/>
    <s v="OK"/>
    <s v="NON-ZERO"/>
    <n v="282.84271247461902"/>
    <n v="0.970402663538389"/>
    <x v="1"/>
    <n v="-8.3713909268259954"/>
    <x v="1"/>
    <n v="0"/>
  </r>
  <r>
    <x v="0"/>
    <d v="2024-01-26T10:00:00"/>
    <n v="367.13051291195001"/>
    <n v="440.55661549434001"/>
    <n v="440.55661549434001"/>
    <n v="32.521481656039903"/>
    <s v="ERROR"/>
    <s v="NON-ZERO"/>
    <n v="346.41016151377499"/>
    <n v="1.27177740274464"/>
    <x v="1"/>
    <n v="94.146453980565013"/>
    <x v="0"/>
    <n v="0"/>
  </r>
  <r>
    <x v="0"/>
    <d v="2024-01-26T11:00:00"/>
    <n v="331.13222455872898"/>
    <n v="316.22518319482202"/>
    <n v="316.22518319482202"/>
    <n v="92.453562884650793"/>
    <s v="OK"/>
    <s v="NON-ZERO"/>
    <n v="386.37033051562702"/>
    <n v="0.81845099951853595"/>
    <x v="0"/>
    <n v="-70.145147320804995"/>
    <x v="1"/>
    <n v="-3.5072573660402493"/>
  </r>
  <r>
    <x v="0"/>
    <d v="2024-01-26T12:00:00"/>
    <n v="350.44916352141001"/>
    <n v="334.67250456433601"/>
    <n v="334.67250456433601"/>
    <n v="68.311191610693697"/>
    <s v="OK"/>
    <s v="NON-ZERO"/>
    <n v="400"/>
    <n v="0.83668126141083998"/>
    <x v="0"/>
    <n v="-65.327495435663991"/>
    <x v="1"/>
    <n v="-3.2663747717831995"/>
  </r>
  <r>
    <x v="0"/>
    <d v="2024-01-26T13:00:00"/>
    <n v="395.67950559490998"/>
    <n v="377.86664922125499"/>
    <n v="377.86664922125499"/>
    <n v="91.759986161321393"/>
    <s v="OK"/>
    <s v="NON-ZERO"/>
    <n v="386.37033051562702"/>
    <n v="0.97799085327534463"/>
    <x v="1"/>
    <n v="-8.5036812943720292"/>
    <x v="1"/>
    <n v="0"/>
  </r>
  <r>
    <x v="0"/>
    <d v="2024-01-26T14:00:00"/>
    <n v="260.40470409784001"/>
    <n v="248.68170220481801"/>
    <n v="248.68170220481801"/>
    <n v="47.653037814859601"/>
    <s v="OK"/>
    <s v="NON-ZERO"/>
    <n v="346.41016151377499"/>
    <n v="0.71788223855243105"/>
    <x v="0"/>
    <n v="-97.728459308956985"/>
    <x v="1"/>
    <n v="-4.8864229654478493"/>
  </r>
  <r>
    <x v="0"/>
    <d v="2024-01-26T15:00:00"/>
    <n v="269.03499597072403"/>
    <n v="256.92347218707999"/>
    <n v="256.92347218707999"/>
    <n v="77.567572138843801"/>
    <s v="OK"/>
    <s v="NON-ZERO"/>
    <n v="282.84271247461902"/>
    <n v="0.90836164714738798"/>
    <x v="1"/>
    <n v="-25.919240287539026"/>
    <x v="1"/>
    <n v="0"/>
  </r>
  <r>
    <x v="0"/>
    <d v="2024-01-26T16:00:00"/>
    <n v="207.291705507279"/>
    <n v="197.959765577513"/>
    <n v="197.959765577513"/>
    <n v="69.301511162759596"/>
    <s v="OK"/>
    <s v="NON-ZERO"/>
    <n v="199.99999999999901"/>
    <n v="0.9897988278875699"/>
    <x v="1"/>
    <n v="-2.0402344224860087"/>
    <x v="1"/>
    <n v="0"/>
  </r>
  <r>
    <x v="0"/>
    <d v="2024-01-26T17:00:00"/>
    <n v="96.031551915073905"/>
    <n v="91.708365554864201"/>
    <n v="91.708365554864201"/>
    <n v="36.180550938233999"/>
    <s v="OK"/>
    <s v="NON-ZERO"/>
    <n v="103.527618041008"/>
    <n v="0.88583478776202396"/>
    <x v="1"/>
    <n v="-11.819252486143796"/>
    <x v="1"/>
    <n v="0"/>
  </r>
  <r>
    <x v="0"/>
    <d v="2024-01-26T18:00:00"/>
    <n v="4.98659469097649E-14"/>
    <n v="4.7621062002459802E-14"/>
    <n v="4.7621062002459802E-14"/>
    <n v="68.872982035795701"/>
    <s v="OK"/>
    <s v="NON-ZERO"/>
    <n v="4.8985871965894097E-14"/>
    <n v="0.9721387022694109"/>
    <x v="1"/>
    <n v="-1.3648099634342951E-15"/>
    <x v="1"/>
    <n v="0"/>
  </r>
  <r>
    <x v="0"/>
    <d v="2024-01-26T19:00:00"/>
    <n v="0"/>
    <n v="0"/>
    <n v="0"/>
    <n v="68.362445301673503"/>
    <s v="OK"/>
    <s v="ZERO"/>
    <n v="0"/>
    <n v="0"/>
    <x v="0"/>
    <n v="0"/>
    <x v="0"/>
    <n v="0"/>
  </r>
  <r>
    <x v="0"/>
    <d v="2024-01-26T20:00:00"/>
    <n v="0"/>
    <n v="0"/>
    <n v="0"/>
    <n v="41.555719734918398"/>
    <s v="OK"/>
    <s v="ZERO"/>
    <n v="0"/>
    <n v="0"/>
    <x v="0"/>
    <n v="0"/>
    <x v="0"/>
    <n v="0"/>
  </r>
  <r>
    <x v="0"/>
    <d v="2024-01-26T21:00:00"/>
    <n v="0"/>
    <n v="0"/>
    <n v="0"/>
    <n v="28.363415924095701"/>
    <s v="OK"/>
    <s v="ZERO"/>
    <n v="0"/>
    <n v="0"/>
    <x v="0"/>
    <n v="0"/>
    <x v="0"/>
    <n v="0"/>
  </r>
  <r>
    <x v="0"/>
    <d v="2024-01-26T22:00:00"/>
    <n v="0"/>
    <n v="0"/>
    <n v="0"/>
    <n v="48.432053650395197"/>
    <s v="OK"/>
    <s v="ZERO"/>
    <n v="0"/>
    <n v="0"/>
    <x v="0"/>
    <n v="0"/>
    <x v="0"/>
    <n v="0"/>
  </r>
  <r>
    <x v="0"/>
    <d v="2024-01-26T23:00:00"/>
    <n v="0"/>
    <n v="0"/>
    <n v="0"/>
    <n v="29.327629925038199"/>
    <s v="OK"/>
    <s v="ZERO"/>
    <n v="0"/>
    <n v="0"/>
    <x v="0"/>
    <n v="0"/>
    <x v="0"/>
    <n v="0"/>
  </r>
  <r>
    <x v="0"/>
    <d v="2024-01-27T00:00:00"/>
    <n v="0"/>
    <n v="0"/>
    <n v="0"/>
    <n v="64.634875617926099"/>
    <s v="OK"/>
    <s v="ZERO"/>
    <n v="0"/>
    <n v="0"/>
    <x v="0"/>
    <n v="0"/>
    <x v="0"/>
    <n v="0"/>
  </r>
  <r>
    <x v="0"/>
    <d v="2024-01-27T01:00:00"/>
    <n v="0"/>
    <n v="0"/>
    <n v="0"/>
    <n v="92.262443066569105"/>
    <s v="OK"/>
    <s v="ZERO"/>
    <n v="0"/>
    <n v="0"/>
    <x v="0"/>
    <n v="0"/>
    <x v="0"/>
    <n v="0"/>
  </r>
  <r>
    <x v="0"/>
    <d v="2024-01-27T02:00:00"/>
    <n v="0"/>
    <n v="0"/>
    <n v="0"/>
    <n v="77.969111140708605"/>
    <s v="OK"/>
    <s v="ZERO"/>
    <n v="0"/>
    <n v="0"/>
    <x v="0"/>
    <n v="0"/>
    <x v="0"/>
    <n v="0"/>
  </r>
  <r>
    <x v="0"/>
    <d v="2024-01-27T03:00:00"/>
    <n v="0"/>
    <n v="0"/>
    <n v="0"/>
    <n v="29.416266107199"/>
    <s v="OK"/>
    <s v="ZERO"/>
    <n v="0"/>
    <n v="0"/>
    <x v="0"/>
    <n v="0"/>
    <x v="0"/>
    <n v="0"/>
  </r>
  <r>
    <x v="0"/>
    <d v="2024-01-27T04:00:00"/>
    <n v="0"/>
    <n v="0"/>
    <n v="0"/>
    <n v="41.998145808542297"/>
    <s v="OK"/>
    <s v="ZERO"/>
    <n v="0"/>
    <n v="0"/>
    <x v="0"/>
    <n v="0"/>
    <x v="0"/>
    <n v="0"/>
  </r>
  <r>
    <x v="0"/>
    <d v="2024-01-27T05:00:00"/>
    <n v="0"/>
    <n v="0"/>
    <n v="0"/>
    <n v="46.107169487621597"/>
    <s v="OK"/>
    <s v="ZERO"/>
    <n v="0"/>
    <n v="0"/>
    <x v="0"/>
    <n v="0"/>
    <x v="0"/>
    <n v="0"/>
  </r>
  <r>
    <x v="0"/>
    <d v="2024-01-27T06:00:00"/>
    <n v="0"/>
    <n v="0"/>
    <n v="0"/>
    <n v="21.7696223484146"/>
    <s v="OK"/>
    <s v="ZERO"/>
    <n v="0"/>
    <n v="0"/>
    <x v="0"/>
    <n v="0"/>
    <x v="0"/>
    <n v="0"/>
  </r>
  <r>
    <x v="0"/>
    <d v="2024-01-27T07:00:00"/>
    <n v="88.557399872396601"/>
    <n v="84.570687842973697"/>
    <n v="84.570687842973697"/>
    <n v="78.528209267823499"/>
    <s v="OK"/>
    <s v="NON-ZERO"/>
    <n v="103.527618041008"/>
    <n v="0.81689011534559475"/>
    <x v="0"/>
    <n v="-18.9569301980343"/>
    <x v="1"/>
    <n v="-0.94784650990171493"/>
  </r>
  <r>
    <x v="0"/>
    <d v="2024-01-27T08:00:00"/>
    <n v="158.17105237238499"/>
    <n v="151.050445420193"/>
    <n v="151.050445420193"/>
    <n v="37.117652262027399"/>
    <s v="OK"/>
    <s v="NON-ZERO"/>
    <n v="199.99999999999901"/>
    <n v="0.75525222710096873"/>
    <x v="0"/>
    <n v="-48.949554579806005"/>
    <x v="1"/>
    <n v="-2.4474777289903002"/>
  </r>
  <r>
    <x v="0"/>
    <d v="2024-01-27T09:00:00"/>
    <n v="250.16300769945201"/>
    <n v="238.90107054288299"/>
    <n v="238.90107054288299"/>
    <n v="76.058330494751999"/>
    <s v="OK"/>
    <s v="NON-ZERO"/>
    <n v="282.84271247461902"/>
    <n v="0.84464283506799154"/>
    <x v="0"/>
    <n v="-43.941641931736029"/>
    <x v="1"/>
    <n v="-2.1970820965868016"/>
  </r>
  <r>
    <x v="0"/>
    <d v="2024-01-27T10:00:00"/>
    <n v="312.23574037807401"/>
    <n v="298.17938840777401"/>
    <n v="298.17938840777401"/>
    <n v="78.889215736130595"/>
    <s v="OK"/>
    <s v="NON-ZERO"/>
    <n v="346.41016151377499"/>
    <n v="0.86076975082013263"/>
    <x v="1"/>
    <n v="-48.230773106000981"/>
    <x v="1"/>
    <n v="0"/>
  </r>
  <r>
    <x v="0"/>
    <d v="2024-01-27T11:00:00"/>
    <n v="365.93834748171503"/>
    <n v="349.46439031907698"/>
    <n v="349.46439031907698"/>
    <n v="92.207626268990396"/>
    <s v="OK"/>
    <s v="NON-ZERO"/>
    <n v="386.37033051562702"/>
    <n v="0.90448039799718172"/>
    <x v="1"/>
    <n v="-36.905940196550034"/>
    <x v="1"/>
    <n v="0"/>
  </r>
  <r>
    <x v="0"/>
    <d v="2024-01-27T12:00:00"/>
    <n v="374.23962745681598"/>
    <n v="357.39195999121"/>
    <n v="357.39195999121"/>
    <n v="30.560221166950701"/>
    <s v="OK"/>
    <s v="NON-ZERO"/>
    <n v="400"/>
    <n v="0.89347989997802502"/>
    <x v="1"/>
    <n v="-42.608040008789999"/>
    <x v="1"/>
    <n v="0"/>
  </r>
  <r>
    <x v="0"/>
    <d v="2024-01-27T13:00:00"/>
    <n v="349.47151313180501"/>
    <n v="333.738866426382"/>
    <n v="333.738866426382"/>
    <n v="63.372379956526999"/>
    <s v="OK"/>
    <s v="NON-ZERO"/>
    <n v="386.37033051562702"/>
    <n v="0.8637797472207398"/>
    <x v="1"/>
    <n v="-52.631464089245014"/>
    <x v="1"/>
    <n v="0"/>
  </r>
  <r>
    <x v="0"/>
    <d v="2024-01-27T14:00:00"/>
    <n v="336.98763712792697"/>
    <n v="321.81699448665103"/>
    <n v="321.81699448665103"/>
    <n v="70.559772165204706"/>
    <s v="OK"/>
    <s v="NON-ZERO"/>
    <n v="346.41016151377499"/>
    <n v="0.92900564198332269"/>
    <x v="1"/>
    <n v="-24.593167027123968"/>
    <x v="1"/>
    <n v="0"/>
  </r>
  <r>
    <x v="0"/>
    <d v="2024-01-27T15:00:00"/>
    <n v="261.38315670656698"/>
    <n v="249.616106447276"/>
    <n v="249.616106447276"/>
    <n v="88.8114382348992"/>
    <s v="OK"/>
    <s v="NON-ZERO"/>
    <n v="282.84271247461902"/>
    <n v="0.88252620781125968"/>
    <x v="1"/>
    <n v="-33.226606027343024"/>
    <x v="1"/>
    <n v="0"/>
  </r>
  <r>
    <x v="0"/>
    <d v="2024-01-27T16:00:00"/>
    <n v="186.31829674707001"/>
    <n v="177.930546022529"/>
    <n v="177.930546022529"/>
    <n v="24.665241962352699"/>
    <s v="OK"/>
    <s v="NON-ZERO"/>
    <n v="199.99999999999901"/>
    <n v="0.88965273011264945"/>
    <x v="1"/>
    <n v="-22.069453977470005"/>
    <x v="1"/>
    <n v="0"/>
  </r>
  <r>
    <x v="0"/>
    <d v="2024-01-27T17:00:00"/>
    <n v="85.047960046083503"/>
    <n v="81.219237365853999"/>
    <n v="81.219237365853999"/>
    <n v="67.319134267187195"/>
    <s v="OK"/>
    <s v="NON-ZERO"/>
    <n v="103.527618041008"/>
    <n v="0.78451758963180729"/>
    <x v="0"/>
    <n v="-22.308380675153998"/>
    <x v="1"/>
    <n v="-1.1154190337576999"/>
  </r>
  <r>
    <x v="0"/>
    <d v="2024-01-27T18:00:00"/>
    <n v="4.2802110628484199E-14"/>
    <n v="4.0875228294843503E-14"/>
    <n v="4.0875228294843503E-14"/>
    <n v="38.1419970584666"/>
    <s v="OK"/>
    <s v="NON-ZERO"/>
    <n v="4.8985871965894097E-14"/>
    <n v="0.83442892112449185"/>
    <x v="0"/>
    <n v="-8.1106436710505944E-15"/>
    <x v="1"/>
    <n v="-4.0553218355252973E-16"/>
  </r>
  <r>
    <x v="0"/>
    <d v="2024-01-27T19:00:00"/>
    <n v="0"/>
    <n v="0"/>
    <n v="0"/>
    <n v="25.717941348017298"/>
    <s v="OK"/>
    <s v="ZERO"/>
    <n v="0"/>
    <n v="0"/>
    <x v="0"/>
    <n v="0"/>
    <x v="0"/>
    <n v="0"/>
  </r>
  <r>
    <x v="0"/>
    <d v="2024-01-27T20:00:00"/>
    <n v="0"/>
    <n v="0"/>
    <n v="0"/>
    <n v="52.461200165710103"/>
    <s v="OK"/>
    <s v="ZERO"/>
    <n v="0"/>
    <n v="0"/>
    <x v="0"/>
    <n v="0"/>
    <x v="0"/>
    <n v="0"/>
  </r>
  <r>
    <x v="0"/>
    <d v="2024-01-27T21:00:00"/>
    <n v="0"/>
    <n v="0"/>
    <n v="0"/>
    <n v="53.415622905641797"/>
    <s v="OK"/>
    <s v="ZERO"/>
    <n v="0"/>
    <n v="0"/>
    <x v="0"/>
    <n v="0"/>
    <x v="0"/>
    <n v="0"/>
  </r>
  <r>
    <x v="0"/>
    <d v="2024-01-27T22:00:00"/>
    <n v="0"/>
    <n v="0"/>
    <n v="0"/>
    <n v="34.769427834007097"/>
    <s v="OK"/>
    <s v="ZERO"/>
    <n v="0"/>
    <n v="0"/>
    <x v="0"/>
    <n v="0"/>
    <x v="0"/>
    <n v="0"/>
  </r>
  <r>
    <x v="0"/>
    <d v="2024-01-27T23:00:00"/>
    <n v="0"/>
    <n v="0"/>
    <n v="0"/>
    <n v="73.379210430953606"/>
    <s v="OK"/>
    <s v="ZERO"/>
    <n v="0"/>
    <n v="0"/>
    <x v="0"/>
    <n v="0"/>
    <x v="0"/>
    <n v="0"/>
  </r>
  <r>
    <x v="0"/>
    <d v="2024-01-28T00:00:00"/>
    <n v="0"/>
    <n v="0"/>
    <n v="0"/>
    <n v="64.517070153408895"/>
    <s v="OK"/>
    <s v="ZERO"/>
    <n v="0"/>
    <n v="0"/>
    <x v="0"/>
    <n v="0"/>
    <x v="0"/>
    <n v="0"/>
  </r>
  <r>
    <x v="0"/>
    <d v="2024-01-28T01:00:00"/>
    <n v="0"/>
    <n v="0"/>
    <n v="0"/>
    <n v="93.588337757171999"/>
    <s v="OK"/>
    <s v="ZERO"/>
    <n v="0"/>
    <n v="0"/>
    <x v="0"/>
    <n v="0"/>
    <x v="0"/>
    <n v="0"/>
  </r>
  <r>
    <x v="0"/>
    <d v="2024-01-28T02:00:00"/>
    <n v="0"/>
    <n v="0"/>
    <n v="0"/>
    <n v="92.010170330408499"/>
    <s v="OK"/>
    <s v="ZERO"/>
    <n v="0"/>
    <n v="0"/>
    <x v="0"/>
    <n v="0"/>
    <x v="0"/>
    <n v="0"/>
  </r>
  <r>
    <x v="0"/>
    <d v="2024-01-28T03:00:00"/>
    <n v="0"/>
    <n v="0"/>
    <n v="0"/>
    <n v="76.798265535082905"/>
    <s v="OK"/>
    <s v="ZERO"/>
    <n v="0"/>
    <n v="0"/>
    <x v="0"/>
    <n v="0"/>
    <x v="0"/>
    <n v="0"/>
  </r>
  <r>
    <x v="0"/>
    <d v="2024-01-28T04:00:00"/>
    <n v="0"/>
    <n v="0"/>
    <n v="0"/>
    <n v="68.046138766166493"/>
    <s v="OK"/>
    <s v="ZERO"/>
    <n v="0"/>
    <n v="0"/>
    <x v="0"/>
    <n v="0"/>
    <x v="0"/>
    <n v="0"/>
  </r>
  <r>
    <x v="0"/>
    <d v="2024-01-28T05:00:00"/>
    <n v="0"/>
    <n v="0"/>
    <n v="0"/>
    <n v="62.381398433956697"/>
    <s v="OK"/>
    <s v="ZERO"/>
    <n v="0"/>
    <n v="0"/>
    <x v="0"/>
    <n v="0"/>
    <x v="0"/>
    <n v="0"/>
  </r>
  <r>
    <x v="0"/>
    <d v="2024-01-28T06:00:00"/>
    <n v="0"/>
    <n v="0"/>
    <n v="0"/>
    <n v="46.777200797750901"/>
    <s v="OK"/>
    <s v="ZERO"/>
    <n v="0"/>
    <n v="0"/>
    <x v="0"/>
    <n v="0"/>
    <x v="0"/>
    <n v="0"/>
  </r>
  <r>
    <x v="0"/>
    <d v="2024-01-28T07:00:00"/>
    <n v="109.672795819779"/>
    <n v="104.735502549819"/>
    <n v="104.735502549819"/>
    <n v="67.577276665376502"/>
    <s v="OK"/>
    <s v="NON-ZERO"/>
    <n v="103.527618041008"/>
    <n v="1.0116672684223504"/>
    <x v="1"/>
    <n v="1.2078845088110057"/>
    <x v="0"/>
    <n v="0"/>
  </r>
  <r>
    <x v="0"/>
    <d v="2024-01-28T08:00:00"/>
    <n v="180.260600710125"/>
    <n v="172.14555774005601"/>
    <n v="172.14555774005601"/>
    <n v="27.154945798490701"/>
    <s v="OK"/>
    <s v="NON-ZERO"/>
    <n v="199.99999999999901"/>
    <n v="0.86072778870028432"/>
    <x v="1"/>
    <n v="-27.854442259942999"/>
    <x v="1"/>
    <n v="0"/>
  </r>
  <r>
    <x v="0"/>
    <d v="2024-01-28T09:00:00"/>
    <n v="247.23468247940099"/>
    <n v="236.104573824998"/>
    <n v="236.104573824998"/>
    <n v="56.0667609952256"/>
    <s v="OK"/>
    <s v="NON-ZERO"/>
    <n v="282.84271247461902"/>
    <n v="0.83475572610407955"/>
    <x v="0"/>
    <n v="-46.738138649621021"/>
    <x v="1"/>
    <n v="-2.336906932481051"/>
  </r>
  <r>
    <x v="0"/>
    <d v="2024-01-28T10:00:00"/>
    <n v="309.78353986970097"/>
    <n v="295.83758203110898"/>
    <n v="295.83758203110898"/>
    <n v="88.964826849203703"/>
    <s v="OK"/>
    <s v="NON-ZERO"/>
    <n v="346.41016151377499"/>
    <n v="0.85400953811034497"/>
    <x v="1"/>
    <n v="-50.572579482666015"/>
    <x v="1"/>
    <n v="0"/>
  </r>
  <r>
    <x v="0"/>
    <d v="2024-01-28T11:00:00"/>
    <n v="376.220211146341"/>
    <n v="359.28338098138101"/>
    <n v="359.28338098138101"/>
    <n v="77.075594262154397"/>
    <s v="OK"/>
    <s v="NON-ZERO"/>
    <n v="386.37033051562702"/>
    <n v="0.92989381586806275"/>
    <x v="1"/>
    <n v="-27.086949534246003"/>
    <x v="1"/>
    <n v="0"/>
  </r>
  <r>
    <x v="0"/>
    <d v="2024-01-28T12:00:00"/>
    <n v="342.36479482982998"/>
    <n v="326.95208117782897"/>
    <n v="326.95208117782897"/>
    <n v="91.319644587691101"/>
    <s v="OK"/>
    <s v="NON-ZERO"/>
    <n v="400"/>
    <n v="0.81738020294457248"/>
    <x v="0"/>
    <n v="-73.047918822171027"/>
    <x v="1"/>
    <n v="-3.6523959411085518"/>
  </r>
  <r>
    <x v="0"/>
    <d v="2024-01-28T13:00:00"/>
    <n v="323.69015463720302"/>
    <n v="309.11814331847302"/>
    <n v="309.11814331847302"/>
    <n v="79.066181439408396"/>
    <s v="OK"/>
    <s v="NON-ZERO"/>
    <n v="386.37033051562702"/>
    <n v="0.80005662677551403"/>
    <x v="0"/>
    <n v="-77.252187197154001"/>
    <x v="1"/>
    <n v="-3.8626093598577"/>
  </r>
  <r>
    <x v="0"/>
    <d v="2024-01-28T14:00:00"/>
    <n v="338.946208436017"/>
    <n v="323.68739405747601"/>
    <n v="323.68739405747601"/>
    <n v="38.029918467012997"/>
    <s v="OK"/>
    <s v="NON-ZERO"/>
    <n v="346.41016151377499"/>
    <n v="0.93440502046186247"/>
    <x v="1"/>
    <n v="-22.722767456298982"/>
    <x v="1"/>
    <n v="0"/>
  </r>
  <r>
    <x v="0"/>
    <d v="2024-01-28T15:00:00"/>
    <n v="237.425785416172"/>
    <n v="226.73725756669"/>
    <n v="226.73725756669"/>
    <n v="27.6352762212152"/>
    <s v="OK"/>
    <s v="NON-ZERO"/>
    <n v="282.84271247461902"/>
    <n v="0.80163726186523665"/>
    <x v="0"/>
    <n v="-56.105454907929015"/>
    <x v="1"/>
    <n v="-2.8052727453964508"/>
  </r>
  <r>
    <x v="0"/>
    <d v="2024-01-28T16:00:00"/>
    <n v="168.63220604588901"/>
    <n v="161.040654742892"/>
    <n v="161.040654742892"/>
    <n v="33.141632907937002"/>
    <s v="OK"/>
    <s v="NON-ZERO"/>
    <n v="199.99999999999901"/>
    <n v="0.80520327371446399"/>
    <x v="0"/>
    <n v="-38.959345257107003"/>
    <x v="1"/>
    <n v="-1.9479672628553502"/>
  </r>
  <r>
    <x v="0"/>
    <d v="2024-01-28T17:00:00"/>
    <n v="98.587310174437306"/>
    <n v="94.149067678754093"/>
    <n v="94.149067678754093"/>
    <n v="91.284437793147106"/>
    <s v="OK"/>
    <s v="NON-ZERO"/>
    <n v="103.527618041008"/>
    <n v="0.90941015991946228"/>
    <x v="1"/>
    <n v="-9.3785503622539039"/>
    <x v="1"/>
    <n v="0"/>
  </r>
  <r>
    <x v="0"/>
    <d v="2024-01-28T18:00:00"/>
    <n v="4.1255052236708197E-14"/>
    <n v="3.9397815989217297E-14"/>
    <n v="3.9397815989217297E-14"/>
    <n v="76.908219031799305"/>
    <s v="OK"/>
    <s v="NON-ZERO"/>
    <n v="4.8985871965894097E-14"/>
    <n v="0.80426895364131956"/>
    <x v="0"/>
    <n v="-9.5880559766768002E-15"/>
    <x v="1"/>
    <n v="-4.7940279883383999E-16"/>
  </r>
  <r>
    <x v="0"/>
    <d v="2024-01-28T19:00:00"/>
    <n v="0"/>
    <n v="0"/>
    <n v="0"/>
    <n v="87.057072689993802"/>
    <s v="OK"/>
    <s v="ZERO"/>
    <n v="0"/>
    <n v="0"/>
    <x v="0"/>
    <n v="0"/>
    <x v="0"/>
    <n v="0"/>
  </r>
  <r>
    <x v="0"/>
    <d v="2024-01-28T20:00:00"/>
    <n v="0"/>
    <n v="0"/>
    <n v="0"/>
    <n v="35.351008179296301"/>
    <s v="OK"/>
    <s v="ZERO"/>
    <n v="0"/>
    <n v="0"/>
    <x v="0"/>
    <n v="0"/>
    <x v="0"/>
    <n v="0"/>
  </r>
  <r>
    <x v="0"/>
    <d v="2024-01-28T21:00:00"/>
    <n v="0"/>
    <n v="0"/>
    <n v="0"/>
    <n v="44.867352430039503"/>
    <s v="OK"/>
    <s v="ZERO"/>
    <n v="0"/>
    <n v="0"/>
    <x v="0"/>
    <n v="0"/>
    <x v="0"/>
    <n v="0"/>
  </r>
  <r>
    <x v="0"/>
    <d v="2024-01-28T22:00:00"/>
    <n v="0"/>
    <n v="0"/>
    <n v="0"/>
    <n v="90.558839037733094"/>
    <s v="OK"/>
    <s v="ZERO"/>
    <n v="0"/>
    <n v="0"/>
    <x v="0"/>
    <n v="0"/>
    <x v="0"/>
    <n v="0"/>
  </r>
  <r>
    <x v="0"/>
    <d v="2024-01-28T23:00:00"/>
    <n v="0"/>
    <n v="0"/>
    <n v="0"/>
    <n v="80.815893575593805"/>
    <s v="OK"/>
    <s v="ZERO"/>
    <n v="0"/>
    <n v="0"/>
    <x v="0"/>
    <n v="0"/>
    <x v="0"/>
    <n v="0"/>
  </r>
  <r>
    <x v="0"/>
    <d v="2024-01-29T00:00:00"/>
    <n v="0"/>
    <n v="0"/>
    <n v="0"/>
    <n v="69.098801514946501"/>
    <s v="OK"/>
    <s v="ZERO"/>
    <n v="0"/>
    <n v="0"/>
    <x v="0"/>
    <n v="0"/>
    <x v="0"/>
    <n v="0"/>
  </r>
  <r>
    <x v="0"/>
    <d v="2024-01-29T01:00:00"/>
    <n v="0"/>
    <n v="0"/>
    <n v="0"/>
    <n v="60.432091455200599"/>
    <s v="OK"/>
    <s v="ZERO"/>
    <n v="0"/>
    <n v="0"/>
    <x v="0"/>
    <n v="0"/>
    <x v="0"/>
    <n v="0"/>
  </r>
  <r>
    <x v="0"/>
    <d v="2024-01-29T02:00:00"/>
    <n v="0"/>
    <n v="0"/>
    <n v="0"/>
    <n v="77.416006288689502"/>
    <s v="OK"/>
    <s v="ZERO"/>
    <n v="0"/>
    <n v="0"/>
    <x v="0"/>
    <n v="0"/>
    <x v="0"/>
    <n v="0"/>
  </r>
  <r>
    <x v="0"/>
    <d v="2024-01-29T03:00:00"/>
    <n v="0"/>
    <n v="0"/>
    <n v="0"/>
    <n v="59.1882635814191"/>
    <s v="OK"/>
    <s v="ZERO"/>
    <n v="0"/>
    <n v="0"/>
    <x v="0"/>
    <n v="0"/>
    <x v="0"/>
    <n v="0"/>
  </r>
  <r>
    <x v="0"/>
    <d v="2024-01-29T04:00:00"/>
    <n v="0"/>
    <n v="0"/>
    <n v="0"/>
    <n v="20.1105366564733"/>
    <s v="OK"/>
    <s v="ZERO"/>
    <n v="0"/>
    <n v="0"/>
    <x v="0"/>
    <n v="0"/>
    <x v="0"/>
    <n v="0"/>
  </r>
  <r>
    <x v="0"/>
    <d v="2024-01-29T05:00:00"/>
    <n v="0"/>
    <n v="0"/>
    <n v="0"/>
    <n v="36.822011246378302"/>
    <s v="OK"/>
    <s v="ZERO"/>
    <n v="0"/>
    <n v="0"/>
    <x v="0"/>
    <n v="0"/>
    <x v="0"/>
    <n v="0"/>
  </r>
  <r>
    <x v="0"/>
    <d v="2024-01-29T06:00:00"/>
    <n v="0"/>
    <n v="0"/>
    <n v="0"/>
    <n v="42.719817923032103"/>
    <s v="OK"/>
    <s v="ZERO"/>
    <n v="0"/>
    <n v="0"/>
    <x v="0"/>
    <n v="0"/>
    <x v="0"/>
    <n v="0"/>
  </r>
  <r>
    <x v="0"/>
    <d v="2024-01-29T07:00:00"/>
    <n v="104.297747498983"/>
    <n v="99.602430278796007"/>
    <n v="99.602430278796007"/>
    <n v="81.258459987922706"/>
    <s v="OK"/>
    <s v="NON-ZERO"/>
    <n v="103.527618041008"/>
    <n v="0.96208559767445634"/>
    <x v="1"/>
    <n v="-3.9251877622119906"/>
    <x v="1"/>
    <n v="0"/>
  </r>
  <r>
    <x v="0"/>
    <d v="2024-01-29T08:00:00"/>
    <n v="183.556312377833"/>
    <n v="175.29290175729"/>
    <n v="175.29290175729"/>
    <n v="93.864380207185604"/>
    <s v="OK"/>
    <s v="NON-ZERO"/>
    <n v="199.99999999999901"/>
    <n v="0.87646450878645432"/>
    <x v="1"/>
    <n v="-24.707098242709009"/>
    <x v="1"/>
    <n v="0"/>
  </r>
  <r>
    <x v="0"/>
    <d v="2024-01-29T09:00:00"/>
    <n v="246.21959811511701"/>
    <n v="235.13518692983399"/>
    <n v="235.13518692983399"/>
    <n v="64.297837549597801"/>
    <s v="OK"/>
    <s v="NON-ZERO"/>
    <n v="282.84271247461902"/>
    <n v="0.83132842586826039"/>
    <x v="0"/>
    <n v="-47.707525544785028"/>
    <x v="1"/>
    <n v="-2.3853762772392515"/>
  </r>
  <r>
    <x v="0"/>
    <d v="2024-01-29T10:00:00"/>
    <n v="314.57859569393901"/>
    <n v="300.416772137024"/>
    <n v="300.416772137024"/>
    <n v="32.549097800079501"/>
    <s v="OK"/>
    <s v="NON-ZERO"/>
    <n v="346.41016151377499"/>
    <n v="0.8672285213119475"/>
    <x v="1"/>
    <n v="-45.993389376750997"/>
    <x v="1"/>
    <n v="0"/>
  </r>
  <r>
    <x v="0"/>
    <d v="2024-01-29T11:00:00"/>
    <n v="373.23387718381002"/>
    <n v="356.43148698151299"/>
    <n v="356.43148698151299"/>
    <n v="91.416633927319594"/>
    <s v="OK"/>
    <s v="NON-ZERO"/>
    <n v="386.37033051562702"/>
    <n v="0.92251257105026818"/>
    <x v="1"/>
    <n v="-29.938843534114028"/>
    <x v="1"/>
    <n v="0"/>
  </r>
  <r>
    <x v="0"/>
    <d v="2024-01-29T12:00:00"/>
    <n v="335.52299286830799"/>
    <n v="320.41828616120603"/>
    <n v="320.41828616120603"/>
    <n v="27.688697304985499"/>
    <s v="OK"/>
    <s v="NON-ZERO"/>
    <n v="400"/>
    <n v="0.80104571540301506"/>
    <x v="0"/>
    <n v="-79.581713838793974"/>
    <x v="1"/>
    <n v="-3.9790856919396989"/>
  </r>
  <r>
    <x v="0"/>
    <d v="2024-01-29T13:00:00"/>
    <n v="388.49746908934998"/>
    <n v="371.00793647377401"/>
    <n v="371.00793647377401"/>
    <n v="47.696057766165502"/>
    <s v="OK"/>
    <s v="NON-ZERO"/>
    <n v="386.37033051562702"/>
    <n v="0.96023919843598948"/>
    <x v="1"/>
    <n v="-15.362394041853008"/>
    <x v="1"/>
    <n v="0"/>
  </r>
  <r>
    <x v="0"/>
    <d v="2024-01-29T14:00:00"/>
    <n v="355.32535409452203"/>
    <n v="339.32917686293302"/>
    <n v="339.32917686293302"/>
    <n v="72.094657043996406"/>
    <s v="OK"/>
    <s v="NON-ZERO"/>
    <n v="346.41016151377499"/>
    <n v="0.97955895802854387"/>
    <x v="1"/>
    <n v="-7.0809846508419696"/>
    <x v="1"/>
    <n v="0"/>
  </r>
  <r>
    <x v="0"/>
    <d v="2024-01-29T15:00:00"/>
    <n v="288.41111412472799"/>
    <n v="275.42730859569201"/>
    <n v="275.42730859569201"/>
    <n v="40.555369200664302"/>
    <s v="OK"/>
    <s v="NON-ZERO"/>
    <n v="282.84271247461902"/>
    <n v="0.9737825881598684"/>
    <x v="1"/>
    <n v="-7.4154038789270089"/>
    <x v="1"/>
    <n v="0"/>
  </r>
  <r>
    <x v="0"/>
    <d v="2024-01-29T16:00:00"/>
    <n v="182.49657196426901"/>
    <n v="174.28086915652301"/>
    <n v="174.28086915652301"/>
    <n v="93.389410129185507"/>
    <s v="OK"/>
    <s v="NON-ZERO"/>
    <n v="199.99999999999901"/>
    <n v="0.87140434578261938"/>
    <x v="1"/>
    <n v="-25.719130843475995"/>
    <x v="1"/>
    <n v="0"/>
  </r>
  <r>
    <x v="0"/>
    <d v="2024-01-29T17:00:00"/>
    <n v="102.264756705818"/>
    <n v="97.660961468689393"/>
    <n v="97.660961468689393"/>
    <n v="74.529257121154203"/>
    <s v="OK"/>
    <s v="NON-ZERO"/>
    <n v="103.527618041008"/>
    <n v="0.94333244902828939"/>
    <x v="1"/>
    <n v="-5.8666565723186039"/>
    <x v="1"/>
    <n v="0"/>
  </r>
  <r>
    <x v="0"/>
    <d v="2024-01-29T18:00:00"/>
    <n v="4.8709239333792601E-14"/>
    <n v="4.6516427545326802E-14"/>
    <n v="4.6516427545326802E-14"/>
    <n v="32.227650269869301"/>
    <s v="OK"/>
    <s v="NON-ZERO"/>
    <n v="4.8985871965894097E-14"/>
    <n v="0.94958864012287825"/>
    <x v="1"/>
    <n v="-2.4694444205672953E-15"/>
    <x v="1"/>
    <n v="0"/>
  </r>
  <r>
    <x v="0"/>
    <d v="2024-01-29T19:00:00"/>
    <n v="0"/>
    <n v="0"/>
    <n v="0"/>
    <n v="48.826627889310103"/>
    <s v="OK"/>
    <s v="ZERO"/>
    <n v="0"/>
    <n v="0"/>
    <x v="0"/>
    <n v="0"/>
    <x v="0"/>
    <n v="0"/>
  </r>
  <r>
    <x v="0"/>
    <d v="2024-01-29T20:00:00"/>
    <n v="0"/>
    <n v="0"/>
    <n v="0"/>
    <n v="81.284610651168805"/>
    <s v="OK"/>
    <s v="ZERO"/>
    <n v="0"/>
    <n v="0"/>
    <x v="0"/>
    <n v="0"/>
    <x v="0"/>
    <n v="0"/>
  </r>
  <r>
    <x v="0"/>
    <d v="2024-01-29T21:00:00"/>
    <n v="0"/>
    <n v="0"/>
    <n v="0"/>
    <n v="23.875154124346999"/>
    <s v="OK"/>
    <s v="ZERO"/>
    <n v="0"/>
    <n v="0"/>
    <x v="0"/>
    <n v="0"/>
    <x v="0"/>
    <n v="0"/>
  </r>
  <r>
    <x v="0"/>
    <d v="2024-01-29T22:00:00"/>
    <n v="0"/>
    <n v="0"/>
    <n v="0"/>
    <n v="80.000261132276094"/>
    <s v="OK"/>
    <s v="ZERO"/>
    <n v="0"/>
    <n v="0"/>
    <x v="0"/>
    <n v="0"/>
    <x v="0"/>
    <n v="0"/>
  </r>
  <r>
    <x v="0"/>
    <d v="2024-01-29T23:00:00"/>
    <n v="0"/>
    <n v="0"/>
    <n v="0"/>
    <n v="29.878627143431999"/>
    <s v="OK"/>
    <s v="ZERO"/>
    <n v="0"/>
    <n v="0"/>
    <x v="0"/>
    <n v="0"/>
    <x v="0"/>
    <n v="0"/>
  </r>
  <r>
    <x v="0"/>
    <d v="2024-01-30T00:00:00"/>
    <n v="0"/>
    <n v="0"/>
    <n v="0"/>
    <n v="79.751104789352894"/>
    <s v="OK"/>
    <s v="ZERO"/>
    <n v="0"/>
    <n v="0"/>
    <x v="0"/>
    <n v="0"/>
    <x v="0"/>
    <n v="0"/>
  </r>
  <r>
    <x v="0"/>
    <d v="2024-01-30T01:00:00"/>
    <n v="0"/>
    <n v="0"/>
    <n v="0"/>
    <n v="62.880948735781097"/>
    <s v="OK"/>
    <s v="ZERO"/>
    <n v="0"/>
    <n v="0"/>
    <x v="0"/>
    <n v="0"/>
    <x v="0"/>
    <n v="0"/>
  </r>
  <r>
    <x v="0"/>
    <d v="2024-01-30T02:00:00"/>
    <n v="0"/>
    <n v="0"/>
    <n v="0"/>
    <n v="46.471887758926698"/>
    <s v="OK"/>
    <s v="ZERO"/>
    <n v="0"/>
    <n v="0"/>
    <x v="0"/>
    <n v="0"/>
    <x v="0"/>
    <n v="0"/>
  </r>
  <r>
    <x v="0"/>
    <d v="2024-01-30T03:00:00"/>
    <n v="0"/>
    <n v="0"/>
    <n v="0"/>
    <n v="74.952428794271"/>
    <s v="OK"/>
    <s v="ZERO"/>
    <n v="0"/>
    <n v="0"/>
    <x v="0"/>
    <n v="0"/>
    <x v="0"/>
    <n v="0"/>
  </r>
  <r>
    <x v="0"/>
    <d v="2024-01-30T04:00:00"/>
    <n v="0"/>
    <n v="0"/>
    <n v="0"/>
    <n v="52.457515969944602"/>
    <s v="OK"/>
    <s v="ZERO"/>
    <n v="0"/>
    <n v="0"/>
    <x v="0"/>
    <n v="0"/>
    <x v="0"/>
    <n v="0"/>
  </r>
  <r>
    <x v="0"/>
    <d v="2024-01-30T05:00:00"/>
    <n v="0"/>
    <n v="0"/>
    <n v="0"/>
    <n v="24.243924211003598"/>
    <s v="OK"/>
    <s v="ZERO"/>
    <n v="0"/>
    <n v="0"/>
    <x v="0"/>
    <n v="0"/>
    <x v="0"/>
    <n v="0"/>
  </r>
  <r>
    <x v="0"/>
    <d v="2024-01-30T06:00:00"/>
    <n v="0"/>
    <n v="0"/>
    <n v="0"/>
    <n v="67.421161522822899"/>
    <s v="OK"/>
    <s v="ZERO"/>
    <n v="0"/>
    <n v="0"/>
    <x v="0"/>
    <n v="0"/>
    <x v="0"/>
    <n v="0"/>
  </r>
  <r>
    <x v="0"/>
    <d v="2024-01-30T07:00:00"/>
    <n v="97.238946812464903"/>
    <n v="92.861405471546306"/>
    <n v="92.861405471546306"/>
    <n v="76.320484877248802"/>
    <s v="OK"/>
    <s v="NON-ZERO"/>
    <n v="103.527618041008"/>
    <n v="0.89697229810467838"/>
    <x v="1"/>
    <n v="-10.666212569461692"/>
    <x v="1"/>
    <n v="0"/>
  </r>
  <r>
    <x v="0"/>
    <d v="2024-01-30T08:00:00"/>
    <n v="185.88029179489001"/>
    <n v="177.512259350406"/>
    <n v="177.512259350406"/>
    <n v="93.527655570663796"/>
    <s v="OK"/>
    <s v="NON-ZERO"/>
    <n v="199.99999999999901"/>
    <n v="0.88756129675203443"/>
    <x v="1"/>
    <n v="-22.487740649593007"/>
    <x v="1"/>
    <n v="0"/>
  </r>
  <r>
    <x v="0"/>
    <d v="2024-01-30T09:00:00"/>
    <n v="258.24597767771002"/>
    <n v="246.62015818389801"/>
    <n v="246.62015818389801"/>
    <n v="33.452351150915703"/>
    <s v="OK"/>
    <s v="NON-ZERO"/>
    <n v="282.84271247461902"/>
    <n v="0.87193393114566653"/>
    <x v="1"/>
    <n v="-36.222554290721007"/>
    <x v="1"/>
    <n v="0"/>
  </r>
  <r>
    <x v="0"/>
    <d v="2024-01-30T10:00:00"/>
    <n v="365.79245375873398"/>
    <n v="349.32506449738003"/>
    <n v="349.32506449738003"/>
    <n v="45.9893125964538"/>
    <s v="OK"/>
    <s v="NON-ZERO"/>
    <n v="346.41016151377499"/>
    <n v="1.00841460011123"/>
    <x v="1"/>
    <n v="2.9149029836050317"/>
    <x v="0"/>
    <n v="0"/>
  </r>
  <r>
    <x v="0"/>
    <d v="2024-01-30T11:00:00"/>
    <n v="350.462904599784"/>
    <n v="334.685627041413"/>
    <n v="334.685627041413"/>
    <n v="35.399970403009902"/>
    <s v="OK"/>
    <s v="NON-ZERO"/>
    <n v="386.37033051562702"/>
    <n v="0.8662301440039698"/>
    <x v="1"/>
    <n v="-51.684703474214018"/>
    <x v="1"/>
    <n v="0"/>
  </r>
  <r>
    <x v="0"/>
    <d v="2024-01-30T12:00:00"/>
    <n v="331.07131362853801"/>
    <n v="316.16701437696099"/>
    <n v="316.16701437696099"/>
    <n v="92.640299877491898"/>
    <s v="OK"/>
    <s v="NON-ZERO"/>
    <n v="400"/>
    <n v="0.79041753594240249"/>
    <x v="0"/>
    <n v="-83.832985623039008"/>
    <x v="1"/>
    <n v="-4.1916492811519506"/>
  </r>
  <r>
    <x v="0"/>
    <d v="2024-01-30T13:00:00"/>
    <n v="363.58880784372798"/>
    <n v="347.22062318515901"/>
    <n v="347.22062318515901"/>
    <n v="25.668771039054999"/>
    <s v="OK"/>
    <s v="NON-ZERO"/>
    <n v="386.37033051562702"/>
    <n v="0.89867310132685108"/>
    <x v="1"/>
    <n v="-39.149707330468004"/>
    <x v="1"/>
    <n v="0"/>
  </r>
  <r>
    <x v="0"/>
    <d v="2024-01-30T14:00:00"/>
    <n v="327.06769221950299"/>
    <n v="312.34362957893399"/>
    <n v="312.34362957893399"/>
    <n v="66.773658371769898"/>
    <s v="OK"/>
    <s v="NON-ZERO"/>
    <n v="346.41016151377499"/>
    <n v="0.9016583930853127"/>
    <x v="1"/>
    <n v="-34.066531934841009"/>
    <x v="1"/>
    <n v="0"/>
  </r>
  <r>
    <x v="0"/>
    <d v="2024-01-30T15:00:00"/>
    <n v="272.37710255470301"/>
    <n v="260.11512249590697"/>
    <n v="260.11512249590697"/>
    <n v="21.1333013160856"/>
    <s v="OK"/>
    <s v="NON-ZERO"/>
    <n v="282.84271247461902"/>
    <n v="0.91964583503012642"/>
    <x v="1"/>
    <n v="-22.727589978712047"/>
    <x v="1"/>
    <n v="0"/>
  </r>
  <r>
    <x v="0"/>
    <d v="2024-01-30T16:00:00"/>
    <n v="206.658759561376"/>
    <n v="197.355313842372"/>
    <n v="197.355313842372"/>
    <n v="40.332219032304899"/>
    <s v="OK"/>
    <s v="NON-ZERO"/>
    <n v="199.99999999999901"/>
    <n v="0.98677656921186485"/>
    <x v="1"/>
    <n v="-2.6446861576270067"/>
    <x v="1"/>
    <n v="0"/>
  </r>
  <r>
    <x v="0"/>
    <d v="2024-01-30T17:00:00"/>
    <n v="105.69727758086999"/>
    <n v="100.938955762297"/>
    <n v="100.938955762297"/>
    <n v="91.005029669254597"/>
    <s v="OK"/>
    <s v="NON-ZERO"/>
    <n v="103.527618041008"/>
    <n v="0.9749954424945273"/>
    <x v="1"/>
    <n v="-2.5886622787109985"/>
    <x v="1"/>
    <n v="0"/>
  </r>
  <r>
    <x v="0"/>
    <d v="2024-01-30T18:00:00"/>
    <n v="4.57996483876925E-14"/>
    <n v="4.3737821714442701E-14"/>
    <n v="4.3737821714442701E-14"/>
    <n v="71.008391408522897"/>
    <s v="OK"/>
    <s v="NON-ZERO"/>
    <n v="4.8985871965894097E-14"/>
    <n v="0.89286604400743752"/>
    <x v="1"/>
    <n v="-5.2480502514513957E-15"/>
    <x v="1"/>
    <n v="0"/>
  </r>
  <r>
    <x v="0"/>
    <d v="2024-01-30T19:00:00"/>
    <n v="0"/>
    <n v="0"/>
    <n v="0"/>
    <n v="63.719454260319701"/>
    <s v="OK"/>
    <s v="ZERO"/>
    <n v="0"/>
    <n v="0"/>
    <x v="0"/>
    <n v="0"/>
    <x v="0"/>
    <n v="0"/>
  </r>
  <r>
    <x v="0"/>
    <d v="2024-01-30T20:00:00"/>
    <n v="0"/>
    <n v="0"/>
    <n v="0"/>
    <n v="82.985120499831993"/>
    <s v="OK"/>
    <s v="ZERO"/>
    <n v="0"/>
    <n v="0"/>
    <x v="0"/>
    <n v="0"/>
    <x v="0"/>
    <n v="0"/>
  </r>
  <r>
    <x v="0"/>
    <d v="2024-01-30T21:00:00"/>
    <n v="0"/>
    <n v="0"/>
    <n v="0"/>
    <n v="93.275521582920703"/>
    <s v="OK"/>
    <s v="ZERO"/>
    <n v="0"/>
    <n v="0"/>
    <x v="0"/>
    <n v="0"/>
    <x v="0"/>
    <n v="0"/>
  </r>
  <r>
    <x v="0"/>
    <d v="2024-01-30T22:00:00"/>
    <n v="0"/>
    <n v="0"/>
    <n v="0"/>
    <n v="52.551572953156899"/>
    <s v="OK"/>
    <s v="ZERO"/>
    <n v="0"/>
    <n v="0"/>
    <x v="0"/>
    <n v="0"/>
    <x v="0"/>
    <n v="0"/>
  </r>
  <r>
    <x v="0"/>
    <d v="2024-01-30T23:00:00"/>
    <n v="0"/>
    <n v="0"/>
    <n v="0"/>
    <n v="74.258586338750007"/>
    <s v="OK"/>
    <s v="ZERO"/>
    <n v="0"/>
    <n v="0"/>
    <x v="0"/>
    <n v="0"/>
    <x v="0"/>
    <n v="0"/>
  </r>
  <r>
    <x v="0"/>
    <d v="2024-01-31T00:00:00"/>
    <n v="0"/>
    <n v="0"/>
    <n v="0"/>
    <n v="38.151655998565701"/>
    <s v="OK"/>
    <s v="ZERO"/>
    <n v="0"/>
    <n v="0"/>
    <x v="0"/>
    <n v="0"/>
    <x v="0"/>
    <n v="0"/>
  </r>
  <r>
    <x v="0"/>
    <d v="2024-01-31T01:00:00"/>
    <n v="0"/>
    <n v="0"/>
    <n v="0"/>
    <n v="34.945275235010001"/>
    <s v="OK"/>
    <s v="ZERO"/>
    <n v="0"/>
    <n v="0"/>
    <x v="0"/>
    <n v="0"/>
    <x v="0"/>
    <n v="0"/>
  </r>
  <r>
    <x v="0"/>
    <d v="2024-01-31T02:00:00"/>
    <n v="0"/>
    <n v="0"/>
    <n v="0"/>
    <n v="36.080486224487302"/>
    <s v="OK"/>
    <s v="ZERO"/>
    <n v="0"/>
    <n v="0"/>
    <x v="0"/>
    <n v="0"/>
    <x v="0"/>
    <n v="0"/>
  </r>
  <r>
    <x v="0"/>
    <d v="2024-01-31T03:00:00"/>
    <n v="0"/>
    <n v="0"/>
    <n v="0"/>
    <n v="24.689472180713398"/>
    <s v="OK"/>
    <s v="ZERO"/>
    <n v="0"/>
    <n v="0"/>
    <x v="0"/>
    <n v="0"/>
    <x v="0"/>
    <n v="0"/>
  </r>
  <r>
    <x v="0"/>
    <d v="2024-01-31T04:00:00"/>
    <n v="0"/>
    <n v="0"/>
    <n v="0"/>
    <n v="26.086188390217899"/>
    <s v="OK"/>
    <s v="ZERO"/>
    <n v="0"/>
    <n v="0"/>
    <x v="0"/>
    <n v="0"/>
    <x v="0"/>
    <n v="0"/>
  </r>
  <r>
    <x v="0"/>
    <d v="2024-01-31T05:00:00"/>
    <n v="0"/>
    <n v="0"/>
    <n v="0"/>
    <n v="80.381773887174703"/>
    <s v="OK"/>
    <s v="ZERO"/>
    <n v="0"/>
    <n v="0"/>
    <x v="0"/>
    <n v="0"/>
    <x v="0"/>
    <n v="0"/>
  </r>
  <r>
    <x v="0"/>
    <d v="2024-01-31T06:00:00"/>
    <n v="0"/>
    <n v="0"/>
    <n v="0"/>
    <n v="75.343804501551901"/>
    <s v="OK"/>
    <s v="ZERO"/>
    <n v="0"/>
    <n v="0"/>
    <x v="0"/>
    <n v="0"/>
    <x v="0"/>
    <n v="0"/>
  </r>
  <r>
    <x v="0"/>
    <d v="2024-01-31T07:00:00"/>
    <n v="99.849720168862603"/>
    <n v="95.354646001087701"/>
    <n v="95.354646001087701"/>
    <n v="47.833470382259499"/>
    <s v="OK"/>
    <s v="NON-ZERO"/>
    <n v="103.527618041008"/>
    <n v="0.92105515229102508"/>
    <x v="1"/>
    <n v="-8.1729720399202961"/>
    <x v="1"/>
    <n v="0"/>
  </r>
  <r>
    <x v="0"/>
    <d v="2024-01-31T08:00:00"/>
    <n v="192.153646825095"/>
    <n v="183.50319800434201"/>
    <n v="183.50319800434201"/>
    <n v="47.633668993743399"/>
    <s v="OK"/>
    <s v="NON-ZERO"/>
    <n v="199.99999999999901"/>
    <n v="0.91751599002171458"/>
    <x v="1"/>
    <n v="-16.496801995656995"/>
    <x v="1"/>
    <n v="0"/>
  </r>
  <r>
    <x v="0"/>
    <d v="2024-01-31T09:00:00"/>
    <n v="283.87585651028502"/>
    <n v="271.09622100107799"/>
    <n v="271.09622100107799"/>
    <n v="79.054027006424903"/>
    <s v="OK"/>
    <s v="NON-ZERO"/>
    <n v="282.84271247461902"/>
    <n v="0.9584698811195459"/>
    <x v="1"/>
    <n v="-11.746491473541028"/>
    <x v="1"/>
    <n v="0"/>
  </r>
  <r>
    <x v="0"/>
    <d v="2024-01-31T10:00:00"/>
    <n v="381.01543447432698"/>
    <n v="363.862731050295"/>
    <n v="363.862731050295"/>
    <n v="52.0701000277503"/>
    <s v="OK"/>
    <s v="NON-ZERO"/>
    <n v="346.41016151377499"/>
    <n v="1.0503812285998024"/>
    <x v="1"/>
    <n v="17.452569536520002"/>
    <x v="0"/>
    <n v="0"/>
  </r>
  <r>
    <x v="0"/>
    <d v="2024-01-31T11:00:00"/>
    <n v="346.75106571613497"/>
    <n v="331.14088918771699"/>
    <n v="331.14088918771699"/>
    <n v="90.221046610169495"/>
    <s v="OK"/>
    <s v="NON-ZERO"/>
    <n v="386.37033051562702"/>
    <n v="0.85705568733964621"/>
    <x v="1"/>
    <n v="-55.229441327910024"/>
    <x v="1"/>
    <n v="0"/>
  </r>
  <r>
    <x v="0"/>
    <d v="2024-01-31T12:00:00"/>
    <n v="366.58657039386998"/>
    <n v="350.08343127596498"/>
    <n v="350.08343127596498"/>
    <n v="57.697343197259698"/>
    <s v="OK"/>
    <s v="NON-ZERO"/>
    <n v="400"/>
    <n v="0.87520857818991249"/>
    <x v="1"/>
    <n v="-49.916568724035017"/>
    <x v="1"/>
    <n v="0"/>
  </r>
  <r>
    <x v="0"/>
    <d v="2024-01-31T13:00:00"/>
    <n v="319.08575209231498"/>
    <n v="304.72102358722202"/>
    <n v="304.72102358722202"/>
    <n v="89.533297164382006"/>
    <s v="OK"/>
    <s v="NON-ZERO"/>
    <n v="386.37033051562702"/>
    <n v="0.78867604347507569"/>
    <x v="0"/>
    <n v="-81.649306928404997"/>
    <x v="1"/>
    <n v="-4.0824653464202498"/>
  </r>
  <r>
    <x v="0"/>
    <d v="2024-01-31T14:00:00"/>
    <n v="335.201791920029"/>
    <n v="320.11154516417002"/>
    <n v="320.11154516417002"/>
    <n v="39.5177448488922"/>
    <s v="OK"/>
    <s v="NON-ZERO"/>
    <n v="346.41016151377499"/>
    <n v="0.92408243385620426"/>
    <x v="1"/>
    <n v="-26.29861634960497"/>
    <x v="1"/>
    <n v="0"/>
  </r>
  <r>
    <x v="0"/>
    <d v="2024-01-31T15:00:00"/>
    <n v="261.25353564898899"/>
    <n v="249.49232072170099"/>
    <n v="249.49232072170099"/>
    <n v="25.2868959232358"/>
    <s v="OK"/>
    <s v="NON-ZERO"/>
    <n v="282.84271247461902"/>
    <n v="0.88208855918141882"/>
    <x v="1"/>
    <n v="-33.350391752918028"/>
    <x v="1"/>
    <n v="0"/>
  </r>
  <r>
    <x v="0"/>
    <d v="2024-01-31T16:00:00"/>
    <n v="197.597861571674"/>
    <n v="188.70232293965501"/>
    <n v="188.70232293965501"/>
    <n v="71.385073240586294"/>
    <s v="OK"/>
    <s v="NON-ZERO"/>
    <n v="199.99999999999901"/>
    <n v="0.94351161469827971"/>
    <x v="1"/>
    <n v="-11.297677060344"/>
    <x v="1"/>
    <n v="0"/>
  </r>
  <r>
    <x v="0"/>
    <d v="2024-01-31T17:00:00"/>
    <n v="90.822689572892699"/>
    <n v="86.733997836385797"/>
    <n v="86.733997836385797"/>
    <n v="43.235515649185103"/>
    <s v="OK"/>
    <s v="NON-ZERO"/>
    <n v="103.527618041008"/>
    <n v="0.83778608527465459"/>
    <x v="0"/>
    <n v="-16.793620204622201"/>
    <x v="1"/>
    <n v="-0.83968101023110997"/>
  </r>
  <r>
    <x v="0"/>
    <d v="2024-01-31T18:00:00"/>
    <n v="4.6878127606121101E-14"/>
    <n v="4.4767749529151401E-14"/>
    <n v="4.4767749529151401E-14"/>
    <n v="46.534186905232701"/>
    <s v="OK"/>
    <s v="NON-ZERO"/>
    <n v="4.8985871965894097E-14"/>
    <n v="0.91389104108058916"/>
    <x v="1"/>
    <n v="-4.2181224367426959E-15"/>
    <x v="1"/>
    <n v="0"/>
  </r>
  <r>
    <x v="0"/>
    <d v="2024-01-31T19:00:00"/>
    <n v="0"/>
    <n v="0"/>
    <n v="0"/>
    <n v="43.084687376055903"/>
    <s v="OK"/>
    <s v="ZERO"/>
    <n v="0"/>
    <n v="0"/>
    <x v="0"/>
    <n v="0"/>
    <x v="0"/>
    <n v="0"/>
  </r>
  <r>
    <x v="0"/>
    <d v="2024-01-31T20:00:00"/>
    <n v="0"/>
    <n v="0"/>
    <n v="0"/>
    <n v="85.723957485673296"/>
    <s v="OK"/>
    <s v="ZERO"/>
    <n v="0"/>
    <n v="0"/>
    <x v="0"/>
    <n v="0"/>
    <x v="0"/>
    <n v="0"/>
  </r>
  <r>
    <x v="0"/>
    <d v="2024-01-31T21:00:00"/>
    <n v="0"/>
    <n v="0"/>
    <n v="0"/>
    <n v="61.502839231232798"/>
    <s v="OK"/>
    <s v="ZERO"/>
    <n v="0"/>
    <n v="0"/>
    <x v="0"/>
    <n v="0"/>
    <x v="0"/>
    <n v="0"/>
  </r>
  <r>
    <x v="0"/>
    <d v="2024-01-31T22:00:00"/>
    <n v="0"/>
    <n v="0"/>
    <n v="0"/>
    <n v="82.8431281138852"/>
    <s v="OK"/>
    <s v="ZERO"/>
    <n v="0"/>
    <n v="0"/>
    <x v="0"/>
    <n v="0"/>
    <x v="0"/>
    <n v="0"/>
  </r>
  <r>
    <x v="0"/>
    <d v="2024-01-31T23:00:00"/>
    <n v="0"/>
    <n v="0"/>
    <n v="0"/>
    <n v="52.940795093728802"/>
    <s v="OK"/>
    <s v="ZERO"/>
    <n v="0"/>
    <n v="0"/>
    <x v="0"/>
    <n v="0"/>
    <x v="0"/>
    <n v="0"/>
  </r>
  <r>
    <x v="1"/>
    <d v="2024-01-01T00:00:00"/>
    <n v="0"/>
    <n v="0"/>
    <n v="0"/>
    <n v="72.046219288261696"/>
    <s v="OK"/>
    <s v="ZERO"/>
    <n v="0"/>
    <n v="0"/>
    <x v="0"/>
    <n v="0"/>
    <x v="0"/>
    <n v="0"/>
  </r>
  <r>
    <x v="1"/>
    <d v="2024-01-01T01:00:00"/>
    <n v="0"/>
    <n v="0"/>
    <n v="0"/>
    <n v="32.396336760721802"/>
    <s v="OK"/>
    <s v="ZERO"/>
    <n v="0"/>
    <n v="0"/>
    <x v="0"/>
    <n v="0"/>
    <x v="0"/>
    <n v="0"/>
  </r>
  <r>
    <x v="1"/>
    <d v="2024-01-01T02:00:00"/>
    <n v="0"/>
    <n v="0"/>
    <n v="0"/>
    <n v="21.434672482796501"/>
    <s v="OK"/>
    <s v="ZERO"/>
    <n v="0"/>
    <n v="0"/>
    <x v="0"/>
    <n v="0"/>
    <x v="0"/>
    <n v="0"/>
  </r>
  <r>
    <x v="1"/>
    <d v="2024-01-01T03:00:00"/>
    <n v="0"/>
    <n v="0"/>
    <n v="0"/>
    <n v="38.1152631276261"/>
    <s v="OK"/>
    <s v="ZERO"/>
    <n v="0"/>
    <n v="0"/>
    <x v="0"/>
    <n v="0"/>
    <x v="0"/>
    <n v="0"/>
  </r>
  <r>
    <x v="1"/>
    <d v="2024-01-01T04:00:00"/>
    <n v="0"/>
    <n v="0"/>
    <n v="0"/>
    <n v="65.581451232173904"/>
    <s v="OK"/>
    <s v="ZERO"/>
    <n v="0"/>
    <n v="0"/>
    <x v="0"/>
    <n v="0"/>
    <x v="0"/>
    <n v="0"/>
  </r>
  <r>
    <x v="1"/>
    <d v="2024-01-01T05:00:00"/>
    <n v="0"/>
    <n v="0"/>
    <n v="0"/>
    <n v="49.327465184554796"/>
    <s v="OK"/>
    <s v="ZERO"/>
    <n v="0"/>
    <n v="0"/>
    <x v="0"/>
    <n v="0"/>
    <x v="0"/>
    <n v="0"/>
  </r>
  <r>
    <x v="1"/>
    <d v="2024-01-01T06:00:00"/>
    <n v="0"/>
    <n v="0"/>
    <n v="0"/>
    <n v="61.765883237907097"/>
    <s v="OK"/>
    <s v="ZERO"/>
    <n v="0"/>
    <n v="0"/>
    <x v="0"/>
    <n v="0"/>
    <x v="0"/>
    <n v="0"/>
  </r>
  <r>
    <x v="1"/>
    <d v="2024-01-01T07:00:00"/>
    <n v="139.93400317722799"/>
    <n v="136.859453337546"/>
    <n v="136.859453337546"/>
    <n v="60.567875287855998"/>
    <s v="OK"/>
    <s v="NON-ZERO"/>
    <n v="155.291427061512"/>
    <n v="0.88130720367026461"/>
    <x v="1"/>
    <n v="-18.431973723965996"/>
    <x v="1"/>
    <n v="0"/>
  </r>
  <r>
    <x v="1"/>
    <d v="2024-01-01T08:00:00"/>
    <n v="307.80446062277798"/>
    <n v="301.04155715704599"/>
    <n v="301.04155715704599"/>
    <n v="50.896857127557602"/>
    <s v="OK"/>
    <s v="NON-ZERO"/>
    <n v="300"/>
    <n v="1.0034718571901533"/>
    <x v="1"/>
    <n v="1.0415571570459861"/>
    <x v="0"/>
    <n v="0"/>
  </r>
  <r>
    <x v="1"/>
    <d v="2024-01-01T09:00:00"/>
    <n v="434.38926630363801"/>
    <n v="424.84511392645101"/>
    <n v="424.84511392645101"/>
    <n v="59.937804981198603"/>
    <s v="OK"/>
    <s v="NON-ZERO"/>
    <n v="424.26406871192802"/>
    <n v="1.0013695367045508"/>
    <x v="1"/>
    <n v="0.58104521452298741"/>
    <x v="0"/>
    <n v="0"/>
  </r>
  <r>
    <x v="1"/>
    <d v="2024-01-01T10:00:00"/>
    <n v="502.79455515028599"/>
    <n v="491.747440911924"/>
    <n v="491.747440911924"/>
    <n v="30.7131473610748"/>
    <s v="OK"/>
    <s v="NON-ZERO"/>
    <n v="519.61524227066297"/>
    <n v="0.94636839127936345"/>
    <x v="1"/>
    <n v="-27.867801358738973"/>
    <x v="1"/>
    <n v="0"/>
  </r>
  <r>
    <x v="1"/>
    <d v="2024-01-01T11:00:00"/>
    <n v="513.38073163944603"/>
    <n v="502.10102398927199"/>
    <n v="502.10102398927199"/>
    <n v="49.389452989101898"/>
    <s v="OK"/>
    <s v="NON-ZERO"/>
    <n v="579.55549577344095"/>
    <n v="0.8663553838260083"/>
    <x v="1"/>
    <n v="-77.454471784168959"/>
    <x v="1"/>
    <n v="0"/>
  </r>
  <r>
    <x v="1"/>
    <d v="2024-01-01T12:00:00"/>
    <n v="564.45234576819598"/>
    <n v="552.05052183844202"/>
    <n v="552.05052183844202"/>
    <n v="21.359303078429701"/>
    <s v="OK"/>
    <s v="NON-ZERO"/>
    <n v="600"/>
    <n v="0.92008420306407002"/>
    <x v="1"/>
    <n v="-47.949478161557977"/>
    <x v="1"/>
    <n v="0"/>
  </r>
  <r>
    <x v="1"/>
    <d v="2024-01-01T13:00:00"/>
    <n v="557.74846581514396"/>
    <n v="545.49393569938002"/>
    <n v="545.49393569938002"/>
    <n v="55.569126573271497"/>
    <s v="OK"/>
    <s v="NON-ZERO"/>
    <n v="579.55549577344095"/>
    <n v="0.94122813031286268"/>
    <x v="1"/>
    <n v="-34.061560074060935"/>
    <x v="1"/>
    <n v="0"/>
  </r>
  <r>
    <x v="1"/>
    <d v="2024-01-01T14:00:00"/>
    <n v="567.42193585445295"/>
    <n v="554.954865790692"/>
    <n v="554.954865790692"/>
    <n v="20.748408249383701"/>
    <s v="OK"/>
    <s v="NON-ZERO"/>
    <n v="519.61524227066297"/>
    <n v="1.068011137174496"/>
    <x v="1"/>
    <n v="35.339623520029022"/>
    <x v="0"/>
    <n v="0"/>
  </r>
  <r>
    <x v="1"/>
    <d v="2024-01-01T15:00:00"/>
    <n v="431.51616587198498"/>
    <n v="422.03513961333198"/>
    <n v="422.03513961333198"/>
    <n v="82.708827740543597"/>
    <s v="OK"/>
    <s v="NON-ZERO"/>
    <n v="424.26406871192802"/>
    <n v="0.99474636373199576"/>
    <x v="1"/>
    <n v="-2.2289290985960406"/>
    <x v="1"/>
    <n v="0"/>
  </r>
  <r>
    <x v="1"/>
    <d v="2024-01-01T16:00:00"/>
    <n v="292.590282775893"/>
    <n v="286.16165651940202"/>
    <n v="286.16165651940202"/>
    <n v="79.366865194352698"/>
    <s v="OK"/>
    <s v="NON-ZERO"/>
    <n v="300"/>
    <n v="0.95387218839800669"/>
    <x v="1"/>
    <n v="-13.838343480597985"/>
    <x v="1"/>
    <n v="0"/>
  </r>
  <r>
    <x v="1"/>
    <d v="2024-01-01T17:00:00"/>
    <n v="151.20481928077999"/>
    <n v="147.88263351946699"/>
    <n v="147.88263351946699"/>
    <n v="84.1230514671105"/>
    <s v="OK"/>
    <s v="NON-ZERO"/>
    <n v="155.291427061512"/>
    <n v="0.95229103317396702"/>
    <x v="1"/>
    <n v="-7.4087935420450037"/>
    <x v="1"/>
    <n v="0"/>
  </r>
  <r>
    <x v="1"/>
    <d v="2024-01-01T18:00:00"/>
    <n v="6.9341309453968898E-14"/>
    <n v="6.7817781883654102E-14"/>
    <n v="6.7817781883654102E-14"/>
    <n v="80.265324459695194"/>
    <s v="OK"/>
    <s v="NON-ZERO"/>
    <n v="7.3478807948841102E-14"/>
    <n v="0.9229570236206277"/>
    <x v="1"/>
    <n v="-5.6610260651869998E-15"/>
    <x v="1"/>
    <n v="0"/>
  </r>
  <r>
    <x v="1"/>
    <d v="2024-01-01T19:00:00"/>
    <n v="0"/>
    <n v="0"/>
    <n v="0"/>
    <n v="25.0230209018953"/>
    <s v="OK"/>
    <s v="ZERO"/>
    <n v="0"/>
    <n v="0"/>
    <x v="0"/>
    <n v="0"/>
    <x v="0"/>
    <n v="0"/>
  </r>
  <r>
    <x v="1"/>
    <d v="2024-01-01T20:00:00"/>
    <n v="0"/>
    <n v="0"/>
    <n v="0"/>
    <n v="24.992354593566699"/>
    <s v="OK"/>
    <s v="ZERO"/>
    <n v="0"/>
    <n v="0"/>
    <x v="0"/>
    <n v="0"/>
    <x v="0"/>
    <n v="0"/>
  </r>
  <r>
    <x v="1"/>
    <d v="2024-01-01T21:00:00"/>
    <n v="0"/>
    <n v="0"/>
    <n v="0"/>
    <n v="48.160169634987497"/>
    <s v="OK"/>
    <s v="ZERO"/>
    <n v="0"/>
    <n v="0"/>
    <x v="0"/>
    <n v="0"/>
    <x v="0"/>
    <n v="0"/>
  </r>
  <r>
    <x v="1"/>
    <d v="2024-01-01T22:00:00"/>
    <n v="0"/>
    <n v="0"/>
    <n v="0"/>
    <n v="44.087161447696502"/>
    <s v="OK"/>
    <s v="ZERO"/>
    <n v="0"/>
    <n v="0"/>
    <x v="0"/>
    <n v="0"/>
    <x v="0"/>
    <n v="0"/>
  </r>
  <r>
    <x v="1"/>
    <d v="2024-01-01T23:00:00"/>
    <n v="0"/>
    <n v="0"/>
    <n v="0"/>
    <n v="47.939995531966296"/>
    <s v="OK"/>
    <s v="ZERO"/>
    <n v="0"/>
    <n v="0"/>
    <x v="0"/>
    <n v="0"/>
    <x v="0"/>
    <n v="0"/>
  </r>
  <r>
    <x v="1"/>
    <d v="2024-01-02T00:00:00"/>
    <n v="0"/>
    <n v="0"/>
    <n v="0"/>
    <n v="69.254711354120502"/>
    <s v="OK"/>
    <s v="ZERO"/>
    <n v="0"/>
    <n v="0"/>
    <x v="0"/>
    <n v="0"/>
    <x v="0"/>
    <n v="0"/>
  </r>
  <r>
    <x v="1"/>
    <d v="2024-01-02T01:00:00"/>
    <n v="0"/>
    <n v="0"/>
    <n v="0"/>
    <n v="36.325054968540201"/>
    <s v="OK"/>
    <s v="ZERO"/>
    <n v="0"/>
    <n v="0"/>
    <x v="0"/>
    <n v="0"/>
    <x v="0"/>
    <n v="0"/>
  </r>
  <r>
    <x v="1"/>
    <d v="2024-01-02T02:00:00"/>
    <n v="0"/>
    <n v="0"/>
    <n v="0"/>
    <n v="77.960717996775301"/>
    <s v="OK"/>
    <s v="ZERO"/>
    <n v="0"/>
    <n v="0"/>
    <x v="0"/>
    <n v="0"/>
    <x v="0"/>
    <n v="0"/>
  </r>
  <r>
    <x v="1"/>
    <d v="2024-01-02T03:00:00"/>
    <n v="0"/>
    <n v="0"/>
    <n v="0"/>
    <n v="77.4886287149438"/>
    <s v="OK"/>
    <s v="ZERO"/>
    <n v="0"/>
    <n v="0"/>
    <x v="0"/>
    <n v="0"/>
    <x v="0"/>
    <n v="0"/>
  </r>
  <r>
    <x v="1"/>
    <d v="2024-01-02T04:00:00"/>
    <n v="0"/>
    <n v="0"/>
    <n v="0"/>
    <n v="58.850604980346802"/>
    <s v="OK"/>
    <s v="ZERO"/>
    <n v="0"/>
    <n v="0"/>
    <x v="0"/>
    <n v="0"/>
    <x v="0"/>
    <n v="0"/>
  </r>
  <r>
    <x v="1"/>
    <d v="2024-01-02T05:00:00"/>
    <n v="0"/>
    <n v="0"/>
    <n v="0"/>
    <n v="66.535533878897795"/>
    <s v="OK"/>
    <s v="ZERO"/>
    <n v="0"/>
    <n v="0"/>
    <x v="0"/>
    <n v="0"/>
    <x v="0"/>
    <n v="0"/>
  </r>
  <r>
    <x v="1"/>
    <d v="2024-01-02T06:00:00"/>
    <n v="0"/>
    <n v="0"/>
    <n v="0"/>
    <n v="76.248334883905301"/>
    <s v="OK"/>
    <s v="ZERO"/>
    <n v="0"/>
    <n v="0"/>
    <x v="0"/>
    <n v="0"/>
    <x v="0"/>
    <n v="0"/>
  </r>
  <r>
    <x v="1"/>
    <d v="2024-01-02T07:00:00"/>
    <n v="153.27546343577001"/>
    <n v="149.90778266602399"/>
    <n v="149.90778266602399"/>
    <n v="64.786647949272606"/>
    <s v="OK"/>
    <s v="NON-ZERO"/>
    <n v="155.291427061512"/>
    <n v="0.96533199225894484"/>
    <x v="1"/>
    <n v="-5.3836443954880053"/>
    <x v="1"/>
    <n v="0"/>
  </r>
  <r>
    <x v="1"/>
    <d v="2024-01-02T08:00:00"/>
    <n v="301.46667940815797"/>
    <n v="294.84302604443798"/>
    <n v="294.84302604443798"/>
    <n v="31.735753700269999"/>
    <s v="OK"/>
    <s v="NON-ZERO"/>
    <n v="300"/>
    <n v="0.9828100868147932"/>
    <x v="1"/>
    <n v="-5.1569739555620231"/>
    <x v="1"/>
    <n v="0"/>
  </r>
  <r>
    <x v="1"/>
    <d v="2024-01-02T09:00:00"/>
    <n v="412.27495506002998"/>
    <n v="403.21668567443101"/>
    <n v="403.21668567443101"/>
    <n v="40.3207023737274"/>
    <s v="OK"/>
    <s v="NON-ZERO"/>
    <n v="424.26406871192802"/>
    <n v="0.95039084242651706"/>
    <x v="1"/>
    <n v="-21.047383037497013"/>
    <x v="1"/>
    <n v="0"/>
  </r>
  <r>
    <x v="1"/>
    <d v="2024-01-02T10:00:00"/>
    <n v="470.708082144201"/>
    <n v="460.36595352903998"/>
    <n v="460.36595352903998"/>
    <n v="51.863813215106497"/>
    <s v="OK"/>
    <s v="NON-ZERO"/>
    <n v="519.61524227066297"/>
    <n v="0.88597469065243362"/>
    <x v="1"/>
    <n v="-59.249288741622991"/>
    <x v="1"/>
    <n v="0"/>
  </r>
  <r>
    <x v="1"/>
    <d v="2024-01-02T11:00:00"/>
    <n v="509.68203455843599"/>
    <n v="498.48359256392303"/>
    <n v="498.48359256392303"/>
    <n v="34.094028561149202"/>
    <s v="OK"/>
    <s v="NON-ZERO"/>
    <n v="579.55549577344095"/>
    <n v="0.8601136495111239"/>
    <x v="1"/>
    <n v="-81.071903209517927"/>
    <x v="1"/>
    <n v="0"/>
  </r>
  <r>
    <x v="1"/>
    <d v="2024-01-02T12:00:00"/>
    <n v="579.33517756282595"/>
    <n v="566.606356569676"/>
    <n v="566.606356569676"/>
    <n v="69.463307648057693"/>
    <s v="OK"/>
    <s v="NON-ZERO"/>
    <n v="600"/>
    <n v="0.94434392761612662"/>
    <x v="1"/>
    <n v="-33.393643430324005"/>
    <x v="1"/>
    <n v="0"/>
  </r>
  <r>
    <x v="1"/>
    <d v="2024-01-02T13:00:00"/>
    <n v="531.13155911853005"/>
    <n v="519.46184044501001"/>
    <n v="519.46184044501001"/>
    <n v="71.926919184579305"/>
    <s v="OK"/>
    <s v="NON-ZERO"/>
    <n v="579.55549577344095"/>
    <n v="0.89631078340783665"/>
    <x v="1"/>
    <n v="-60.093655328430941"/>
    <x v="1"/>
    <n v="0"/>
  </r>
  <r>
    <x v="1"/>
    <d v="2024-01-02T14:00:00"/>
    <n v="497.21032336215302"/>
    <n v="486.28590266902802"/>
    <n v="486.28590266902802"/>
    <n v="40.213389671920403"/>
    <s v="OK"/>
    <s v="NON-ZERO"/>
    <n v="519.61524227066297"/>
    <n v="0.93585765603027871"/>
    <x v="1"/>
    <n v="-33.329339601634956"/>
    <x v="1"/>
    <n v="0"/>
  </r>
  <r>
    <x v="1"/>
    <d v="2024-01-02T15:00:00"/>
    <n v="401.48195358493399"/>
    <n v="392.66082185138202"/>
    <n v="392.66082185138202"/>
    <n v="36.403670974844502"/>
    <s v="OK"/>
    <s v="NON-ZERO"/>
    <n v="424.26406871192802"/>
    <n v="0.92551043279131806"/>
    <x v="1"/>
    <n v="-31.603246860545994"/>
    <x v="1"/>
    <n v="0"/>
  </r>
  <r>
    <x v="1"/>
    <d v="2024-01-02T16:00:00"/>
    <n v="252.95547590577499"/>
    <n v="247.39768294456201"/>
    <n v="247.39768294456201"/>
    <n v="78.351893235848905"/>
    <s v="OK"/>
    <s v="NON-ZERO"/>
    <n v="300"/>
    <n v="0.82465894314854005"/>
    <x v="0"/>
    <n v="-52.602317055437993"/>
    <x v="1"/>
    <n v="-2.6301158527718997"/>
  </r>
  <r>
    <x v="1"/>
    <d v="2024-01-02T17:00:00"/>
    <n v="154.24340187410101"/>
    <n v="150.85445411489599"/>
    <n v="150.85445411489599"/>
    <n v="26.628871023838901"/>
    <s v="OK"/>
    <s v="NON-ZERO"/>
    <n v="155.291427061512"/>
    <n v="0.97142808826878446"/>
    <x v="1"/>
    <n v="-4.4369729466160095"/>
    <x v="1"/>
    <n v="0"/>
  </r>
  <r>
    <x v="1"/>
    <d v="2024-01-02T18:00:00"/>
    <n v="6.4921487807818299E-14"/>
    <n v="6.34950700294416E-14"/>
    <n v="6.34950700294416E-14"/>
    <n v="39.468233695628598"/>
    <s v="OK"/>
    <s v="NON-ZERO"/>
    <n v="7.3478807948841102E-14"/>
    <n v="0.86412765533226155"/>
    <x v="1"/>
    <n v="-9.9837379193995013E-15"/>
    <x v="1"/>
    <n v="0"/>
  </r>
  <r>
    <x v="1"/>
    <d v="2024-01-02T19:00:00"/>
    <n v="0"/>
    <n v="0"/>
    <n v="0"/>
    <n v="38.254751241389698"/>
    <s v="OK"/>
    <s v="ZERO"/>
    <n v="0"/>
    <n v="0"/>
    <x v="0"/>
    <n v="0"/>
    <x v="0"/>
    <n v="0"/>
  </r>
  <r>
    <x v="1"/>
    <d v="2024-01-02T20:00:00"/>
    <n v="0"/>
    <n v="0"/>
    <n v="0"/>
    <n v="87.343939021824895"/>
    <s v="OK"/>
    <s v="ZERO"/>
    <n v="0"/>
    <n v="0"/>
    <x v="0"/>
    <n v="0"/>
    <x v="0"/>
    <n v="0"/>
  </r>
  <r>
    <x v="1"/>
    <d v="2024-01-02T21:00:00"/>
    <n v="0"/>
    <n v="0"/>
    <n v="0"/>
    <n v="87.572067176785097"/>
    <s v="OK"/>
    <s v="ZERO"/>
    <n v="0"/>
    <n v="0"/>
    <x v="0"/>
    <n v="0"/>
    <x v="0"/>
    <n v="0"/>
  </r>
  <r>
    <x v="1"/>
    <d v="2024-01-02T22:00:00"/>
    <n v="0"/>
    <n v="0"/>
    <n v="0"/>
    <n v="27.1188452616252"/>
    <s v="OK"/>
    <s v="ZERO"/>
    <n v="0"/>
    <n v="0"/>
    <x v="0"/>
    <n v="0"/>
    <x v="0"/>
    <n v="0"/>
  </r>
  <r>
    <x v="1"/>
    <d v="2024-01-02T23:00:00"/>
    <n v="0"/>
    <n v="0"/>
    <n v="0"/>
    <n v="76.113793403663394"/>
    <s v="OK"/>
    <s v="ZERO"/>
    <n v="0"/>
    <n v="0"/>
    <x v="0"/>
    <n v="0"/>
    <x v="0"/>
    <n v="0"/>
  </r>
  <r>
    <x v="1"/>
    <d v="2024-01-03T00:00:00"/>
    <n v="0"/>
    <n v="0"/>
    <n v="0"/>
    <n v="23.026312014477401"/>
    <s v="OK"/>
    <s v="ZERO"/>
    <n v="0"/>
    <n v="0"/>
    <x v="0"/>
    <n v="0"/>
    <x v="0"/>
    <n v="0"/>
  </r>
  <r>
    <x v="1"/>
    <d v="2024-01-03T01:00:00"/>
    <n v="0"/>
    <n v="0"/>
    <n v="0"/>
    <n v="21.681941687154101"/>
    <s v="OK"/>
    <s v="ZERO"/>
    <n v="0"/>
    <n v="0"/>
    <x v="0"/>
    <n v="0"/>
    <x v="0"/>
    <n v="0"/>
  </r>
  <r>
    <x v="1"/>
    <d v="2024-01-03T02:00:00"/>
    <n v="0"/>
    <n v="0"/>
    <n v="0"/>
    <n v="69.075650411953902"/>
    <s v="OK"/>
    <s v="ZERO"/>
    <n v="0"/>
    <n v="0"/>
    <x v="0"/>
    <n v="0"/>
    <x v="0"/>
    <n v="0"/>
  </r>
  <r>
    <x v="1"/>
    <d v="2024-01-03T03:00:00"/>
    <n v="0"/>
    <n v="0"/>
    <n v="0"/>
    <n v="77.326503982732007"/>
    <s v="OK"/>
    <s v="ZERO"/>
    <n v="0"/>
    <n v="0"/>
    <x v="0"/>
    <n v="0"/>
    <x v="0"/>
    <n v="0"/>
  </r>
  <r>
    <x v="1"/>
    <d v="2024-01-03T04:00:00"/>
    <n v="0"/>
    <n v="0"/>
    <n v="0"/>
    <n v="66.464465002722704"/>
    <s v="OK"/>
    <s v="ZERO"/>
    <n v="0"/>
    <n v="0"/>
    <x v="0"/>
    <n v="0"/>
    <x v="0"/>
    <n v="0"/>
  </r>
  <r>
    <x v="1"/>
    <d v="2024-01-03T05:00:00"/>
    <n v="0"/>
    <n v="0"/>
    <n v="0"/>
    <n v="84.832493515127297"/>
    <s v="OK"/>
    <s v="ZERO"/>
    <n v="0"/>
    <n v="0"/>
    <x v="0"/>
    <n v="0"/>
    <x v="0"/>
    <n v="0"/>
  </r>
  <r>
    <x v="1"/>
    <d v="2024-01-03T06:00:00"/>
    <n v="0"/>
    <n v="0"/>
    <n v="0"/>
    <n v="53.1720354088351"/>
    <s v="OK"/>
    <s v="ZERO"/>
    <n v="0"/>
    <n v="0"/>
    <x v="0"/>
    <n v="0"/>
    <x v="0"/>
    <n v="0"/>
  </r>
  <r>
    <x v="1"/>
    <d v="2024-01-03T07:00:00"/>
    <n v="166.601967605667"/>
    <n v="162.94148451247699"/>
    <n v="162.94148451247699"/>
    <n v="37.165659686262401"/>
    <s v="OK"/>
    <s v="NON-ZERO"/>
    <n v="155.291427061512"/>
    <n v="1.0492625870965482"/>
    <x v="1"/>
    <n v="7.6500574509649937"/>
    <x v="0"/>
    <n v="0"/>
  </r>
  <r>
    <x v="1"/>
    <d v="2024-01-03T08:00:00"/>
    <n v="299.77647393165603"/>
    <n v="293.18995679543502"/>
    <n v="293.18995679543502"/>
    <n v="59.575809966627098"/>
    <s v="OK"/>
    <s v="NON-ZERO"/>
    <n v="300"/>
    <n v="0.97729985598478342"/>
    <x v="1"/>
    <n v="-6.8100432045649768"/>
    <x v="1"/>
    <n v="0"/>
  </r>
  <r>
    <x v="1"/>
    <d v="2024-01-03T09:00:00"/>
    <n v="407.77764479662699"/>
    <n v="398.81818773852098"/>
    <n v="398.81818773852098"/>
    <n v="93.583843090095101"/>
    <s v="OK"/>
    <s v="NON-ZERO"/>
    <n v="424.26406871192802"/>
    <n v="0.94002348336812702"/>
    <x v="1"/>
    <n v="-25.445880973407043"/>
    <x v="1"/>
    <n v="0"/>
  </r>
  <r>
    <x v="1"/>
    <d v="2024-01-03T10:00:00"/>
    <n v="534.316214963927"/>
    <n v="522.57652485461097"/>
    <n v="522.57652485461097"/>
    <n v="24.001099774167301"/>
    <s v="OK"/>
    <s v="NON-ZERO"/>
    <n v="519.61524227066297"/>
    <n v="1.0056989909899632"/>
    <x v="1"/>
    <n v="2.961282583947991"/>
    <x v="0"/>
    <n v="0"/>
  </r>
  <r>
    <x v="1"/>
    <d v="2024-01-03T11:00:00"/>
    <n v="572.86284403503203"/>
    <n v="560.27622945032101"/>
    <n v="560.27622945032101"/>
    <n v="70.814871041276305"/>
    <s v="OK"/>
    <s v="NON-ZERO"/>
    <n v="579.55549577344095"/>
    <n v="0.96673439133315275"/>
    <x v="1"/>
    <n v="-19.279266323119941"/>
    <x v="1"/>
    <n v="0"/>
  </r>
  <r>
    <x v="1"/>
    <d v="2024-01-03T12:00:00"/>
    <n v="593.44825033974303"/>
    <n v="580.40934498783599"/>
    <n v="580.40934498783599"/>
    <n v="71.816298241311699"/>
    <s v="OK"/>
    <s v="NON-ZERO"/>
    <n v="600"/>
    <n v="0.96734890831305997"/>
    <x v="1"/>
    <n v="-19.590655012164007"/>
    <x v="1"/>
    <n v="0"/>
  </r>
  <r>
    <x v="1"/>
    <d v="2024-01-03T13:00:00"/>
    <n v="544.07164835225103"/>
    <n v="532.11761744313696"/>
    <n v="532.11761744313696"/>
    <n v="40.646616008889502"/>
    <s v="OK"/>
    <s v="NON-ZERO"/>
    <n v="579.55549577344095"/>
    <n v="0.9181478241924077"/>
    <x v="1"/>
    <n v="-47.437878330303988"/>
    <x v="1"/>
    <n v="0"/>
  </r>
  <r>
    <x v="1"/>
    <d v="2024-01-03T14:00:00"/>
    <n v="508.33289671299298"/>
    <n v="497.16409720316699"/>
    <n v="497.16409720316699"/>
    <n v="72.885435917792194"/>
    <s v="OK"/>
    <s v="NON-ZERO"/>
    <n v="519.61524227066297"/>
    <n v="0.95679275117221951"/>
    <x v="1"/>
    <n v="-22.451145067495986"/>
    <x v="1"/>
    <n v="0"/>
  </r>
  <r>
    <x v="1"/>
    <d v="2024-01-03T15:00:00"/>
    <n v="372.69978268284598"/>
    <n v="364.51103633757299"/>
    <n v="364.51103633757299"/>
    <n v="82.802530982761297"/>
    <s v="OK"/>
    <s v="NON-ZERO"/>
    <n v="424.26406871192802"/>
    <n v="0.85916075203878062"/>
    <x v="1"/>
    <n v="-59.75303237435503"/>
    <x v="1"/>
    <n v="0"/>
  </r>
  <r>
    <x v="1"/>
    <d v="2024-01-03T16:00:00"/>
    <n v="295.98465908405001"/>
    <n v="289.48145353376998"/>
    <n v="289.48145353376998"/>
    <n v="80.210820111837506"/>
    <s v="OK"/>
    <s v="NON-ZERO"/>
    <n v="300"/>
    <n v="0.96493817844589991"/>
    <x v="1"/>
    <n v="-10.518546466230021"/>
    <x v="1"/>
    <n v="0"/>
  </r>
  <r>
    <x v="1"/>
    <d v="2024-01-03T17:00:00"/>
    <n v="161.993914165235"/>
    <n v="158.43467658525"/>
    <n v="158.43467658525"/>
    <n v="56.637172449492901"/>
    <s v="OK"/>
    <s v="NON-ZERO"/>
    <n v="155.291427061512"/>
    <n v="1.0202409726229957"/>
    <x v="1"/>
    <n v="3.1432495237380067"/>
    <x v="0"/>
    <n v="0"/>
  </r>
  <r>
    <x v="1"/>
    <d v="2024-01-03T18:00:00"/>
    <n v="6.4130628774428399E-14"/>
    <n v="6.27215872981591E-14"/>
    <n v="6.27215872981591E-14"/>
    <n v="89.098063415973101"/>
    <s v="OK"/>
    <s v="NON-ZERO"/>
    <n v="7.3478807948841102E-14"/>
    <n v="0.85360104564881334"/>
    <x v="1"/>
    <n v="-1.0757220650682002E-14"/>
    <x v="1"/>
    <n v="0"/>
  </r>
  <r>
    <x v="1"/>
    <d v="2024-01-03T19:00:00"/>
    <n v="0"/>
    <n v="0"/>
    <n v="0"/>
    <n v="46.6193495657757"/>
    <s v="OK"/>
    <s v="ZERO"/>
    <n v="0"/>
    <n v="0"/>
    <x v="0"/>
    <n v="0"/>
    <x v="0"/>
    <n v="0"/>
  </r>
  <r>
    <x v="1"/>
    <d v="2024-01-03T20:00:00"/>
    <n v="0"/>
    <n v="0"/>
    <n v="0"/>
    <n v="86.218611238904103"/>
    <s v="OK"/>
    <s v="ZERO"/>
    <n v="0"/>
    <n v="0"/>
    <x v="0"/>
    <n v="0"/>
    <x v="0"/>
    <n v="0"/>
  </r>
  <r>
    <x v="1"/>
    <d v="2024-01-03T21:00:00"/>
    <n v="0"/>
    <n v="0"/>
    <n v="0"/>
    <n v="84.724762351915402"/>
    <s v="OK"/>
    <s v="ZERO"/>
    <n v="0"/>
    <n v="0"/>
    <x v="0"/>
    <n v="0"/>
    <x v="0"/>
    <n v="0"/>
  </r>
  <r>
    <x v="1"/>
    <d v="2024-01-03T22:00:00"/>
    <n v="0"/>
    <n v="0"/>
    <n v="0"/>
    <n v="80.198023426469703"/>
    <s v="OK"/>
    <s v="ZERO"/>
    <n v="0"/>
    <n v="0"/>
    <x v="0"/>
    <n v="0"/>
    <x v="0"/>
    <n v="0"/>
  </r>
  <r>
    <x v="1"/>
    <d v="2024-01-03T23:00:00"/>
    <n v="0"/>
    <n v="0"/>
    <n v="0"/>
    <n v="87.302439934319807"/>
    <s v="OK"/>
    <s v="ZERO"/>
    <n v="0"/>
    <n v="0"/>
    <x v="0"/>
    <n v="0"/>
    <x v="0"/>
    <n v="0"/>
  </r>
  <r>
    <x v="1"/>
    <d v="2024-01-04T00:00:00"/>
    <n v="0"/>
    <n v="0"/>
    <n v="0"/>
    <n v="24.679555144870701"/>
    <s v="OK"/>
    <s v="ZERO"/>
    <n v="0"/>
    <n v="0"/>
    <x v="0"/>
    <n v="0"/>
    <x v="0"/>
    <n v="0"/>
  </r>
  <r>
    <x v="1"/>
    <d v="2024-01-04T01:00:00"/>
    <n v="0"/>
    <n v="0"/>
    <n v="0"/>
    <n v="93.150735010930205"/>
    <s v="OK"/>
    <s v="ZERO"/>
    <n v="0"/>
    <n v="0"/>
    <x v="0"/>
    <n v="0"/>
    <x v="0"/>
    <n v="0"/>
  </r>
  <r>
    <x v="1"/>
    <d v="2024-01-04T02:00:00"/>
    <n v="0"/>
    <n v="0"/>
    <n v="0"/>
    <n v="48.919819438499999"/>
    <s v="OK"/>
    <s v="ZERO"/>
    <n v="0"/>
    <n v="0"/>
    <x v="0"/>
    <n v="0"/>
    <x v="0"/>
    <n v="0"/>
  </r>
  <r>
    <x v="1"/>
    <d v="2024-01-04T03:00:00"/>
    <n v="0"/>
    <n v="0"/>
    <n v="0"/>
    <n v="37.202433277825399"/>
    <s v="OK"/>
    <s v="ZERO"/>
    <n v="0"/>
    <n v="0"/>
    <x v="0"/>
    <n v="0"/>
    <x v="0"/>
    <n v="0"/>
  </r>
  <r>
    <x v="1"/>
    <d v="2024-01-04T04:00:00"/>
    <n v="0"/>
    <n v="0"/>
    <n v="0"/>
    <n v="31.045667266406799"/>
    <s v="OK"/>
    <s v="ZERO"/>
    <n v="0"/>
    <n v="0"/>
    <x v="0"/>
    <n v="0"/>
    <x v="0"/>
    <n v="0"/>
  </r>
  <r>
    <x v="1"/>
    <d v="2024-01-04T05:00:00"/>
    <n v="0"/>
    <n v="0"/>
    <n v="0"/>
    <n v="92.582109895217101"/>
    <s v="OK"/>
    <s v="ZERO"/>
    <n v="0"/>
    <n v="0"/>
    <x v="0"/>
    <n v="0"/>
    <x v="0"/>
    <n v="0"/>
  </r>
  <r>
    <x v="1"/>
    <d v="2024-01-04T06:00:00"/>
    <n v="0"/>
    <n v="0"/>
    <n v="0"/>
    <n v="42.453753027901101"/>
    <s v="OK"/>
    <s v="ZERO"/>
    <n v="0"/>
    <n v="0"/>
    <x v="0"/>
    <n v="0"/>
    <x v="0"/>
    <n v="0"/>
  </r>
  <r>
    <x v="1"/>
    <d v="2024-01-04T07:00:00"/>
    <n v="142.495864120568"/>
    <n v="139.365026538281"/>
    <n v="139.365026538281"/>
    <n v="39.234729576257401"/>
    <s v="OK"/>
    <s v="NON-ZERO"/>
    <n v="155.291427061512"/>
    <n v="0.89744185609858274"/>
    <x v="1"/>
    <n v="-15.926400523230996"/>
    <x v="1"/>
    <n v="0"/>
  </r>
  <r>
    <x v="1"/>
    <d v="2024-01-04T08:00:00"/>
    <n v="313.75435074585903"/>
    <n v="306.86071969920499"/>
    <n v="306.86071969920499"/>
    <n v="80.676773021875704"/>
    <s v="OK"/>
    <s v="NON-ZERO"/>
    <n v="300"/>
    <n v="1.0228690656640167"/>
    <x v="1"/>
    <n v="6.8607196992049921"/>
    <x v="0"/>
    <n v="0"/>
  </r>
  <r>
    <x v="1"/>
    <d v="2024-01-04T09:00:00"/>
    <n v="369.23713944284401"/>
    <n v="361.12447231331998"/>
    <n v="361.12447231331998"/>
    <n v="84.849419139360506"/>
    <s v="OK"/>
    <s v="NON-ZERO"/>
    <n v="424.26406871192802"/>
    <n v="0.85117854408387494"/>
    <x v="1"/>
    <n v="-63.139596398608035"/>
    <x v="1"/>
    <n v="0"/>
  </r>
  <r>
    <x v="1"/>
    <d v="2024-01-04T10:00:00"/>
    <n v="423.86731495407702"/>
    <n v="414.554344870688"/>
    <n v="414.554344870688"/>
    <n v="30.286136611455699"/>
    <s v="OK"/>
    <s v="NON-ZERO"/>
    <n v="519.61524227066297"/>
    <n v="0.79781020868273589"/>
    <x v="0"/>
    <n v="-105.06089739997498"/>
    <x v="1"/>
    <n v="-5.2530448699987495"/>
  </r>
  <r>
    <x v="1"/>
    <d v="2024-01-04T11:00:00"/>
    <n v="544.48816012566101"/>
    <n v="532.52497785821299"/>
    <n v="532.52497785821299"/>
    <n v="30.805908950989899"/>
    <s v="OK"/>
    <s v="NON-ZERO"/>
    <n v="579.55549577344095"/>
    <n v="0.91885070841669136"/>
    <x v="1"/>
    <n v="-47.030517915227961"/>
    <x v="1"/>
    <n v="0"/>
  </r>
  <r>
    <x v="1"/>
    <d v="2024-01-04T12:00:00"/>
    <n v="510.09208526418001"/>
    <n v="498.88463387021397"/>
    <n v="498.88463387021397"/>
    <n v="54.468804291021698"/>
    <s v="OK"/>
    <s v="NON-ZERO"/>
    <n v="600"/>
    <n v="0.83147438978368993"/>
    <x v="0"/>
    <n v="-101.11536612978603"/>
    <x v="1"/>
    <n v="-5.0557683064893011"/>
  </r>
  <r>
    <x v="1"/>
    <d v="2024-01-04T13:00:00"/>
    <n v="582.27671489596401"/>
    <n v="569.48326412784502"/>
    <n v="569.48326412784502"/>
    <n v="24.273404524802601"/>
    <s v="OK"/>
    <s v="NON-ZERO"/>
    <n v="579.55549577344095"/>
    <n v="0.98262076415623645"/>
    <x v="1"/>
    <n v="-10.072231645595934"/>
    <x v="1"/>
    <n v="0"/>
  </r>
  <r>
    <x v="1"/>
    <d v="2024-01-04T14:00:00"/>
    <n v="450.50109507239"/>
    <n v="440.60294281359302"/>
    <n v="440.60294281359302"/>
    <n v="70.040925289563503"/>
    <s v="OK"/>
    <s v="NON-ZERO"/>
    <n v="519.61524227066297"/>
    <n v="0.84794075879723108"/>
    <x v="0"/>
    <n v="-79.012299457069957"/>
    <x v="1"/>
    <n v="-3.9506149728534981"/>
  </r>
  <r>
    <x v="1"/>
    <d v="2024-01-04T15:00:00"/>
    <n v="334.09227788680698"/>
    <n v="326.75179354352099"/>
    <n v="326.75179354352099"/>
    <n v="43.5406622541852"/>
    <s v="OK"/>
    <s v="NON-ZERO"/>
    <n v="424.26406871192802"/>
    <n v="0.77016136326496909"/>
    <x v="0"/>
    <n v="-97.512275168407029"/>
    <x v="1"/>
    <n v="-4.8756137584203518"/>
  </r>
  <r>
    <x v="1"/>
    <d v="2024-01-04T16:00:00"/>
    <n v="310.700917170048"/>
    <n v="303.87437441857497"/>
    <n v="303.87437441857497"/>
    <n v="47.860044696828197"/>
    <s v="OK"/>
    <s v="NON-ZERO"/>
    <n v="300"/>
    <n v="1.0129145813952498"/>
    <x v="1"/>
    <n v="3.8743744185749733"/>
    <x v="0"/>
    <n v="0"/>
  </r>
  <r>
    <x v="1"/>
    <d v="2024-01-04T17:00:00"/>
    <n v="149.014163711234"/>
    <n v="145.740109780479"/>
    <n v="145.740109780479"/>
    <n v="75.623108887703097"/>
    <s v="OK"/>
    <s v="NON-ZERO"/>
    <n v="155.291427061512"/>
    <n v="0.93849423975446078"/>
    <x v="1"/>
    <n v="-9.5513172810329934"/>
    <x v="1"/>
    <n v="0"/>
  </r>
  <r>
    <x v="1"/>
    <d v="2024-01-04T18:00:00"/>
    <n v="5.2703931459987998E-14"/>
    <n v="5.1545950838111002E-14"/>
    <n v="5.1545950838111002E-14"/>
    <n v="84.4846006108734"/>
    <s v="OK"/>
    <s v="NON-ZERO"/>
    <n v="7.3478807948841102E-14"/>
    <n v="0.70150771735436102"/>
    <x v="0"/>
    <n v="-2.19328571107301E-14"/>
    <x v="1"/>
    <n v="-1.096642855536505E-15"/>
  </r>
  <r>
    <x v="1"/>
    <d v="2024-01-04T19:00:00"/>
    <n v="0"/>
    <n v="0"/>
    <n v="0"/>
    <n v="54.049243339977401"/>
    <s v="OK"/>
    <s v="ZERO"/>
    <n v="0"/>
    <n v="0"/>
    <x v="0"/>
    <n v="0"/>
    <x v="0"/>
    <n v="0"/>
  </r>
  <r>
    <x v="1"/>
    <d v="2024-01-04T20:00:00"/>
    <n v="0"/>
    <n v="0"/>
    <n v="0"/>
    <n v="33.161872053601797"/>
    <s v="OK"/>
    <s v="ZERO"/>
    <n v="0"/>
    <n v="0"/>
    <x v="0"/>
    <n v="0"/>
    <x v="0"/>
    <n v="0"/>
  </r>
  <r>
    <x v="1"/>
    <d v="2024-01-04T21:00:00"/>
    <n v="0"/>
    <n v="0"/>
    <n v="0"/>
    <n v="56.721834653768298"/>
    <s v="OK"/>
    <s v="ZERO"/>
    <n v="0"/>
    <n v="0"/>
    <x v="0"/>
    <n v="0"/>
    <x v="0"/>
    <n v="0"/>
  </r>
  <r>
    <x v="1"/>
    <d v="2024-01-04T22:00:00"/>
    <n v="0"/>
    <n v="0"/>
    <n v="0"/>
    <n v="69.625044472189103"/>
    <s v="OK"/>
    <s v="ZERO"/>
    <n v="0"/>
    <n v="0"/>
    <x v="0"/>
    <n v="0"/>
    <x v="0"/>
    <n v="0"/>
  </r>
  <r>
    <x v="1"/>
    <d v="2024-01-04T23:00:00"/>
    <n v="0"/>
    <n v="0"/>
    <n v="0"/>
    <n v="33.8952766537492"/>
    <s v="OK"/>
    <s v="ZERO"/>
    <n v="0"/>
    <n v="0"/>
    <x v="0"/>
    <n v="0"/>
    <x v="0"/>
    <n v="0"/>
  </r>
  <r>
    <x v="1"/>
    <d v="2024-01-05T00:00:00"/>
    <n v="0"/>
    <n v="0"/>
    <n v="0"/>
    <n v="41.428067574566697"/>
    <s v="OK"/>
    <s v="ZERO"/>
    <n v="0"/>
    <n v="0"/>
    <x v="0"/>
    <n v="0"/>
    <x v="0"/>
    <n v="0"/>
  </r>
  <r>
    <x v="1"/>
    <d v="2024-01-05T01:00:00"/>
    <n v="0"/>
    <n v="0"/>
    <n v="0"/>
    <n v="62.844535245282302"/>
    <s v="OK"/>
    <s v="ZERO"/>
    <n v="0"/>
    <n v="0"/>
    <x v="0"/>
    <n v="0"/>
    <x v="0"/>
    <n v="0"/>
  </r>
  <r>
    <x v="1"/>
    <d v="2024-01-05T02:00:00"/>
    <n v="0"/>
    <n v="0"/>
    <n v="0"/>
    <n v="26.5262913727091"/>
    <s v="OK"/>
    <s v="ZERO"/>
    <n v="0"/>
    <n v="0"/>
    <x v="0"/>
    <n v="0"/>
    <x v="0"/>
    <n v="0"/>
  </r>
  <r>
    <x v="1"/>
    <d v="2024-01-05T03:00:00"/>
    <n v="0"/>
    <n v="0"/>
    <n v="0"/>
    <n v="79.694479035762598"/>
    <s v="OK"/>
    <s v="ZERO"/>
    <n v="0"/>
    <n v="0"/>
    <x v="0"/>
    <n v="0"/>
    <x v="0"/>
    <n v="0"/>
  </r>
  <r>
    <x v="1"/>
    <d v="2024-01-05T04:00:00"/>
    <n v="0"/>
    <n v="0"/>
    <n v="0"/>
    <n v="85.555382997888799"/>
    <s v="OK"/>
    <s v="ZERO"/>
    <n v="0"/>
    <n v="0"/>
    <x v="0"/>
    <n v="0"/>
    <x v="0"/>
    <n v="0"/>
  </r>
  <r>
    <x v="1"/>
    <d v="2024-01-05T05:00:00"/>
    <n v="0"/>
    <n v="0"/>
    <n v="0"/>
    <n v="20.049004307097398"/>
    <s v="OK"/>
    <s v="ZERO"/>
    <n v="0"/>
    <n v="0"/>
    <x v="0"/>
    <n v="0"/>
    <x v="0"/>
    <n v="0"/>
  </r>
  <r>
    <x v="1"/>
    <d v="2024-01-05T06:00:00"/>
    <n v="0"/>
    <n v="0"/>
    <n v="0"/>
    <n v="31.4036425568368"/>
    <s v="OK"/>
    <s v="ZERO"/>
    <n v="0"/>
    <n v="0"/>
    <x v="0"/>
    <n v="0"/>
    <x v="0"/>
    <n v="0"/>
  </r>
  <r>
    <x v="1"/>
    <d v="2024-01-05T07:00:00"/>
    <n v="151.60561407985901"/>
    <n v="148.27462228457901"/>
    <n v="148.27462228457901"/>
    <n v="27.0332394692762"/>
    <s v="OK"/>
    <s v="NON-ZERO"/>
    <n v="155.291427061512"/>
    <n v="0.95481524698621267"/>
    <x v="1"/>
    <n v="-7.016804776932986"/>
    <x v="1"/>
    <n v="0"/>
  </r>
  <r>
    <x v="1"/>
    <d v="2024-01-05T08:00:00"/>
    <n v="302.41172637405799"/>
    <n v="295.76730897921198"/>
    <n v="295.76730897921198"/>
    <n v="35.565570215427698"/>
    <s v="OK"/>
    <s v="NON-ZERO"/>
    <n v="300"/>
    <n v="0.98589102993070654"/>
    <x v="1"/>
    <n v="-4.2326910207880246"/>
    <x v="1"/>
    <n v="0"/>
  </r>
  <r>
    <x v="1"/>
    <d v="2024-01-05T09:00:00"/>
    <n v="402.239148246458"/>
    <n v="393.40137986511297"/>
    <n v="393.40137986511297"/>
    <n v="55.105179067571697"/>
    <s v="OK"/>
    <s v="NON-ZERO"/>
    <n v="424.26406871192802"/>
    <n v="0.92725594476922213"/>
    <x v="1"/>
    <n v="-30.862688846815047"/>
    <x v="1"/>
    <n v="0"/>
  </r>
  <r>
    <x v="1"/>
    <d v="2024-01-05T10:00:00"/>
    <n v="551.50473189906404"/>
    <n v="539.38738553188898"/>
    <n v="539.38738553188898"/>
    <n v="52.248891059079398"/>
    <s v="OK"/>
    <s v="NON-ZERO"/>
    <n v="519.61524227066297"/>
    <n v="1.038051507447749"/>
    <x v="1"/>
    <n v="19.772143261226006"/>
    <x v="0"/>
    <n v="0"/>
  </r>
  <r>
    <x v="1"/>
    <d v="2024-01-05T11:00:00"/>
    <n v="542.22991845556999"/>
    <n v="530.31635298180402"/>
    <n v="530.31635298180402"/>
    <n v="77.708667056153502"/>
    <s v="OK"/>
    <s v="NON-ZERO"/>
    <n v="579.55549577344095"/>
    <n v="0.91503981387334576"/>
    <x v="1"/>
    <n v="-49.239142791636937"/>
    <x v="1"/>
    <n v="0"/>
  </r>
  <r>
    <x v="1"/>
    <d v="2024-01-05T12:00:00"/>
    <n v="619.20981709478303"/>
    <n v="605.60489334035503"/>
    <n v="605.60489334035503"/>
    <n v="35.333627934820399"/>
    <s v="OK"/>
    <s v="NON-ZERO"/>
    <n v="600"/>
    <n v="1.0093414889005918"/>
    <x v="1"/>
    <n v="5.6048933403550336"/>
    <x v="0"/>
    <n v="0"/>
  </r>
  <r>
    <x v="1"/>
    <d v="2024-01-05T13:00:00"/>
    <n v="535.75644882872803"/>
    <n v="523.98511472511802"/>
    <n v="523.98511472511802"/>
    <n v="66.134685540589899"/>
    <s v="OK"/>
    <s v="NON-ZERO"/>
    <n v="579.55549577344095"/>
    <n v="0.90411551360726561"/>
    <x v="1"/>
    <n v="-55.570381048322929"/>
    <x v="1"/>
    <n v="0"/>
  </r>
  <r>
    <x v="1"/>
    <d v="2024-01-05T14:00:00"/>
    <n v="494.40851492083101"/>
    <n v="483.54565395942598"/>
    <n v="483.54565395942598"/>
    <n v="22.618366449216701"/>
    <s v="OK"/>
    <s v="NON-ZERO"/>
    <n v="519.61524227066297"/>
    <n v="0.93058404492982782"/>
    <x v="1"/>
    <n v="-36.069588311236998"/>
    <x v="1"/>
    <n v="0"/>
  </r>
  <r>
    <x v="1"/>
    <d v="2024-01-05T15:00:00"/>
    <n v="429.38547278695103"/>
    <n v="419.95126089745997"/>
    <n v="419.95126089745997"/>
    <n v="82.938529623522399"/>
    <s v="OK"/>
    <s v="NON-ZERO"/>
    <n v="424.26406871192802"/>
    <n v="0.98983461449478438"/>
    <x v="1"/>
    <n v="-4.3128078144680444"/>
    <x v="1"/>
    <n v="0"/>
  </r>
  <r>
    <x v="1"/>
    <d v="2024-01-05T16:00:00"/>
    <n v="252.38422687925399"/>
    <n v="246.83898507475101"/>
    <n v="246.83898507475101"/>
    <n v="28.3694749967935"/>
    <s v="OK"/>
    <s v="NON-ZERO"/>
    <n v="300"/>
    <n v="0.82279661691583672"/>
    <x v="0"/>
    <n v="-53.161014925248992"/>
    <x v="1"/>
    <n v="-2.6580507462624494"/>
  </r>
  <r>
    <x v="1"/>
    <d v="2024-01-05T17:00:00"/>
    <n v="144.24945879988601"/>
    <n v="141.08009223881001"/>
    <n v="141.08009223881001"/>
    <n v="33.012203776626599"/>
    <s v="OK"/>
    <s v="NON-ZERO"/>
    <n v="155.291427061512"/>
    <n v="0.90848603112473958"/>
    <x v="1"/>
    <n v="-14.211334822701986"/>
    <x v="1"/>
    <n v="0"/>
  </r>
  <r>
    <x v="1"/>
    <d v="2024-01-05T18:00:00"/>
    <n v="7.6086313388242598E-14"/>
    <n v="7.4414588451355706E-14"/>
    <n v="7.4414588451355706E-14"/>
    <n v="29.4114722599363"/>
    <s v="OK"/>
    <s v="NON-ZERO"/>
    <n v="7.3478807948841102E-14"/>
    <n v="1.0127353794738496"/>
    <x v="1"/>
    <n v="9.3578050251460408E-16"/>
    <x v="0"/>
    <n v="0"/>
  </r>
  <r>
    <x v="1"/>
    <d v="2024-01-05T19:00:00"/>
    <n v="0"/>
    <n v="0"/>
    <n v="0"/>
    <n v="70.804484741665405"/>
    <s v="OK"/>
    <s v="ZERO"/>
    <n v="0"/>
    <n v="0"/>
    <x v="0"/>
    <n v="0"/>
    <x v="0"/>
    <n v="0"/>
  </r>
  <r>
    <x v="1"/>
    <d v="2024-01-05T20:00:00"/>
    <n v="0"/>
    <n v="0"/>
    <n v="0"/>
    <n v="21.436661416343899"/>
    <s v="OK"/>
    <s v="ZERO"/>
    <n v="0"/>
    <n v="0"/>
    <x v="0"/>
    <n v="0"/>
    <x v="0"/>
    <n v="0"/>
  </r>
  <r>
    <x v="1"/>
    <d v="2024-01-05T21:00:00"/>
    <n v="0"/>
    <n v="0"/>
    <n v="0"/>
    <n v="78.143303887621101"/>
    <s v="OK"/>
    <s v="ZERO"/>
    <n v="0"/>
    <n v="0"/>
    <x v="0"/>
    <n v="0"/>
    <x v="0"/>
    <n v="0"/>
  </r>
  <r>
    <x v="1"/>
    <d v="2024-01-05T22:00:00"/>
    <n v="0"/>
    <n v="0"/>
    <n v="0"/>
    <n v="70.090093002561005"/>
    <s v="OK"/>
    <s v="ZERO"/>
    <n v="0"/>
    <n v="0"/>
    <x v="0"/>
    <n v="0"/>
    <x v="0"/>
    <n v="0"/>
  </r>
  <r>
    <x v="1"/>
    <d v="2024-01-05T23:00:00"/>
    <n v="0"/>
    <n v="0"/>
    <n v="0"/>
    <n v="65.859770841924501"/>
    <s v="OK"/>
    <s v="ZERO"/>
    <n v="0"/>
    <n v="0"/>
    <x v="0"/>
    <n v="0"/>
    <x v="0"/>
    <n v="0"/>
  </r>
  <r>
    <x v="1"/>
    <d v="2024-01-06T00:00:00"/>
    <n v="0"/>
    <n v="0"/>
    <n v="0"/>
    <n v="86.364133827200305"/>
    <s v="OK"/>
    <s v="ZERO"/>
    <n v="0"/>
    <n v="0"/>
    <x v="0"/>
    <n v="0"/>
    <x v="0"/>
    <n v="0"/>
  </r>
  <r>
    <x v="1"/>
    <d v="2024-01-06T01:00:00"/>
    <n v="0"/>
    <n v="0"/>
    <n v="0"/>
    <n v="41.121203157922302"/>
    <s v="OK"/>
    <s v="ZERO"/>
    <n v="0"/>
    <n v="0"/>
    <x v="0"/>
    <n v="0"/>
    <x v="0"/>
    <n v="0"/>
  </r>
  <r>
    <x v="1"/>
    <d v="2024-01-06T02:00:00"/>
    <n v="0"/>
    <n v="0"/>
    <n v="0"/>
    <n v="43.3909576822793"/>
    <s v="OK"/>
    <s v="ZERO"/>
    <n v="0"/>
    <n v="0"/>
    <x v="0"/>
    <n v="0"/>
    <x v="0"/>
    <n v="0"/>
  </r>
  <r>
    <x v="1"/>
    <d v="2024-01-06T03:00:00"/>
    <n v="0"/>
    <n v="0"/>
    <n v="0"/>
    <n v="53.209860240780301"/>
    <s v="OK"/>
    <s v="ZERO"/>
    <n v="0"/>
    <n v="0"/>
    <x v="0"/>
    <n v="0"/>
    <x v="0"/>
    <n v="0"/>
  </r>
  <r>
    <x v="1"/>
    <d v="2024-01-06T04:00:00"/>
    <n v="0"/>
    <n v="0"/>
    <n v="0"/>
    <n v="33.929980400388899"/>
    <s v="OK"/>
    <s v="ZERO"/>
    <n v="0"/>
    <n v="0"/>
    <x v="0"/>
    <n v="0"/>
    <x v="0"/>
    <n v="0"/>
  </r>
  <r>
    <x v="1"/>
    <d v="2024-01-06T05:00:00"/>
    <n v="0"/>
    <n v="0"/>
    <n v="0"/>
    <n v="24.635634551691599"/>
    <s v="OK"/>
    <s v="ZERO"/>
    <n v="0"/>
    <n v="0"/>
    <x v="0"/>
    <n v="0"/>
    <x v="0"/>
    <n v="0"/>
  </r>
  <r>
    <x v="1"/>
    <d v="2024-01-06T06:00:00"/>
    <n v="0"/>
    <n v="0"/>
    <n v="0"/>
    <n v="57.613847026262398"/>
    <s v="OK"/>
    <s v="ZERO"/>
    <n v="0"/>
    <n v="0"/>
    <x v="0"/>
    <n v="0"/>
    <x v="0"/>
    <n v="0"/>
  </r>
  <r>
    <x v="1"/>
    <d v="2024-01-06T07:00:00"/>
    <n v="150.770494405812"/>
    <n v="147.457851382108"/>
    <n v="147.457851382108"/>
    <n v="69.643522447775794"/>
    <s v="OK"/>
    <s v="NON-ZERO"/>
    <n v="155.291427061512"/>
    <n v="0.94955564626049149"/>
    <x v="1"/>
    <n v="-7.8335756794039924"/>
    <x v="1"/>
    <n v="0"/>
  </r>
  <r>
    <x v="1"/>
    <d v="2024-01-06T08:00:00"/>
    <n v="302.31972913801798"/>
    <n v="295.67733305379602"/>
    <n v="295.67733305379602"/>
    <n v="81.305588547958195"/>
    <s v="OK"/>
    <s v="NON-ZERO"/>
    <n v="300"/>
    <n v="0.98559111017932011"/>
    <x v="1"/>
    <n v="-4.3226669462039808"/>
    <x v="1"/>
    <n v="0"/>
  </r>
  <r>
    <x v="1"/>
    <d v="2024-01-06T09:00:00"/>
    <n v="427.28503227938"/>
    <n v="417.896970066731"/>
    <n v="417.896970066731"/>
    <n v="20.515847166473598"/>
    <s v="OK"/>
    <s v="NON-ZERO"/>
    <n v="424.26406871192802"/>
    <n v="0.98499260457165838"/>
    <x v="1"/>
    <n v="-6.367098645197018"/>
    <x v="1"/>
    <n v="0"/>
  </r>
  <r>
    <x v="1"/>
    <d v="2024-01-06T10:00:00"/>
    <n v="516.74760109380395"/>
    <n v="505.39391851469099"/>
    <n v="505.39391851469099"/>
    <n v="86.344016617221001"/>
    <s v="OK"/>
    <s v="NON-ZERO"/>
    <n v="519.61524227066297"/>
    <n v="0.9726310496708559"/>
    <x v="1"/>
    <n v="-14.22132375597198"/>
    <x v="1"/>
    <n v="0"/>
  </r>
  <r>
    <x v="1"/>
    <d v="2024-01-06T11:00:00"/>
    <n v="505.24531193719201"/>
    <n v="494.14435107316899"/>
    <n v="494.14435107316899"/>
    <n v="43.540855738627002"/>
    <s v="OK"/>
    <s v="NON-ZERO"/>
    <n v="579.55549577344095"/>
    <n v="0.85262646058374925"/>
    <x v="1"/>
    <n v="-85.411144700271961"/>
    <x v="1"/>
    <n v="0"/>
  </r>
  <r>
    <x v="1"/>
    <d v="2024-01-06T12:00:00"/>
    <n v="523.61472634451297"/>
    <n v="512.11016321914803"/>
    <n v="512.11016321914803"/>
    <n v="45.6580715647695"/>
    <s v="OK"/>
    <s v="NON-ZERO"/>
    <n v="600"/>
    <n v="0.85351693869858003"/>
    <x v="1"/>
    <n v="-87.889836780851965"/>
    <x v="1"/>
    <n v="0"/>
  </r>
  <r>
    <x v="1"/>
    <d v="2024-01-06T13:00:00"/>
    <n v="588.06217198911099"/>
    <n v="575.14160646850598"/>
    <n v="575.14160646850598"/>
    <n v="28.9918320104534"/>
    <s v="OK"/>
    <s v="NON-ZERO"/>
    <n v="579.55549577344095"/>
    <n v="0.9923840092327233"/>
    <x v="1"/>
    <n v="-4.413889304934969"/>
    <x v="1"/>
    <n v="0"/>
  </r>
  <r>
    <x v="1"/>
    <d v="2024-01-06T14:00:00"/>
    <n v="501.97533830531597"/>
    <n v="490.94622343066902"/>
    <n v="490.94622343066902"/>
    <n v="42.495655233276601"/>
    <s v="OK"/>
    <s v="NON-ZERO"/>
    <n v="519.61524227066297"/>
    <n v="0.9448264475177568"/>
    <x v="1"/>
    <n v="-28.669018839993953"/>
    <x v="1"/>
    <n v="0"/>
  </r>
  <r>
    <x v="1"/>
    <d v="2024-01-06T15:00:00"/>
    <n v="453.91450133036301"/>
    <n v="443.94135166260901"/>
    <n v="443.94135166260901"/>
    <n v="32.330414680915901"/>
    <s v="OK"/>
    <s v="NON-ZERO"/>
    <n v="424.26406871192802"/>
    <n v="1.0463798006991767"/>
    <x v="1"/>
    <n v="19.67728295068099"/>
    <x v="0"/>
    <n v="0"/>
  </r>
  <r>
    <x v="1"/>
    <d v="2024-01-06T16:00:00"/>
    <n v="287.579712209344"/>
    <n v="281.26117534201001"/>
    <n v="281.26117534201001"/>
    <n v="74.975008041696697"/>
    <s v="OK"/>
    <s v="NON-ZERO"/>
    <n v="300"/>
    <n v="0.93753725114003339"/>
    <x v="1"/>
    <n v="-18.738824657989994"/>
    <x v="1"/>
    <n v="0"/>
  </r>
  <r>
    <x v="1"/>
    <d v="2024-01-06T17:00:00"/>
    <n v="136.56227465676201"/>
    <n v="133.56180650663899"/>
    <n v="133.56180650663899"/>
    <n v="81.573576297435494"/>
    <s v="OK"/>
    <s v="NON-ZERO"/>
    <n v="155.291427061512"/>
    <n v="0.860071988737242"/>
    <x v="1"/>
    <n v="-21.729620554873009"/>
    <x v="1"/>
    <n v="0"/>
  </r>
  <r>
    <x v="1"/>
    <d v="2024-01-06T18:00:00"/>
    <n v="7.9625994002605701E-14"/>
    <n v="7.7876497228864905E-14"/>
    <n v="7.7876497228864905E-14"/>
    <n v="44.509602939333298"/>
    <s v="OK"/>
    <s v="NON-ZERO"/>
    <n v="7.3478807948841102E-14"/>
    <n v="1.0598497635275419"/>
    <x v="1"/>
    <n v="4.3976892800238031E-15"/>
    <x v="0"/>
    <n v="0"/>
  </r>
  <r>
    <x v="1"/>
    <d v="2024-01-06T19:00:00"/>
    <n v="0"/>
    <n v="0"/>
    <n v="0"/>
    <n v="80.0735525302523"/>
    <s v="OK"/>
    <s v="ZERO"/>
    <n v="0"/>
    <n v="0"/>
    <x v="0"/>
    <n v="0"/>
    <x v="0"/>
    <n v="0"/>
  </r>
  <r>
    <x v="1"/>
    <d v="2024-01-06T20:00:00"/>
    <n v="0"/>
    <n v="0"/>
    <n v="0"/>
    <n v="93.542617029554194"/>
    <s v="OK"/>
    <s v="ZERO"/>
    <n v="0"/>
    <n v="0"/>
    <x v="0"/>
    <n v="0"/>
    <x v="0"/>
    <n v="0"/>
  </r>
  <r>
    <x v="1"/>
    <d v="2024-01-06T21:00:00"/>
    <n v="0"/>
    <n v="0"/>
    <n v="0"/>
    <n v="64.613553462643196"/>
    <s v="OK"/>
    <s v="ZERO"/>
    <n v="0"/>
    <n v="0"/>
    <x v="0"/>
    <n v="0"/>
    <x v="0"/>
    <n v="0"/>
  </r>
  <r>
    <x v="1"/>
    <d v="2024-01-06T22:00:00"/>
    <n v="0"/>
    <n v="0"/>
    <n v="0"/>
    <n v="62.598072298706001"/>
    <s v="OK"/>
    <s v="ZERO"/>
    <n v="0"/>
    <n v="0"/>
    <x v="0"/>
    <n v="0"/>
    <x v="0"/>
    <n v="0"/>
  </r>
  <r>
    <x v="1"/>
    <d v="2024-01-06T23:00:00"/>
    <n v="0"/>
    <n v="0"/>
    <n v="0"/>
    <n v="81.405517211303803"/>
    <s v="OK"/>
    <s v="ZERO"/>
    <n v="0"/>
    <n v="0"/>
    <x v="0"/>
    <n v="0"/>
    <x v="0"/>
    <n v="0"/>
  </r>
  <r>
    <x v="1"/>
    <d v="2024-01-07T00:00:00"/>
    <n v="0"/>
    <n v="0"/>
    <n v="0"/>
    <n v="23.957394339470198"/>
    <s v="OK"/>
    <s v="ZERO"/>
    <n v="0"/>
    <n v="0"/>
    <x v="0"/>
    <n v="0"/>
    <x v="0"/>
    <n v="0"/>
  </r>
  <r>
    <x v="1"/>
    <d v="2024-01-07T01:00:00"/>
    <n v="0"/>
    <n v="0"/>
    <n v="0"/>
    <n v="36.989121952707897"/>
    <s v="OK"/>
    <s v="ZERO"/>
    <n v="0"/>
    <n v="0"/>
    <x v="0"/>
    <n v="0"/>
    <x v="0"/>
    <n v="0"/>
  </r>
  <r>
    <x v="1"/>
    <d v="2024-01-07T02:00:00"/>
    <n v="0"/>
    <n v="0"/>
    <n v="0"/>
    <n v="81.766416995886402"/>
    <s v="OK"/>
    <s v="ZERO"/>
    <n v="0"/>
    <n v="0"/>
    <x v="0"/>
    <n v="0"/>
    <x v="0"/>
    <n v="0"/>
  </r>
  <r>
    <x v="1"/>
    <d v="2024-01-07T03:00:00"/>
    <n v="0"/>
    <n v="0"/>
    <n v="0"/>
    <n v="46.311433200126103"/>
    <s v="OK"/>
    <s v="ZERO"/>
    <n v="0"/>
    <n v="0"/>
    <x v="0"/>
    <n v="0"/>
    <x v="0"/>
    <n v="0"/>
  </r>
  <r>
    <x v="1"/>
    <d v="2024-01-07T04:00:00"/>
    <n v="0"/>
    <n v="0"/>
    <n v="0"/>
    <n v="26.351625640647999"/>
    <s v="OK"/>
    <s v="ZERO"/>
    <n v="0"/>
    <n v="0"/>
    <x v="0"/>
    <n v="0"/>
    <x v="0"/>
    <n v="0"/>
  </r>
  <r>
    <x v="1"/>
    <d v="2024-01-07T05:00:00"/>
    <n v="0"/>
    <n v="0"/>
    <n v="0"/>
    <n v="83.068153280217999"/>
    <s v="OK"/>
    <s v="ZERO"/>
    <n v="0"/>
    <n v="0"/>
    <x v="0"/>
    <n v="0"/>
    <x v="0"/>
    <n v="0"/>
  </r>
  <r>
    <x v="1"/>
    <d v="2024-01-07T06:00:00"/>
    <n v="0"/>
    <n v="0"/>
    <n v="0"/>
    <n v="48.845830698407603"/>
    <s v="OK"/>
    <s v="ZERO"/>
    <n v="0"/>
    <n v="0"/>
    <x v="0"/>
    <n v="0"/>
    <x v="0"/>
    <n v="0"/>
  </r>
  <r>
    <x v="1"/>
    <d v="2024-01-07T07:00:00"/>
    <n v="133.38073117186701"/>
    <n v="130.45016607453601"/>
    <n v="130.45016607453601"/>
    <n v="89.941615881448399"/>
    <s v="OK"/>
    <s v="NON-ZERO"/>
    <n v="155.291427061512"/>
    <n v="0.84003456303395174"/>
    <x v="0"/>
    <n v="-24.841260986975982"/>
    <x v="1"/>
    <n v="-1.242063049348799"/>
  </r>
  <r>
    <x v="1"/>
    <d v="2024-01-07T08:00:00"/>
    <n v="292.05749452643897"/>
    <n v="285.640574388473"/>
    <n v="285.640574388473"/>
    <n v="50.5811078752049"/>
    <s v="OK"/>
    <s v="NON-ZERO"/>
    <n v="300"/>
    <n v="0.95213524796157667"/>
    <x v="1"/>
    <n v="-14.359425611527001"/>
    <x v="1"/>
    <n v="0"/>
  </r>
  <r>
    <x v="1"/>
    <d v="2024-01-07T09:00:00"/>
    <n v="461.175983433824"/>
    <n v="451.04328863672299"/>
    <n v="451.04328863672299"/>
    <n v="92.836318052621394"/>
    <s v="OK"/>
    <s v="NON-ZERO"/>
    <n v="424.26406871192802"/>
    <n v="1.0631192266790281"/>
    <x v="1"/>
    <n v="26.779219924794972"/>
    <x v="0"/>
    <n v="0"/>
  </r>
  <r>
    <x v="1"/>
    <d v="2024-01-07T10:00:00"/>
    <n v="556.322200372814"/>
    <n v="544.09900734515998"/>
    <n v="544.09900734515998"/>
    <n v="28.7268863873371"/>
    <s v="OK"/>
    <s v="NON-ZERO"/>
    <n v="519.61524227066297"/>
    <n v="1.0471190278551215"/>
    <x v="1"/>
    <n v="24.483765074497001"/>
    <x v="0"/>
    <n v="0"/>
  </r>
  <r>
    <x v="1"/>
    <d v="2024-01-07T11:00:00"/>
    <n v="570.82506574765705"/>
    <n v="558.28322406134498"/>
    <n v="558.28322406134498"/>
    <n v="69.633329935372899"/>
    <s v="OK"/>
    <s v="NON-ZERO"/>
    <n v="579.55549577344095"/>
    <n v="0.96329553965542636"/>
    <x v="1"/>
    <n v="-21.272271712095971"/>
    <x v="1"/>
    <n v="0"/>
  </r>
  <r>
    <x v="1"/>
    <d v="2024-01-07T12:00:00"/>
    <n v="560.90900664359901"/>
    <n v="548.58503493339299"/>
    <n v="548.58503493339299"/>
    <n v="82.5233007856379"/>
    <s v="OK"/>
    <s v="NON-ZERO"/>
    <n v="600"/>
    <n v="0.91430839155565502"/>
    <x v="1"/>
    <n v="-51.41496506660701"/>
    <x v="1"/>
    <n v="0"/>
  </r>
  <r>
    <x v="1"/>
    <d v="2024-01-07T13:00:00"/>
    <n v="525.00770290490698"/>
    <n v="513.47253409569601"/>
    <n v="513.47253409569601"/>
    <n v="48.009345884952801"/>
    <s v="OK"/>
    <s v="NON-ZERO"/>
    <n v="579.55549577344095"/>
    <n v="0.88597647307346383"/>
    <x v="1"/>
    <n v="-66.082961677744947"/>
    <x v="1"/>
    <n v="0"/>
  </r>
  <r>
    <x v="1"/>
    <d v="2024-01-07T14:00:00"/>
    <n v="476.71311591719899"/>
    <n v="466.23904813639598"/>
    <n v="466.23904813639598"/>
    <n v="70.686719382805506"/>
    <s v="OK"/>
    <s v="NON-ZERO"/>
    <n v="519.61524227066297"/>
    <n v="0.8972774664942107"/>
    <x v="1"/>
    <n v="-53.376194134266996"/>
    <x v="1"/>
    <n v="0"/>
  </r>
  <r>
    <x v="1"/>
    <d v="2024-01-07T15:00:00"/>
    <n v="394.47408236595902"/>
    <n v="385.80692356853098"/>
    <n v="385.80692356853098"/>
    <n v="49.644448657336802"/>
    <s v="OK"/>
    <s v="NON-ZERO"/>
    <n v="424.26406871192802"/>
    <n v="0.90935563961342869"/>
    <x v="1"/>
    <n v="-38.457145143397042"/>
    <x v="1"/>
    <n v="0"/>
  </r>
  <r>
    <x v="1"/>
    <d v="2024-01-07T16:00:00"/>
    <n v="277.08207244817999"/>
    <n v="270.994183714337"/>
    <n v="270.994183714337"/>
    <n v="51.438715692659102"/>
    <s v="OK"/>
    <s v="NON-ZERO"/>
    <n v="300"/>
    <n v="0.90331394571445667"/>
    <x v="1"/>
    <n v="-29.005816285663002"/>
    <x v="1"/>
    <n v="0"/>
  </r>
  <r>
    <x v="1"/>
    <d v="2024-01-07T17:00:00"/>
    <n v="143.72640095770601"/>
    <n v="140.56852672421601"/>
    <n v="140.56852672421601"/>
    <n v="61.778038495627598"/>
    <s v="OK"/>
    <s v="NON-ZERO"/>
    <n v="155.291427061512"/>
    <n v="0.90519180217550488"/>
    <x v="1"/>
    <n v="-14.722900337295982"/>
    <x v="1"/>
    <n v="0"/>
  </r>
  <r>
    <x v="1"/>
    <d v="2024-01-07T18:00:00"/>
    <n v="6.9878132644836004E-14"/>
    <n v="6.8342810302572006E-14"/>
    <n v="6.8342810302572006E-14"/>
    <n v="36.533450318406402"/>
    <s v="OK"/>
    <s v="NON-ZERO"/>
    <n v="7.3478807948841102E-14"/>
    <n v="0.93010232760110934"/>
    <x v="1"/>
    <n v="-5.1359976462690952E-15"/>
    <x v="1"/>
    <n v="0"/>
  </r>
  <r>
    <x v="1"/>
    <d v="2024-01-07T19:00:00"/>
    <n v="0"/>
    <n v="0"/>
    <n v="0"/>
    <n v="88.731540839904895"/>
    <s v="OK"/>
    <s v="ZERO"/>
    <n v="0"/>
    <n v="0"/>
    <x v="0"/>
    <n v="0"/>
    <x v="0"/>
    <n v="0"/>
  </r>
  <r>
    <x v="1"/>
    <d v="2024-01-07T20:00:00"/>
    <n v="0"/>
    <n v="0"/>
    <n v="0"/>
    <n v="59.847051376319897"/>
    <s v="OK"/>
    <s v="ZERO"/>
    <n v="0"/>
    <n v="0"/>
    <x v="0"/>
    <n v="0"/>
    <x v="0"/>
    <n v="0"/>
  </r>
  <r>
    <x v="1"/>
    <d v="2024-01-07T21:00:00"/>
    <n v="0"/>
    <n v="0"/>
    <n v="0"/>
    <n v="74.862234803235395"/>
    <s v="OK"/>
    <s v="ZERO"/>
    <n v="0"/>
    <n v="0"/>
    <x v="0"/>
    <n v="0"/>
    <x v="0"/>
    <n v="0"/>
  </r>
  <r>
    <x v="1"/>
    <d v="2024-01-07T22:00:00"/>
    <n v="0"/>
    <n v="0"/>
    <n v="0"/>
    <n v="83.349943181766804"/>
    <s v="OK"/>
    <s v="ZERO"/>
    <n v="0"/>
    <n v="0"/>
    <x v="0"/>
    <n v="0"/>
    <x v="0"/>
    <n v="0"/>
  </r>
  <r>
    <x v="1"/>
    <d v="2024-01-07T23:00:00"/>
    <n v="0"/>
    <n v="0"/>
    <n v="0"/>
    <n v="88.6295549387916"/>
    <s v="OK"/>
    <s v="ZERO"/>
    <n v="0"/>
    <n v="0"/>
    <x v="0"/>
    <n v="0"/>
    <x v="0"/>
    <n v="0"/>
  </r>
  <r>
    <x v="1"/>
    <d v="2024-01-08T00:00:00"/>
    <n v="0"/>
    <n v="0"/>
    <n v="0"/>
    <n v="43.1351211117113"/>
    <s v="OK"/>
    <s v="ZERO"/>
    <n v="0"/>
    <n v="0"/>
    <x v="0"/>
    <n v="0"/>
    <x v="0"/>
    <n v="0"/>
  </r>
  <r>
    <x v="1"/>
    <d v="2024-01-08T01:00:00"/>
    <n v="0"/>
    <n v="0"/>
    <n v="0"/>
    <n v="22.945206068123898"/>
    <s v="OK"/>
    <s v="ZERO"/>
    <n v="0"/>
    <n v="0"/>
    <x v="0"/>
    <n v="0"/>
    <x v="0"/>
    <n v="0"/>
  </r>
  <r>
    <x v="1"/>
    <d v="2024-01-08T02:00:00"/>
    <n v="0"/>
    <n v="0"/>
    <n v="0"/>
    <n v="80.407253228448397"/>
    <s v="OK"/>
    <s v="ZERO"/>
    <n v="0"/>
    <n v="0"/>
    <x v="0"/>
    <n v="0"/>
    <x v="0"/>
    <n v="0"/>
  </r>
  <r>
    <x v="1"/>
    <d v="2024-01-08T03:00:00"/>
    <n v="0"/>
    <n v="0"/>
    <n v="0"/>
    <n v="78.747348721703503"/>
    <s v="OK"/>
    <s v="ZERO"/>
    <n v="0"/>
    <n v="0"/>
    <x v="0"/>
    <n v="0"/>
    <x v="0"/>
    <n v="0"/>
  </r>
  <r>
    <x v="1"/>
    <d v="2024-01-08T04:00:00"/>
    <n v="0"/>
    <n v="0"/>
    <n v="0"/>
    <n v="29.029068409181601"/>
    <s v="OK"/>
    <s v="ZERO"/>
    <n v="0"/>
    <n v="0"/>
    <x v="0"/>
    <n v="0"/>
    <x v="0"/>
    <n v="0"/>
  </r>
  <r>
    <x v="1"/>
    <d v="2024-01-08T05:00:00"/>
    <n v="0"/>
    <n v="0"/>
    <n v="0"/>
    <n v="66.706505242988001"/>
    <s v="OK"/>
    <s v="ZERO"/>
    <n v="0"/>
    <n v="0"/>
    <x v="0"/>
    <n v="0"/>
    <x v="0"/>
    <n v="0"/>
  </r>
  <r>
    <x v="1"/>
    <d v="2024-01-08T06:00:00"/>
    <n v="0"/>
    <n v="0"/>
    <n v="0"/>
    <n v="32.016920073237898"/>
    <s v="OK"/>
    <s v="ZERO"/>
    <n v="0"/>
    <n v="0"/>
    <x v="0"/>
    <n v="0"/>
    <x v="0"/>
    <n v="0"/>
  </r>
  <r>
    <x v="1"/>
    <d v="2024-01-08T07:00:00"/>
    <n v="136.345817554289"/>
    <n v="133.35010527575199"/>
    <n v="133.35010527575199"/>
    <n v="76.796223370662503"/>
    <s v="OK"/>
    <s v="NON-ZERO"/>
    <n v="155.291427061512"/>
    <n v="0.85870873749476906"/>
    <x v="1"/>
    <n v="-21.94132178576001"/>
    <x v="1"/>
    <n v="0"/>
  </r>
  <r>
    <x v="1"/>
    <d v="2024-01-08T08:00:00"/>
    <n v="267.350110350595"/>
    <n v="261.47604671878202"/>
    <n v="261.47604671878202"/>
    <n v="65.183708147494002"/>
    <s v="OK"/>
    <s v="NON-ZERO"/>
    <n v="300"/>
    <n v="0.8715868223959401"/>
    <x v="1"/>
    <n v="-38.523953281217985"/>
    <x v="1"/>
    <n v="0"/>
  </r>
  <r>
    <x v="1"/>
    <d v="2024-01-08T09:00:00"/>
    <n v="396.37626087938997"/>
    <n v="387.66730850419901"/>
    <n v="387.66730850419901"/>
    <n v="21.778081523338798"/>
    <s v="OK"/>
    <s v="NON-ZERO"/>
    <n v="424.26406871192802"/>
    <n v="0.913740608958856"/>
    <x v="1"/>
    <n v="-36.596760207729005"/>
    <x v="1"/>
    <n v="0"/>
  </r>
  <r>
    <x v="1"/>
    <d v="2024-01-08T10:00:00"/>
    <n v="480.043244364408"/>
    <n v="469.49600890705"/>
    <n v="469.49600890705"/>
    <n v="51.4720537105107"/>
    <s v="OK"/>
    <s v="NON-ZERO"/>
    <n v="519.61524227066297"/>
    <n v="0.90354549041980126"/>
    <x v="1"/>
    <n v="-50.119233363612977"/>
    <x v="1"/>
    <n v="0"/>
  </r>
  <r>
    <x v="1"/>
    <d v="2024-01-08T11:00:00"/>
    <n v="529.99828561468098"/>
    <n v="518.35346657806394"/>
    <n v="518.35346657806394"/>
    <n v="63.0462399551757"/>
    <s v="OK"/>
    <s v="NON-ZERO"/>
    <n v="579.55549577344095"/>
    <n v="0.89439832830210619"/>
    <x v="1"/>
    <n v="-61.202029195377008"/>
    <x v="1"/>
    <n v="0"/>
  </r>
  <r>
    <x v="1"/>
    <d v="2024-01-08T12:00:00"/>
    <n v="554.93183068400299"/>
    <n v="542.73918606350401"/>
    <n v="542.73918606350401"/>
    <n v="79.052896861195407"/>
    <s v="OK"/>
    <s v="NON-ZERO"/>
    <n v="600"/>
    <n v="0.90456531010583996"/>
    <x v="1"/>
    <n v="-57.260813936495992"/>
    <x v="1"/>
    <n v="0"/>
  </r>
  <r>
    <x v="1"/>
    <d v="2024-01-08T13:00:00"/>
    <n v="547.27043082277896"/>
    <n v="535.24611809574503"/>
    <n v="535.24611809574503"/>
    <n v="64.126416573736407"/>
    <s v="OK"/>
    <s v="NON-ZERO"/>
    <n v="579.55549577344095"/>
    <n v="0.92354592786914524"/>
    <x v="1"/>
    <n v="-44.30937767769592"/>
    <x v="1"/>
    <n v="0"/>
  </r>
  <r>
    <x v="1"/>
    <d v="2024-01-08T14:00:00"/>
    <n v="506.160790355443"/>
    <n v="495.03971512350398"/>
    <n v="495.03971512350398"/>
    <n v="73.207914847548096"/>
    <s v="OK"/>
    <s v="NON-ZERO"/>
    <n v="519.61524227066297"/>
    <n v="0.95270437595370261"/>
    <x v="1"/>
    <n v="-24.575527147158994"/>
    <x v="1"/>
    <n v="0"/>
  </r>
  <r>
    <x v="1"/>
    <d v="2024-01-08T15:00:00"/>
    <n v="400.84223057398498"/>
    <n v="392.03515446834399"/>
    <n v="392.03515446834399"/>
    <n v="48.104147788053197"/>
    <s v="OK"/>
    <s v="NON-ZERO"/>
    <n v="424.26406871192802"/>
    <n v="0.92403572062693995"/>
    <x v="1"/>
    <n v="-32.228914243584029"/>
    <x v="1"/>
    <n v="0"/>
  </r>
  <r>
    <x v="1"/>
    <d v="2024-01-08T16:00:00"/>
    <n v="271.76541038285001"/>
    <n v="265.794336305412"/>
    <n v="265.794336305412"/>
    <n v="80.423660402250604"/>
    <s v="OK"/>
    <s v="NON-ZERO"/>
    <n v="300"/>
    <n v="0.88598112101804005"/>
    <x v="1"/>
    <n v="-34.205663694587997"/>
    <x v="1"/>
    <n v="0"/>
  </r>
  <r>
    <x v="1"/>
    <d v="2024-01-08T17:00:00"/>
    <n v="148.28701480657099"/>
    <n v="145.028937375434"/>
    <n v="145.028937375434"/>
    <n v="81.297898415992705"/>
    <s v="OK"/>
    <s v="NON-ZERO"/>
    <n v="155.291427061512"/>
    <n v="0.93391464113461364"/>
    <x v="1"/>
    <n v="-10.262489686077998"/>
    <x v="1"/>
    <n v="0"/>
  </r>
  <r>
    <x v="1"/>
    <d v="2024-01-08T18:00:00"/>
    <n v="5.9592615920756004E-14"/>
    <n v="5.82832810660008E-14"/>
    <n v="5.82832810660008E-14"/>
    <n v="35.8344456918528"/>
    <s v="OK"/>
    <s v="NON-ZERO"/>
    <n v="7.3478807948841102E-14"/>
    <n v="0.79319851114868334"/>
    <x v="0"/>
    <n v="-1.5195526882840302E-14"/>
    <x v="1"/>
    <n v="-7.5977634414201512E-16"/>
  </r>
  <r>
    <x v="1"/>
    <d v="2024-01-08T19:00:00"/>
    <n v="0"/>
    <n v="0"/>
    <n v="0"/>
    <n v="56.940153553571697"/>
    <s v="OK"/>
    <s v="ZERO"/>
    <n v="0"/>
    <n v="0"/>
    <x v="0"/>
    <n v="0"/>
    <x v="0"/>
    <n v="0"/>
  </r>
  <r>
    <x v="1"/>
    <d v="2024-01-08T20:00:00"/>
    <n v="0"/>
    <n v="0"/>
    <n v="0"/>
    <n v="32.102551879128697"/>
    <s v="OK"/>
    <s v="ZERO"/>
    <n v="0"/>
    <n v="0"/>
    <x v="0"/>
    <n v="0"/>
    <x v="0"/>
    <n v="0"/>
  </r>
  <r>
    <x v="1"/>
    <d v="2024-01-08T21:00:00"/>
    <n v="0"/>
    <n v="0"/>
    <n v="0"/>
    <n v="77.0120697342619"/>
    <s v="OK"/>
    <s v="ZERO"/>
    <n v="0"/>
    <n v="0"/>
    <x v="0"/>
    <n v="0"/>
    <x v="0"/>
    <n v="0"/>
  </r>
  <r>
    <x v="1"/>
    <d v="2024-01-08T22:00:00"/>
    <n v="0"/>
    <n v="0"/>
    <n v="0"/>
    <n v="50.634168605636098"/>
    <s v="OK"/>
    <s v="ZERO"/>
    <n v="0"/>
    <n v="0"/>
    <x v="0"/>
    <n v="0"/>
    <x v="0"/>
    <n v="0"/>
  </r>
  <r>
    <x v="1"/>
    <d v="2024-01-08T23:00:00"/>
    <n v="0"/>
    <n v="0"/>
    <n v="0"/>
    <n v="22.600452816954899"/>
    <s v="OK"/>
    <s v="ZERO"/>
    <n v="0"/>
    <n v="0"/>
    <x v="0"/>
    <n v="0"/>
    <x v="0"/>
    <n v="0"/>
  </r>
  <r>
    <x v="1"/>
    <d v="2024-01-09T00:00:00"/>
    <n v="0"/>
    <n v="0"/>
    <n v="0"/>
    <n v="39.487110345522403"/>
    <s v="OK"/>
    <s v="ZERO"/>
    <n v="0"/>
    <n v="0"/>
    <x v="0"/>
    <n v="0"/>
    <x v="0"/>
    <n v="0"/>
  </r>
  <r>
    <x v="1"/>
    <d v="2024-01-09T01:00:00"/>
    <n v="0"/>
    <n v="0"/>
    <n v="0"/>
    <n v="42.2965403210994"/>
    <s v="OK"/>
    <s v="ZERO"/>
    <n v="0"/>
    <n v="0"/>
    <x v="0"/>
    <n v="0"/>
    <x v="0"/>
    <n v="0"/>
  </r>
  <r>
    <x v="1"/>
    <d v="2024-01-09T02:00:00"/>
    <n v="0"/>
    <n v="0"/>
    <n v="0"/>
    <n v="81.954851341121397"/>
    <s v="OK"/>
    <s v="ZERO"/>
    <n v="0"/>
    <n v="0"/>
    <x v="0"/>
    <n v="0"/>
    <x v="0"/>
    <n v="0"/>
  </r>
  <r>
    <x v="1"/>
    <d v="2024-01-09T03:00:00"/>
    <n v="0"/>
    <n v="0"/>
    <n v="0"/>
    <n v="49.774412165560499"/>
    <s v="OK"/>
    <s v="ZERO"/>
    <n v="0"/>
    <n v="0"/>
    <x v="0"/>
    <n v="0"/>
    <x v="0"/>
    <n v="0"/>
  </r>
  <r>
    <x v="1"/>
    <d v="2024-01-09T04:00:00"/>
    <n v="0"/>
    <n v="0"/>
    <n v="0"/>
    <n v="40.298295648632397"/>
    <s v="OK"/>
    <s v="ZERO"/>
    <n v="0"/>
    <n v="0"/>
    <x v="0"/>
    <n v="0"/>
    <x v="0"/>
    <n v="0"/>
  </r>
  <r>
    <x v="1"/>
    <d v="2024-01-09T05:00:00"/>
    <n v="0"/>
    <n v="0"/>
    <n v="0"/>
    <n v="31.715113094794901"/>
    <s v="OK"/>
    <s v="ZERO"/>
    <n v="0"/>
    <n v="0"/>
    <x v="0"/>
    <n v="0"/>
    <x v="0"/>
    <n v="0"/>
  </r>
  <r>
    <x v="1"/>
    <d v="2024-01-09T06:00:00"/>
    <n v="0"/>
    <n v="0"/>
    <n v="0"/>
    <n v="41.7079641214616"/>
    <s v="OK"/>
    <s v="ZERO"/>
    <n v="0"/>
    <n v="0"/>
    <x v="0"/>
    <n v="0"/>
    <x v="0"/>
    <n v="0"/>
  </r>
  <r>
    <x v="1"/>
    <d v="2024-01-09T07:00:00"/>
    <n v="159.652061706393"/>
    <n v="156.14427796849401"/>
    <n v="156.14427796849401"/>
    <n v="50.839285690211803"/>
    <s v="OK"/>
    <s v="NON-ZERO"/>
    <n v="155.291427061512"/>
    <n v="1.0054919381135199"/>
    <x v="1"/>
    <n v="0.85285090698201316"/>
    <x v="0"/>
    <n v="0"/>
  </r>
  <r>
    <x v="1"/>
    <d v="2024-01-09T08:00:00"/>
    <n v="246.44248826244601"/>
    <n v="241.027794938634"/>
    <n v="241.027794938634"/>
    <n v="35.114628350473403"/>
    <s v="OK"/>
    <s v="NON-ZERO"/>
    <n v="300"/>
    <n v="0.80342598312878"/>
    <x v="0"/>
    <n v="-58.972205061365997"/>
    <x v="1"/>
    <n v="-2.9486102530682996"/>
  </r>
  <r>
    <x v="1"/>
    <d v="2024-01-09T09:00:00"/>
    <n v="379.75268182454801"/>
    <n v="371.40897321540001"/>
    <n v="371.40897321540001"/>
    <n v="81.745490951002196"/>
    <s v="OK"/>
    <s v="NON-ZERO"/>
    <n v="424.26406871192802"/>
    <n v="0.87541934518047482"/>
    <x v="1"/>
    <n v="-52.855095496528008"/>
    <x v="1"/>
    <n v="0"/>
  </r>
  <r>
    <x v="1"/>
    <d v="2024-01-09T10:00:00"/>
    <n v="547.08770419025495"/>
    <n v="535.06740622822497"/>
    <n v="535.06740622822497"/>
    <n v="23.010414431402399"/>
    <s v="OK"/>
    <s v="NON-ZERO"/>
    <n v="519.61524227066297"/>
    <n v="1.0297377034015356"/>
    <x v="1"/>
    <n v="15.452163957561993"/>
    <x v="0"/>
    <n v="0"/>
  </r>
  <r>
    <x v="1"/>
    <d v="2024-01-09T11:00:00"/>
    <n v="562.56287651187597"/>
    <n v="550.20256691936197"/>
    <n v="550.20256691936197"/>
    <n v="42.055059663258298"/>
    <s v="OK"/>
    <s v="NON-ZERO"/>
    <n v="579.55549577344095"/>
    <n v="0.94935268655350036"/>
    <x v="1"/>
    <n v="-29.352928854078982"/>
    <x v="1"/>
    <n v="0"/>
  </r>
  <r>
    <x v="1"/>
    <d v="2024-01-09T12:00:00"/>
    <n v="597.86480462436305"/>
    <n v="584.72886126911499"/>
    <n v="584.72886126911499"/>
    <n v="27.713194411810701"/>
    <s v="OK"/>
    <s v="NON-ZERO"/>
    <n v="600"/>
    <n v="0.97454810211519161"/>
    <x v="1"/>
    <n v="-15.271138730885014"/>
    <x v="1"/>
    <n v="0"/>
  </r>
  <r>
    <x v="1"/>
    <d v="2024-01-09T13:00:00"/>
    <n v="521.19584692831995"/>
    <n v="509.74443003726799"/>
    <n v="509.74443003726799"/>
    <n v="70.537917370250298"/>
    <s v="OK"/>
    <s v="NON-ZERO"/>
    <n v="579.55549577344095"/>
    <n v="0.8795437775238294"/>
    <x v="1"/>
    <n v="-69.811065736172964"/>
    <x v="1"/>
    <n v="0"/>
  </r>
  <r>
    <x v="1"/>
    <d v="2024-01-09T14:00:00"/>
    <n v="477.15363008157601"/>
    <n v="466.66988357563997"/>
    <n v="466.66988357563997"/>
    <n v="65.236259009221001"/>
    <s v="OK"/>
    <s v="NON-ZERO"/>
    <n v="519.61524227066297"/>
    <n v="0.89810660968362388"/>
    <x v="1"/>
    <n v="-52.945358695023003"/>
    <x v="1"/>
    <n v="0"/>
  </r>
  <r>
    <x v="1"/>
    <d v="2024-01-09T15:00:00"/>
    <n v="429.622797985082"/>
    <n v="420.18337172214802"/>
    <n v="420.18337172214802"/>
    <n v="52.179677697699901"/>
    <s v="OK"/>
    <s v="NON-ZERO"/>
    <n v="424.26406871192802"/>
    <n v="0.99038170495519673"/>
    <x v="1"/>
    <n v="-4.0806969897799945"/>
    <x v="1"/>
    <n v="0"/>
  </r>
  <r>
    <x v="1"/>
    <d v="2024-01-09T16:00:00"/>
    <n v="304.277321083993"/>
    <n v="297.59191390977901"/>
    <n v="297.59191390977901"/>
    <n v="37.499961698699401"/>
    <s v="OK"/>
    <s v="NON-ZERO"/>
    <n v="300"/>
    <n v="0.99197304636592998"/>
    <x v="1"/>
    <n v="-2.4080860902209906"/>
    <x v="1"/>
    <n v="0"/>
  </r>
  <r>
    <x v="1"/>
    <d v="2024-01-09T17:00:00"/>
    <n v="139.201650266109"/>
    <n v="136.14319126549699"/>
    <n v="136.14319126549699"/>
    <n v="36.403541667990403"/>
    <s v="OK"/>
    <s v="NON-ZERO"/>
    <n v="155.291427061512"/>
    <n v="0.87669483011170823"/>
    <x v="1"/>
    <n v="-19.148235796015001"/>
    <x v="1"/>
    <n v="0"/>
  </r>
  <r>
    <x v="1"/>
    <d v="2024-01-09T18:00:00"/>
    <n v="7.5323278277145394E-14"/>
    <n v="7.3668318311067699E-14"/>
    <n v="7.3668318311067699E-14"/>
    <n v="45.598898446253898"/>
    <s v="OK"/>
    <s v="NON-ZERO"/>
    <n v="7.3478807948841102E-14"/>
    <n v="1.0025791159045279"/>
    <x v="1"/>
    <n v="1.895103622265979E-16"/>
    <x v="0"/>
    <n v="0"/>
  </r>
  <r>
    <x v="1"/>
    <d v="2024-01-09T19:00:00"/>
    <n v="0"/>
    <n v="0"/>
    <n v="0"/>
    <n v="44.8978628551884"/>
    <s v="OK"/>
    <s v="ZERO"/>
    <n v="0"/>
    <n v="0"/>
    <x v="0"/>
    <n v="0"/>
    <x v="0"/>
    <n v="0"/>
  </r>
  <r>
    <x v="1"/>
    <d v="2024-01-09T20:00:00"/>
    <n v="0"/>
    <n v="0"/>
    <n v="0"/>
    <n v="22.0889180615805"/>
    <s v="OK"/>
    <s v="ZERO"/>
    <n v="0"/>
    <n v="0"/>
    <x v="0"/>
    <n v="0"/>
    <x v="0"/>
    <n v="0"/>
  </r>
  <r>
    <x v="1"/>
    <d v="2024-01-09T21:00:00"/>
    <n v="0"/>
    <n v="0"/>
    <n v="0"/>
    <n v="61.110890204601603"/>
    <s v="OK"/>
    <s v="ZERO"/>
    <n v="0"/>
    <n v="0"/>
    <x v="0"/>
    <n v="0"/>
    <x v="0"/>
    <n v="0"/>
  </r>
  <r>
    <x v="1"/>
    <d v="2024-01-09T22:00:00"/>
    <n v="0"/>
    <n v="0"/>
    <n v="0"/>
    <n v="23.781258020165598"/>
    <s v="OK"/>
    <s v="ZERO"/>
    <n v="0"/>
    <n v="0"/>
    <x v="0"/>
    <n v="0"/>
    <x v="0"/>
    <n v="0"/>
  </r>
  <r>
    <x v="1"/>
    <d v="2024-01-09T23:00:00"/>
    <n v="0"/>
    <n v="0"/>
    <n v="0"/>
    <n v="62.293967506671699"/>
    <s v="OK"/>
    <s v="ZERO"/>
    <n v="0"/>
    <n v="0"/>
    <x v="0"/>
    <n v="0"/>
    <x v="0"/>
    <n v="0"/>
  </r>
  <r>
    <x v="1"/>
    <d v="2024-01-10T00:00:00"/>
    <n v="0"/>
    <n v="0"/>
    <n v="0"/>
    <n v="45.571892857666803"/>
    <s v="OK"/>
    <s v="ZERO"/>
    <n v="0"/>
    <n v="0"/>
    <x v="0"/>
    <n v="0"/>
    <x v="0"/>
    <n v="0"/>
  </r>
  <r>
    <x v="1"/>
    <d v="2024-01-10T01:00:00"/>
    <n v="0"/>
    <n v="0"/>
    <n v="0"/>
    <n v="30.746109402698"/>
    <s v="OK"/>
    <s v="ZERO"/>
    <n v="0"/>
    <n v="0"/>
    <x v="0"/>
    <n v="0"/>
    <x v="0"/>
    <n v="0"/>
  </r>
  <r>
    <x v="1"/>
    <d v="2024-01-10T02:00:00"/>
    <n v="0"/>
    <n v="0"/>
    <n v="0"/>
    <n v="87.519808340155194"/>
    <s v="OK"/>
    <s v="ZERO"/>
    <n v="0"/>
    <n v="0"/>
    <x v="0"/>
    <n v="0"/>
    <x v="0"/>
    <n v="0"/>
  </r>
  <r>
    <x v="1"/>
    <d v="2024-01-10T03:00:00"/>
    <n v="0"/>
    <n v="0"/>
    <n v="0"/>
    <n v="70.972488679635703"/>
    <s v="OK"/>
    <s v="ZERO"/>
    <n v="0"/>
    <n v="0"/>
    <x v="0"/>
    <n v="0"/>
    <x v="0"/>
    <n v="0"/>
  </r>
  <r>
    <x v="1"/>
    <d v="2024-01-10T04:00:00"/>
    <n v="0"/>
    <n v="0"/>
    <n v="0"/>
    <n v="36.341853472005702"/>
    <s v="OK"/>
    <s v="ZERO"/>
    <n v="0"/>
    <n v="0"/>
    <x v="0"/>
    <n v="0"/>
    <x v="0"/>
    <n v="0"/>
  </r>
  <r>
    <x v="1"/>
    <d v="2024-01-10T05:00:00"/>
    <n v="0"/>
    <n v="0"/>
    <n v="0"/>
    <n v="64.509603702854207"/>
    <s v="OK"/>
    <s v="ZERO"/>
    <n v="0"/>
    <n v="0"/>
    <x v="0"/>
    <n v="0"/>
    <x v="0"/>
    <n v="0"/>
  </r>
  <r>
    <x v="1"/>
    <d v="2024-01-10T06:00:00"/>
    <n v="0"/>
    <n v="0"/>
    <n v="0"/>
    <n v="30.093220032807999"/>
    <s v="OK"/>
    <s v="ZERO"/>
    <n v="0"/>
    <n v="0"/>
    <x v="0"/>
    <n v="0"/>
    <x v="0"/>
    <n v="0"/>
  </r>
  <r>
    <x v="1"/>
    <d v="2024-01-10T07:00:00"/>
    <n v="133.98675178327301"/>
    <n v="131.04287154786701"/>
    <n v="131.04287154786701"/>
    <n v="88.879815656116804"/>
    <s v="OK"/>
    <s v="NON-ZERO"/>
    <n v="155.291427061512"/>
    <n v="0.8438512931944403"/>
    <x v="0"/>
    <n v="-24.248555513644988"/>
    <x v="1"/>
    <n v="-1.2124277756822495"/>
  </r>
  <r>
    <x v="1"/>
    <d v="2024-01-10T08:00:00"/>
    <n v="269.03602157179603"/>
    <n v="263.12491606340399"/>
    <n v="263.12491606340399"/>
    <n v="78.486566300755101"/>
    <s v="OK"/>
    <s v="NON-ZERO"/>
    <n v="300"/>
    <n v="0.87708305354467997"/>
    <x v="1"/>
    <n v="-36.875083936596013"/>
    <x v="1"/>
    <n v="0"/>
  </r>
  <r>
    <x v="1"/>
    <d v="2024-01-10T09:00:00"/>
    <n v="411.57829083215"/>
    <n v="493.89394899858002"/>
    <n v="493.89394899858002"/>
    <n v="73.410278441045307"/>
    <s v="ERROR"/>
    <s v="NON-ZERO"/>
    <n v="424.26406871192802"/>
    <n v="1.1641192017463307"/>
    <x v="1"/>
    <n v="69.629880286651996"/>
    <x v="0"/>
    <n v="0"/>
  </r>
  <r>
    <x v="1"/>
    <d v="2024-01-10T10:00:00"/>
    <n v="446.44007514217702"/>
    <n v="436.63114928934198"/>
    <n v="436.63114928934198"/>
    <n v="83.836305156948598"/>
    <s v="OK"/>
    <s v="NON-ZERO"/>
    <n v="519.61524227066297"/>
    <n v="0.84029703859592453"/>
    <x v="0"/>
    <n v="-82.984092981320998"/>
    <x v="1"/>
    <n v="-4.1492046490660499"/>
  </r>
  <r>
    <x v="1"/>
    <d v="2024-01-10T11:00:00"/>
    <n v="519.83234034668703"/>
    <n v="508.41088164197203"/>
    <n v="508.41088164197203"/>
    <n v="58.584599580491997"/>
    <s v="OK"/>
    <s v="NON-ZERO"/>
    <n v="579.55549577344095"/>
    <n v="0.87724279270870609"/>
    <x v="1"/>
    <n v="-71.144614131468927"/>
    <x v="1"/>
    <n v="0"/>
  </r>
  <r>
    <x v="1"/>
    <d v="2024-01-10T12:00:00"/>
    <n v="574.16381025556097"/>
    <n v="561.54861158553899"/>
    <n v="561.54861158553899"/>
    <n v="49.154476090740999"/>
    <s v="OK"/>
    <s v="NON-ZERO"/>
    <n v="600"/>
    <n v="0.93591435264256495"/>
    <x v="1"/>
    <n v="-38.451388414461007"/>
    <x v="1"/>
    <n v="0"/>
  </r>
  <r>
    <x v="1"/>
    <d v="2024-01-10T13:00:00"/>
    <n v="516.43040609185402"/>
    <n v="505.08369273980702"/>
    <n v="505.08369273980702"/>
    <n v="43.618883344167102"/>
    <s v="OK"/>
    <s v="NON-ZERO"/>
    <n v="579.55549577344095"/>
    <n v="0.87150186034514576"/>
    <x v="1"/>
    <n v="-74.471803033633933"/>
    <x v="1"/>
    <n v="0"/>
  </r>
  <r>
    <x v="1"/>
    <d v="2024-01-10T14:00:00"/>
    <n v="492.48828027085898"/>
    <n v="481.66760960631598"/>
    <n v="481.66760960631598"/>
    <n v="94.667667536801503"/>
    <s v="OK"/>
    <s v="NON-ZERO"/>
    <n v="519.61524227066297"/>
    <n v="0.92696974688710077"/>
    <x v="1"/>
    <n v="-37.947632664346997"/>
    <x v="1"/>
    <n v="0"/>
  </r>
  <r>
    <x v="1"/>
    <d v="2024-01-10T15:00:00"/>
    <n v="411.21028350166898"/>
    <n v="402.175406470285"/>
    <n v="402.175406470285"/>
    <n v="44.5205768252506"/>
    <s v="OK"/>
    <s v="NON-ZERO"/>
    <n v="424.26406871192802"/>
    <n v="0.94793652380531657"/>
    <x v="1"/>
    <n v="-22.088662241643021"/>
    <x v="1"/>
    <n v="0"/>
  </r>
  <r>
    <x v="1"/>
    <d v="2024-01-10T16:00:00"/>
    <n v="267.827975009667"/>
    <n v="261.94341200902602"/>
    <n v="261.94341200902602"/>
    <n v="43.642957598708797"/>
    <s v="OK"/>
    <s v="NON-ZERO"/>
    <n v="300"/>
    <n v="0.87314470669675337"/>
    <x v="1"/>
    <n v="-38.056587990973981"/>
    <x v="1"/>
    <n v="0"/>
  </r>
  <r>
    <x v="1"/>
    <d v="2024-01-10T17:00:00"/>
    <n v="129.77981099427399"/>
    <n v="126.928363254434"/>
    <n v="126.928363254434"/>
    <n v="29.6244396641573"/>
    <s v="OK"/>
    <s v="NON-ZERO"/>
    <n v="155.291427061512"/>
    <n v="0.81735589437372358"/>
    <x v="0"/>
    <n v="-28.363063807077992"/>
    <x v="1"/>
    <n v="-1.4181531903538995"/>
  </r>
  <r>
    <x v="1"/>
    <d v="2024-01-10T18:00:00"/>
    <n v="7.8713691758084397E-14"/>
    <n v="7.6984239567189405E-14"/>
    <n v="7.6984239567189405E-14"/>
    <n v="85.464456617424801"/>
    <s v="OK"/>
    <s v="NON-ZERO"/>
    <n v="7.3478807948841102E-14"/>
    <n v="1.0477067023295876"/>
    <x v="1"/>
    <n v="3.5054316183483031E-15"/>
    <x v="0"/>
    <n v="0"/>
  </r>
  <r>
    <x v="1"/>
    <d v="2024-01-10T19:00:00"/>
    <n v="0"/>
    <n v="0"/>
    <n v="0"/>
    <n v="66.437955152437695"/>
    <s v="OK"/>
    <s v="ZERO"/>
    <n v="0"/>
    <n v="0"/>
    <x v="0"/>
    <n v="0"/>
    <x v="0"/>
    <n v="0"/>
  </r>
  <r>
    <x v="1"/>
    <d v="2024-01-10T20:00:00"/>
    <n v="0"/>
    <n v="0"/>
    <n v="0"/>
    <n v="34.718428752962403"/>
    <s v="OK"/>
    <s v="ZERO"/>
    <n v="0"/>
    <n v="0"/>
    <x v="0"/>
    <n v="0"/>
    <x v="0"/>
    <n v="0"/>
  </r>
  <r>
    <x v="1"/>
    <d v="2024-01-10T21:00:00"/>
    <n v="0"/>
    <n v="0"/>
    <n v="0"/>
    <n v="28.103341953230501"/>
    <s v="OK"/>
    <s v="ZERO"/>
    <n v="0"/>
    <n v="0"/>
    <x v="0"/>
    <n v="0"/>
    <x v="0"/>
    <n v="0"/>
  </r>
  <r>
    <x v="1"/>
    <d v="2024-01-10T22:00:00"/>
    <n v="0"/>
    <n v="0"/>
    <n v="0"/>
    <n v="24.2770185502714"/>
    <s v="OK"/>
    <s v="ZERO"/>
    <n v="0"/>
    <n v="0"/>
    <x v="0"/>
    <n v="0"/>
    <x v="0"/>
    <n v="0"/>
  </r>
  <r>
    <x v="1"/>
    <d v="2024-01-10T23:00:00"/>
    <n v="0"/>
    <n v="0"/>
    <n v="0"/>
    <n v="60.825866572574"/>
    <s v="OK"/>
    <s v="ZERO"/>
    <n v="0"/>
    <n v="0"/>
    <x v="0"/>
    <n v="0"/>
    <x v="0"/>
    <n v="0"/>
  </r>
  <r>
    <x v="1"/>
    <d v="2024-01-11T00:00:00"/>
    <n v="0"/>
    <n v="0"/>
    <n v="0"/>
    <n v="57.359745766103103"/>
    <s v="OK"/>
    <s v="ZERO"/>
    <n v="0"/>
    <n v="0"/>
    <x v="0"/>
    <n v="0"/>
    <x v="0"/>
    <n v="0"/>
  </r>
  <r>
    <x v="1"/>
    <d v="2024-01-11T01:00:00"/>
    <n v="0"/>
    <n v="0"/>
    <n v="0"/>
    <n v="43.0828178969861"/>
    <s v="OK"/>
    <s v="ZERO"/>
    <n v="0"/>
    <n v="0"/>
    <x v="0"/>
    <n v="0"/>
    <x v="0"/>
    <n v="0"/>
  </r>
  <r>
    <x v="1"/>
    <d v="2024-01-11T02:00:00"/>
    <n v="0"/>
    <n v="0"/>
    <n v="0"/>
    <n v="74.766628831793696"/>
    <s v="OK"/>
    <s v="ZERO"/>
    <n v="0"/>
    <n v="0"/>
    <x v="0"/>
    <n v="0"/>
    <x v="0"/>
    <n v="0"/>
  </r>
  <r>
    <x v="1"/>
    <d v="2024-01-11T03:00:00"/>
    <n v="0"/>
    <n v="0"/>
    <n v="0"/>
    <n v="54.963619334566701"/>
    <s v="OK"/>
    <s v="ZERO"/>
    <n v="0"/>
    <n v="0"/>
    <x v="0"/>
    <n v="0"/>
    <x v="0"/>
    <n v="0"/>
  </r>
  <r>
    <x v="1"/>
    <d v="2024-01-11T04:00:00"/>
    <n v="0"/>
    <n v="0"/>
    <n v="0"/>
    <n v="88.3504392558973"/>
    <s v="OK"/>
    <s v="ZERO"/>
    <n v="0"/>
    <n v="0"/>
    <x v="0"/>
    <n v="0"/>
    <x v="0"/>
    <n v="0"/>
  </r>
  <r>
    <x v="1"/>
    <d v="2024-01-11T05:00:00"/>
    <n v="0"/>
    <n v="0"/>
    <n v="0"/>
    <n v="24.2661048333234"/>
    <s v="OK"/>
    <s v="ZERO"/>
    <n v="0"/>
    <n v="0"/>
    <x v="0"/>
    <n v="0"/>
    <x v="0"/>
    <n v="0"/>
  </r>
  <r>
    <x v="1"/>
    <d v="2024-01-11T06:00:00"/>
    <n v="0"/>
    <n v="0"/>
    <n v="0"/>
    <n v="49.695291964696203"/>
    <s v="OK"/>
    <s v="ZERO"/>
    <n v="0"/>
    <n v="0"/>
    <x v="0"/>
    <n v="0"/>
    <x v="0"/>
    <n v="0"/>
  </r>
  <r>
    <x v="1"/>
    <d v="2024-01-11T07:00:00"/>
    <n v="158.510458058517"/>
    <n v="155.027756982678"/>
    <n v="155.027756982678"/>
    <n v="50.920979587374902"/>
    <s v="OK"/>
    <s v="NON-ZERO"/>
    <n v="155.291427061512"/>
    <n v="0.99830209507489709"/>
    <x v="1"/>
    <n v="-0.26367007883399651"/>
    <x v="1"/>
    <n v="0"/>
  </r>
  <r>
    <x v="1"/>
    <d v="2024-01-11T08:00:00"/>
    <n v="289.57852693478299"/>
    <n v="283.21607325413697"/>
    <n v="283.21607325413697"/>
    <n v="24.652757272158599"/>
    <s v="OK"/>
    <s v="NON-ZERO"/>
    <n v="300"/>
    <n v="0.94405357751378993"/>
    <x v="1"/>
    <n v="-16.783926745863027"/>
    <x v="1"/>
    <n v="0"/>
  </r>
  <r>
    <x v="1"/>
    <d v="2024-01-11T09:00:00"/>
    <n v="373.98156525744099"/>
    <n v="365.764656318947"/>
    <n v="365.764656318947"/>
    <n v="32.144225497416002"/>
    <s v="OK"/>
    <s v="NON-ZERO"/>
    <n v="424.26406871192802"/>
    <n v="0.86211556267164902"/>
    <x v="1"/>
    <n v="-58.499412392981014"/>
    <x v="1"/>
    <n v="0"/>
  </r>
  <r>
    <x v="1"/>
    <d v="2024-01-11T10:00:00"/>
    <n v="418.525646831139"/>
    <n v="409.330040822944"/>
    <n v="409.330040822944"/>
    <n v="86.245520106966694"/>
    <s v="OK"/>
    <s v="NON-ZERO"/>
    <n v="519.61524227066297"/>
    <n v="0.78775603085509105"/>
    <x v="0"/>
    <n v="-110.28520144771898"/>
    <x v="1"/>
    <n v="-5.514260072385949"/>
  </r>
  <r>
    <x v="1"/>
    <d v="2024-01-11T11:00:00"/>
    <n v="522.74754552298702"/>
    <n v="511.262035598382"/>
    <n v="511.262035598382"/>
    <n v="69.476770469785507"/>
    <s v="OK"/>
    <s v="NON-ZERO"/>
    <n v="579.55549577344095"/>
    <n v="0.8821623456716281"/>
    <x v="1"/>
    <n v="-68.293460175058954"/>
    <x v="1"/>
    <n v="0"/>
  </r>
  <r>
    <x v="1"/>
    <d v="2024-01-11T12:00:00"/>
    <n v="653.69897026134095"/>
    <n v="639.336270570176"/>
    <n v="639.336270570176"/>
    <n v="90.537796465955196"/>
    <s v="OK"/>
    <s v="NON-ZERO"/>
    <n v="600"/>
    <n v="1.0655604509502934"/>
    <x v="1"/>
    <n v="39.336270570175998"/>
    <x v="0"/>
    <n v="0"/>
  </r>
  <r>
    <x v="1"/>
    <d v="2024-01-11T13:00:00"/>
    <n v="518.96256765733904"/>
    <n v="507.56021910042102"/>
    <n v="507.56021910042102"/>
    <n v="31.357423577747198"/>
    <s v="OK"/>
    <s v="NON-ZERO"/>
    <n v="579.55549577344095"/>
    <n v="0.87577500826398125"/>
    <x v="1"/>
    <n v="-71.99527667301993"/>
    <x v="1"/>
    <n v="0"/>
  </r>
  <r>
    <x v="1"/>
    <d v="2024-01-11T14:00:00"/>
    <n v="582.55145230349899"/>
    <n v="569.75196516228095"/>
    <n v="569.75196516228095"/>
    <n v="45.356330702469599"/>
    <s v="OK"/>
    <s v="NON-ZERO"/>
    <n v="519.61524227066297"/>
    <n v="1.0964881681925378"/>
    <x v="1"/>
    <n v="50.136722891617978"/>
    <x v="0"/>
    <n v="0"/>
  </r>
  <r>
    <x v="1"/>
    <d v="2024-01-11T15:00:00"/>
    <n v="386.945901505645"/>
    <n v="378.44414759003098"/>
    <n v="378.44414759003098"/>
    <n v="32.199561132911299"/>
    <s v="OK"/>
    <s v="NON-ZERO"/>
    <n v="424.26406871192802"/>
    <n v="0.89200141020424617"/>
    <x v="1"/>
    <n v="-45.819921121897039"/>
    <x v="1"/>
    <n v="0"/>
  </r>
  <r>
    <x v="1"/>
    <d v="2024-01-11T16:00:00"/>
    <n v="267.35177773968502"/>
    <n v="261.47767747295399"/>
    <n v="261.47767747295399"/>
    <n v="64.642229953955095"/>
    <s v="OK"/>
    <s v="NON-ZERO"/>
    <n v="300"/>
    <n v="0.87159225824317998"/>
    <x v="1"/>
    <n v="-38.522322527046015"/>
    <x v="1"/>
    <n v="0"/>
  </r>
  <r>
    <x v="1"/>
    <d v="2024-01-11T17:00:00"/>
    <n v="154.88004875896499"/>
    <n v="151.47711295873199"/>
    <n v="151.47711295873199"/>
    <n v="45.911064029258398"/>
    <s v="OK"/>
    <s v="NON-ZERO"/>
    <n v="155.291427061512"/>
    <n v="0.9754377033236411"/>
    <x v="1"/>
    <n v="-3.8143141027800027"/>
    <x v="1"/>
    <n v="0"/>
  </r>
  <r>
    <x v="1"/>
    <d v="2024-01-11T18:00:00"/>
    <n v="7.0755738572745206E-14"/>
    <n v="6.9201133975248898E-14"/>
    <n v="6.9201133975248898E-14"/>
    <n v="88.101390906624601"/>
    <s v="OK"/>
    <s v="NON-ZERO"/>
    <n v="7.3478807948841102E-14"/>
    <n v="0.94178356871860947"/>
    <x v="1"/>
    <n v="-4.2776739735922036E-15"/>
    <x v="1"/>
    <n v="0"/>
  </r>
  <r>
    <x v="1"/>
    <d v="2024-01-11T19:00:00"/>
    <n v="0"/>
    <n v="0"/>
    <n v="0"/>
    <n v="30.7602092763515"/>
    <s v="OK"/>
    <s v="ZERO"/>
    <n v="0"/>
    <n v="0"/>
    <x v="0"/>
    <n v="0"/>
    <x v="0"/>
    <n v="0"/>
  </r>
  <r>
    <x v="1"/>
    <d v="2024-01-11T20:00:00"/>
    <n v="0"/>
    <n v="0"/>
    <n v="0"/>
    <n v="90.467644176887404"/>
    <s v="OK"/>
    <s v="ZERO"/>
    <n v="0"/>
    <n v="0"/>
    <x v="0"/>
    <n v="0"/>
    <x v="0"/>
    <n v="0"/>
  </r>
  <r>
    <x v="1"/>
    <d v="2024-01-11T21:00:00"/>
    <n v="0"/>
    <n v="0"/>
    <n v="0"/>
    <n v="82.132900320424298"/>
    <s v="OK"/>
    <s v="ZERO"/>
    <n v="0"/>
    <n v="0"/>
    <x v="0"/>
    <n v="0"/>
    <x v="0"/>
    <n v="0"/>
  </r>
  <r>
    <x v="1"/>
    <d v="2024-01-11T22:00:00"/>
    <n v="0"/>
    <n v="0"/>
    <n v="0"/>
    <n v="78.760217003695004"/>
    <s v="OK"/>
    <s v="ZERO"/>
    <n v="0"/>
    <n v="0"/>
    <x v="0"/>
    <n v="0"/>
    <x v="0"/>
    <n v="0"/>
  </r>
  <r>
    <x v="1"/>
    <d v="2024-01-11T23:00:00"/>
    <n v="0"/>
    <n v="0"/>
    <n v="0"/>
    <n v="29.325938107315199"/>
    <s v="OK"/>
    <s v="ZERO"/>
    <n v="0"/>
    <n v="0"/>
    <x v="0"/>
    <n v="0"/>
    <x v="0"/>
    <n v="0"/>
  </r>
  <r>
    <x v="1"/>
    <d v="2024-01-12T00:00:00"/>
    <n v="0"/>
    <n v="0"/>
    <n v="0"/>
    <n v="58.721247439825497"/>
    <s v="OK"/>
    <s v="ZERO"/>
    <n v="0"/>
    <n v="0"/>
    <x v="0"/>
    <n v="0"/>
    <x v="0"/>
    <n v="0"/>
  </r>
  <r>
    <x v="1"/>
    <d v="2024-01-12T01:00:00"/>
    <n v="0"/>
    <n v="0"/>
    <n v="0"/>
    <n v="70.418801547064604"/>
    <s v="OK"/>
    <s v="ZERO"/>
    <n v="0"/>
    <n v="0"/>
    <x v="0"/>
    <n v="0"/>
    <x v="0"/>
    <n v="0"/>
  </r>
  <r>
    <x v="1"/>
    <d v="2024-01-12T02:00:00"/>
    <n v="0"/>
    <n v="0"/>
    <n v="0"/>
    <n v="93.6890954192029"/>
    <s v="OK"/>
    <s v="ZERO"/>
    <n v="0"/>
    <n v="0"/>
    <x v="0"/>
    <n v="0"/>
    <x v="0"/>
    <n v="0"/>
  </r>
  <r>
    <x v="1"/>
    <d v="2024-01-12T03:00:00"/>
    <n v="0"/>
    <n v="0"/>
    <n v="0"/>
    <n v="41.025106441355902"/>
    <s v="OK"/>
    <s v="ZERO"/>
    <n v="0"/>
    <n v="0"/>
    <x v="0"/>
    <n v="0"/>
    <x v="0"/>
    <n v="0"/>
  </r>
  <r>
    <x v="1"/>
    <d v="2024-01-12T04:00:00"/>
    <n v="0"/>
    <n v="0"/>
    <n v="0"/>
    <n v="24.092405621202399"/>
    <s v="OK"/>
    <s v="ZERO"/>
    <n v="0"/>
    <n v="0"/>
    <x v="0"/>
    <n v="0"/>
    <x v="0"/>
    <n v="0"/>
  </r>
  <r>
    <x v="1"/>
    <d v="2024-01-12T05:00:00"/>
    <n v="0"/>
    <n v="0"/>
    <n v="0"/>
    <n v="48.741152446043799"/>
    <s v="OK"/>
    <s v="ZERO"/>
    <n v="0"/>
    <n v="0"/>
    <x v="0"/>
    <n v="0"/>
    <x v="0"/>
    <n v="0"/>
  </r>
  <r>
    <x v="1"/>
    <d v="2024-01-12T06:00:00"/>
    <n v="0"/>
    <n v="0"/>
    <n v="0"/>
    <n v="81.975560821263997"/>
    <s v="OK"/>
    <s v="ZERO"/>
    <n v="0"/>
    <n v="0"/>
    <x v="0"/>
    <n v="0"/>
    <x v="0"/>
    <n v="0"/>
  </r>
  <r>
    <x v="1"/>
    <d v="2024-01-12T07:00:00"/>
    <n v="131.771083637581"/>
    <n v="128.87588479474201"/>
    <n v="128.87588479474201"/>
    <n v="79.983752333433699"/>
    <s v="OK"/>
    <s v="NON-ZERO"/>
    <n v="155.291427061512"/>
    <n v="0.82989697006064211"/>
    <x v="0"/>
    <n v="-26.41554226676999"/>
    <x v="1"/>
    <n v="-1.3207771133384996"/>
  </r>
  <r>
    <x v="1"/>
    <d v="2024-01-12T08:00:00"/>
    <n v="311.65262578562499"/>
    <n v="304.80517263707202"/>
    <n v="304.80517263707202"/>
    <n v="64.892224491332001"/>
    <s v="OK"/>
    <s v="NON-ZERO"/>
    <n v="300"/>
    <n v="1.0160172421235734"/>
    <x v="1"/>
    <n v="4.8051726370720189"/>
    <x v="0"/>
    <n v="0"/>
  </r>
  <r>
    <x v="1"/>
    <d v="2024-01-12T09:00:00"/>
    <n v="409.37515683467302"/>
    <n v="400.38060015625399"/>
    <n v="400.38060015625399"/>
    <n v="60.583536865913302"/>
    <s v="OK"/>
    <s v="NON-ZERO"/>
    <n v="424.26406871192802"/>
    <n v="0.94370612475342397"/>
    <x v="1"/>
    <n v="-23.883468555674028"/>
    <x v="1"/>
    <n v="0"/>
  </r>
  <r>
    <x v="1"/>
    <d v="2024-01-12T10:00:00"/>
    <n v="444.74745488991101"/>
    <n v="434.97571832064602"/>
    <n v="434.97571832064602"/>
    <n v="33.8628798460268"/>
    <s v="OK"/>
    <s v="NON-ZERO"/>
    <n v="519.61524227066297"/>
    <n v="0.83711116021125309"/>
    <x v="0"/>
    <n v="-84.639523950016951"/>
    <x v="1"/>
    <n v="-4.2319761975008481"/>
  </r>
  <r>
    <x v="1"/>
    <d v="2024-01-12T11:00:00"/>
    <n v="571.07825350438202"/>
    <n v="558.53084892156801"/>
    <n v="558.53084892156801"/>
    <n v="77.276920201273995"/>
    <s v="OK"/>
    <s v="NON-ZERO"/>
    <n v="579.55549577344095"/>
    <n v="0.96372280652120346"/>
    <x v="1"/>
    <n v="-21.024646851872944"/>
    <x v="1"/>
    <n v="0"/>
  </r>
  <r>
    <x v="1"/>
    <d v="2024-01-12T12:00:00"/>
    <n v="505.13615115936699"/>
    <n v="494.03758871348703"/>
    <n v="494.03758871348703"/>
    <n v="53.137527860146598"/>
    <s v="OK"/>
    <s v="NON-ZERO"/>
    <n v="600"/>
    <n v="0.82339598118914503"/>
    <x v="0"/>
    <n v="-105.96241128651297"/>
    <x v="1"/>
    <n v="-5.2981205643256493"/>
  </r>
  <r>
    <x v="1"/>
    <d v="2024-01-12T13:00:00"/>
    <n v="555.94388057195295"/>
    <n v="543.72899977046802"/>
    <n v="543.72899977046802"/>
    <n v="35.172046186865202"/>
    <s v="OK"/>
    <s v="NON-ZERO"/>
    <n v="579.55549577344095"/>
    <n v="0.93818280343427518"/>
    <x v="1"/>
    <n v="-35.826496002972931"/>
    <x v="1"/>
    <n v="0"/>
  </r>
  <r>
    <x v="1"/>
    <d v="2024-01-12T14:00:00"/>
    <n v="474.05717932434499"/>
    <n v="463.64146626248402"/>
    <n v="463.64146626248402"/>
    <n v="56.247071372474302"/>
    <s v="OK"/>
    <s v="NON-ZERO"/>
    <n v="519.61524227066297"/>
    <n v="0.89227841784706019"/>
    <x v="1"/>
    <n v="-55.973776008178959"/>
    <x v="1"/>
    <n v="0"/>
  </r>
  <r>
    <x v="1"/>
    <d v="2024-01-12T15:00:00"/>
    <n v="399.01618604533098"/>
    <n v="390.24923074510798"/>
    <n v="390.24923074510798"/>
    <n v="30.899501931537799"/>
    <s v="OK"/>
    <s v="NON-ZERO"/>
    <n v="424.26406871192802"/>
    <n v="0.91982625804233298"/>
    <x v="1"/>
    <n v="-34.014837966820039"/>
    <x v="1"/>
    <n v="0"/>
  </r>
  <r>
    <x v="1"/>
    <d v="2024-01-12T16:00:00"/>
    <n v="269.718880548019"/>
    <n v="263.79277165297202"/>
    <n v="263.79277165297202"/>
    <n v="62.451381866586502"/>
    <s v="OK"/>
    <s v="NON-ZERO"/>
    <n v="300"/>
    <n v="0.87930923884324008"/>
    <x v="1"/>
    <n v="-36.207228347027979"/>
    <x v="1"/>
    <n v="0"/>
  </r>
  <r>
    <x v="1"/>
    <d v="2024-01-12T17:00:00"/>
    <n v="147.62974615254001"/>
    <n v="144.38610985214299"/>
    <n v="144.38610985214299"/>
    <n v="91.984326530363703"/>
    <s v="OK"/>
    <s v="NON-ZERO"/>
    <n v="155.291427061512"/>
    <n v="0.92977514975730546"/>
    <x v="1"/>
    <n v="-10.905317209369002"/>
    <x v="1"/>
    <n v="0"/>
  </r>
  <r>
    <x v="1"/>
    <d v="2024-01-12T18:00:00"/>
    <n v="8.0625144986290105E-14"/>
    <n v="7.8853695438906301E-14"/>
    <n v="7.8853695438906301E-14"/>
    <n v="83.162403248778503"/>
    <s v="OK"/>
    <s v="NON-ZERO"/>
    <n v="7.3478807948841102E-14"/>
    <n v="1.073148811747292"/>
    <x v="1"/>
    <n v="5.3748874900651999E-15"/>
    <x v="0"/>
    <n v="0"/>
  </r>
  <r>
    <x v="1"/>
    <d v="2024-01-12T19:00:00"/>
    <n v="0"/>
    <n v="0"/>
    <n v="0"/>
    <n v="32.741530491429202"/>
    <s v="OK"/>
    <s v="ZERO"/>
    <n v="0"/>
    <n v="0"/>
    <x v="0"/>
    <n v="0"/>
    <x v="0"/>
    <n v="0"/>
  </r>
  <r>
    <x v="1"/>
    <d v="2024-01-12T20:00:00"/>
    <n v="0"/>
    <n v="0"/>
    <n v="0"/>
    <n v="71.3235686694008"/>
    <s v="OK"/>
    <s v="ZERO"/>
    <n v="0"/>
    <n v="0"/>
    <x v="0"/>
    <n v="0"/>
    <x v="0"/>
    <n v="0"/>
  </r>
  <r>
    <x v="1"/>
    <d v="2024-01-12T21:00:00"/>
    <n v="0"/>
    <n v="0"/>
    <n v="0"/>
    <n v="48.660460612442598"/>
    <s v="OK"/>
    <s v="ZERO"/>
    <n v="0"/>
    <n v="0"/>
    <x v="0"/>
    <n v="0"/>
    <x v="0"/>
    <n v="0"/>
  </r>
  <r>
    <x v="1"/>
    <d v="2024-01-12T22:00:00"/>
    <n v="0"/>
    <n v="0"/>
    <n v="0"/>
    <n v="68.136463760107603"/>
    <s v="OK"/>
    <s v="ZERO"/>
    <n v="0"/>
    <n v="0"/>
    <x v="0"/>
    <n v="0"/>
    <x v="0"/>
    <n v="0"/>
  </r>
  <r>
    <x v="1"/>
    <d v="2024-01-12T23:00:00"/>
    <n v="0"/>
    <n v="0"/>
    <n v="0"/>
    <n v="51.158225044406699"/>
    <s v="OK"/>
    <s v="ZERO"/>
    <n v="0"/>
    <n v="0"/>
    <x v="0"/>
    <n v="0"/>
    <x v="0"/>
    <n v="0"/>
  </r>
  <r>
    <x v="1"/>
    <d v="2024-01-13T00:00:00"/>
    <n v="0"/>
    <n v="0"/>
    <n v="0"/>
    <n v="49.486034712051101"/>
    <s v="OK"/>
    <s v="ZERO"/>
    <n v="0"/>
    <n v="0"/>
    <x v="0"/>
    <n v="0"/>
    <x v="0"/>
    <n v="0"/>
  </r>
  <r>
    <x v="1"/>
    <d v="2024-01-13T01:00:00"/>
    <n v="0"/>
    <n v="0"/>
    <n v="0"/>
    <n v="33.427372808118697"/>
    <s v="OK"/>
    <s v="ZERO"/>
    <n v="0"/>
    <n v="0"/>
    <x v="0"/>
    <n v="0"/>
    <x v="0"/>
    <n v="0"/>
  </r>
  <r>
    <x v="1"/>
    <d v="2024-01-13T02:00:00"/>
    <n v="0"/>
    <n v="0"/>
    <n v="0"/>
    <n v="89.182571274209295"/>
    <s v="OK"/>
    <s v="ZERO"/>
    <n v="0"/>
    <n v="0"/>
    <x v="0"/>
    <n v="0"/>
    <x v="0"/>
    <n v="0"/>
  </r>
  <r>
    <x v="1"/>
    <d v="2024-01-13T03:00:00"/>
    <n v="0"/>
    <n v="0"/>
    <n v="0"/>
    <n v="46.245339017803502"/>
    <s v="OK"/>
    <s v="ZERO"/>
    <n v="0"/>
    <n v="0"/>
    <x v="0"/>
    <n v="0"/>
    <x v="0"/>
    <n v="0"/>
  </r>
  <r>
    <x v="1"/>
    <d v="2024-01-13T04:00:00"/>
    <n v="0"/>
    <n v="0"/>
    <n v="0"/>
    <n v="49.949943514941602"/>
    <s v="OK"/>
    <s v="ZERO"/>
    <n v="0"/>
    <n v="0"/>
    <x v="0"/>
    <n v="0"/>
    <x v="0"/>
    <n v="0"/>
  </r>
  <r>
    <x v="1"/>
    <d v="2024-01-13T05:00:00"/>
    <n v="0"/>
    <n v="0"/>
    <n v="0"/>
    <n v="33.566892603417301"/>
    <s v="OK"/>
    <s v="ZERO"/>
    <n v="0"/>
    <n v="0"/>
    <x v="0"/>
    <n v="0"/>
    <x v="0"/>
    <n v="0"/>
  </r>
  <r>
    <x v="1"/>
    <d v="2024-01-13T06:00:00"/>
    <n v="0"/>
    <n v="0"/>
    <n v="0"/>
    <n v="63.376982233740499"/>
    <s v="OK"/>
    <s v="ZERO"/>
    <n v="0"/>
    <n v="0"/>
    <x v="0"/>
    <n v="0"/>
    <x v="0"/>
    <n v="0"/>
  </r>
  <r>
    <x v="1"/>
    <d v="2024-01-13T07:00:00"/>
    <n v="159.244078663062"/>
    <n v="155.74525889512"/>
    <n v="155.74525889512"/>
    <n v="84.981738765477502"/>
    <s v="OK"/>
    <s v="NON-ZERO"/>
    <n v="155.291427061512"/>
    <n v="1.002922452592494"/>
    <x v="1"/>
    <n v="0.45383183360800672"/>
    <x v="0"/>
    <n v="0"/>
  </r>
  <r>
    <x v="1"/>
    <d v="2024-01-13T08:00:00"/>
    <n v="288.35407230232403"/>
    <n v="282.01852163815897"/>
    <n v="282.01852163815897"/>
    <n v="61.144131129101602"/>
    <s v="OK"/>
    <s v="NON-ZERO"/>
    <n v="300"/>
    <n v="0.94006173879386323"/>
    <x v="1"/>
    <n v="-17.981478361841027"/>
    <x v="1"/>
    <n v="0"/>
  </r>
  <r>
    <x v="1"/>
    <d v="2024-01-13T09:00:00"/>
    <n v="392.174041787048"/>
    <n v="383.55741816500699"/>
    <n v="383.55741816500699"/>
    <n v="94.739473159896406"/>
    <s v="OK"/>
    <s v="NON-ZERO"/>
    <n v="424.26406871192802"/>
    <n v="0.90405350452960342"/>
    <x v="1"/>
    <n v="-40.706650546921026"/>
    <x v="1"/>
    <n v="0"/>
  </r>
  <r>
    <x v="1"/>
    <d v="2024-01-13T10:00:00"/>
    <n v="508.12729678257301"/>
    <n v="496.96301459676198"/>
    <n v="496.96301459676198"/>
    <n v="31.905257253073199"/>
    <s v="OK"/>
    <s v="NON-ZERO"/>
    <n v="519.61524227066297"/>
    <n v="0.9564057675157619"/>
    <x v="1"/>
    <n v="-22.652227673900995"/>
    <x v="1"/>
    <n v="0"/>
  </r>
  <r>
    <x v="1"/>
    <d v="2024-01-13T11:00:00"/>
    <n v="516.970560152041"/>
    <n v="505.61197884409"/>
    <n v="505.61197884409"/>
    <n v="88.028147031126593"/>
    <s v="OK"/>
    <s v="NON-ZERO"/>
    <n v="579.55549577344095"/>
    <n v="0.8724133970454887"/>
    <x v="1"/>
    <n v="-73.943516929350949"/>
    <x v="1"/>
    <n v="0"/>
  </r>
  <r>
    <x v="1"/>
    <d v="2024-01-13T12:00:00"/>
    <n v="627.46013623407998"/>
    <n v="613.673941188821"/>
    <n v="613.673941188821"/>
    <n v="46.835843700169399"/>
    <s v="OK"/>
    <s v="NON-ZERO"/>
    <n v="600"/>
    <n v="1.0227899019813684"/>
    <x v="1"/>
    <n v="13.673941188821004"/>
    <x v="0"/>
    <n v="0"/>
  </r>
  <r>
    <x v="1"/>
    <d v="2024-01-13T13:00:00"/>
    <n v="503.16320095083199"/>
    <n v="492.10798703789999"/>
    <n v="492.10798703789999"/>
    <n v="32.109337554817998"/>
    <s v="OK"/>
    <s v="NON-ZERO"/>
    <n v="579.55549577344095"/>
    <n v="0.84911279528315298"/>
    <x v="0"/>
    <n v="-87.447508735540964"/>
    <x v="1"/>
    <n v="-4.3723754367770482"/>
  </r>
  <r>
    <x v="1"/>
    <d v="2024-01-13T14:00:00"/>
    <n v="587.10988083674101"/>
    <n v="574.21023851238101"/>
    <n v="574.21023851238101"/>
    <n v="75.670354418921505"/>
    <s v="OK"/>
    <s v="NON-ZERO"/>
    <n v="519.61524227066297"/>
    <n v="1.1050681192552085"/>
    <x v="1"/>
    <n v="54.594996241718036"/>
    <x v="0"/>
    <n v="0"/>
  </r>
  <r>
    <x v="1"/>
    <d v="2024-01-13T15:00:00"/>
    <n v="362.71403667006598"/>
    <n v="354.74469142177901"/>
    <n v="354.74469142177901"/>
    <n v="78.515948640172496"/>
    <s v="OK"/>
    <s v="NON-ZERO"/>
    <n v="424.26406871192802"/>
    <n v="0.83614125631423164"/>
    <x v="0"/>
    <n v="-69.519377290149009"/>
    <x v="1"/>
    <n v="-3.47596886450745"/>
  </r>
  <r>
    <x v="1"/>
    <d v="2024-01-13T16:00:00"/>
    <n v="250.950722721434"/>
    <n v="245.436977049955"/>
    <n v="245.436977049955"/>
    <n v="79.718270709229003"/>
    <s v="OK"/>
    <s v="NON-ZERO"/>
    <n v="300"/>
    <n v="0.81812325683318332"/>
    <x v="0"/>
    <n v="-54.563022950044996"/>
    <x v="1"/>
    <n v="-2.72815114750225"/>
  </r>
  <r>
    <x v="1"/>
    <d v="2024-01-13T17:00:00"/>
    <n v="152.241883193315"/>
    <n v="148.89691165718301"/>
    <n v="148.89691165718301"/>
    <n v="56.613325648310997"/>
    <s v="OK"/>
    <s v="NON-ZERO"/>
    <n v="155.291427061512"/>
    <n v="0.95882248282903559"/>
    <x v="1"/>
    <n v="-6.3945154043289847"/>
    <x v="1"/>
    <n v="0"/>
  </r>
  <r>
    <x v="1"/>
    <d v="2024-01-13T18:00:00"/>
    <n v="6.7757017528131402E-14"/>
    <n v="6.6268299113389997E-14"/>
    <n v="6.6268299113389997E-14"/>
    <n v="58.528089141147802"/>
    <s v="OK"/>
    <s v="NON-ZERO"/>
    <n v="7.3478807948841102E-14"/>
    <n v="0.90186954529159824"/>
    <x v="1"/>
    <n v="-7.2105088354511045E-15"/>
    <x v="1"/>
    <n v="0"/>
  </r>
  <r>
    <x v="1"/>
    <d v="2024-01-13T19:00:00"/>
    <n v="0"/>
    <n v="0"/>
    <n v="0"/>
    <n v="57.217941642561001"/>
    <s v="OK"/>
    <s v="ZERO"/>
    <n v="0"/>
    <n v="0"/>
    <x v="0"/>
    <n v="0"/>
    <x v="0"/>
    <n v="0"/>
  </r>
  <r>
    <x v="1"/>
    <d v="2024-01-13T20:00:00"/>
    <n v="0"/>
    <n v="0"/>
    <n v="0"/>
    <n v="90.610567812954898"/>
    <s v="OK"/>
    <s v="ZERO"/>
    <n v="0"/>
    <n v="0"/>
    <x v="0"/>
    <n v="0"/>
    <x v="0"/>
    <n v="0"/>
  </r>
  <r>
    <x v="1"/>
    <d v="2024-01-13T21:00:00"/>
    <n v="0"/>
    <n v="0"/>
    <n v="0"/>
    <n v="26.856649386285302"/>
    <s v="OK"/>
    <s v="ZERO"/>
    <n v="0"/>
    <n v="0"/>
    <x v="0"/>
    <n v="0"/>
    <x v="0"/>
    <n v="0"/>
  </r>
  <r>
    <x v="1"/>
    <d v="2024-01-13T22:00:00"/>
    <n v="0"/>
    <n v="0"/>
    <n v="0"/>
    <n v="87.243099385175697"/>
    <s v="OK"/>
    <s v="ZERO"/>
    <n v="0"/>
    <n v="0"/>
    <x v="0"/>
    <n v="0"/>
    <x v="0"/>
    <n v="0"/>
  </r>
  <r>
    <x v="1"/>
    <d v="2024-01-13T23:00:00"/>
    <n v="0"/>
    <n v="0"/>
    <n v="0"/>
    <n v="84.624866352432505"/>
    <s v="OK"/>
    <s v="ZERO"/>
    <n v="0"/>
    <n v="0"/>
    <x v="0"/>
    <n v="0"/>
    <x v="0"/>
    <n v="0"/>
  </r>
  <r>
    <x v="1"/>
    <d v="2024-01-14T00:00:00"/>
    <n v="0"/>
    <n v="0"/>
    <n v="0"/>
    <n v="52.225502251636001"/>
    <s v="OK"/>
    <s v="ZERO"/>
    <n v="0"/>
    <n v="0"/>
    <x v="0"/>
    <n v="0"/>
    <x v="0"/>
    <n v="0"/>
  </r>
  <r>
    <x v="1"/>
    <d v="2024-01-14T01:00:00"/>
    <n v="0"/>
    <n v="0"/>
    <n v="0"/>
    <n v="62.909222279165398"/>
    <s v="OK"/>
    <s v="ZERO"/>
    <n v="0"/>
    <n v="0"/>
    <x v="0"/>
    <n v="0"/>
    <x v="0"/>
    <n v="0"/>
  </r>
  <r>
    <x v="1"/>
    <d v="2024-01-14T02:00:00"/>
    <n v="0"/>
    <n v="0"/>
    <n v="0"/>
    <n v="42.981158701327701"/>
    <s v="OK"/>
    <s v="ZERO"/>
    <n v="0"/>
    <n v="0"/>
    <x v="0"/>
    <n v="0"/>
    <x v="0"/>
    <n v="0"/>
  </r>
  <r>
    <x v="1"/>
    <d v="2024-01-14T03:00:00"/>
    <n v="0"/>
    <n v="0"/>
    <n v="0"/>
    <n v="51.987481043139503"/>
    <s v="OK"/>
    <s v="ZERO"/>
    <n v="0"/>
    <n v="0"/>
    <x v="0"/>
    <n v="0"/>
    <x v="0"/>
    <n v="0"/>
  </r>
  <r>
    <x v="1"/>
    <d v="2024-01-14T04:00:00"/>
    <n v="0"/>
    <n v="0"/>
    <n v="0"/>
    <n v="58.855812353025797"/>
    <s v="OK"/>
    <s v="ZERO"/>
    <n v="0"/>
    <n v="0"/>
    <x v="0"/>
    <n v="0"/>
    <x v="0"/>
    <n v="0"/>
  </r>
  <r>
    <x v="1"/>
    <d v="2024-01-14T05:00:00"/>
    <n v="0"/>
    <n v="0"/>
    <n v="0"/>
    <n v="50.023462712974499"/>
    <s v="OK"/>
    <s v="ZERO"/>
    <n v="0"/>
    <n v="0"/>
    <x v="0"/>
    <n v="0"/>
    <x v="0"/>
    <n v="0"/>
  </r>
  <r>
    <x v="1"/>
    <d v="2024-01-14T06:00:00"/>
    <n v="0"/>
    <n v="0"/>
    <n v="0"/>
    <n v="21.510338671196699"/>
    <s v="OK"/>
    <s v="ZERO"/>
    <n v="0"/>
    <n v="0"/>
    <x v="0"/>
    <n v="0"/>
    <x v="0"/>
    <n v="0"/>
  </r>
  <r>
    <x v="1"/>
    <d v="2024-01-14T07:00:00"/>
    <n v="160.38181806288901"/>
    <n v="156.85800053593201"/>
    <n v="156.85800053593201"/>
    <n v="54.388892164026103"/>
    <s v="OK"/>
    <s v="NON-ZERO"/>
    <n v="155.291427061512"/>
    <n v="1.0100879585181446"/>
    <x v="1"/>
    <n v="1.5665734744200108"/>
    <x v="0"/>
    <n v="0"/>
  </r>
  <r>
    <x v="1"/>
    <d v="2024-01-14T08:00:00"/>
    <n v="324.96914644227002"/>
    <n v="317.829110322313"/>
    <n v="317.829110322313"/>
    <n v="94.771206305875197"/>
    <s v="OK"/>
    <s v="NON-ZERO"/>
    <n v="300"/>
    <n v="1.0594303677410433"/>
    <x v="1"/>
    <n v="17.829110322312999"/>
    <x v="0"/>
    <n v="0"/>
  </r>
  <r>
    <x v="1"/>
    <d v="2024-01-14T09:00:00"/>
    <n v="425.44577792268899"/>
    <n v="416.09812675424001"/>
    <n v="416.09812675424001"/>
    <n v="85.981430172075704"/>
    <s v="OK"/>
    <s v="NON-ZERO"/>
    <n v="424.26406871192802"/>
    <n v="0.98075269022314349"/>
    <x v="1"/>
    <n v="-8.1659419576880055"/>
    <x v="1"/>
    <n v="0"/>
  </r>
  <r>
    <x v="1"/>
    <d v="2024-01-14T10:00:00"/>
    <n v="483.57238516487399"/>
    <n v="472.94760944542202"/>
    <n v="472.94760944542202"/>
    <n v="84.433381823518701"/>
    <s v="OK"/>
    <s v="NON-ZERO"/>
    <n v="519.61524227066297"/>
    <n v="0.91018809875301498"/>
    <x v="1"/>
    <n v="-46.667632825240958"/>
    <x v="1"/>
    <n v="0"/>
  </r>
  <r>
    <x v="1"/>
    <d v="2024-01-14T11:00:00"/>
    <n v="568.86988119985597"/>
    <n v="556.37099770956195"/>
    <n v="556.37099770956195"/>
    <n v="37.929978805627201"/>
    <s v="OK"/>
    <s v="NON-ZERO"/>
    <n v="579.55549577344095"/>
    <n v="0.95999606899950396"/>
    <x v="1"/>
    <n v="-23.184498063879005"/>
    <x v="1"/>
    <n v="0"/>
  </r>
  <r>
    <x v="1"/>
    <d v="2024-01-14T12:00:00"/>
    <n v="603.25544933774495"/>
    <n v="590.00106582168598"/>
    <n v="590.00106582168598"/>
    <n v="35.726770807264998"/>
    <s v="OK"/>
    <s v="NON-ZERO"/>
    <n v="600"/>
    <n v="0.98333510970281002"/>
    <x v="1"/>
    <n v="-9.9989341783140162"/>
    <x v="1"/>
    <n v="0"/>
  </r>
  <r>
    <x v="1"/>
    <d v="2024-01-14T13:00:00"/>
    <n v="582.45723778905995"/>
    <n v="569.65982067523896"/>
    <n v="569.65982067523896"/>
    <n v="90.090791053663594"/>
    <s v="OK"/>
    <s v="NON-ZERO"/>
    <n v="579.55549577344095"/>
    <n v="0.9829254054695904"/>
    <x v="1"/>
    <n v="-9.8956750982019912"/>
    <x v="1"/>
    <n v="0"/>
  </r>
  <r>
    <x v="1"/>
    <d v="2024-01-14T14:00:00"/>
    <n v="530.16673874537003"/>
    <n v="518.51821855296498"/>
    <n v="518.51821855296498"/>
    <n v="92.422923145010003"/>
    <s v="OK"/>
    <s v="NON-ZERO"/>
    <n v="519.61524227066297"/>
    <n v="0.99788877687093225"/>
    <x v="1"/>
    <n v="-1.0970237176979936"/>
    <x v="1"/>
    <n v="0"/>
  </r>
  <r>
    <x v="1"/>
    <d v="2024-01-14T15:00:00"/>
    <n v="382.24598293096"/>
    <n v="373.84749293671001"/>
    <n v="373.84749293671001"/>
    <n v="70.378164443304499"/>
    <s v="OK"/>
    <s v="NON-ZERO"/>
    <n v="424.26406871192802"/>
    <n v="0.88116699128379294"/>
    <x v="1"/>
    <n v="-50.416575775218007"/>
    <x v="1"/>
    <n v="0"/>
  </r>
  <r>
    <x v="1"/>
    <d v="2024-01-14T16:00:00"/>
    <n v="296.15302864797599"/>
    <n v="289.64612377798801"/>
    <n v="289.64612377798801"/>
    <n v="43.414230242684702"/>
    <s v="OK"/>
    <s v="NON-ZERO"/>
    <n v="300"/>
    <n v="0.96548707925996002"/>
    <x v="1"/>
    <n v="-10.353876222011991"/>
    <x v="1"/>
    <n v="0"/>
  </r>
  <r>
    <x v="1"/>
    <d v="2024-01-14T17:00:00"/>
    <n v="165.164061501878"/>
    <n v="161.53517125875001"/>
    <n v="161.53517125875001"/>
    <n v="75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695997E-14"/>
    <n v="6.57490137412644E-14"/>
    <n v="6.57490137412644E-14"/>
    <n v="78.754041499687801"/>
    <s v="OK"/>
    <s v="NON-ZERO"/>
    <n v="7.3478807948841102E-14"/>
    <n v="0.89480240053760129"/>
    <x v="1"/>
    <n v="-7.7297942075767011E-15"/>
    <x v="1"/>
    <n v="0"/>
  </r>
  <r>
    <x v="1"/>
    <d v="2024-01-14T19:00:00"/>
    <n v="0"/>
    <n v="0"/>
    <n v="0"/>
    <n v="76.345919328032494"/>
    <s v="OK"/>
    <s v="ZERO"/>
    <n v="0"/>
    <n v="0"/>
    <x v="0"/>
    <n v="0"/>
    <x v="0"/>
    <n v="0"/>
  </r>
  <r>
    <x v="1"/>
    <d v="2024-01-14T20:00:00"/>
    <n v="0"/>
    <n v="0"/>
    <n v="0"/>
    <n v="28.1760211730696"/>
    <s v="OK"/>
    <s v="ZERO"/>
    <n v="0"/>
    <n v="0"/>
    <x v="0"/>
    <n v="0"/>
    <x v="0"/>
    <n v="0"/>
  </r>
  <r>
    <x v="1"/>
    <d v="2024-01-14T21:00:00"/>
    <n v="0"/>
    <n v="0"/>
    <n v="0"/>
    <n v="80.661974261876296"/>
    <s v="OK"/>
    <s v="ZERO"/>
    <n v="0"/>
    <n v="0"/>
    <x v="0"/>
    <n v="0"/>
    <x v="0"/>
    <n v="0"/>
  </r>
  <r>
    <x v="1"/>
    <d v="2024-01-14T22:00:00"/>
    <n v="0"/>
    <n v="0"/>
    <n v="0"/>
    <n v="77.348821278865501"/>
    <s v="OK"/>
    <s v="ZERO"/>
    <n v="0"/>
    <n v="0"/>
    <x v="0"/>
    <n v="0"/>
    <x v="0"/>
    <n v="0"/>
  </r>
  <r>
    <x v="1"/>
    <d v="2024-01-14T23:00:00"/>
    <n v="0"/>
    <n v="0"/>
    <n v="0"/>
    <n v="90.876804843542601"/>
    <s v="OK"/>
    <s v="ZERO"/>
    <n v="0"/>
    <n v="0"/>
    <x v="0"/>
    <n v="0"/>
    <x v="0"/>
    <n v="0"/>
  </r>
  <r>
    <x v="1"/>
    <d v="2024-01-15T00:00:00"/>
    <n v="0"/>
    <n v="0"/>
    <n v="0"/>
    <n v="58.292780654637703"/>
    <s v="OK"/>
    <s v="ZERO"/>
    <n v="0"/>
    <n v="0"/>
    <x v="0"/>
    <n v="0"/>
    <x v="0"/>
    <n v="0"/>
  </r>
  <r>
    <x v="1"/>
    <d v="2024-01-15T01:00:00"/>
    <n v="0"/>
    <n v="0"/>
    <n v="0"/>
    <n v="80.179702291522403"/>
    <s v="OK"/>
    <s v="ZERO"/>
    <n v="0"/>
    <n v="0"/>
    <x v="0"/>
    <n v="0"/>
    <x v="0"/>
    <n v="0"/>
  </r>
  <r>
    <x v="1"/>
    <d v="2024-01-15T02:00:00"/>
    <n v="0"/>
    <n v="0"/>
    <n v="0"/>
    <n v="80.895967597841206"/>
    <s v="OK"/>
    <s v="ZERO"/>
    <n v="0"/>
    <n v="0"/>
    <x v="0"/>
    <n v="0"/>
    <x v="0"/>
    <n v="0"/>
  </r>
  <r>
    <x v="1"/>
    <d v="2024-01-15T03:00:00"/>
    <n v="0"/>
    <n v="0"/>
    <n v="0"/>
    <n v="84.387984091366505"/>
    <s v="OK"/>
    <s v="ZERO"/>
    <n v="0"/>
    <n v="0"/>
    <x v="0"/>
    <n v="0"/>
    <x v="0"/>
    <n v="0"/>
  </r>
  <r>
    <x v="1"/>
    <d v="2024-01-15T04:00:00"/>
    <n v="0"/>
    <n v="0"/>
    <n v="0"/>
    <n v="38.923605210136401"/>
    <s v="OK"/>
    <s v="ZERO"/>
    <n v="0"/>
    <n v="0"/>
    <x v="0"/>
    <n v="0"/>
    <x v="0"/>
    <n v="0"/>
  </r>
  <r>
    <x v="1"/>
    <d v="2024-01-15T05:00:00"/>
    <n v="0"/>
    <n v="0"/>
    <n v="0"/>
    <n v="24.022609364062301"/>
    <s v="OK"/>
    <s v="ZERO"/>
    <n v="0"/>
    <n v="0"/>
    <x v="0"/>
    <n v="0"/>
    <x v="0"/>
    <n v="0"/>
  </r>
  <r>
    <x v="1"/>
    <d v="2024-01-15T06:00:00"/>
    <n v="0"/>
    <n v="0"/>
    <n v="0"/>
    <n v="32.620894138078398"/>
    <s v="OK"/>
    <s v="ZERO"/>
    <n v="0"/>
    <n v="0"/>
    <x v="0"/>
    <n v="0"/>
    <x v="0"/>
    <n v="0"/>
  </r>
  <r>
    <x v="1"/>
    <d v="2024-01-15T07:00:00"/>
    <n v="167.16440933387801"/>
    <n v="163.49156859289701"/>
    <n v="163.49156859289701"/>
    <n v="34.189684429276603"/>
    <s v="OK"/>
    <s v="NON-ZERO"/>
    <n v="155.291427061512"/>
    <n v="1.0528048565626027"/>
    <x v="1"/>
    <n v="8.2001415313850146"/>
    <x v="0"/>
    <n v="0"/>
  </r>
  <r>
    <x v="1"/>
    <d v="2024-01-15T08:00:00"/>
    <n v="286.913118198728"/>
    <n v="280.60922735353302"/>
    <n v="280.60922735353302"/>
    <n v="82.153173786350393"/>
    <s v="OK"/>
    <s v="NON-ZERO"/>
    <n v="300"/>
    <n v="0.93536409117844344"/>
    <x v="1"/>
    <n v="-19.390772646466985"/>
    <x v="1"/>
    <n v="0"/>
  </r>
  <r>
    <x v="1"/>
    <d v="2024-01-15T09:00:00"/>
    <n v="456.70220777510701"/>
    <n v="446.66780821663201"/>
    <n v="446.66780821663201"/>
    <n v="27.905103304734599"/>
    <s v="OK"/>
    <s v="NON-ZERO"/>
    <n v="424.26406871192802"/>
    <n v="1.0528061204257104"/>
    <x v="1"/>
    <n v="22.403739504703992"/>
    <x v="0"/>
    <n v="0"/>
  </r>
  <r>
    <x v="1"/>
    <d v="2024-01-15T10:00:00"/>
    <n v="510.840793244748"/>
    <n v="499.61689166748602"/>
    <n v="499.61689166748602"/>
    <n v="85.945966711775498"/>
    <s v="OK"/>
    <s v="NON-ZERO"/>
    <n v="519.61524227066297"/>
    <n v="0.96151315631969092"/>
    <x v="1"/>
    <n v="-19.998350603176959"/>
    <x v="1"/>
    <n v="0"/>
  </r>
  <r>
    <x v="1"/>
    <d v="2024-01-15T11:00:00"/>
    <n v="588.604043816694"/>
    <n v="575.67157259838302"/>
    <n v="575.67157259838302"/>
    <n v="50.583352580462197"/>
    <s v="OK"/>
    <s v="NON-ZERO"/>
    <n v="579.55549577344095"/>
    <n v="0.99329844475053308"/>
    <x v="1"/>
    <n v="-3.8839231750579302"/>
    <x v="1"/>
    <n v="0"/>
  </r>
  <r>
    <x v="1"/>
    <d v="2024-01-15T12:00:00"/>
    <n v="573.05443435093798"/>
    <n v="560.46361025344402"/>
    <n v="560.46361025344402"/>
    <n v="38.659384155438197"/>
    <s v="OK"/>
    <s v="NON-ZERO"/>
    <n v="600"/>
    <n v="0.93410601708907337"/>
    <x v="1"/>
    <n v="-39.536389746555983"/>
    <x v="1"/>
    <n v="0"/>
  </r>
  <r>
    <x v="1"/>
    <d v="2024-01-15T13:00:00"/>
    <n v="558.17609255114496"/>
    <n v="545.91216686545101"/>
    <n v="545.91216686545101"/>
    <n v="78.162897253924896"/>
    <s v="OK"/>
    <s v="NON-ZERO"/>
    <n v="579.55549577344095"/>
    <n v="0.94194977158642679"/>
    <x v="1"/>
    <n v="-33.64332890798994"/>
    <x v="1"/>
    <n v="0"/>
  </r>
  <r>
    <x v="1"/>
    <d v="2024-01-15T14:00:00"/>
    <n v="456.43991474044498"/>
    <n v="446.41127813442898"/>
    <n v="446.41127813442898"/>
    <n v="93.183411391169898"/>
    <s v="OK"/>
    <s v="NON-ZERO"/>
    <n v="519.61524227066297"/>
    <n v="0.85911890533399193"/>
    <x v="1"/>
    <n v="-73.203964136233992"/>
    <x v="1"/>
    <n v="0"/>
  </r>
  <r>
    <x v="1"/>
    <d v="2024-01-15T15:00:00"/>
    <n v="394.05337142726302"/>
    <n v="385.395456249826"/>
    <n v="385.395456249826"/>
    <n v="45.806871338708099"/>
    <s v="OK"/>
    <s v="NON-ZERO"/>
    <n v="424.26406871192802"/>
    <n v="0.90838580184245221"/>
    <x v="1"/>
    <n v="-38.868612462102021"/>
    <x v="1"/>
    <n v="0"/>
  </r>
  <r>
    <x v="1"/>
    <d v="2024-01-15T16:00:00"/>
    <n v="227.83216744061301"/>
    <n v="222.82636943602299"/>
    <n v="222.82636943602299"/>
    <n v="58.081837864142599"/>
    <s v="OK"/>
    <s v="NON-ZERO"/>
    <n v="300"/>
    <n v="0.74275456478674329"/>
    <x v="0"/>
    <n v="-77.173630563977014"/>
    <x v="1"/>
    <n v="-3.8586815281988507"/>
  </r>
  <r>
    <x v="1"/>
    <d v="2024-01-15T17:00:00"/>
    <n v="157.77269926019599"/>
    <n v="154.30620779848701"/>
    <n v="154.30620779848701"/>
    <n v="38.747966815162201"/>
    <s v="OK"/>
    <s v="NON-ZERO"/>
    <n v="155.291427061512"/>
    <n v="0.99365567512857789"/>
    <x v="1"/>
    <n v="-0.98521926302498741"/>
    <x v="1"/>
    <n v="0"/>
  </r>
  <r>
    <x v="1"/>
    <d v="2024-01-15T18:00:00"/>
    <n v="7.09098312423674E-14"/>
    <n v="6.9351841008914702E-14"/>
    <n v="6.9351841008914702E-14"/>
    <n v="51.664417541050803"/>
    <s v="OK"/>
    <s v="NON-ZERO"/>
    <n v="7.3478807948841102E-14"/>
    <n v="0.9438345959177814"/>
    <x v="1"/>
    <n v="-4.1269669399263999E-15"/>
    <x v="1"/>
    <n v="0"/>
  </r>
  <r>
    <x v="1"/>
    <d v="2024-01-15T19:00:00"/>
    <n v="0"/>
    <n v="0"/>
    <n v="0"/>
    <n v="81.518998920866693"/>
    <s v="OK"/>
    <s v="ZERO"/>
    <n v="0"/>
    <n v="0"/>
    <x v="0"/>
    <n v="0"/>
    <x v="0"/>
    <n v="0"/>
  </r>
  <r>
    <x v="1"/>
    <d v="2024-01-15T20:00:00"/>
    <n v="0"/>
    <n v="0"/>
    <n v="0"/>
    <n v="76.408574952273099"/>
    <s v="OK"/>
    <s v="ZERO"/>
    <n v="0"/>
    <n v="0"/>
    <x v="0"/>
    <n v="0"/>
    <x v="0"/>
    <n v="0"/>
  </r>
  <r>
    <x v="1"/>
    <d v="2024-01-15T21:00:00"/>
    <n v="0"/>
    <n v="0"/>
    <n v="0"/>
    <n v="64.703758682071197"/>
    <s v="OK"/>
    <s v="ZERO"/>
    <n v="0"/>
    <n v="0"/>
    <x v="0"/>
    <n v="0"/>
    <x v="0"/>
    <n v="0"/>
  </r>
  <r>
    <x v="1"/>
    <d v="2024-01-15T22:00:00"/>
    <n v="0"/>
    <n v="0"/>
    <n v="0"/>
    <n v="24.104953019373902"/>
    <s v="OK"/>
    <s v="ZERO"/>
    <n v="0"/>
    <n v="0"/>
    <x v="0"/>
    <n v="0"/>
    <x v="0"/>
    <n v="0"/>
  </r>
  <r>
    <x v="1"/>
    <d v="2024-01-15T23:00:00"/>
    <n v="0"/>
    <n v="0"/>
    <n v="0"/>
    <n v="36.472619644592598"/>
    <s v="OK"/>
    <s v="ZERO"/>
    <n v="0"/>
    <n v="0"/>
    <x v="0"/>
    <n v="0"/>
    <x v="0"/>
    <n v="0"/>
  </r>
  <r>
    <x v="1"/>
    <d v="2024-01-16T00:00:00"/>
    <n v="0"/>
    <n v="0"/>
    <n v="0"/>
    <n v="25.070356210428699"/>
    <s v="OK"/>
    <s v="ZERO"/>
    <n v="0"/>
    <n v="0"/>
    <x v="0"/>
    <n v="0"/>
    <x v="0"/>
    <n v="0"/>
  </r>
  <r>
    <x v="1"/>
    <d v="2024-01-16T01:00:00"/>
    <n v="0"/>
    <n v="0"/>
    <n v="0"/>
    <n v="52.290186568477701"/>
    <s v="OK"/>
    <s v="ZERO"/>
    <n v="0"/>
    <n v="0"/>
    <x v="0"/>
    <n v="0"/>
    <x v="0"/>
    <n v="0"/>
  </r>
  <r>
    <x v="1"/>
    <d v="2024-01-16T02:00:00"/>
    <n v="0"/>
    <n v="0"/>
    <n v="0"/>
    <n v="66.599796811678004"/>
    <s v="OK"/>
    <s v="ZERO"/>
    <n v="0"/>
    <n v="0"/>
    <x v="0"/>
    <n v="0"/>
    <x v="0"/>
    <n v="0"/>
  </r>
  <r>
    <x v="1"/>
    <d v="2024-01-16T03:00:00"/>
    <n v="0"/>
    <n v="0"/>
    <n v="0"/>
    <n v="22.669267310485701"/>
    <s v="OK"/>
    <s v="ZERO"/>
    <n v="0"/>
    <n v="0"/>
    <x v="0"/>
    <n v="0"/>
    <x v="0"/>
    <n v="0"/>
  </r>
  <r>
    <x v="1"/>
    <d v="2024-01-16T04:00:00"/>
    <n v="0"/>
    <n v="0"/>
    <n v="0"/>
    <n v="53.313755515877403"/>
    <s v="OK"/>
    <s v="ZERO"/>
    <n v="0"/>
    <n v="0"/>
    <x v="0"/>
    <n v="0"/>
    <x v="0"/>
    <n v="0"/>
  </r>
  <r>
    <x v="1"/>
    <d v="2024-01-16T05:00:00"/>
    <n v="0"/>
    <n v="0"/>
    <n v="0"/>
    <n v="84.6084264515993"/>
    <s v="OK"/>
    <s v="ZERO"/>
    <n v="0"/>
    <n v="0"/>
    <x v="0"/>
    <n v="0"/>
    <x v="0"/>
    <n v="0"/>
  </r>
  <r>
    <x v="1"/>
    <d v="2024-01-16T06:00:00"/>
    <n v="0"/>
    <n v="0"/>
    <n v="0"/>
    <n v="94.017195904122303"/>
    <s v="OK"/>
    <s v="ZERO"/>
    <n v="0"/>
    <n v="0"/>
    <x v="0"/>
    <n v="0"/>
    <x v="0"/>
    <n v="0"/>
  </r>
  <r>
    <x v="1"/>
    <d v="2024-01-16T07:00:00"/>
    <n v="163.87826648952401"/>
    <n v="160.27762699860301"/>
    <n v="160.27762699860301"/>
    <n v="60.379623446521798"/>
    <s v="OK"/>
    <s v="NON-ZERO"/>
    <n v="155.291427061512"/>
    <n v="1.0321086619618476"/>
    <x v="1"/>
    <n v="4.9861999370910155"/>
    <x v="0"/>
    <n v="0"/>
  </r>
  <r>
    <x v="1"/>
    <d v="2024-01-16T08:00:00"/>
    <n v="291.05663412303699"/>
    <n v="284.661704317106"/>
    <n v="284.661704317106"/>
    <n v="50.261072677024899"/>
    <s v="OK"/>
    <s v="NON-ZERO"/>
    <n v="300"/>
    <n v="0.94887234772368667"/>
    <x v="1"/>
    <n v="-15.338295682894"/>
    <x v="1"/>
    <n v="0"/>
  </r>
  <r>
    <x v="1"/>
    <d v="2024-01-16T09:00:00"/>
    <n v="386.33976473587802"/>
    <n v="377.85132851050298"/>
    <n v="377.85132851050298"/>
    <n v="45.299795663432398"/>
    <s v="OK"/>
    <s v="NON-ZERO"/>
    <n v="424.26406871192802"/>
    <n v="0.89060412223374275"/>
    <x v="1"/>
    <n v="-46.412740201425038"/>
    <x v="1"/>
    <n v="0"/>
  </r>
  <r>
    <x v="1"/>
    <d v="2024-01-16T10:00:00"/>
    <n v="454.94118922041798"/>
    <n v="444.94548175387303"/>
    <n v="444.94548175387303"/>
    <n v="34.034320280787597"/>
    <s v="OK"/>
    <s v="NON-ZERO"/>
    <n v="519.61524227066297"/>
    <n v="0.85629797888435477"/>
    <x v="1"/>
    <n v="-74.66976051678995"/>
    <x v="1"/>
    <n v="0"/>
  </r>
  <r>
    <x v="1"/>
    <d v="2024-01-16T11:00:00"/>
    <n v="518.53449129611795"/>
    <n v="507.141548188039"/>
    <n v="507.141548188039"/>
    <n v="51.304608674686001"/>
    <s v="OK"/>
    <s v="NON-ZERO"/>
    <n v="579.55549577344095"/>
    <n v="0.87505260822561515"/>
    <x v="1"/>
    <n v="-72.413947585401957"/>
    <x v="1"/>
    <n v="0"/>
  </r>
  <r>
    <x v="1"/>
    <d v="2024-01-16T12:00:00"/>
    <n v="608.64048132022594"/>
    <n v="595.26778096306703"/>
    <n v="595.26778096306703"/>
    <n v="44.761696273670303"/>
    <s v="OK"/>
    <s v="NON-ZERO"/>
    <n v="600"/>
    <n v="0.99211296827177842"/>
    <x v="1"/>
    <n v="-4.7322190369329746"/>
    <x v="1"/>
    <n v="0"/>
  </r>
  <r>
    <x v="1"/>
    <d v="2024-01-16T13:00:00"/>
    <n v="538.35175529754997"/>
    <n v="526.52339860538802"/>
    <n v="526.52339860538802"/>
    <n v="24.517020867522302"/>
    <s v="OK"/>
    <s v="NON-ZERO"/>
    <n v="579.55549577344095"/>
    <n v="0.90849522167453634"/>
    <x v="1"/>
    <n v="-53.032097168052928"/>
    <x v="1"/>
    <n v="0"/>
  </r>
  <r>
    <x v="1"/>
    <d v="2024-01-16T14:00:00"/>
    <n v="455.21259110777203"/>
    <n v="445.21092055426902"/>
    <n v="445.21092055426902"/>
    <n v="78.7371073192772"/>
    <s v="OK"/>
    <s v="NON-ZERO"/>
    <n v="519.61524227066297"/>
    <n v="0.8568088160938947"/>
    <x v="1"/>
    <n v="-74.404321716393952"/>
    <x v="1"/>
    <n v="0"/>
  </r>
  <r>
    <x v="1"/>
    <d v="2024-01-16T15:00:00"/>
    <n v="371.61490859718401"/>
    <n v="363.44999848449498"/>
    <n v="363.44999848449498"/>
    <n v="29.2884520029363"/>
    <s v="OK"/>
    <s v="NON-ZERO"/>
    <n v="424.26406871192802"/>
    <n v="0.85665986183542375"/>
    <x v="1"/>
    <n v="-60.814070227433035"/>
    <x v="1"/>
    <n v="0"/>
  </r>
  <r>
    <x v="1"/>
    <d v="2024-01-16T16:00:00"/>
    <n v="295.18502712198699"/>
    <n v="288.699390627583"/>
    <n v="288.699390627583"/>
    <n v="91.658614357855001"/>
    <s v="OK"/>
    <s v="NON-ZERO"/>
    <n v="300"/>
    <n v="0.96233130209194329"/>
    <x v="1"/>
    <n v="-11.300609372417"/>
    <x v="1"/>
    <n v="0"/>
  </r>
  <r>
    <x v="1"/>
    <d v="2024-01-16T17:00:00"/>
    <n v="142.44144150162299"/>
    <n v="139.31179966197499"/>
    <n v="139.31179966197499"/>
    <n v="32.660750433842303"/>
    <s v="OK"/>
    <s v="NON-ZERO"/>
    <n v="155.291427061512"/>
    <n v="0.89709910133540494"/>
    <x v="1"/>
    <n v="-15.979627399537009"/>
    <x v="1"/>
    <n v="0"/>
  </r>
  <r>
    <x v="1"/>
    <d v="2024-01-16T18:00:00"/>
    <n v="7.7879501557668506E-14"/>
    <n v="7.6168377716486401E-14"/>
    <n v="7.6168377716486401E-14"/>
    <n v="81.471865216073297"/>
    <s v="OK"/>
    <s v="NON-ZERO"/>
    <n v="7.3478807948841102E-14"/>
    <n v="1.0366033396937779"/>
    <x v="1"/>
    <n v="2.6895697676453E-15"/>
    <x v="0"/>
    <n v="0"/>
  </r>
  <r>
    <x v="1"/>
    <d v="2024-01-16T19:00:00"/>
    <n v="0"/>
    <n v="0"/>
    <n v="0"/>
    <n v="41.313822178379603"/>
    <s v="OK"/>
    <s v="ZERO"/>
    <n v="0"/>
    <n v="0"/>
    <x v="0"/>
    <n v="0"/>
    <x v="0"/>
    <n v="0"/>
  </r>
  <r>
    <x v="1"/>
    <d v="2024-01-16T20:00:00"/>
    <n v="0"/>
    <n v="0"/>
    <n v="0"/>
    <n v="31.9909822524831"/>
    <s v="OK"/>
    <s v="ZERO"/>
    <n v="0"/>
    <n v="0"/>
    <x v="0"/>
    <n v="0"/>
    <x v="0"/>
    <n v="0"/>
  </r>
  <r>
    <x v="1"/>
    <d v="2024-01-16T21:00:00"/>
    <n v="0"/>
    <n v="0"/>
    <n v="0"/>
    <n v="43.273136157841002"/>
    <s v="OK"/>
    <s v="ZERO"/>
    <n v="0"/>
    <n v="0"/>
    <x v="0"/>
    <n v="0"/>
    <x v="0"/>
    <n v="0"/>
  </r>
  <r>
    <x v="1"/>
    <d v="2024-01-16T22:00:00"/>
    <n v="0"/>
    <n v="0"/>
    <n v="0"/>
    <n v="31.682994543512699"/>
    <s v="OK"/>
    <s v="ZERO"/>
    <n v="0"/>
    <n v="0"/>
    <x v="0"/>
    <n v="0"/>
    <x v="0"/>
    <n v="0"/>
  </r>
  <r>
    <x v="1"/>
    <d v="2024-01-16T23:00:00"/>
    <n v="0"/>
    <n v="0"/>
    <n v="0"/>
    <n v="48.302238259748798"/>
    <s v="OK"/>
    <s v="ZERO"/>
    <n v="0"/>
    <n v="0"/>
    <x v="0"/>
    <n v="0"/>
    <x v="0"/>
    <n v="0"/>
  </r>
  <r>
    <x v="1"/>
    <d v="2024-01-17T00:00:00"/>
    <n v="0"/>
    <n v="0"/>
    <n v="0"/>
    <n v="91.522445587226699"/>
    <s v="OK"/>
    <s v="ZERO"/>
    <n v="0"/>
    <n v="0"/>
    <x v="0"/>
    <n v="0"/>
    <x v="0"/>
    <n v="0"/>
  </r>
  <r>
    <x v="1"/>
    <d v="2024-01-17T01:00:00"/>
    <n v="0"/>
    <n v="0"/>
    <n v="0"/>
    <n v="33.432120449613599"/>
    <s v="OK"/>
    <s v="ZERO"/>
    <n v="0"/>
    <n v="0"/>
    <x v="0"/>
    <n v="0"/>
    <x v="0"/>
    <n v="0"/>
  </r>
  <r>
    <x v="1"/>
    <d v="2024-01-17T02:00:00"/>
    <n v="0"/>
    <n v="0"/>
    <n v="0"/>
    <n v="28.151190453101901"/>
    <s v="OK"/>
    <s v="ZERO"/>
    <n v="0"/>
    <n v="0"/>
    <x v="0"/>
    <n v="0"/>
    <x v="0"/>
    <n v="0"/>
  </r>
  <r>
    <x v="1"/>
    <d v="2024-01-17T03:00:00"/>
    <n v="0"/>
    <n v="0"/>
    <n v="0"/>
    <n v="78.142590417429204"/>
    <s v="OK"/>
    <s v="ZERO"/>
    <n v="0"/>
    <n v="0"/>
    <x v="0"/>
    <n v="0"/>
    <x v="0"/>
    <n v="0"/>
  </r>
  <r>
    <x v="1"/>
    <d v="2024-01-17T04:00:00"/>
    <n v="0"/>
    <n v="0"/>
    <n v="0"/>
    <n v="90.354810467609795"/>
    <s v="OK"/>
    <s v="ZERO"/>
    <n v="0"/>
    <n v="0"/>
    <x v="0"/>
    <n v="0"/>
    <x v="0"/>
    <n v="0"/>
  </r>
  <r>
    <x v="1"/>
    <d v="2024-01-17T05:00:00"/>
    <n v="0"/>
    <n v="0"/>
    <n v="0"/>
    <n v="66.907508762494501"/>
    <s v="OK"/>
    <s v="ZERO"/>
    <n v="0"/>
    <n v="0"/>
    <x v="0"/>
    <n v="0"/>
    <x v="0"/>
    <n v="0"/>
  </r>
  <r>
    <x v="1"/>
    <d v="2024-01-17T06:00:00"/>
    <n v="0"/>
    <n v="0"/>
    <n v="0"/>
    <n v="31.138008623276001"/>
    <s v="OK"/>
    <s v="ZERO"/>
    <n v="0"/>
    <n v="0"/>
    <x v="0"/>
    <n v="0"/>
    <x v="0"/>
    <n v="0"/>
  </r>
  <r>
    <x v="1"/>
    <d v="2024-01-17T07:00:00"/>
    <n v="135.48263696532001"/>
    <n v="132.50588999672399"/>
    <n v="132.50588999672399"/>
    <n v="48.659262084497897"/>
    <s v="OK"/>
    <s v="NON-ZERO"/>
    <n v="155.291427061512"/>
    <n v="0.85327240855502928"/>
    <x v="1"/>
    <n v="-22.785537064788002"/>
    <x v="1"/>
    <n v="0"/>
  </r>
  <r>
    <x v="1"/>
    <d v="2024-01-17T08:00:00"/>
    <n v="279.15949616346398"/>
    <n v="273.02596346456698"/>
    <n v="273.02596346456698"/>
    <n v="68.209630287973098"/>
    <s v="OK"/>
    <s v="NON-ZERO"/>
    <n v="300"/>
    <n v="0.91008654488189"/>
    <x v="1"/>
    <n v="-26.974036535433015"/>
    <x v="1"/>
    <n v="0"/>
  </r>
  <r>
    <x v="1"/>
    <d v="2024-01-17T09:00:00"/>
    <n v="393.036888488084"/>
    <n v="384.40130689209701"/>
    <n v="384.40130689209701"/>
    <n v="47.1876488398634"/>
    <s v="OK"/>
    <s v="NON-ZERO"/>
    <n v="424.26406871192802"/>
    <n v="0.9060425693345775"/>
    <x v="1"/>
    <n v="-39.862761819831007"/>
    <x v="1"/>
    <n v="0"/>
  </r>
  <r>
    <x v="1"/>
    <d v="2024-01-17T10:00:00"/>
    <n v="475.90663228332801"/>
    <n v="465.45028409941301"/>
    <n v="465.45028409941301"/>
    <n v="33.511898579946397"/>
    <s v="OK"/>
    <s v="NON-ZERO"/>
    <n v="519.61524227066297"/>
    <n v="0.89575948939728001"/>
    <x v="1"/>
    <n v="-54.164958171249964"/>
    <x v="1"/>
    <n v="0"/>
  </r>
  <r>
    <x v="1"/>
    <d v="2024-01-17T11:00:00"/>
    <n v="572.22722498148505"/>
    <n v="559.65457585488105"/>
    <n v="559.65457585488105"/>
    <n v="45.719724706939601"/>
    <s v="OK"/>
    <s v="NON-ZERO"/>
    <n v="579.55549577344095"/>
    <n v="0.9656617527334439"/>
    <x v="1"/>
    <n v="-19.900919918559907"/>
    <x v="1"/>
    <n v="0"/>
  </r>
  <r>
    <x v="1"/>
    <d v="2024-01-17T12:00:00"/>
    <n v="523.38198084447697"/>
    <n v="511.882531470049"/>
    <n v="511.882531470049"/>
    <n v="38.060286205487998"/>
    <s v="OK"/>
    <s v="NON-ZERO"/>
    <n v="600"/>
    <n v="0.85313755245008172"/>
    <x v="1"/>
    <n v="-88.117468529950997"/>
    <x v="1"/>
    <n v="0"/>
  </r>
  <r>
    <x v="1"/>
    <d v="2024-01-17T13:00:00"/>
    <n v="597.11272177094997"/>
    <n v="583.99330274977297"/>
    <n v="583.99330274977297"/>
    <n v="31.0372438321209"/>
    <s v="OK"/>
    <s v="NON-ZERO"/>
    <n v="579.55549577344095"/>
    <n v="1.0076572597597571"/>
    <x v="1"/>
    <n v="4.4378069763320127"/>
    <x v="0"/>
    <n v="0"/>
  </r>
  <r>
    <x v="1"/>
    <d v="2024-01-17T14:00:00"/>
    <n v="474.13225403899202"/>
    <n v="463.71489147846199"/>
    <n v="463.71489147846199"/>
    <n v="56.289516414823296"/>
    <s v="OK"/>
    <s v="NON-ZERO"/>
    <n v="519.61524227066297"/>
    <n v="0.8924197247410941"/>
    <x v="1"/>
    <n v="-55.900350792200982"/>
    <x v="1"/>
    <n v="0"/>
  </r>
  <r>
    <x v="1"/>
    <d v="2024-01-17T15:00:00"/>
    <n v="395.209343812518"/>
    <n v="386.52603027134398"/>
    <n v="386.52603027134398"/>
    <n v="89.454466986369894"/>
    <s v="OK"/>
    <s v="NON-ZERO"/>
    <n v="424.26406871192802"/>
    <n v="0.91105059036661462"/>
    <x v="1"/>
    <n v="-37.738038440584035"/>
    <x v="1"/>
    <n v="0"/>
  </r>
  <r>
    <x v="1"/>
    <d v="2024-01-17T16:00:00"/>
    <n v="298.91724235690401"/>
    <n v="292.34960376514198"/>
    <n v="292.34960376514198"/>
    <n v="61.549494162734803"/>
    <s v="OK"/>
    <s v="NON-ZERO"/>
    <n v="300"/>
    <n v="0.97449867921713995"/>
    <x v="1"/>
    <n v="-7.6503962348580217"/>
    <x v="1"/>
    <n v="0"/>
  </r>
  <r>
    <x v="1"/>
    <d v="2024-01-17T17:00:00"/>
    <n v="138.752921322768"/>
    <n v="135.704321537711"/>
    <n v="135.704321537711"/>
    <n v="32.467202153874403"/>
    <s v="OK"/>
    <s v="NON-ZERO"/>
    <n v="155.291427061512"/>
    <n v="0.87386872608207522"/>
    <x v="1"/>
    <n v="-19.587105523801"/>
    <x v="1"/>
    <n v="0"/>
  </r>
  <r>
    <x v="1"/>
    <d v="2024-01-17T18:00:00"/>
    <n v="6.8538317120268103E-14"/>
    <n v="6.7032432437992005E-14"/>
    <n v="6.7032432437992005E-14"/>
    <n v="45.411761181710503"/>
    <s v="OK"/>
    <s v="NON-ZERO"/>
    <n v="7.3478807948841102E-14"/>
    <n v="0.91226891547645517"/>
    <x v="1"/>
    <n v="-6.4463755108490964E-15"/>
    <x v="1"/>
    <n v="0"/>
  </r>
  <r>
    <x v="1"/>
    <d v="2024-01-17T19:00:00"/>
    <n v="0"/>
    <n v="0"/>
    <n v="0"/>
    <n v="64.807193193006498"/>
    <s v="OK"/>
    <s v="ZERO"/>
    <n v="0"/>
    <n v="0"/>
    <x v="0"/>
    <n v="0"/>
    <x v="0"/>
    <n v="0"/>
  </r>
  <r>
    <x v="1"/>
    <d v="2024-01-17T20:00:00"/>
    <n v="0"/>
    <n v="0"/>
    <n v="0"/>
    <n v="88.940602329029304"/>
    <s v="OK"/>
    <s v="ZERO"/>
    <n v="0"/>
    <n v="0"/>
    <x v="0"/>
    <n v="0"/>
    <x v="0"/>
    <n v="0"/>
  </r>
  <r>
    <x v="1"/>
    <d v="2024-01-17T21:00:00"/>
    <n v="0"/>
    <n v="0"/>
    <n v="0"/>
    <n v="92.116304910317396"/>
    <s v="OK"/>
    <s v="ZERO"/>
    <n v="0"/>
    <n v="0"/>
    <x v="0"/>
    <n v="0"/>
    <x v="0"/>
    <n v="0"/>
  </r>
  <r>
    <x v="1"/>
    <d v="2024-01-17T22:00:00"/>
    <n v="0"/>
    <n v="0"/>
    <n v="0"/>
    <n v="62.671661246138797"/>
    <s v="OK"/>
    <s v="ZERO"/>
    <n v="0"/>
    <n v="0"/>
    <x v="0"/>
    <n v="0"/>
    <x v="0"/>
    <n v="0"/>
  </r>
  <r>
    <x v="1"/>
    <d v="2024-01-17T23:00:00"/>
    <n v="0"/>
    <n v="0"/>
    <n v="0"/>
    <n v="45.638678143794301"/>
    <s v="OK"/>
    <s v="ZERO"/>
    <n v="0"/>
    <n v="0"/>
    <x v="0"/>
    <n v="0"/>
    <x v="0"/>
    <n v="0"/>
  </r>
  <r>
    <x v="1"/>
    <d v="2024-01-18T00:00:00"/>
    <n v="0"/>
    <n v="0"/>
    <n v="0"/>
    <n v="90.574424193082706"/>
    <s v="OK"/>
    <s v="ZERO"/>
    <n v="0"/>
    <n v="0"/>
    <x v="0"/>
    <n v="0"/>
    <x v="0"/>
    <n v="0"/>
  </r>
  <r>
    <x v="1"/>
    <d v="2024-01-18T01:00:00"/>
    <n v="0"/>
    <n v="0"/>
    <n v="0"/>
    <n v="80.382298403085102"/>
    <s v="OK"/>
    <s v="ZERO"/>
    <n v="0"/>
    <n v="0"/>
    <x v="0"/>
    <n v="0"/>
    <x v="0"/>
    <n v="0"/>
  </r>
  <r>
    <x v="1"/>
    <d v="2024-01-18T02:00:00"/>
    <n v="0"/>
    <n v="0"/>
    <n v="0"/>
    <n v="70.531717233806702"/>
    <s v="OK"/>
    <s v="ZERO"/>
    <n v="0"/>
    <n v="0"/>
    <x v="0"/>
    <n v="0"/>
    <x v="0"/>
    <n v="0"/>
  </r>
  <r>
    <x v="1"/>
    <d v="2024-01-18T03:00:00"/>
    <n v="0"/>
    <n v="0"/>
    <n v="0"/>
    <n v="46.773682210149701"/>
    <s v="OK"/>
    <s v="ZERO"/>
    <n v="0"/>
    <n v="0"/>
    <x v="0"/>
    <n v="0"/>
    <x v="0"/>
    <n v="0"/>
  </r>
  <r>
    <x v="1"/>
    <d v="2024-01-18T04:00:00"/>
    <n v="0"/>
    <n v="0"/>
    <n v="0"/>
    <n v="35.304829140994997"/>
    <s v="OK"/>
    <s v="ZERO"/>
    <n v="0"/>
    <n v="0"/>
    <x v="0"/>
    <n v="0"/>
    <x v="0"/>
    <n v="0"/>
  </r>
  <r>
    <x v="1"/>
    <d v="2024-01-18T05:00:00"/>
    <n v="0"/>
    <n v="0"/>
    <n v="0"/>
    <n v="56.195092674614003"/>
    <s v="OK"/>
    <s v="ZERO"/>
    <n v="0"/>
    <n v="0"/>
    <x v="0"/>
    <n v="0"/>
    <x v="0"/>
    <n v="0"/>
  </r>
  <r>
    <x v="1"/>
    <d v="2024-01-18T06:00:00"/>
    <n v="0"/>
    <n v="0"/>
    <n v="0"/>
    <n v="73.045918392925003"/>
    <s v="OK"/>
    <s v="ZERO"/>
    <n v="0"/>
    <n v="0"/>
    <x v="0"/>
    <n v="0"/>
    <x v="0"/>
    <n v="0"/>
  </r>
  <r>
    <x v="1"/>
    <d v="2024-01-18T07:00:00"/>
    <n v="119.389731823304"/>
    <n v="116.76656895722"/>
    <n v="116.76656895722"/>
    <n v="29.2587399357766"/>
    <s v="OK"/>
    <s v="NON-ZERO"/>
    <n v="155.291427061512"/>
    <n v="0.75191896401961689"/>
    <x v="0"/>
    <n v="-38.524858104291994"/>
    <x v="1"/>
    <n v="-1.9262429052145997"/>
  </r>
  <r>
    <x v="1"/>
    <d v="2024-01-18T08:00:00"/>
    <n v="300.80632862100703"/>
    <n v="294.197184106892"/>
    <n v="294.197184106892"/>
    <n v="31.485837506296701"/>
    <s v="OK"/>
    <s v="NON-ZERO"/>
    <n v="300"/>
    <n v="0.98065728035630662"/>
    <x v="1"/>
    <n v="-5.8028158931080043"/>
    <x v="1"/>
    <n v="0"/>
  </r>
  <r>
    <x v="1"/>
    <d v="2024-01-18T09:00:00"/>
    <n v="367.784942080598"/>
    <n v="359.70418180048898"/>
    <n v="359.70418180048898"/>
    <n v="74.8437942010531"/>
    <s v="OK"/>
    <s v="NON-ZERO"/>
    <n v="424.26406871192802"/>
    <n v="0.84783088724094924"/>
    <x v="0"/>
    <n v="-64.559886911439037"/>
    <x v="1"/>
    <n v="-3.2279943455719518"/>
  </r>
  <r>
    <x v="1"/>
    <d v="2024-01-18T10:00:00"/>
    <n v="425.96428048224499"/>
    <n v="416.60523707227298"/>
    <n v="416.60523707227298"/>
    <n v="87.304798874118902"/>
    <s v="OK"/>
    <s v="NON-ZERO"/>
    <n v="519.61524227066297"/>
    <n v="0.80175715256494917"/>
    <x v="0"/>
    <n v="-103.01000519838999"/>
    <x v="1"/>
    <n v="-5.1505002599194993"/>
  </r>
  <r>
    <x v="1"/>
    <d v="2024-01-18T11:00:00"/>
    <n v="585.63912054721095"/>
    <n v="572.77179292628102"/>
    <n v="572.77179292628102"/>
    <n v="81.180903546959001"/>
    <s v="OK"/>
    <s v="NON-ZERO"/>
    <n v="579.55549577344095"/>
    <n v="0.98829499004559207"/>
    <x v="1"/>
    <n v="-6.7837028471599297"/>
    <x v="1"/>
    <n v="0"/>
  </r>
  <r>
    <x v="1"/>
    <d v="2024-01-18T12:00:00"/>
    <n v="500.885110210243"/>
    <n v="489.87994920341202"/>
    <n v="489.87994920341202"/>
    <n v="45.500328954491899"/>
    <s v="OK"/>
    <s v="NON-ZERO"/>
    <n v="600"/>
    <n v="0.81646658200568667"/>
    <x v="0"/>
    <n v="-110.12005079658798"/>
    <x v="1"/>
    <n v="-5.5060025398293986"/>
  </r>
  <r>
    <x v="1"/>
    <d v="2024-01-18T13:00:00"/>
    <n v="611.65601029207005"/>
    <n v="598.21705445799705"/>
    <n v="598.21705445799705"/>
    <n v="78.259882790647296"/>
    <s v="OK"/>
    <s v="NON-ZERO"/>
    <n v="579.55549577344095"/>
    <n v="1.0321997786590764"/>
    <x v="1"/>
    <n v="18.661558684556098"/>
    <x v="0"/>
    <n v="0"/>
  </r>
  <r>
    <x v="1"/>
    <d v="2024-01-18T14:00:00"/>
    <n v="481.66977491467901"/>
    <n v="471.086802258864"/>
    <n v="471.086802258864"/>
    <n v="72.9953096745663"/>
    <s v="OK"/>
    <s v="NON-ZERO"/>
    <n v="519.61524227066297"/>
    <n v="0.9066069736527842"/>
    <x v="1"/>
    <n v="-48.528440011798978"/>
    <x v="1"/>
    <n v="0"/>
  </r>
  <r>
    <x v="1"/>
    <d v="2024-01-18T15:00:00"/>
    <n v="413.72160749314298"/>
    <n v="404.63155308813998"/>
    <n v="404.63155308813998"/>
    <n v="34.736522521715798"/>
    <s v="OK"/>
    <s v="NON-ZERO"/>
    <n v="424.26406871192802"/>
    <n v="0.95372571690222874"/>
    <x v="1"/>
    <n v="-19.632515623788038"/>
    <x v="1"/>
    <n v="0"/>
  </r>
  <r>
    <x v="1"/>
    <d v="2024-01-18T16:00:00"/>
    <n v="298.23312430498498"/>
    <n v="291.68051676356902"/>
    <n v="291.68051676356902"/>
    <n v="52.654724254981303"/>
    <s v="OK"/>
    <s v="NON-ZERO"/>
    <n v="300"/>
    <n v="0.97226838921189673"/>
    <x v="1"/>
    <n v="-8.3194832364309832"/>
    <x v="1"/>
    <n v="0"/>
  </r>
  <r>
    <x v="1"/>
    <d v="2024-01-18T17:00:00"/>
    <n v="127.12617261678101"/>
    <n v="124.333029100811"/>
    <n v="124.333029100811"/>
    <n v="89.762390214691195"/>
    <s v="OK"/>
    <s v="NON-ZERO"/>
    <n v="155.291427061512"/>
    <n v="0.80064322579482661"/>
    <x v="0"/>
    <n v="-30.958397960700992"/>
    <x v="1"/>
    <n v="-1.5479198980350495"/>
  </r>
  <r>
    <x v="1"/>
    <d v="2024-01-18T18:00:00"/>
    <n v="6.11151157604115E-14"/>
    <n v="5.9772329410439695E-14"/>
    <n v="5.9772329410439695E-14"/>
    <n v="29.097724850414998"/>
    <s v="OK"/>
    <s v="NON-ZERO"/>
    <n v="7.3478807948841102E-14"/>
    <n v="0.81346351524994243"/>
    <x v="0"/>
    <n v="-1.3706478538401407E-14"/>
    <x v="1"/>
    <n v="-6.8532392692007033E-16"/>
  </r>
  <r>
    <x v="1"/>
    <d v="2024-01-18T19:00:00"/>
    <n v="0"/>
    <n v="0"/>
    <n v="0"/>
    <n v="62.331244083481003"/>
    <s v="OK"/>
    <s v="ZERO"/>
    <n v="0"/>
    <n v="0"/>
    <x v="0"/>
    <n v="0"/>
    <x v="0"/>
    <n v="0"/>
  </r>
  <r>
    <x v="1"/>
    <d v="2024-01-18T20:00:00"/>
    <n v="0"/>
    <n v="0"/>
    <n v="0"/>
    <n v="92.736414847533794"/>
    <s v="OK"/>
    <s v="ZERO"/>
    <n v="0"/>
    <n v="0"/>
    <x v="0"/>
    <n v="0"/>
    <x v="0"/>
    <n v="0"/>
  </r>
  <r>
    <x v="1"/>
    <d v="2024-01-18T21:00:00"/>
    <n v="0"/>
    <n v="0"/>
    <n v="0"/>
    <n v="77.165904373563194"/>
    <s v="OK"/>
    <s v="ZERO"/>
    <n v="0"/>
    <n v="0"/>
    <x v="0"/>
    <n v="0"/>
    <x v="0"/>
    <n v="0"/>
  </r>
  <r>
    <x v="1"/>
    <d v="2024-01-18T22:00:00"/>
    <n v="0"/>
    <n v="0"/>
    <n v="0"/>
    <n v="65.185187784294897"/>
    <s v="OK"/>
    <s v="ZERO"/>
    <n v="0"/>
    <n v="0"/>
    <x v="0"/>
    <n v="0"/>
    <x v="0"/>
    <n v="0"/>
  </r>
  <r>
    <x v="1"/>
    <d v="2024-01-18T23:00:00"/>
    <n v="0"/>
    <n v="0"/>
    <n v="0"/>
    <n v="45.083189533857798"/>
    <s v="OK"/>
    <s v="ZERO"/>
    <n v="0"/>
    <n v="0"/>
    <x v="0"/>
    <n v="0"/>
    <x v="0"/>
    <n v="0"/>
  </r>
  <r>
    <x v="1"/>
    <d v="2024-01-19T00:00:00"/>
    <n v="0"/>
    <n v="0"/>
    <n v="0"/>
    <n v="26.372471741709901"/>
    <s v="OK"/>
    <s v="ZERO"/>
    <n v="0"/>
    <n v="0"/>
    <x v="0"/>
    <n v="0"/>
    <x v="0"/>
    <n v="0"/>
  </r>
  <r>
    <x v="1"/>
    <d v="2024-01-19T01:00:00"/>
    <n v="0"/>
    <n v="0"/>
    <n v="0"/>
    <n v="52.828761870015597"/>
    <s v="OK"/>
    <s v="ZERO"/>
    <n v="0"/>
    <n v="0"/>
    <x v="0"/>
    <n v="0"/>
    <x v="0"/>
    <n v="0"/>
  </r>
  <r>
    <x v="1"/>
    <d v="2024-01-19T02:00:00"/>
    <n v="0"/>
    <n v="0"/>
    <n v="0"/>
    <n v="89.198385470267894"/>
    <s v="OK"/>
    <s v="ZERO"/>
    <n v="0"/>
    <n v="0"/>
    <x v="0"/>
    <n v="0"/>
    <x v="0"/>
    <n v="0"/>
  </r>
  <r>
    <x v="1"/>
    <d v="2024-01-19T03:00:00"/>
    <n v="0"/>
    <n v="0"/>
    <n v="0"/>
    <n v="75.2849310467479"/>
    <s v="OK"/>
    <s v="ZERO"/>
    <n v="0"/>
    <n v="0"/>
    <x v="0"/>
    <n v="0"/>
    <x v="0"/>
    <n v="0"/>
  </r>
  <r>
    <x v="1"/>
    <d v="2024-01-19T04:00:00"/>
    <n v="0"/>
    <n v="0"/>
    <n v="0"/>
    <n v="20.9002270454511"/>
    <s v="OK"/>
    <s v="ZERO"/>
    <n v="0"/>
    <n v="0"/>
    <x v="0"/>
    <n v="0"/>
    <x v="0"/>
    <n v="0"/>
  </r>
  <r>
    <x v="1"/>
    <d v="2024-01-19T05:00:00"/>
    <n v="0"/>
    <n v="0"/>
    <n v="0"/>
    <n v="56.376349064303"/>
    <s v="OK"/>
    <s v="ZERO"/>
    <n v="0"/>
    <n v="0"/>
    <x v="0"/>
    <n v="0"/>
    <x v="0"/>
    <n v="0"/>
  </r>
  <r>
    <x v="1"/>
    <d v="2024-01-19T06:00:00"/>
    <n v="0"/>
    <n v="0"/>
    <n v="0"/>
    <n v="52.186211896874099"/>
    <s v="OK"/>
    <s v="ZERO"/>
    <n v="0"/>
    <n v="0"/>
    <x v="0"/>
    <n v="0"/>
    <x v="0"/>
    <n v="0"/>
  </r>
  <r>
    <x v="1"/>
    <d v="2024-01-19T07:00:00"/>
    <n v="151.62599756439801"/>
    <n v="148.29455791486001"/>
    <n v="148.29455791486001"/>
    <n v="82.810438971408004"/>
    <s v="OK"/>
    <s v="NON-ZERO"/>
    <n v="155.291427061512"/>
    <n v="0.95494362258722443"/>
    <x v="1"/>
    <n v="-6.9968691466519886"/>
    <x v="1"/>
    <n v="0"/>
  </r>
  <r>
    <x v="1"/>
    <d v="2024-01-19T08:00:00"/>
    <n v="269.98367236661397"/>
    <n v="264.05174561725801"/>
    <n v="264.05174561725801"/>
    <n v="24.645988893424001"/>
    <s v="OK"/>
    <s v="NON-ZERO"/>
    <n v="300"/>
    <n v="0.88017248539086002"/>
    <x v="1"/>
    <n v="-35.948254382741993"/>
    <x v="1"/>
    <n v="0"/>
  </r>
  <r>
    <x v="1"/>
    <d v="2024-01-19T09:00:00"/>
    <n v="384.93773673467302"/>
    <n v="376.48010506622097"/>
    <n v="376.48010506622097"/>
    <n v="22.734578811921299"/>
    <s v="OK"/>
    <s v="NON-ZERO"/>
    <n v="424.26406871192802"/>
    <n v="0.88737211758049683"/>
    <x v="1"/>
    <n v="-47.783963645707047"/>
    <x v="1"/>
    <n v="0"/>
  </r>
  <r>
    <x v="1"/>
    <d v="2024-01-19T10:00:00"/>
    <n v="536.46539327832795"/>
    <n v="524.67848265296902"/>
    <n v="524.67848265296902"/>
    <n v="22.994189942281299"/>
    <s v="OK"/>
    <s v="NON-ZERO"/>
    <n v="519.61524227066297"/>
    <n v="1.0097442106589873"/>
    <x v="1"/>
    <n v="5.0632403823060486"/>
    <x v="0"/>
    <n v="0"/>
  </r>
  <r>
    <x v="1"/>
    <d v="2024-01-19T11:00:00"/>
    <n v="541.95364313533605"/>
    <n v="530.04614782480496"/>
    <n v="530.04614782480496"/>
    <n v="62.818029031410802"/>
    <s v="OK"/>
    <s v="NON-ZERO"/>
    <n v="579.55549577344095"/>
    <n v="0.91457358560190394"/>
    <x v="1"/>
    <n v="-49.509347948635991"/>
    <x v="1"/>
    <n v="0"/>
  </r>
  <r>
    <x v="1"/>
    <d v="2024-01-19T12:00:00"/>
    <n v="518.11821921981596"/>
    <n v="506.73442220358299"/>
    <n v="506.73442220358299"/>
    <n v="27.4621001654723"/>
    <s v="OK"/>
    <s v="NON-ZERO"/>
    <n v="600"/>
    <n v="0.844557370339305"/>
    <x v="0"/>
    <n v="-93.265577796417006"/>
    <x v="1"/>
    <n v="-4.6632788898208499"/>
  </r>
  <r>
    <x v="1"/>
    <d v="2024-01-19T13:00:00"/>
    <n v="505.053215656796"/>
    <n v="493.95647542231802"/>
    <n v="493.95647542231802"/>
    <n v="92.755584250002997"/>
    <s v="OK"/>
    <s v="NON-ZERO"/>
    <n v="579.55549577344095"/>
    <n v="0.85230228860674084"/>
    <x v="1"/>
    <n v="-85.599020351122931"/>
    <x v="1"/>
    <n v="0"/>
  </r>
  <r>
    <x v="1"/>
    <d v="2024-01-19T14:00:00"/>
    <n v="503.83830176429598"/>
    <n v="492.76825492262202"/>
    <n v="492.76825492262202"/>
    <n v="67.307781512946505"/>
    <s v="OK"/>
    <s v="NON-ZERO"/>
    <n v="519.61524227066297"/>
    <n v="0.94833294875892693"/>
    <x v="1"/>
    <n v="-26.846987348040955"/>
    <x v="1"/>
    <n v="0"/>
  </r>
  <r>
    <x v="1"/>
    <d v="2024-01-19T15:00:00"/>
    <n v="433.22730329433602"/>
    <n v="423.708680903448"/>
    <n v="423.708680903448"/>
    <n v="76.833242028136794"/>
    <s v="OK"/>
    <s v="NON-ZERO"/>
    <n v="424.26406871192802"/>
    <n v="0.99869093838145151"/>
    <x v="1"/>
    <n v="-0.55538780848002034"/>
    <x v="1"/>
    <n v="0"/>
  </r>
  <r>
    <x v="1"/>
    <d v="2024-01-19T16:00:00"/>
    <n v="264.76474766486899"/>
    <n v="258.94748814249698"/>
    <n v="258.94748814249698"/>
    <n v="56.422572381000499"/>
    <s v="OK"/>
    <s v="NON-ZERO"/>
    <n v="300"/>
    <n v="0.86315829380832332"/>
    <x v="1"/>
    <n v="-41.052511857503021"/>
    <x v="1"/>
    <n v="0"/>
  </r>
  <r>
    <x v="1"/>
    <d v="2024-01-19T17:00:00"/>
    <n v="134.97300068504401"/>
    <n v="132.00745115315601"/>
    <n v="132.00745115315601"/>
    <n v="60.980530565909902"/>
    <s v="OK"/>
    <s v="NON-ZERO"/>
    <n v="155.291427061512"/>
    <n v="0.85006270887617619"/>
    <x v="1"/>
    <n v="-23.283975908355984"/>
    <x v="1"/>
    <n v="0"/>
  </r>
  <r>
    <x v="1"/>
    <d v="2024-01-19T18:00:00"/>
    <n v="6.5842390151330102E-14"/>
    <n v="6.4395738833653998E-14"/>
    <n v="6.4395738833653998E-14"/>
    <n v="58.6056645317584"/>
    <s v="OK"/>
    <s v="NON-ZERO"/>
    <n v="7.3478807948841102E-14"/>
    <n v="0.87638518684855227"/>
    <x v="1"/>
    <n v="-9.0830691151871033E-15"/>
    <x v="1"/>
    <n v="0"/>
  </r>
  <r>
    <x v="1"/>
    <d v="2024-01-19T19:00:00"/>
    <n v="0"/>
    <n v="0"/>
    <n v="0"/>
    <n v="92.276389151528605"/>
    <s v="OK"/>
    <s v="ZERO"/>
    <n v="0"/>
    <n v="0"/>
    <x v="0"/>
    <n v="0"/>
    <x v="0"/>
    <n v="0"/>
  </r>
  <r>
    <x v="1"/>
    <d v="2024-01-19T20:00:00"/>
    <n v="0"/>
    <n v="0"/>
    <n v="0"/>
    <n v="89.942503152946998"/>
    <s v="OK"/>
    <s v="ZERO"/>
    <n v="0"/>
    <n v="0"/>
    <x v="0"/>
    <n v="0"/>
    <x v="0"/>
    <n v="0"/>
  </r>
  <r>
    <x v="1"/>
    <d v="2024-01-19T21:00:00"/>
    <n v="0"/>
    <n v="0"/>
    <n v="0"/>
    <n v="63.6291145605107"/>
    <s v="OK"/>
    <s v="ZERO"/>
    <n v="0"/>
    <n v="0"/>
    <x v="0"/>
    <n v="0"/>
    <x v="0"/>
    <n v="0"/>
  </r>
  <r>
    <x v="1"/>
    <d v="2024-01-19T22:00:00"/>
    <n v="0"/>
    <n v="0"/>
    <n v="0"/>
    <n v="87.443668871690093"/>
    <s v="OK"/>
    <s v="ZERO"/>
    <n v="0"/>
    <n v="0"/>
    <x v="0"/>
    <n v="0"/>
    <x v="0"/>
    <n v="0"/>
  </r>
  <r>
    <x v="1"/>
    <d v="2024-01-19T23:00:00"/>
    <n v="0"/>
    <n v="0"/>
    <n v="0"/>
    <n v="43.2268783328891"/>
    <s v="OK"/>
    <s v="ZERO"/>
    <n v="0"/>
    <n v="0"/>
    <x v="0"/>
    <n v="0"/>
    <x v="0"/>
    <n v="0"/>
  </r>
  <r>
    <x v="1"/>
    <d v="2024-01-20T00:00:00"/>
    <n v="0"/>
    <n v="0"/>
    <n v="0"/>
    <n v="76.733831599168298"/>
    <s v="OK"/>
    <s v="ZERO"/>
    <n v="0"/>
    <n v="0"/>
    <x v="0"/>
    <n v="0"/>
    <x v="0"/>
    <n v="0"/>
  </r>
  <r>
    <x v="1"/>
    <d v="2024-01-20T01:00:00"/>
    <n v="0"/>
    <n v="0"/>
    <n v="0"/>
    <n v="66.246648362395604"/>
    <s v="OK"/>
    <s v="ZERO"/>
    <n v="0"/>
    <n v="0"/>
    <x v="0"/>
    <n v="0"/>
    <x v="0"/>
    <n v="0"/>
  </r>
  <r>
    <x v="1"/>
    <d v="2024-01-20T02:00:00"/>
    <n v="0"/>
    <n v="0"/>
    <n v="0"/>
    <n v="93.849085819312904"/>
    <s v="OK"/>
    <s v="ZERO"/>
    <n v="0"/>
    <n v="0"/>
    <x v="0"/>
    <n v="0"/>
    <x v="0"/>
    <n v="0"/>
  </r>
  <r>
    <x v="1"/>
    <d v="2024-01-20T03:00:00"/>
    <n v="0"/>
    <n v="0"/>
    <n v="0"/>
    <n v="35.265115541517197"/>
    <s v="OK"/>
    <s v="ZERO"/>
    <n v="0"/>
    <n v="0"/>
    <x v="0"/>
    <n v="0"/>
    <x v="0"/>
    <n v="0"/>
  </r>
  <r>
    <x v="1"/>
    <d v="2024-01-20T04:00:00"/>
    <n v="0"/>
    <n v="0"/>
    <n v="0"/>
    <n v="22.582348142998502"/>
    <s v="OK"/>
    <s v="ZERO"/>
    <n v="0"/>
    <n v="0"/>
    <x v="0"/>
    <n v="0"/>
    <x v="0"/>
    <n v="0"/>
  </r>
  <r>
    <x v="1"/>
    <d v="2024-01-20T05:00:00"/>
    <n v="0"/>
    <n v="0"/>
    <n v="0"/>
    <n v="86.392915903067305"/>
    <s v="OK"/>
    <s v="ZERO"/>
    <n v="0"/>
    <n v="0"/>
    <x v="0"/>
    <n v="0"/>
    <x v="0"/>
    <n v="0"/>
  </r>
  <r>
    <x v="1"/>
    <d v="2024-01-20T06:00:00"/>
    <n v="0"/>
    <n v="0"/>
    <n v="0"/>
    <n v="82.217437357127594"/>
    <s v="OK"/>
    <s v="ZERO"/>
    <n v="0"/>
    <n v="0"/>
    <x v="0"/>
    <n v="0"/>
    <x v="0"/>
    <n v="0"/>
  </r>
  <r>
    <x v="1"/>
    <d v="2024-01-20T07:00:00"/>
    <n v="138.186647851407"/>
    <n v="135.150489903009"/>
    <n v="135.150489903009"/>
    <n v="76.356748814847606"/>
    <s v="OK"/>
    <s v="NON-ZERO"/>
    <n v="155.291427061512"/>
    <n v="0.87030232421957832"/>
    <x v="1"/>
    <n v="-20.140937158502993"/>
    <x v="1"/>
    <n v="0"/>
  </r>
  <r>
    <x v="1"/>
    <d v="2024-01-20T08:00:00"/>
    <n v="288.507777015253"/>
    <n v="282.16884923909498"/>
    <n v="282.16884923909498"/>
    <n v="40.6675082231883"/>
    <s v="OK"/>
    <s v="NON-ZERO"/>
    <n v="300"/>
    <n v="0.94056283079698322"/>
    <x v="1"/>
    <n v="-17.831150760905018"/>
    <x v="1"/>
    <n v="0"/>
  </r>
  <r>
    <x v="1"/>
    <d v="2024-01-20T09:00:00"/>
    <n v="415.44686822613198"/>
    <n v="406.31890737959498"/>
    <n v="406.31890737959498"/>
    <n v="77.398722464403903"/>
    <s v="OK"/>
    <s v="NON-ZERO"/>
    <n v="424.26406871192802"/>
    <n v="0.95770284910806891"/>
    <x v="1"/>
    <n v="-17.945161332333043"/>
    <x v="1"/>
    <n v="0"/>
  </r>
  <r>
    <x v="1"/>
    <d v="2024-01-20T10:00:00"/>
    <n v="517.25386530131402"/>
    <n v="505.88905937474601"/>
    <n v="505.88905937474601"/>
    <n v="41.207409279507303"/>
    <s v="OK"/>
    <s v="NON-ZERO"/>
    <n v="519.61524227066297"/>
    <n v="0.97358394870032106"/>
    <x v="1"/>
    <n v="-13.726182895916963"/>
    <x v="1"/>
    <n v="0"/>
  </r>
  <r>
    <x v="1"/>
    <d v="2024-01-20T11:00:00"/>
    <n v="583.48734337822202"/>
    <n v="570.66729337388006"/>
    <n v="570.66729337388006"/>
    <n v="68.208306010994505"/>
    <s v="OK"/>
    <s v="NON-ZERO"/>
    <n v="579.55549577344095"/>
    <n v="0.98466375961511809"/>
    <x v="1"/>
    <n v="-8.8882023995608961"/>
    <x v="1"/>
    <n v="0"/>
  </r>
  <r>
    <x v="1"/>
    <d v="2024-01-20T12:00:00"/>
    <n v="620.91066491911397"/>
    <n v="607.26837110961003"/>
    <n v="607.26837110961003"/>
    <n v="33.549315598347697"/>
    <s v="OK"/>
    <s v="NON-ZERO"/>
    <n v="600"/>
    <n v="1.01211395184935"/>
    <x v="1"/>
    <n v="7.2683711096100296"/>
    <x v="0"/>
    <n v="0"/>
  </r>
  <r>
    <x v="1"/>
    <d v="2024-01-20T13:00:00"/>
    <n v="530.57138418923796"/>
    <n v="518.91397335870101"/>
    <n v="518.91397335870101"/>
    <n v="44.466538023569797"/>
    <s v="OK"/>
    <s v="NON-ZERO"/>
    <n v="579.55549577344095"/>
    <n v="0.89536546050035937"/>
    <x v="1"/>
    <n v="-60.641522414739939"/>
    <x v="1"/>
    <n v="0"/>
  </r>
  <r>
    <x v="1"/>
    <d v="2024-01-20T14:00:00"/>
    <n v="472.24150234821798"/>
    <n v="461.865682301844"/>
    <n v="461.865682301844"/>
    <n v="75.677745281733607"/>
    <s v="OK"/>
    <s v="NON-ZERO"/>
    <n v="519.61524227066297"/>
    <n v="0.88886092002139971"/>
    <x v="1"/>
    <n v="-57.749559968818971"/>
    <x v="1"/>
    <n v="0"/>
  </r>
  <r>
    <x v="1"/>
    <d v="2024-01-20T15:00:00"/>
    <n v="445.17040822719298"/>
    <n v="435.38937876923899"/>
    <n v="435.38937876923899"/>
    <n v="42.494704810479902"/>
    <s v="OK"/>
    <s v="NON-ZERO"/>
    <n v="424.26406871192802"/>
    <n v="1.0262226072810916"/>
    <x v="1"/>
    <n v="11.125310057310969"/>
    <x v="0"/>
    <n v="0"/>
  </r>
  <r>
    <x v="1"/>
    <d v="2024-01-20T16:00:00"/>
    <n v="258.30016368037201"/>
    <n v="252.62494029790699"/>
    <n v="252.62494029790699"/>
    <n v="24.3043882766205"/>
    <s v="OK"/>
    <s v="NON-ZERO"/>
    <n v="300"/>
    <n v="0.84208313432635662"/>
    <x v="0"/>
    <n v="-47.375059702093012"/>
    <x v="1"/>
    <n v="-2.3687529851046505"/>
  </r>
  <r>
    <x v="1"/>
    <d v="2024-01-20T17:00:00"/>
    <n v="146.45728463913699"/>
    <n v="143.23940899216399"/>
    <n v="143.23940899216399"/>
    <n v="31.3807184714789"/>
    <s v="OK"/>
    <s v="NON-ZERO"/>
    <n v="155.291427061512"/>
    <n v="0.92239096325276138"/>
    <x v="1"/>
    <n v="-12.052018069348009"/>
    <x v="1"/>
    <n v="0"/>
  </r>
  <r>
    <x v="1"/>
    <d v="2024-01-20T18:00:00"/>
    <n v="7.8468342030867497E-14"/>
    <n v="7.6744280523775894E-14"/>
    <n v="7.6744280523775894E-14"/>
    <n v="50.804865761825901"/>
    <s v="OK"/>
    <s v="NON-ZERO"/>
    <n v="7.3478807948841102E-14"/>
    <n v="1.0444410118521295"/>
    <x v="1"/>
    <n v="3.2654725749347929E-15"/>
    <x v="0"/>
    <n v="0"/>
  </r>
  <r>
    <x v="1"/>
    <d v="2024-01-20T19:00:00"/>
    <n v="0"/>
    <n v="0"/>
    <n v="0"/>
    <n v="71.879008560101596"/>
    <s v="OK"/>
    <s v="ZERO"/>
    <n v="0"/>
    <n v="0"/>
    <x v="0"/>
    <n v="0"/>
    <x v="0"/>
    <n v="0"/>
  </r>
  <r>
    <x v="1"/>
    <d v="2024-01-20T20:00:00"/>
    <n v="0"/>
    <n v="0"/>
    <n v="0"/>
    <n v="51.555242192646197"/>
    <s v="OK"/>
    <s v="ZERO"/>
    <n v="0"/>
    <n v="0"/>
    <x v="0"/>
    <n v="0"/>
    <x v="0"/>
    <n v="0"/>
  </r>
  <r>
    <x v="1"/>
    <d v="2024-01-20T21:00:00"/>
    <n v="0"/>
    <n v="0"/>
    <n v="0"/>
    <n v="73.794640689931697"/>
    <s v="OK"/>
    <s v="ZERO"/>
    <n v="0"/>
    <n v="0"/>
    <x v="0"/>
    <n v="0"/>
    <x v="0"/>
    <n v="0"/>
  </r>
  <r>
    <x v="1"/>
    <d v="2024-01-20T22:00:00"/>
    <n v="0"/>
    <n v="0"/>
    <n v="0"/>
    <n v="55.633127369887603"/>
    <s v="OK"/>
    <s v="ZERO"/>
    <n v="0"/>
    <n v="0"/>
    <x v="0"/>
    <n v="0"/>
    <x v="0"/>
    <n v="0"/>
  </r>
  <r>
    <x v="1"/>
    <d v="2024-01-20T23:00:00"/>
    <n v="0"/>
    <n v="0"/>
    <n v="0"/>
    <n v="72.287469071776201"/>
    <s v="OK"/>
    <s v="ZERO"/>
    <n v="0"/>
    <n v="0"/>
    <x v="0"/>
    <n v="0"/>
    <x v="0"/>
    <n v="0"/>
  </r>
  <r>
    <x v="1"/>
    <d v="2024-01-21T00:00:00"/>
    <n v="0"/>
    <n v="0"/>
    <n v="0"/>
    <n v="85.8312053646968"/>
    <s v="OK"/>
    <s v="ZERO"/>
    <n v="0"/>
    <n v="0"/>
    <x v="0"/>
    <n v="0"/>
    <x v="0"/>
    <n v="0"/>
  </r>
  <r>
    <x v="1"/>
    <d v="2024-01-21T01:00:00"/>
    <n v="0"/>
    <n v="0"/>
    <n v="0"/>
    <n v="61.826651838908901"/>
    <s v="OK"/>
    <s v="ZERO"/>
    <n v="0"/>
    <n v="0"/>
    <x v="0"/>
    <n v="0"/>
    <x v="0"/>
    <n v="0"/>
  </r>
  <r>
    <x v="1"/>
    <d v="2024-01-21T02:00:00"/>
    <n v="0"/>
    <n v="0"/>
    <n v="0"/>
    <n v="42.867734328879699"/>
    <s v="OK"/>
    <s v="ZERO"/>
    <n v="0"/>
    <n v="0"/>
    <x v="0"/>
    <n v="0"/>
    <x v="0"/>
    <n v="0"/>
  </r>
  <r>
    <x v="1"/>
    <d v="2024-01-21T03:00:00"/>
    <n v="0"/>
    <n v="0"/>
    <n v="0"/>
    <n v="42.339454879265801"/>
    <s v="OK"/>
    <s v="ZERO"/>
    <n v="0"/>
    <n v="0"/>
    <x v="0"/>
    <n v="0"/>
    <x v="0"/>
    <n v="0"/>
  </r>
  <r>
    <x v="1"/>
    <d v="2024-01-21T04:00:00"/>
    <n v="0"/>
    <n v="0"/>
    <n v="0"/>
    <n v="44.954710738278401"/>
    <s v="OK"/>
    <s v="ZERO"/>
    <n v="0"/>
    <n v="0"/>
    <x v="0"/>
    <n v="0"/>
    <x v="0"/>
    <n v="0"/>
  </r>
  <r>
    <x v="1"/>
    <d v="2024-01-21T05:00:00"/>
    <n v="0"/>
    <n v="0"/>
    <n v="0"/>
    <n v="94.109305696597602"/>
    <s v="OK"/>
    <s v="ZERO"/>
    <n v="0"/>
    <n v="0"/>
    <x v="0"/>
    <n v="0"/>
    <x v="0"/>
    <n v="0"/>
  </r>
  <r>
    <x v="1"/>
    <d v="2024-01-21T06:00:00"/>
    <n v="0"/>
    <n v="0"/>
    <n v="0"/>
    <n v="73.225350762839298"/>
    <s v="OK"/>
    <s v="ZERO"/>
    <n v="0"/>
    <n v="0"/>
    <x v="0"/>
    <n v="0"/>
    <x v="0"/>
    <n v="0"/>
  </r>
  <r>
    <x v="1"/>
    <d v="2024-01-21T07:00:00"/>
    <n v="146.86171292087101"/>
    <n v="143.634951407128"/>
    <n v="143.634951407128"/>
    <n v="27.252091984067501"/>
    <s v="OK"/>
    <s v="NON-ZERO"/>
    <n v="155.291427061512"/>
    <n v="0.92493806081280461"/>
    <x v="1"/>
    <n v="-11.656475654383996"/>
    <x v="1"/>
    <n v="0"/>
  </r>
  <r>
    <x v="1"/>
    <d v="2024-01-21T08:00:00"/>
    <n v="264.58479963774403"/>
    <n v="258.77149383044701"/>
    <n v="258.77149383044701"/>
    <n v="21.638503398965099"/>
    <s v="OK"/>
    <s v="NON-ZERO"/>
    <n v="300"/>
    <n v="0.86257164610149006"/>
    <x v="1"/>
    <n v="-41.228506169552986"/>
    <x v="1"/>
    <n v="0"/>
  </r>
  <r>
    <x v="1"/>
    <d v="2024-01-21T09:00:00"/>
    <n v="432.224265513349"/>
    <n v="422.72768129459098"/>
    <n v="422.72768129459098"/>
    <n v="55.079046197836298"/>
    <s v="OK"/>
    <s v="NON-ZERO"/>
    <n v="424.26406871192802"/>
    <n v="0.99637870012890428"/>
    <x v="1"/>
    <n v="-1.5363874173370391"/>
    <x v="1"/>
    <n v="0"/>
  </r>
  <r>
    <x v="1"/>
    <d v="2024-01-21T10:00:00"/>
    <n v="446.03019897753899"/>
    <n v="436.23027868923799"/>
    <n v="436.23027868923799"/>
    <n v="20.788491840624001"/>
    <s v="OK"/>
    <s v="NON-ZERO"/>
    <n v="519.61524227066297"/>
    <n v="0.83952556276632373"/>
    <x v="0"/>
    <n v="-83.384963581424984"/>
    <x v="1"/>
    <n v="-4.169248179071249"/>
  </r>
  <r>
    <x v="1"/>
    <d v="2024-01-21T11:00:00"/>
    <n v="629.05370614650201"/>
    <n v="615.23249809505899"/>
    <n v="615.23249809505899"/>
    <n v="52.462994079287903"/>
    <s v="OK"/>
    <s v="NON-ZERO"/>
    <n v="579.55549577344095"/>
    <n v="1.061559251153344"/>
    <x v="1"/>
    <n v="35.677002321618033"/>
    <x v="0"/>
    <n v="0"/>
  </r>
  <r>
    <x v="1"/>
    <d v="2024-01-21T12:00:00"/>
    <n v="498.25898542645803"/>
    <n v="487.31152413055901"/>
    <n v="487.31152413055901"/>
    <n v="87.045013300249195"/>
    <s v="OK"/>
    <s v="NON-ZERO"/>
    <n v="600"/>
    <n v="0.81218587355093164"/>
    <x v="0"/>
    <n v="-112.68847586944099"/>
    <x v="1"/>
    <n v="-5.6344237934720498"/>
  </r>
  <r>
    <x v="1"/>
    <d v="2024-01-21T13:00:00"/>
    <n v="657.586060779278"/>
    <n v="643.13795615966501"/>
    <n v="643.13795615966501"/>
    <n v="89.518067160939793"/>
    <s v="OK"/>
    <s v="NON-ZERO"/>
    <n v="579.55549577344095"/>
    <n v="1.1097090112162091"/>
    <x v="1"/>
    <n v="63.582460386224056"/>
    <x v="0"/>
    <n v="0"/>
  </r>
  <r>
    <x v="1"/>
    <d v="2024-01-21T14:00:00"/>
    <n v="494.03017395764999"/>
    <n v="483.17562568737901"/>
    <n v="483.17562568737901"/>
    <n v="91.915390489280696"/>
    <s v="OK"/>
    <s v="NON-ZERO"/>
    <n v="519.61524227066297"/>
    <n v="0.92987192518824746"/>
    <x v="1"/>
    <n v="-36.439616583283964"/>
    <x v="1"/>
    <n v="0"/>
  </r>
  <r>
    <x v="1"/>
    <d v="2024-01-21T15:00:00"/>
    <n v="419.71370754857401"/>
    <n v="410.49199815016999"/>
    <n v="410.49199815016999"/>
    <n v="41.191270063897903"/>
    <s v="OK"/>
    <s v="NON-ZERO"/>
    <n v="424.26406871192802"/>
    <n v="0.96753891838267092"/>
    <x v="1"/>
    <n v="-13.772070561758028"/>
    <x v="1"/>
    <n v="0"/>
  </r>
  <r>
    <x v="1"/>
    <d v="2024-01-21T16:00:00"/>
    <n v="270.80790660830002"/>
    <n v="264.85787025585898"/>
    <n v="264.85787025585898"/>
    <n v="63.390636365264797"/>
    <s v="OK"/>
    <s v="NON-ZERO"/>
    <n v="300"/>
    <n v="0.88285956751952999"/>
    <x v="1"/>
    <n v="-35.142129744141016"/>
    <x v="1"/>
    <n v="0"/>
  </r>
  <r>
    <x v="1"/>
    <d v="2024-01-21T17:00:00"/>
    <n v="130.443173528069"/>
    <n v="127.57715076625099"/>
    <n v="127.57715076625099"/>
    <n v="52.967220632967397"/>
    <s v="OK"/>
    <s v="NON-ZERO"/>
    <n v="155.291427061512"/>
    <n v="0.821533765129976"/>
    <x v="0"/>
    <n v="-27.714276295261001"/>
    <x v="1"/>
    <n v="-1.3857138147630501"/>
  </r>
  <r>
    <x v="1"/>
    <d v="2024-01-21T18:00:00"/>
    <n v="6.1035847671878899E-14"/>
    <n v="5.9694802954986697E-14"/>
    <n v="5.9694802954986697E-14"/>
    <n v="42.741483788318703"/>
    <s v="OK"/>
    <s v="NON-ZERO"/>
    <n v="7.3478807948841102E-14"/>
    <n v="0.81240842933310264"/>
    <x v="0"/>
    <n v="-1.3784004993854405E-14"/>
    <x v="1"/>
    <n v="-6.8920024969272023E-16"/>
  </r>
  <r>
    <x v="1"/>
    <d v="2024-01-21T19:00:00"/>
    <n v="0"/>
    <n v="0"/>
    <n v="0"/>
    <n v="45.115871760273798"/>
    <s v="OK"/>
    <s v="ZERO"/>
    <n v="0"/>
    <n v="0"/>
    <x v="0"/>
    <n v="0"/>
    <x v="0"/>
    <n v="0"/>
  </r>
  <r>
    <x v="1"/>
    <d v="2024-01-21T20:00:00"/>
    <n v="0"/>
    <n v="0"/>
    <n v="0"/>
    <n v="91.127716459168894"/>
    <s v="OK"/>
    <s v="ZERO"/>
    <n v="0"/>
    <n v="0"/>
    <x v="0"/>
    <n v="0"/>
    <x v="0"/>
    <n v="0"/>
  </r>
  <r>
    <x v="1"/>
    <d v="2024-01-21T21:00:00"/>
    <n v="0"/>
    <n v="0"/>
    <n v="0"/>
    <n v="92.055972707851595"/>
    <s v="OK"/>
    <s v="ZERO"/>
    <n v="0"/>
    <n v="0"/>
    <x v="0"/>
    <n v="0"/>
    <x v="0"/>
    <n v="0"/>
  </r>
  <r>
    <x v="1"/>
    <d v="2024-01-21T22:00:00"/>
    <n v="0"/>
    <n v="0"/>
    <n v="0"/>
    <n v="71.968168326857494"/>
    <s v="OK"/>
    <s v="ZERO"/>
    <n v="0"/>
    <n v="0"/>
    <x v="0"/>
    <n v="0"/>
    <x v="0"/>
    <n v="0"/>
  </r>
  <r>
    <x v="1"/>
    <d v="2024-01-21T23:00:00"/>
    <n v="0"/>
    <n v="0"/>
    <n v="0"/>
    <n v="41.563339953781899"/>
    <s v="OK"/>
    <s v="ZERO"/>
    <n v="0"/>
    <n v="0"/>
    <x v="0"/>
    <n v="0"/>
    <x v="0"/>
    <n v="0"/>
  </r>
  <r>
    <x v="1"/>
    <d v="2024-01-22T00:00:00"/>
    <n v="0"/>
    <n v="0"/>
    <n v="0"/>
    <n v="93.309242238788102"/>
    <s v="OK"/>
    <s v="ZERO"/>
    <n v="0"/>
    <n v="0"/>
    <x v="0"/>
    <n v="0"/>
    <x v="0"/>
    <n v="0"/>
  </r>
  <r>
    <x v="1"/>
    <d v="2024-01-22T01:00:00"/>
    <n v="0"/>
    <n v="0"/>
    <n v="0"/>
    <n v="65.243406701302206"/>
    <s v="OK"/>
    <s v="ZERO"/>
    <n v="0"/>
    <n v="0"/>
    <x v="0"/>
    <n v="0"/>
    <x v="0"/>
    <n v="0"/>
  </r>
  <r>
    <x v="1"/>
    <d v="2024-01-22T02:00:00"/>
    <n v="0"/>
    <n v="0"/>
    <n v="0"/>
    <n v="94.271387793870502"/>
    <s v="OK"/>
    <s v="ZERO"/>
    <n v="0"/>
    <n v="0"/>
    <x v="0"/>
    <n v="0"/>
    <x v="0"/>
    <n v="0"/>
  </r>
  <r>
    <x v="1"/>
    <d v="2024-01-22T03:00:00"/>
    <n v="0"/>
    <n v="0"/>
    <n v="0"/>
    <n v="77.911402071187794"/>
    <s v="OK"/>
    <s v="ZERO"/>
    <n v="0"/>
    <n v="0"/>
    <x v="0"/>
    <n v="0"/>
    <x v="0"/>
    <n v="0"/>
  </r>
  <r>
    <x v="1"/>
    <d v="2024-01-22T04:00:00"/>
    <n v="0"/>
    <n v="0"/>
    <n v="0"/>
    <n v="78.633486944654393"/>
    <s v="OK"/>
    <s v="ZERO"/>
    <n v="0"/>
    <n v="0"/>
    <x v="0"/>
    <n v="0"/>
    <x v="0"/>
    <n v="0"/>
  </r>
  <r>
    <x v="1"/>
    <d v="2024-01-22T05:00:00"/>
    <n v="0"/>
    <n v="0"/>
    <n v="0"/>
    <n v="63.236667735489902"/>
    <s v="OK"/>
    <s v="ZERO"/>
    <n v="0"/>
    <n v="0"/>
    <x v="0"/>
    <n v="0"/>
    <x v="0"/>
    <n v="0"/>
  </r>
  <r>
    <x v="1"/>
    <d v="2024-01-22T06:00:00"/>
    <n v="0"/>
    <n v="0"/>
    <n v="0"/>
    <n v="57.837719304112603"/>
    <s v="OK"/>
    <s v="ZERO"/>
    <n v="0"/>
    <n v="0"/>
    <x v="0"/>
    <n v="0"/>
    <x v="0"/>
    <n v="0"/>
  </r>
  <r>
    <x v="1"/>
    <d v="2024-01-22T07:00:00"/>
    <n v="141.58283310933999"/>
    <n v="138.47205612194401"/>
    <n v="138.47205612194401"/>
    <n v="68.622314547410099"/>
    <s v="OK"/>
    <s v="NON-ZERO"/>
    <n v="155.291427061512"/>
    <n v="0.89169156818356932"/>
    <x v="1"/>
    <n v="-16.819370939567989"/>
    <x v="1"/>
    <n v="0"/>
  </r>
  <r>
    <x v="1"/>
    <d v="2024-01-22T08:00:00"/>
    <n v="224.006247671881"/>
    <n v="219.08451058704199"/>
    <n v="219.08451058704199"/>
    <n v="84.757368334203804"/>
    <s v="OK"/>
    <s v="NON-ZERO"/>
    <n v="300"/>
    <n v="0.73028170195680664"/>
    <x v="0"/>
    <n v="-80.91548941295801"/>
    <x v="1"/>
    <n v="-4.0457744706479009"/>
  </r>
  <r>
    <x v="1"/>
    <d v="2024-01-22T09:00:00"/>
    <n v="420.61500979517399"/>
    <n v="411.373497499584"/>
    <n v="411.373497499584"/>
    <n v="85.098472004817694"/>
    <s v="OK"/>
    <s v="NON-ZERO"/>
    <n v="424.26406871192802"/>
    <n v="0.96961663227461148"/>
    <x v="1"/>
    <n v="-12.890571212344014"/>
    <x v="1"/>
    <n v="0"/>
  </r>
  <r>
    <x v="1"/>
    <d v="2024-01-22T10:00:00"/>
    <n v="552.97974821917103"/>
    <n v="540.82999363749695"/>
    <n v="540.82999363749695"/>
    <n v="54.342522134530299"/>
    <s v="OK"/>
    <s v="NON-ZERO"/>
    <n v="519.61524227066297"/>
    <n v="1.0408278080414419"/>
    <x v="1"/>
    <n v="21.21475136683398"/>
    <x v="0"/>
    <n v="0"/>
  </r>
  <r>
    <x v="1"/>
    <d v="2024-01-22T11:00:00"/>
    <n v="575.809368881512"/>
    <n v="563.158014939042"/>
    <n v="563.158014939042"/>
    <n v="38.299647676435399"/>
    <s v="OK"/>
    <s v="NON-ZERO"/>
    <n v="579.55549577344095"/>
    <n v="0.97170679778902658"/>
    <x v="1"/>
    <n v="-16.397480834398948"/>
    <x v="1"/>
    <n v="0"/>
  </r>
  <r>
    <x v="1"/>
    <d v="2024-01-22T12:00:00"/>
    <n v="538.48483680124298"/>
    <n v="526.65355611843904"/>
    <n v="526.65355611843904"/>
    <n v="53.257932712703301"/>
    <s v="OK"/>
    <s v="NON-ZERO"/>
    <n v="600"/>
    <n v="0.87775592686406512"/>
    <x v="1"/>
    <n v="-73.346443881560958"/>
    <x v="1"/>
    <n v="0"/>
  </r>
  <r>
    <x v="1"/>
    <d v="2024-01-22T13:00:00"/>
    <n v="500.018179892543"/>
    <n v="489.03206658254601"/>
    <n v="489.03206658254601"/>
    <n v="71.582690477430106"/>
    <s v="OK"/>
    <s v="NON-ZERO"/>
    <n v="579.55549577344095"/>
    <n v="0.84380541664937947"/>
    <x v="0"/>
    <n v="-90.523429190894944"/>
    <x v="1"/>
    <n v="-4.5261714595447478"/>
  </r>
  <r>
    <x v="1"/>
    <d v="2024-01-22T14:00:00"/>
    <n v="527.80986503597205"/>
    <n v="516.213128723973"/>
    <n v="516.213128723973"/>
    <n v="48.971577885915799"/>
    <s v="OK"/>
    <s v="NON-ZERO"/>
    <n v="519.61524227066297"/>
    <n v="0.99345262942668289"/>
    <x v="1"/>
    <n v="-3.402113546689975"/>
    <x v="1"/>
    <n v="0"/>
  </r>
  <r>
    <x v="1"/>
    <d v="2024-01-22T15:00:00"/>
    <n v="376.32061831952501"/>
    <n v="368.05231704568899"/>
    <n v="368.05231704568899"/>
    <n v="56.826482200168201"/>
    <s v="OK"/>
    <s v="NON-ZERO"/>
    <n v="424.26406871192802"/>
    <n v="0.86750763071476045"/>
    <x v="1"/>
    <n v="-56.211751666239024"/>
    <x v="1"/>
    <n v="0"/>
  </r>
  <r>
    <x v="1"/>
    <d v="2024-01-22T16:00:00"/>
    <n v="263.86160125539402"/>
    <n v="258.06418514910001"/>
    <n v="258.06418514910001"/>
    <n v="50.833506274613597"/>
    <s v="OK"/>
    <s v="NON-ZERO"/>
    <n v="300"/>
    <n v="0.860213950497"/>
    <x v="1"/>
    <n v="-41.935814850899988"/>
    <x v="1"/>
    <n v="0"/>
  </r>
  <r>
    <x v="1"/>
    <d v="2024-01-22T17:00:00"/>
    <n v="141.15288056962899"/>
    <n v="138.05155025339201"/>
    <n v="138.05155025339201"/>
    <n v="93.750557631066997"/>
    <s v="OK"/>
    <s v="NON-ZERO"/>
    <n v="155.291427061512"/>
    <n v="0.8889837183266327"/>
    <x v="1"/>
    <n v="-17.239876808119988"/>
    <x v="1"/>
    <n v="0"/>
  </r>
  <r>
    <x v="1"/>
    <d v="2024-01-22T18:00:00"/>
    <n v="7.3811820573499496E-14"/>
    <n v="7.2190069491145001E-14"/>
    <n v="7.2190069491145001E-14"/>
    <n v="26.6433754727483"/>
    <s v="OK"/>
    <s v="NON-ZERO"/>
    <n v="7.3478807948841102E-14"/>
    <n v="0.98246108648641428"/>
    <x v="1"/>
    <n v="-1.2887384576961002E-15"/>
    <x v="1"/>
    <n v="0"/>
  </r>
  <r>
    <x v="1"/>
    <d v="2024-01-22T19:00:00"/>
    <n v="0"/>
    <n v="0"/>
    <n v="0"/>
    <n v="64.710698716242206"/>
    <s v="OK"/>
    <s v="ZERO"/>
    <n v="0"/>
    <n v="0"/>
    <x v="0"/>
    <n v="0"/>
    <x v="0"/>
    <n v="0"/>
  </r>
  <r>
    <x v="1"/>
    <d v="2024-01-22T20:00:00"/>
    <n v="0"/>
    <n v="0"/>
    <n v="0"/>
    <n v="83.2859647743729"/>
    <s v="OK"/>
    <s v="ZERO"/>
    <n v="0"/>
    <n v="0"/>
    <x v="0"/>
    <n v="0"/>
    <x v="0"/>
    <n v="0"/>
  </r>
  <r>
    <x v="1"/>
    <d v="2024-01-22T21:00:00"/>
    <n v="0"/>
    <n v="0"/>
    <n v="0"/>
    <n v="30.033360874547601"/>
    <s v="OK"/>
    <s v="ZERO"/>
    <n v="0"/>
    <n v="0"/>
    <x v="0"/>
    <n v="0"/>
    <x v="0"/>
    <n v="0"/>
  </r>
  <r>
    <x v="1"/>
    <d v="2024-01-22T22:00:00"/>
    <n v="0"/>
    <n v="0"/>
    <n v="0"/>
    <n v="29.423261930923498"/>
    <s v="OK"/>
    <s v="ZERO"/>
    <n v="0"/>
    <n v="0"/>
    <x v="0"/>
    <n v="0"/>
    <x v="0"/>
    <n v="0"/>
  </r>
  <r>
    <x v="1"/>
    <d v="2024-01-22T23:00:00"/>
    <n v="0"/>
    <n v="0"/>
    <n v="0"/>
    <n v="36.015714086775603"/>
    <s v="OK"/>
    <s v="ZERO"/>
    <n v="0"/>
    <n v="0"/>
    <x v="0"/>
    <n v="0"/>
    <x v="0"/>
    <n v="0"/>
  </r>
  <r>
    <x v="1"/>
    <d v="2024-01-23T00:00:00"/>
    <n v="0"/>
    <n v="0"/>
    <n v="0"/>
    <n v="49.318807013087103"/>
    <s v="OK"/>
    <s v="ZERO"/>
    <n v="0"/>
    <n v="0"/>
    <x v="0"/>
    <n v="0"/>
    <x v="0"/>
    <n v="0"/>
  </r>
  <r>
    <x v="1"/>
    <d v="2024-01-23T01:00:00"/>
    <n v="0"/>
    <n v="0"/>
    <n v="0"/>
    <n v="80.010318706405599"/>
    <s v="OK"/>
    <s v="ZERO"/>
    <n v="0"/>
    <n v="0"/>
    <x v="0"/>
    <n v="0"/>
    <x v="0"/>
    <n v="0"/>
  </r>
  <r>
    <x v="1"/>
    <d v="2024-01-23T02:00:00"/>
    <n v="0"/>
    <n v="0"/>
    <n v="0"/>
    <n v="84.374220415914294"/>
    <s v="OK"/>
    <s v="ZERO"/>
    <n v="0"/>
    <n v="0"/>
    <x v="0"/>
    <n v="0"/>
    <x v="0"/>
    <n v="0"/>
  </r>
  <r>
    <x v="1"/>
    <d v="2024-01-23T03:00:00"/>
    <n v="0"/>
    <n v="0"/>
    <n v="0"/>
    <n v="71.542575759551198"/>
    <s v="OK"/>
    <s v="ZERO"/>
    <n v="0"/>
    <n v="0"/>
    <x v="0"/>
    <n v="0"/>
    <x v="0"/>
    <n v="0"/>
  </r>
  <r>
    <x v="1"/>
    <d v="2024-01-23T04:00:00"/>
    <n v="0"/>
    <n v="0"/>
    <n v="0"/>
    <n v="50.688694059386599"/>
    <s v="OK"/>
    <s v="ZERO"/>
    <n v="0"/>
    <n v="0"/>
    <x v="0"/>
    <n v="0"/>
    <x v="0"/>
    <n v="0"/>
  </r>
  <r>
    <x v="1"/>
    <d v="2024-01-23T05:00:00"/>
    <n v="0"/>
    <n v="0"/>
    <n v="0"/>
    <n v="77.468410457028398"/>
    <s v="OK"/>
    <s v="ZERO"/>
    <n v="0"/>
    <n v="0"/>
    <x v="0"/>
    <n v="0"/>
    <x v="0"/>
    <n v="0"/>
  </r>
  <r>
    <x v="1"/>
    <d v="2024-01-23T06:00:00"/>
    <n v="0"/>
    <n v="0"/>
    <n v="0"/>
    <n v="74.526389526060001"/>
    <s v="OK"/>
    <s v="ZERO"/>
    <n v="0"/>
    <n v="0"/>
    <x v="0"/>
    <n v="0"/>
    <x v="0"/>
    <n v="0"/>
  </r>
  <r>
    <x v="1"/>
    <d v="2024-01-23T07:00:00"/>
    <n v="141.12320941569399"/>
    <n v="138.022531017072"/>
    <n v="138.022531017072"/>
    <n v="36.887076816194799"/>
    <s v="OK"/>
    <s v="NON-ZERO"/>
    <n v="155.291427061512"/>
    <n v="0.88879684879449483"/>
    <x v="1"/>
    <n v="-17.268896044439998"/>
    <x v="1"/>
    <n v="0"/>
  </r>
  <r>
    <x v="1"/>
    <d v="2024-01-23T08:00:00"/>
    <n v="307.76234029724702"/>
    <n v="301.000362275204"/>
    <n v="301.000362275204"/>
    <n v="76.384862269019905"/>
    <s v="OK"/>
    <s v="NON-ZERO"/>
    <n v="300"/>
    <n v="1.0033345409173466"/>
    <x v="1"/>
    <n v="1.0003622752039973"/>
    <x v="0"/>
    <n v="0"/>
  </r>
  <r>
    <x v="1"/>
    <d v="2024-01-23T09:00:00"/>
    <n v="450.68994500131498"/>
    <n v="440.78764343994999"/>
    <n v="440.78764343994999"/>
    <n v="55.582618561037997"/>
    <s v="OK"/>
    <s v="NON-ZERO"/>
    <n v="424.26406871192802"/>
    <n v="1.0389464391320899"/>
    <x v="1"/>
    <n v="16.52357472802197"/>
    <x v="0"/>
    <n v="0"/>
  </r>
  <r>
    <x v="1"/>
    <d v="2024-01-23T10:00:00"/>
    <n v="524.94167647560198"/>
    <n v="513.40795836131201"/>
    <n v="513.40795836131201"/>
    <n v="67.379181374493797"/>
    <s v="OK"/>
    <s v="NON-ZERO"/>
    <n v="519.61524227066297"/>
    <n v="0.98805407654666599"/>
    <x v="1"/>
    <n v="-6.2072839093509629"/>
    <x v="1"/>
    <n v="0"/>
  </r>
  <r>
    <x v="1"/>
    <d v="2024-01-23T11:00:00"/>
    <n v="477.39595101266798"/>
    <n v="466.906880369904"/>
    <n v="466.906880369904"/>
    <n v="37.464391765706999"/>
    <s v="OK"/>
    <s v="NON-ZERO"/>
    <n v="579.55549577344095"/>
    <n v="0.80562928619423635"/>
    <x v="0"/>
    <n v="-112.64861540353695"/>
    <x v="1"/>
    <n v="-5.6324307701768479"/>
  </r>
  <r>
    <x v="1"/>
    <d v="2024-01-23T12:00:00"/>
    <n v="487.43098224582599"/>
    <n v="476.72142763941901"/>
    <n v="476.72142763941901"/>
    <n v="44.2107345085887"/>
    <s v="OK"/>
    <s v="NON-ZERO"/>
    <n v="600"/>
    <n v="0.79453571273236501"/>
    <x v="0"/>
    <n v="-123.27857236058099"/>
    <x v="1"/>
    <n v="-6.1639286180290505"/>
  </r>
  <r>
    <x v="1"/>
    <d v="2024-01-23T13:00:00"/>
    <n v="547.21615591415105"/>
    <n v="535.193035684351"/>
    <n v="535.193035684351"/>
    <n v="29.9963193561629"/>
    <s v="OK"/>
    <s v="NON-ZERO"/>
    <n v="579.55549577344095"/>
    <n v="0.92345433627562035"/>
    <x v="1"/>
    <n v="-44.36246008908995"/>
    <x v="1"/>
    <n v="0"/>
  </r>
  <r>
    <x v="1"/>
    <d v="2024-01-23T14:00:00"/>
    <n v="471.70279747000097"/>
    <n v="461.33881353893298"/>
    <n v="461.33881353893298"/>
    <n v="77.582346328575298"/>
    <s v="OK"/>
    <s v="NON-ZERO"/>
    <n v="519.61524227066297"/>
    <n v="0.88784696061441881"/>
    <x v="1"/>
    <n v="-58.276428731729993"/>
    <x v="1"/>
    <n v="0"/>
  </r>
  <r>
    <x v="1"/>
    <d v="2024-01-23T15:00:00"/>
    <n v="412.49226259231602"/>
    <n v="403.42921864997402"/>
    <n v="403.42921864997402"/>
    <n v="82.574359681204896"/>
    <s v="OK"/>
    <s v="NON-ZERO"/>
    <n v="424.26406871192802"/>
    <n v="0.95089178745395786"/>
    <x v="1"/>
    <n v="-20.834850061954"/>
    <x v="1"/>
    <n v="0"/>
  </r>
  <r>
    <x v="1"/>
    <d v="2024-01-23T16:00:00"/>
    <n v="324.038531583311"/>
    <n v="316.91894240048498"/>
    <n v="316.91894240048498"/>
    <n v="22.578264376379298"/>
    <s v="OK"/>
    <s v="NON-ZERO"/>
    <n v="300"/>
    <n v="1.0563964746682832"/>
    <x v="1"/>
    <n v="16.91894240048498"/>
    <x v="0"/>
    <n v="0"/>
  </r>
  <r>
    <x v="1"/>
    <d v="2024-01-23T17:00:00"/>
    <n v="158.20353406237501"/>
    <n v="154.72757654494001"/>
    <n v="154.72757654494001"/>
    <n v="52.626094575516703"/>
    <s v="OK"/>
    <s v="NON-ZERO"/>
    <n v="155.291427061512"/>
    <n v="0.99636908149251124"/>
    <x v="1"/>
    <n v="-0.56385051657198915"/>
    <x v="1"/>
    <n v="0"/>
  </r>
  <r>
    <x v="1"/>
    <d v="2024-01-23T18:00:00"/>
    <n v="7.1842725726918305E-14"/>
    <n v="7.0264238469705797E-14"/>
    <n v="7.0264238469705797E-14"/>
    <n v="79.625865269635199"/>
    <s v="OK"/>
    <s v="NON-ZERO"/>
    <n v="7.3478807948841102E-14"/>
    <n v="0.9562517470156372"/>
    <x v="1"/>
    <n v="-3.2145694791353049E-15"/>
    <x v="1"/>
    <n v="0"/>
  </r>
  <r>
    <x v="1"/>
    <d v="2024-01-23T19:00:00"/>
    <n v="0"/>
    <n v="0"/>
    <n v="0"/>
    <n v="30.913661209051899"/>
    <s v="OK"/>
    <s v="ZERO"/>
    <n v="0"/>
    <n v="0"/>
    <x v="0"/>
    <n v="0"/>
    <x v="0"/>
    <n v="0"/>
  </r>
  <r>
    <x v="1"/>
    <d v="2024-01-23T20:00:00"/>
    <n v="0"/>
    <n v="0"/>
    <n v="0"/>
    <n v="68.716700506772099"/>
    <s v="OK"/>
    <s v="ZERO"/>
    <n v="0"/>
    <n v="0"/>
    <x v="0"/>
    <n v="0"/>
    <x v="0"/>
    <n v="0"/>
  </r>
  <r>
    <x v="1"/>
    <d v="2024-01-23T21:00:00"/>
    <n v="0"/>
    <n v="0"/>
    <n v="0"/>
    <n v="66.9541031735601"/>
    <s v="OK"/>
    <s v="ZERO"/>
    <n v="0"/>
    <n v="0"/>
    <x v="0"/>
    <n v="0"/>
    <x v="0"/>
    <n v="0"/>
  </r>
  <r>
    <x v="1"/>
    <d v="2024-01-23T22:00:00"/>
    <n v="0"/>
    <n v="0"/>
    <n v="0"/>
    <n v="65.778204483626894"/>
    <s v="OK"/>
    <s v="ZERO"/>
    <n v="0"/>
    <n v="0"/>
    <x v="0"/>
    <n v="0"/>
    <x v="0"/>
    <n v="0"/>
  </r>
  <r>
    <x v="1"/>
    <d v="2024-01-23T23:00:00"/>
    <n v="0"/>
    <n v="0"/>
    <n v="0"/>
    <n v="28.437734789497298"/>
    <s v="OK"/>
    <s v="ZERO"/>
    <n v="0"/>
    <n v="0"/>
    <x v="0"/>
    <n v="0"/>
    <x v="0"/>
    <n v="0"/>
  </r>
  <r>
    <x v="1"/>
    <d v="2024-01-24T00:00:00"/>
    <n v="0"/>
    <n v="0"/>
    <n v="0"/>
    <n v="94.825419744849398"/>
    <s v="OK"/>
    <s v="ZERO"/>
    <n v="0"/>
    <n v="0"/>
    <x v="0"/>
    <n v="0"/>
    <x v="0"/>
    <n v="0"/>
  </r>
  <r>
    <x v="1"/>
    <d v="2024-01-24T01:00:00"/>
    <n v="0"/>
    <n v="0"/>
    <n v="0"/>
    <n v="89.800419167179797"/>
    <s v="OK"/>
    <s v="ZERO"/>
    <n v="0"/>
    <n v="0"/>
    <x v="0"/>
    <n v="0"/>
    <x v="0"/>
    <n v="0"/>
  </r>
  <r>
    <x v="1"/>
    <d v="2024-01-24T02:00:00"/>
    <n v="0"/>
    <n v="0"/>
    <n v="0"/>
    <n v="24.895756817484699"/>
    <s v="OK"/>
    <s v="ZERO"/>
    <n v="0"/>
    <n v="0"/>
    <x v="0"/>
    <n v="0"/>
    <x v="0"/>
    <n v="0"/>
  </r>
  <r>
    <x v="1"/>
    <d v="2024-01-24T03:00:00"/>
    <n v="0"/>
    <n v="0"/>
    <n v="0"/>
    <n v="68.550660077981803"/>
    <s v="OK"/>
    <s v="ZERO"/>
    <n v="0"/>
    <n v="0"/>
    <x v="0"/>
    <n v="0"/>
    <x v="0"/>
    <n v="0"/>
  </r>
  <r>
    <x v="1"/>
    <d v="2024-01-24T04:00:00"/>
    <n v="0"/>
    <n v="0"/>
    <n v="0"/>
    <n v="52.9347995603637"/>
    <s v="OK"/>
    <s v="ZERO"/>
    <n v="0"/>
    <n v="0"/>
    <x v="0"/>
    <n v="0"/>
    <x v="0"/>
    <n v="0"/>
  </r>
  <r>
    <x v="1"/>
    <d v="2024-01-24T05:00:00"/>
    <n v="0"/>
    <n v="0"/>
    <n v="0"/>
    <n v="81.979273370041597"/>
    <s v="OK"/>
    <s v="ZERO"/>
    <n v="0"/>
    <n v="0"/>
    <x v="0"/>
    <n v="0"/>
    <x v="0"/>
    <n v="0"/>
  </r>
  <r>
    <x v="1"/>
    <d v="2024-01-24T06:00:00"/>
    <n v="0"/>
    <n v="0"/>
    <n v="0"/>
    <n v="55.176870478841202"/>
    <s v="OK"/>
    <s v="ZERO"/>
    <n v="0"/>
    <n v="0"/>
    <x v="0"/>
    <n v="0"/>
    <x v="0"/>
    <n v="0"/>
  </r>
  <r>
    <x v="1"/>
    <d v="2024-01-24T07:00:00"/>
    <n v="167.61916619346499"/>
    <n v="163.93633379500201"/>
    <n v="163.93633379500201"/>
    <n v="43.373968749098601"/>
    <s v="OK"/>
    <s v="NON-ZERO"/>
    <n v="155.291427061512"/>
    <n v="1.0556689245315887"/>
    <x v="1"/>
    <n v="8.6449067334900178"/>
    <x v="0"/>
    <n v="0"/>
  </r>
  <r>
    <x v="1"/>
    <d v="2024-01-24T08:00:00"/>
    <n v="269.31217426531498"/>
    <n v="263.39500128797198"/>
    <n v="263.39500128797198"/>
    <n v="55.840051618485099"/>
    <s v="OK"/>
    <s v="NON-ZERO"/>
    <n v="300"/>
    <n v="0.87798333762657321"/>
    <x v="1"/>
    <n v="-36.604998712028021"/>
    <x v="1"/>
    <n v="0"/>
  </r>
  <r>
    <x v="1"/>
    <d v="2024-01-24T09:00:00"/>
    <n v="404.34529150803201"/>
    <n v="395.46124815219702"/>
    <n v="395.46124815219702"/>
    <n v="69.667411874719406"/>
    <s v="OK"/>
    <s v="NON-ZERO"/>
    <n v="424.26406871192802"/>
    <n v="0.9321111008830496"/>
    <x v="1"/>
    <n v="-28.802820559731003"/>
    <x v="1"/>
    <n v="0"/>
  </r>
  <r>
    <x v="1"/>
    <d v="2024-01-24T10:00:00"/>
    <n v="457.578208729967"/>
    <n v="447.52456217980898"/>
    <n v="447.52456217980898"/>
    <n v="69.1632478884584"/>
    <s v="OK"/>
    <s v="NON-ZERO"/>
    <n v="519.61524227066297"/>
    <n v="0.86126142147827411"/>
    <x v="1"/>
    <n v="-72.090680090853994"/>
    <x v="1"/>
    <n v="0"/>
  </r>
  <r>
    <x v="1"/>
    <d v="2024-01-24T11:00:00"/>
    <n v="587.92536495217905"/>
    <n v="575.00780527749998"/>
    <n v="575.00780527749998"/>
    <n v="85.227191363872507"/>
    <s v="OK"/>
    <s v="NON-ZERO"/>
    <n v="579.55549577344095"/>
    <n v="0.99215314058945836"/>
    <x v="1"/>
    <n v="-4.5476904959409694"/>
    <x v="1"/>
    <n v="0"/>
  </r>
  <r>
    <x v="1"/>
    <d v="2024-01-24T12:00:00"/>
    <n v="564.70246606639796"/>
    <n v="552.29514663658597"/>
    <n v="552.29514663658597"/>
    <n v="70.307376908227596"/>
    <s v="OK"/>
    <s v="NON-ZERO"/>
    <n v="600"/>
    <n v="0.92049191106097661"/>
    <x v="1"/>
    <n v="-47.704853363414031"/>
    <x v="1"/>
    <n v="0"/>
  </r>
  <r>
    <x v="1"/>
    <d v="2024-01-24T13:00:00"/>
    <n v="589.82045887091601"/>
    <n v="576.86126127713499"/>
    <n v="576.86126127713499"/>
    <n v="51.5975661225023"/>
    <s v="OK"/>
    <s v="NON-ZERO"/>
    <n v="579.55549577344095"/>
    <n v="0.99535120533589216"/>
    <x v="1"/>
    <n v="-2.6942344963059668"/>
    <x v="1"/>
    <n v="0"/>
  </r>
  <r>
    <x v="1"/>
    <d v="2024-01-24T14:00:00"/>
    <n v="504.94134594564599"/>
    <n v="493.84706364844402"/>
    <n v="493.84706364844402"/>
    <n v="88.334037604396798"/>
    <s v="OK"/>
    <s v="NON-ZERO"/>
    <n v="519.61524227066297"/>
    <n v="0.95040911711978504"/>
    <x v="1"/>
    <n v="-25.768178622218954"/>
    <x v="1"/>
    <n v="0"/>
  </r>
  <r>
    <x v="1"/>
    <d v="2024-01-24T15:00:00"/>
    <n v="356.16660377295199"/>
    <n v="348.34111497346998"/>
    <n v="348.34111497346998"/>
    <n v="23.657473910985502"/>
    <s v="OK"/>
    <s v="NON-ZERO"/>
    <n v="424.26406871192802"/>
    <n v="0.82104788187941236"/>
    <x v="0"/>
    <n v="-75.922953738458034"/>
    <x v="1"/>
    <n v="-3.7961476869229016"/>
  </r>
  <r>
    <x v="1"/>
    <d v="2024-01-24T16:00:00"/>
    <n v="280.537471341485"/>
    <n v="274.37366256053201"/>
    <n v="274.37366256053201"/>
    <n v="26.8514932042666"/>
    <s v="OK"/>
    <s v="NON-ZERO"/>
    <n v="300"/>
    <n v="0.91457887520177339"/>
    <x v="1"/>
    <n v="-25.626337439467989"/>
    <x v="1"/>
    <n v="0"/>
  </r>
  <r>
    <x v="1"/>
    <d v="2024-01-24T17:00:00"/>
    <n v="160.34249626289099"/>
    <n v="156.819542692022"/>
    <n v="156.819542692022"/>
    <n v="33.994257265487498"/>
    <s v="OK"/>
    <s v="NON-ZERO"/>
    <n v="155.291427061512"/>
    <n v="1.0098403090204375"/>
    <x v="1"/>
    <n v="1.5281156305100012"/>
    <x v="0"/>
    <n v="0"/>
  </r>
  <r>
    <x v="1"/>
    <d v="2024-01-24T18:00:00"/>
    <n v="6.7275605784726196E-14"/>
    <n v="6.5797464673319904E-14"/>
    <n v="6.5797464673319904E-14"/>
    <n v="83.026113319138105"/>
    <s v="OK"/>
    <s v="NON-ZERO"/>
    <n v="7.3478807948841102E-14"/>
    <n v="0.89546178701117118"/>
    <x v="1"/>
    <n v="-7.6813432755211977E-15"/>
    <x v="1"/>
    <n v="0"/>
  </r>
  <r>
    <x v="1"/>
    <d v="2024-01-24T19:00:00"/>
    <n v="0"/>
    <n v="0"/>
    <n v="0"/>
    <n v="62.957770751520897"/>
    <s v="OK"/>
    <s v="ZERO"/>
    <n v="0"/>
    <n v="0"/>
    <x v="0"/>
    <n v="0"/>
    <x v="0"/>
    <n v="0"/>
  </r>
  <r>
    <x v="1"/>
    <d v="2024-01-24T20:00:00"/>
    <n v="0"/>
    <n v="0"/>
    <n v="0"/>
    <n v="40.565966684311"/>
    <s v="OK"/>
    <s v="ZERO"/>
    <n v="0"/>
    <n v="0"/>
    <x v="0"/>
    <n v="0"/>
    <x v="0"/>
    <n v="0"/>
  </r>
  <r>
    <x v="1"/>
    <d v="2024-01-24T21:00:00"/>
    <n v="0"/>
    <n v="0"/>
    <n v="0"/>
    <n v="66.923743470608898"/>
    <s v="OK"/>
    <s v="ZERO"/>
    <n v="0"/>
    <n v="0"/>
    <x v="0"/>
    <n v="0"/>
    <x v="0"/>
    <n v="0"/>
  </r>
  <r>
    <x v="1"/>
    <d v="2024-01-24T22:00:00"/>
    <n v="0"/>
    <n v="0"/>
    <n v="0"/>
    <n v="46.436078520751302"/>
    <s v="OK"/>
    <s v="ZERO"/>
    <n v="0"/>
    <n v="0"/>
    <x v="0"/>
    <n v="0"/>
    <x v="0"/>
    <n v="0"/>
  </r>
  <r>
    <x v="1"/>
    <d v="2024-01-24T23:00:00"/>
    <n v="0"/>
    <n v="0"/>
    <n v="0"/>
    <n v="70.714680976740397"/>
    <s v="OK"/>
    <s v="ZERO"/>
    <n v="0"/>
    <n v="0"/>
    <x v="0"/>
    <n v="0"/>
    <x v="0"/>
    <n v="0"/>
  </r>
  <r>
    <x v="1"/>
    <d v="2024-01-25T00:00:00"/>
    <n v="0"/>
    <n v="0"/>
    <n v="0"/>
    <n v="63.406735726999898"/>
    <s v="OK"/>
    <s v="ZERO"/>
    <n v="0"/>
    <n v="0"/>
    <x v="0"/>
    <n v="0"/>
    <x v="0"/>
    <n v="0"/>
  </r>
  <r>
    <x v="1"/>
    <d v="2024-01-25T01:00:00"/>
    <n v="0"/>
    <n v="0"/>
    <n v="0"/>
    <n v="72.745792079933807"/>
    <s v="OK"/>
    <s v="ZERO"/>
    <n v="0"/>
    <n v="0"/>
    <x v="0"/>
    <n v="0"/>
    <x v="0"/>
    <n v="0"/>
  </r>
  <r>
    <x v="1"/>
    <d v="2024-01-25T02:00:00"/>
    <n v="0"/>
    <n v="0"/>
    <n v="0"/>
    <n v="43.562154787772897"/>
    <s v="OK"/>
    <s v="ZERO"/>
    <n v="0"/>
    <n v="0"/>
    <x v="0"/>
    <n v="0"/>
    <x v="0"/>
    <n v="0"/>
  </r>
  <r>
    <x v="1"/>
    <d v="2024-01-25T03:00:00"/>
    <n v="0"/>
    <n v="0"/>
    <n v="0"/>
    <n v="63.484463287471598"/>
    <s v="OK"/>
    <s v="ZERO"/>
    <n v="0"/>
    <n v="0"/>
    <x v="0"/>
    <n v="0"/>
    <x v="0"/>
    <n v="0"/>
  </r>
  <r>
    <x v="1"/>
    <d v="2024-01-25T04:00:00"/>
    <n v="0"/>
    <n v="0"/>
    <n v="0"/>
    <n v="57.077810828431801"/>
    <s v="OK"/>
    <s v="ZERO"/>
    <n v="0"/>
    <n v="0"/>
    <x v="0"/>
    <n v="0"/>
    <x v="0"/>
    <n v="0"/>
  </r>
  <r>
    <x v="1"/>
    <d v="2024-01-25T05:00:00"/>
    <n v="0"/>
    <n v="0"/>
    <n v="0"/>
    <n v="30.818001583857701"/>
    <s v="OK"/>
    <s v="ZERO"/>
    <n v="0"/>
    <n v="0"/>
    <x v="0"/>
    <n v="0"/>
    <x v="0"/>
    <n v="0"/>
  </r>
  <r>
    <x v="1"/>
    <d v="2024-01-25T06:00:00"/>
    <n v="0"/>
    <n v="0"/>
    <n v="0"/>
    <n v="68.444591976727907"/>
    <s v="OK"/>
    <s v="ZERO"/>
    <n v="0"/>
    <n v="0"/>
    <x v="0"/>
    <n v="0"/>
    <x v="0"/>
    <n v="0"/>
  </r>
  <r>
    <x v="1"/>
    <d v="2024-01-25T07:00:00"/>
    <n v="165.160545775065"/>
    <n v="161.53173277747399"/>
    <n v="161.53173277747399"/>
    <n v="71.257206136795205"/>
    <s v="OK"/>
    <s v="NON-ZERO"/>
    <n v="155.291427061512"/>
    <n v="1.0401844830332467"/>
    <x v="1"/>
    <n v="6.2403057159619948"/>
    <x v="0"/>
    <n v="0"/>
  </r>
  <r>
    <x v="1"/>
    <d v="2024-01-25T08:00:00"/>
    <n v="315.80433909324802"/>
    <n v="308.86566687574401"/>
    <n v="308.86566687574401"/>
    <n v="50.410375724781296"/>
    <s v="OK"/>
    <s v="NON-ZERO"/>
    <n v="300"/>
    <n v="1.0295522229191467"/>
    <x v="1"/>
    <n v="8.8656668757440116"/>
    <x v="0"/>
    <n v="0"/>
  </r>
  <r>
    <x v="1"/>
    <d v="2024-01-25T09:00:00"/>
    <n v="419.06667755505202"/>
    <n v="409.85918432940002"/>
    <n v="409.85918432940002"/>
    <n v="42.111292876007496"/>
    <s v="OK"/>
    <s v="NON-ZERO"/>
    <n v="424.26406871192802"/>
    <n v="0.96604736190302087"/>
    <x v="1"/>
    <n v="-14.404884382527996"/>
    <x v="1"/>
    <n v="0"/>
  </r>
  <r>
    <x v="1"/>
    <d v="2024-01-25T10:00:00"/>
    <n v="525.22484770837298"/>
    <n v="513.684907917803"/>
    <n v="513.684907917803"/>
    <n v="39.926417364969701"/>
    <s v="OK"/>
    <s v="NON-ZERO"/>
    <n v="519.61524227066297"/>
    <n v="0.98858706621663939"/>
    <x v="1"/>
    <n v="-5.9303343528599726"/>
    <x v="1"/>
    <n v="0"/>
  </r>
  <r>
    <x v="1"/>
    <d v="2024-01-25T11:00:00"/>
    <n v="471.23735977318699"/>
    <n v="460.88360217284401"/>
    <n v="460.88360217284401"/>
    <n v="69.2422026799739"/>
    <s v="OK"/>
    <s v="NON-ZERO"/>
    <n v="579.55549577344095"/>
    <n v="0.79523635878523702"/>
    <x v="0"/>
    <n v="-118.67189360059695"/>
    <x v="1"/>
    <n v="-5.9335946800298469"/>
  </r>
  <r>
    <x v="1"/>
    <d v="2024-01-25T12:00:00"/>
    <n v="567.93339352071803"/>
    <n v="555.45508600179801"/>
    <n v="555.45508600179801"/>
    <n v="42.619015240516298"/>
    <s v="OK"/>
    <s v="NON-ZERO"/>
    <n v="600"/>
    <n v="0.92575847666966338"/>
    <x v="1"/>
    <n v="-44.544913998201991"/>
    <x v="1"/>
    <n v="0"/>
  </r>
  <r>
    <x v="1"/>
    <d v="2024-01-25T13:00:00"/>
    <n v="570.41930844811998"/>
    <n v="557.88638182899604"/>
    <n v="557.88638182899604"/>
    <n v="26.976305694700599"/>
    <s v="OK"/>
    <s v="NON-ZERO"/>
    <n v="579.55549577344095"/>
    <n v="0.9626108041378737"/>
    <x v="1"/>
    <n v="-21.669113944444916"/>
    <x v="1"/>
    <n v="0"/>
  </r>
  <r>
    <x v="1"/>
    <d v="2024-01-25T14:00:00"/>
    <n v="543.05030584301699"/>
    <n v="531.11871528704501"/>
    <n v="531.11871528704501"/>
    <n v="68.257171213799793"/>
    <s v="OK"/>
    <s v="NON-ZERO"/>
    <n v="519.61524227066297"/>
    <n v="1.0221384441420791"/>
    <x v="1"/>
    <n v="11.503473016382031"/>
    <x v="0"/>
    <n v="0"/>
  </r>
  <r>
    <x v="1"/>
    <d v="2024-01-25T15:00:00"/>
    <n v="392.532292885088"/>
    <n v="383.90779797493298"/>
    <n v="383.90779797493298"/>
    <n v="32.513643365418297"/>
    <s v="OK"/>
    <s v="NON-ZERO"/>
    <n v="424.26406871192802"/>
    <n v="0.90487935766156846"/>
    <x v="1"/>
    <n v="-40.356270736995043"/>
    <x v="1"/>
    <n v="0"/>
  </r>
  <r>
    <x v="1"/>
    <d v="2024-01-25T16:00:00"/>
    <n v="313.27951206012398"/>
    <n v="306.39631389734302"/>
    <n v="306.39631389734302"/>
    <n v="71.200336434706898"/>
    <s v="OK"/>
    <s v="NON-ZERO"/>
    <n v="300"/>
    <n v="1.0213210463244768"/>
    <x v="1"/>
    <n v="6.3963138973430205"/>
    <x v="0"/>
    <n v="0"/>
  </r>
  <r>
    <x v="1"/>
    <d v="2024-01-25T17:00:00"/>
    <n v="133.816978527364"/>
    <n v="130.876828452783"/>
    <n v="130.876828452783"/>
    <n v="22.925481557211299"/>
    <s v="OK"/>
    <s v="NON-ZERO"/>
    <n v="155.291427061512"/>
    <n v="0.84278205776898296"/>
    <x v="0"/>
    <n v="-24.414598608728994"/>
    <x v="1"/>
    <n v="-1.2207299304364496"/>
  </r>
  <r>
    <x v="1"/>
    <d v="2024-01-25T18:00:00"/>
    <n v="7.4807542499731506E-14"/>
    <n v="7.3163913985022097E-14"/>
    <n v="7.3163913985022097E-14"/>
    <n v="94.371825722092098"/>
    <s v="OK"/>
    <s v="NON-ZERO"/>
    <n v="7.3478807948841102E-14"/>
    <n v="0.99571449275499613"/>
    <x v="1"/>
    <n v="-3.1489396381900497E-16"/>
    <x v="1"/>
    <n v="0"/>
  </r>
  <r>
    <x v="1"/>
    <d v="2024-01-25T19:00:00"/>
    <n v="0"/>
    <n v="0"/>
    <n v="0"/>
    <n v="70.572018027501798"/>
    <s v="OK"/>
    <s v="ZERO"/>
    <n v="0"/>
    <n v="0"/>
    <x v="0"/>
    <n v="0"/>
    <x v="0"/>
    <n v="0"/>
  </r>
  <r>
    <x v="1"/>
    <d v="2024-01-25T20:00:00"/>
    <n v="0"/>
    <n v="0"/>
    <n v="0"/>
    <n v="78.552447812872103"/>
    <s v="OK"/>
    <s v="ZERO"/>
    <n v="0"/>
    <n v="0"/>
    <x v="0"/>
    <n v="0"/>
    <x v="0"/>
    <n v="0"/>
  </r>
  <r>
    <x v="1"/>
    <d v="2024-01-25T21:00:00"/>
    <n v="0"/>
    <n v="0"/>
    <n v="0"/>
    <n v="67.297647123730997"/>
    <s v="OK"/>
    <s v="ZERO"/>
    <n v="0"/>
    <n v="0"/>
    <x v="0"/>
    <n v="0"/>
    <x v="0"/>
    <n v="0"/>
  </r>
  <r>
    <x v="1"/>
    <d v="2024-01-25T22:00:00"/>
    <n v="0"/>
    <n v="0"/>
    <n v="0"/>
    <n v="90.213242312487793"/>
    <s v="OK"/>
    <s v="ZERO"/>
    <n v="0"/>
    <n v="0"/>
    <x v="0"/>
    <n v="0"/>
    <x v="0"/>
    <n v="0"/>
  </r>
  <r>
    <x v="1"/>
    <d v="2024-01-25T23:00:00"/>
    <n v="0"/>
    <n v="0"/>
    <n v="0"/>
    <n v="85.605773724242397"/>
    <s v="OK"/>
    <s v="ZERO"/>
    <n v="0"/>
    <n v="0"/>
    <x v="0"/>
    <n v="0"/>
    <x v="0"/>
    <n v="0"/>
  </r>
  <r>
    <x v="1"/>
    <d v="2024-01-26T00:00:00"/>
    <n v="0"/>
    <n v="0"/>
    <n v="0"/>
    <n v="88.415617758614403"/>
    <s v="OK"/>
    <s v="ZERO"/>
    <n v="0"/>
    <n v="0"/>
    <x v="0"/>
    <n v="0"/>
    <x v="0"/>
    <n v="0"/>
  </r>
  <r>
    <x v="1"/>
    <d v="2024-01-26T01:00:00"/>
    <n v="0"/>
    <n v="0"/>
    <n v="0"/>
    <n v="39.286426333182099"/>
    <s v="OK"/>
    <s v="ZERO"/>
    <n v="0"/>
    <n v="0"/>
    <x v="0"/>
    <n v="0"/>
    <x v="0"/>
    <n v="0"/>
  </r>
  <r>
    <x v="1"/>
    <d v="2024-01-26T02:00:00"/>
    <n v="0"/>
    <n v="0"/>
    <n v="0"/>
    <n v="37.627347410893897"/>
    <s v="OK"/>
    <s v="ZERO"/>
    <n v="0"/>
    <n v="0"/>
    <x v="0"/>
    <n v="0"/>
    <x v="0"/>
    <n v="0"/>
  </r>
  <r>
    <x v="1"/>
    <d v="2024-01-26T03:00:00"/>
    <n v="0"/>
    <n v="0"/>
    <n v="0"/>
    <n v="64.703269660823494"/>
    <s v="OK"/>
    <s v="ZERO"/>
    <n v="0"/>
    <n v="0"/>
    <x v="0"/>
    <n v="0"/>
    <x v="0"/>
    <n v="0"/>
  </r>
  <r>
    <x v="1"/>
    <d v="2024-01-26T04:00:00"/>
    <n v="0"/>
    <n v="0"/>
    <n v="0"/>
    <n v="35.8573443499183"/>
    <s v="OK"/>
    <s v="ZERO"/>
    <n v="0"/>
    <n v="0"/>
    <x v="0"/>
    <n v="0"/>
    <x v="0"/>
    <n v="0"/>
  </r>
  <r>
    <x v="1"/>
    <d v="2024-01-26T05:00:00"/>
    <n v="0"/>
    <n v="0"/>
    <n v="0"/>
    <n v="92.408647595046503"/>
    <s v="OK"/>
    <s v="ZERO"/>
    <n v="0"/>
    <n v="0"/>
    <x v="0"/>
    <n v="0"/>
    <x v="0"/>
    <n v="0"/>
  </r>
  <r>
    <x v="1"/>
    <d v="2024-01-26T06:00:00"/>
    <n v="0"/>
    <n v="0"/>
    <n v="0"/>
    <n v="93.307863815300905"/>
    <s v="OK"/>
    <s v="ZERO"/>
    <n v="0"/>
    <n v="0"/>
    <x v="0"/>
    <n v="0"/>
    <x v="0"/>
    <n v="0"/>
  </r>
  <r>
    <x v="1"/>
    <d v="2024-01-26T07:00:00"/>
    <n v="156.86114321271401"/>
    <n v="153.414679938837"/>
    <n v="153.414679938837"/>
    <n v="42.456734360233"/>
    <s v="OK"/>
    <s v="NON-ZERO"/>
    <n v="155.291427061512"/>
    <n v="0.98791467656529675"/>
    <x v="1"/>
    <n v="-1.876747122674999"/>
    <x v="1"/>
    <n v="0"/>
  </r>
  <r>
    <x v="1"/>
    <d v="2024-01-26T08:00:00"/>
    <n v="279.02006880170899"/>
    <n v="272.88959952101698"/>
    <n v="272.88959952101698"/>
    <n v="26.629772536006801"/>
    <s v="OK"/>
    <s v="NON-ZERO"/>
    <n v="300"/>
    <n v="0.90963199840338993"/>
    <x v="1"/>
    <n v="-27.110400478983024"/>
    <x v="1"/>
    <n v="0"/>
  </r>
  <r>
    <x v="1"/>
    <d v="2024-01-26T09:00:00"/>
    <n v="388.238294940787"/>
    <n v="379.70814529619599"/>
    <n v="379.70814529619599"/>
    <n v="67.226269644440194"/>
    <s v="OK"/>
    <s v="NON-ZERO"/>
    <n v="424.26406871192802"/>
    <n v="0.89498068136902453"/>
    <x v="1"/>
    <n v="-44.555923415732025"/>
    <x v="1"/>
    <n v="0"/>
  </r>
  <r>
    <x v="1"/>
    <d v="2024-01-26T10:00:00"/>
    <n v="450.46396972078799"/>
    <n v="440.566633158971"/>
    <n v="440.566633158971"/>
    <n v="41.110797683818902"/>
    <s v="OK"/>
    <s v="NON-ZERO"/>
    <n v="519.61524227066297"/>
    <n v="0.84787088083433038"/>
    <x v="0"/>
    <n v="-79.048609111691974"/>
    <x v="1"/>
    <n v="-3.9524304555845986"/>
  </r>
  <r>
    <x v="1"/>
    <d v="2024-01-26T11:00:00"/>
    <n v="538.471711344097"/>
    <n v="526.64071904632601"/>
    <n v="526.64071904632601"/>
    <n v="29.028361212915001"/>
    <s v="OK"/>
    <s v="NON-ZERO"/>
    <n v="579.55549577344095"/>
    <n v="0.90869765343783349"/>
    <x v="1"/>
    <n v="-52.914776727114941"/>
    <x v="1"/>
    <n v="0"/>
  </r>
  <r>
    <x v="1"/>
    <d v="2024-01-26T12:00:00"/>
    <n v="600.47219166759498"/>
    <n v="587.278960296327"/>
    <n v="587.278960296327"/>
    <n v="53.441496489485502"/>
    <s v="OK"/>
    <s v="NON-ZERO"/>
    <n v="600"/>
    <n v="0.97879826716054497"/>
    <x v="1"/>
    <n v="-12.721039703673"/>
    <x v="1"/>
    <n v="0"/>
  </r>
  <r>
    <x v="1"/>
    <d v="2024-01-26T13:00:00"/>
    <n v="556.12234636827498"/>
    <n v="543.90354441844102"/>
    <n v="543.90354441844102"/>
    <n v="33.047277942750398"/>
    <s v="OK"/>
    <s v="NON-ZERO"/>
    <n v="579.55549577344095"/>
    <n v="0.93848397329504929"/>
    <x v="1"/>
    <n v="-35.651951354999937"/>
    <x v="1"/>
    <n v="0"/>
  </r>
  <r>
    <x v="1"/>
    <d v="2024-01-26T14:00:00"/>
    <n v="543.25032380603398"/>
    <n v="531.31433856984097"/>
    <n v="531.31433856984097"/>
    <n v="60.109959971089403"/>
    <s v="OK"/>
    <s v="NON-ZERO"/>
    <n v="519.61524227066297"/>
    <n v="1.0225149213253526"/>
    <x v="1"/>
    <n v="11.699096299177995"/>
    <x v="0"/>
    <n v="0"/>
  </r>
  <r>
    <x v="1"/>
    <d v="2024-01-26T15:00:00"/>
    <n v="362.10249627935701"/>
    <n v="354.14658744657697"/>
    <n v="354.14658744657697"/>
    <n v="81.204256783574195"/>
    <s v="OK"/>
    <s v="NON-ZERO"/>
    <n v="424.26406871192802"/>
    <n v="0.83473151172516502"/>
    <x v="0"/>
    <n v="-70.117481265351046"/>
    <x v="1"/>
    <n v="-3.505874063267552"/>
  </r>
  <r>
    <x v="1"/>
    <d v="2024-01-26T16:00:00"/>
    <n v="313.87046607837402"/>
    <n v="306.97428381208198"/>
    <n v="306.97428381208198"/>
    <n v="50.8206914262582"/>
    <s v="OK"/>
    <s v="NON-ZERO"/>
    <n v="300"/>
    <n v="1.0232476127069399"/>
    <x v="1"/>
    <n v="6.9742838120819783"/>
    <x v="0"/>
    <n v="0"/>
  </r>
  <r>
    <x v="1"/>
    <d v="2024-01-26T17:00:00"/>
    <n v="144.101589049083"/>
    <n v="140.93547139755299"/>
    <n v="140.93547139755299"/>
    <n v="51.303720635035397"/>
    <s v="OK"/>
    <s v="NON-ZERO"/>
    <n v="155.291427061512"/>
    <n v="0.90755474442080752"/>
    <x v="1"/>
    <n v="-14.355955663959008"/>
    <x v="1"/>
    <n v="0"/>
  </r>
  <r>
    <x v="1"/>
    <d v="2024-01-26T18:00:00"/>
    <n v="6.6033306402807999E-14"/>
    <n v="6.4582460382507495E-14"/>
    <n v="6.4582460382507495E-14"/>
    <n v="57.953351930887699"/>
    <s v="OK"/>
    <s v="NON-ZERO"/>
    <n v="7.3478807948841102E-14"/>
    <n v="0.87892634877082376"/>
    <x v="1"/>
    <n v="-8.8963475663336064E-15"/>
    <x v="1"/>
    <n v="0"/>
  </r>
  <r>
    <x v="1"/>
    <d v="2024-01-26T19:00:00"/>
    <n v="0"/>
    <n v="0"/>
    <n v="0"/>
    <n v="83.868605001292707"/>
    <s v="OK"/>
    <s v="ZERO"/>
    <n v="0"/>
    <n v="0"/>
    <x v="0"/>
    <n v="0"/>
    <x v="0"/>
    <n v="0"/>
  </r>
  <r>
    <x v="1"/>
    <d v="2024-01-26T20:00:00"/>
    <n v="0"/>
    <n v="0"/>
    <n v="0"/>
    <n v="20.6464251943835"/>
    <s v="OK"/>
    <s v="ZERO"/>
    <n v="0"/>
    <n v="0"/>
    <x v="0"/>
    <n v="0"/>
    <x v="0"/>
    <n v="0"/>
  </r>
  <r>
    <x v="1"/>
    <d v="2024-01-26T21:00:00"/>
    <n v="0"/>
    <n v="0"/>
    <n v="0"/>
    <n v="54.1546178935955"/>
    <s v="OK"/>
    <s v="ZERO"/>
    <n v="0"/>
    <n v="0"/>
    <x v="0"/>
    <n v="0"/>
    <x v="0"/>
    <n v="0"/>
  </r>
  <r>
    <x v="1"/>
    <d v="2024-01-26T22:00:00"/>
    <n v="0"/>
    <n v="0"/>
    <n v="0"/>
    <n v="53.2020276475576"/>
    <s v="OK"/>
    <s v="ZERO"/>
    <n v="0"/>
    <n v="0"/>
    <x v="0"/>
    <n v="0"/>
    <x v="0"/>
    <n v="0"/>
  </r>
  <r>
    <x v="1"/>
    <d v="2024-01-26T23:00:00"/>
    <n v="0"/>
    <n v="0"/>
    <n v="0"/>
    <n v="80.985650336129396"/>
    <s v="OK"/>
    <s v="ZERO"/>
    <n v="0"/>
    <n v="0"/>
    <x v="0"/>
    <n v="0"/>
    <x v="0"/>
    <n v="0"/>
  </r>
  <r>
    <x v="1"/>
    <d v="2024-01-27T00:00:00"/>
    <n v="0"/>
    <n v="0"/>
    <n v="0"/>
    <n v="82.245469490933203"/>
    <s v="OK"/>
    <s v="ZERO"/>
    <n v="0"/>
    <n v="0"/>
    <x v="0"/>
    <n v="0"/>
    <x v="0"/>
    <n v="0"/>
  </r>
  <r>
    <x v="1"/>
    <d v="2024-01-27T01:00:00"/>
    <n v="0"/>
    <n v="0"/>
    <n v="0"/>
    <n v="85.025870518294994"/>
    <s v="OK"/>
    <s v="ZERO"/>
    <n v="0"/>
    <n v="0"/>
    <x v="0"/>
    <n v="0"/>
    <x v="0"/>
    <n v="0"/>
  </r>
  <r>
    <x v="1"/>
    <d v="2024-01-27T02:00:00"/>
    <n v="0"/>
    <n v="0"/>
    <n v="0"/>
    <n v="67.0101972548633"/>
    <s v="OK"/>
    <s v="ZERO"/>
    <n v="0"/>
    <n v="0"/>
    <x v="0"/>
    <n v="0"/>
    <x v="0"/>
    <n v="0"/>
  </r>
  <r>
    <x v="1"/>
    <d v="2024-01-27T03:00:00"/>
    <n v="0"/>
    <n v="0"/>
    <n v="0"/>
    <n v="56.0137636446415"/>
    <s v="OK"/>
    <s v="ZERO"/>
    <n v="0"/>
    <n v="0"/>
    <x v="0"/>
    <n v="0"/>
    <x v="0"/>
    <n v="0"/>
  </r>
  <r>
    <x v="1"/>
    <d v="2024-01-27T04:00:00"/>
    <n v="0"/>
    <n v="0"/>
    <n v="0"/>
    <n v="53.834755234838099"/>
    <s v="OK"/>
    <s v="ZERO"/>
    <n v="0"/>
    <n v="0"/>
    <x v="0"/>
    <n v="0"/>
    <x v="0"/>
    <n v="0"/>
  </r>
  <r>
    <x v="1"/>
    <d v="2024-01-27T05:00:00"/>
    <n v="0"/>
    <n v="0"/>
    <n v="0"/>
    <n v="56.927528652593601"/>
    <s v="OK"/>
    <s v="ZERO"/>
    <n v="0"/>
    <n v="0"/>
    <x v="0"/>
    <n v="0"/>
    <x v="0"/>
    <n v="0"/>
  </r>
  <r>
    <x v="1"/>
    <d v="2024-01-27T06:00:00"/>
    <n v="0"/>
    <n v="0"/>
    <n v="0"/>
    <n v="45.155511012226"/>
    <s v="OK"/>
    <s v="ZERO"/>
    <n v="0"/>
    <n v="0"/>
    <x v="0"/>
    <n v="0"/>
    <x v="0"/>
    <n v="0"/>
  </r>
  <r>
    <x v="1"/>
    <d v="2024-01-27T07:00:00"/>
    <n v="132.58688894044801"/>
    <n v="129.673765690344"/>
    <n v="129.673765690344"/>
    <n v="67.365828400712005"/>
    <s v="OK"/>
    <s v="NON-ZERO"/>
    <n v="155.291427061512"/>
    <n v="0.83503492848307292"/>
    <x v="0"/>
    <n v="-25.617661371167998"/>
    <x v="1"/>
    <n v="-1.2808830685583998"/>
  </r>
  <r>
    <x v="1"/>
    <d v="2024-01-27T08:00:00"/>
    <n v="262.425742817757"/>
    <n v="256.65987457137601"/>
    <n v="256.65987457137601"/>
    <n v="66.721553313753603"/>
    <s v="OK"/>
    <s v="NON-ZERO"/>
    <n v="300"/>
    <n v="0.85553291523792008"/>
    <x v="1"/>
    <n v="-43.340125428623992"/>
    <x v="1"/>
    <n v="0"/>
  </r>
  <r>
    <x v="1"/>
    <d v="2024-01-27T09:00:00"/>
    <n v="406.74971658435101"/>
    <n v="397.81284457668602"/>
    <n v="397.81284457668602"/>
    <n v="36.535286074952701"/>
    <s v="OK"/>
    <s v="NON-ZERO"/>
    <n v="424.26406871192802"/>
    <n v="0.93765386681095031"/>
    <x v="1"/>
    <n v="-26.451224135242001"/>
    <x v="1"/>
    <n v="0"/>
  </r>
  <r>
    <x v="1"/>
    <d v="2024-01-27T10:00:00"/>
    <n v="481.86854148536997"/>
    <n v="471.28120164420801"/>
    <n v="471.28120164420801"/>
    <n v="51.4192718594689"/>
    <s v="OK"/>
    <s v="NON-ZERO"/>
    <n v="519.61524227066297"/>
    <n v="0.90698109544431305"/>
    <x v="1"/>
    <n v="-48.334040626454964"/>
    <x v="1"/>
    <n v="0"/>
  </r>
  <r>
    <x v="1"/>
    <d v="2024-01-27T11:00:00"/>
    <n v="503.582190546905"/>
    <n v="492.51777083433802"/>
    <n v="492.51777083433802"/>
    <n v="93.843192228208395"/>
    <s v="OK"/>
    <s v="NON-ZERO"/>
    <n v="579.55549577344095"/>
    <n v="0.84981986095577011"/>
    <x v="0"/>
    <n v="-87.03772493910293"/>
    <x v="1"/>
    <n v="-4.3518862469551465"/>
  </r>
  <r>
    <x v="1"/>
    <d v="2024-01-27T12:00:00"/>
    <n v="518.13648002589798"/>
    <n v="506.75228179368401"/>
    <n v="506.75228179368401"/>
    <n v="92.437750160568697"/>
    <s v="OK"/>
    <s v="NON-ZERO"/>
    <n v="600"/>
    <n v="0.84458713632280669"/>
    <x v="0"/>
    <n v="-93.247718206315994"/>
    <x v="1"/>
    <n v="-4.6623859103157992"/>
  </r>
  <r>
    <x v="1"/>
    <d v="2024-01-27T13:00:00"/>
    <n v="589.42464797867297"/>
    <n v="576.47414691531105"/>
    <n v="576.47414691531105"/>
    <n v="38.409084690419697"/>
    <s v="OK"/>
    <s v="NON-ZERO"/>
    <n v="579.55549577344095"/>
    <n v="0.99468325487274056"/>
    <x v="1"/>
    <n v="-3.0813488581298998"/>
    <x v="1"/>
    <n v="0"/>
  </r>
  <r>
    <x v="1"/>
    <d v="2024-01-27T14:00:00"/>
    <n v="527.50761152910798"/>
    <n v="515.91751615819499"/>
    <n v="515.91751615819499"/>
    <n v="86.935182046400797"/>
    <s v="OK"/>
    <s v="NON-ZERO"/>
    <n v="519.61524227066297"/>
    <n v="0.99288372277859027"/>
    <x v="1"/>
    <n v="-3.6977261124679899"/>
    <x v="1"/>
    <n v="0"/>
  </r>
  <r>
    <x v="1"/>
    <d v="2024-01-27T15:00:00"/>
    <n v="424.78748050695901"/>
    <n v="415.45429307261298"/>
    <n v="415.45429307261298"/>
    <n v="38.621560972313397"/>
    <s v="OK"/>
    <s v="NON-ZERO"/>
    <n v="424.26406871192802"/>
    <n v="0.97923515968236097"/>
    <x v="1"/>
    <n v="-8.8097756393150348"/>
    <x v="1"/>
    <n v="0"/>
  </r>
  <r>
    <x v="1"/>
    <d v="2024-01-27T16:00:00"/>
    <n v="303.84841497637899"/>
    <n v="297.17243148171701"/>
    <n v="297.17243148171701"/>
    <n v="41.0963422664775"/>
    <s v="OK"/>
    <s v="NON-ZERO"/>
    <n v="300"/>
    <n v="0.99057477160572338"/>
    <x v="1"/>
    <n v="-2.8275685182829875"/>
    <x v="1"/>
    <n v="0"/>
  </r>
  <r>
    <x v="1"/>
    <d v="2024-01-27T17:00:00"/>
    <n v="159.81279659676099"/>
    <n v="156.301481283832"/>
    <n v="156.301481283832"/>
    <n v="21.473861206013499"/>
    <s v="OK"/>
    <s v="NON-ZERO"/>
    <n v="155.291427061512"/>
    <n v="1.0065042497286081"/>
    <x v="1"/>
    <n v="1.010054222320008"/>
    <x v="0"/>
    <n v="0"/>
  </r>
  <r>
    <x v="1"/>
    <d v="2024-01-27T18:00:00"/>
    <n v="0"/>
    <n v="0"/>
    <n v="0"/>
    <n v="81.907992181147094"/>
    <s v="OK"/>
    <s v="ZERO"/>
    <n v="7.3478807948841102E-14"/>
    <n v="0"/>
    <x v="0"/>
    <n v="-7.3478807948841102E-14"/>
    <x v="1"/>
    <n v="-3.6739403974420552E-15"/>
  </r>
  <r>
    <x v="1"/>
    <d v="2024-01-27T19:00:00"/>
    <n v="0"/>
    <n v="0"/>
    <n v="0"/>
    <n v="79.256243747857795"/>
    <s v="OK"/>
    <s v="ZERO"/>
    <n v="0"/>
    <n v="0"/>
    <x v="0"/>
    <n v="0"/>
    <x v="0"/>
    <n v="0"/>
  </r>
  <r>
    <x v="1"/>
    <d v="2024-01-27T20:00:00"/>
    <n v="0"/>
    <n v="0"/>
    <n v="0"/>
    <n v="47.654386660313399"/>
    <s v="OK"/>
    <s v="ZERO"/>
    <n v="0"/>
    <n v="0"/>
    <x v="0"/>
    <n v="0"/>
    <x v="0"/>
    <n v="0"/>
  </r>
  <r>
    <x v="1"/>
    <d v="2024-01-27T21:00:00"/>
    <n v="0"/>
    <n v="0"/>
    <n v="0"/>
    <n v="50.0267470129873"/>
    <s v="OK"/>
    <s v="ZERO"/>
    <n v="0"/>
    <n v="0"/>
    <x v="0"/>
    <n v="0"/>
    <x v="0"/>
    <n v="0"/>
  </r>
  <r>
    <x v="1"/>
    <d v="2024-01-27T22:00:00"/>
    <n v="0"/>
    <n v="0"/>
    <n v="0"/>
    <n v="87.314924489156297"/>
    <s v="OK"/>
    <s v="ZERO"/>
    <n v="0"/>
    <n v="0"/>
    <x v="0"/>
    <n v="0"/>
    <x v="0"/>
    <n v="0"/>
  </r>
  <r>
    <x v="1"/>
    <d v="2024-01-27T23:00:00"/>
    <n v="0"/>
    <n v="0"/>
    <n v="0"/>
    <n v="90.236999848266905"/>
    <s v="OK"/>
    <s v="ZERO"/>
    <n v="0"/>
    <n v="0"/>
    <x v="0"/>
    <n v="0"/>
    <x v="0"/>
    <n v="0"/>
  </r>
  <r>
    <x v="1"/>
    <d v="2024-01-28T00:00:00"/>
    <n v="0"/>
    <n v="0"/>
    <n v="0"/>
    <n v="83.759955101377699"/>
    <s v="OK"/>
    <s v="ZERO"/>
    <n v="0"/>
    <n v="0"/>
    <x v="0"/>
    <n v="0"/>
    <x v="0"/>
    <n v="0"/>
  </r>
  <r>
    <x v="1"/>
    <d v="2024-01-28T01:00:00"/>
    <n v="0"/>
    <n v="0"/>
    <n v="0"/>
    <n v="23.7395109799373"/>
    <s v="OK"/>
    <s v="ZERO"/>
    <n v="0"/>
    <n v="0"/>
    <x v="0"/>
    <n v="0"/>
    <x v="0"/>
    <n v="0"/>
  </r>
  <r>
    <x v="1"/>
    <d v="2024-01-28T02:00:00"/>
    <n v="0"/>
    <n v="0"/>
    <n v="0"/>
    <n v="21.272684698659901"/>
    <s v="OK"/>
    <s v="ZERO"/>
    <n v="0"/>
    <n v="0"/>
    <x v="0"/>
    <n v="0"/>
    <x v="0"/>
    <n v="0"/>
  </r>
  <r>
    <x v="1"/>
    <d v="2024-01-28T03:00:00"/>
    <n v="0"/>
    <n v="0"/>
    <n v="0"/>
    <n v="30.7296464542551"/>
    <s v="OK"/>
    <s v="ZERO"/>
    <n v="0"/>
    <n v="0"/>
    <x v="0"/>
    <n v="0"/>
    <x v="0"/>
    <n v="0"/>
  </r>
  <r>
    <x v="1"/>
    <d v="2024-01-28T04:00:00"/>
    <n v="0"/>
    <n v="0"/>
    <n v="0"/>
    <n v="81.699310136031997"/>
    <s v="OK"/>
    <s v="ZERO"/>
    <n v="0"/>
    <n v="0"/>
    <x v="0"/>
    <n v="0"/>
    <x v="0"/>
    <n v="0"/>
  </r>
  <r>
    <x v="1"/>
    <d v="2024-01-28T05:00:00"/>
    <n v="0"/>
    <n v="0"/>
    <n v="0"/>
    <n v="54.467223312914101"/>
    <s v="OK"/>
    <s v="ZERO"/>
    <n v="0"/>
    <n v="0"/>
    <x v="0"/>
    <n v="0"/>
    <x v="0"/>
    <n v="0"/>
  </r>
  <r>
    <x v="1"/>
    <d v="2024-01-28T06:00:00"/>
    <n v="0"/>
    <n v="0"/>
    <n v="0"/>
    <n v="77.386163739594707"/>
    <s v="OK"/>
    <s v="ZERO"/>
    <n v="0"/>
    <n v="0"/>
    <x v="0"/>
    <n v="0"/>
    <x v="0"/>
    <n v="0"/>
  </r>
  <r>
    <x v="1"/>
    <d v="2024-01-28T07:00:00"/>
    <n v="147.50614071579699"/>
    <n v="144.265220203322"/>
    <n v="144.265220203322"/>
    <n v="68.619271555836605"/>
    <s v="OK"/>
    <s v="NON-ZERO"/>
    <n v="155.291427061512"/>
    <n v="0.92899668019779069"/>
    <x v="1"/>
    <n v="-11.026206858189994"/>
    <x v="1"/>
    <n v="0"/>
  </r>
  <r>
    <x v="1"/>
    <d v="2024-01-28T08:00:00"/>
    <n v="287.82885683015797"/>
    <n v="281.50484589979101"/>
    <n v="281.50484589979101"/>
    <n v="92.175354311090501"/>
    <s v="OK"/>
    <s v="NON-ZERO"/>
    <n v="300"/>
    <n v="0.93834948633263671"/>
    <x v="1"/>
    <n v="-18.495154100208993"/>
    <x v="1"/>
    <n v="0"/>
  </r>
  <r>
    <x v="1"/>
    <d v="2024-01-28T09:00:00"/>
    <n v="399.53133580464799"/>
    <n v="390.75306192871102"/>
    <n v="390.75306192871102"/>
    <n v="67.012467831129996"/>
    <s v="OK"/>
    <s v="NON-ZERO"/>
    <n v="424.26406871192802"/>
    <n v="0.92101379953066276"/>
    <x v="1"/>
    <n v="-33.511006783216999"/>
    <x v="1"/>
    <n v="0"/>
  </r>
  <r>
    <x v="1"/>
    <d v="2024-01-28T10:00:00"/>
    <n v="521.58114390553999"/>
    <n v="510.12126148979303"/>
    <n v="510.12126148979303"/>
    <n v="57.640214826837699"/>
    <s v="OK"/>
    <s v="NON-ZERO"/>
    <n v="519.61524227066297"/>
    <n v="0.98172882546827867"/>
    <x v="1"/>
    <n v="-9.493980780869947"/>
    <x v="1"/>
    <n v="0"/>
  </r>
  <r>
    <x v="1"/>
    <d v="2024-01-28T11:00:00"/>
    <n v="525.24657914369698"/>
    <n v="513.70616188246697"/>
    <n v="513.70616188246697"/>
    <n v="29.9352992256444"/>
    <s v="OK"/>
    <s v="NON-ZERO"/>
    <n v="579.55549577344095"/>
    <n v="0.88637958854467369"/>
    <x v="1"/>
    <n v="-65.84933389097398"/>
    <x v="1"/>
    <n v="0"/>
  </r>
  <r>
    <x v="1"/>
    <d v="2024-01-28T12:00:00"/>
    <n v="653.95261290946803"/>
    <n v="639.58434032718696"/>
    <n v="639.58434032718696"/>
    <n v="83.996359892540099"/>
    <s v="OK"/>
    <s v="NON-ZERO"/>
    <n v="600"/>
    <n v="1.0659739005453117"/>
    <x v="1"/>
    <n v="39.584340327186965"/>
    <x v="0"/>
    <n v="0"/>
  </r>
  <r>
    <x v="1"/>
    <d v="2024-01-28T13:00:00"/>
    <n v="632.84085880610201"/>
    <n v="618.93644160364397"/>
    <n v="618.93644160364397"/>
    <n v="26.804066206087299"/>
    <s v="OK"/>
    <s v="NON-ZERO"/>
    <n v="579.55549577344095"/>
    <n v="1.0679502586333816"/>
    <x v="1"/>
    <n v="39.380945830203018"/>
    <x v="0"/>
    <n v="0"/>
  </r>
  <r>
    <x v="1"/>
    <d v="2024-01-28T14:00:00"/>
    <n v="514.90120432010701"/>
    <n v="503.58808971429301"/>
    <n v="503.58808971429301"/>
    <n v="27.587421470982701"/>
    <s v="OK"/>
    <s v="NON-ZERO"/>
    <n v="519.61524227066297"/>
    <n v="0.96915573052412196"/>
    <x v="1"/>
    <n v="-16.02715255636997"/>
    <x v="1"/>
    <n v="0"/>
  </r>
  <r>
    <x v="1"/>
    <d v="2024-01-28T15:00:00"/>
    <n v="392.05572616007697"/>
    <n v="383.44170210128402"/>
    <n v="383.44170210128402"/>
    <n v="79.168547222439997"/>
    <s v="OK"/>
    <s v="NON-ZERO"/>
    <n v="424.26406871192802"/>
    <n v="0.9037807591517677"/>
    <x v="1"/>
    <n v="-40.822366610643996"/>
    <x v="1"/>
    <n v="0"/>
  </r>
  <r>
    <x v="1"/>
    <d v="2024-01-28T16:00:00"/>
    <n v="298.88315325043402"/>
    <n v="292.31626364501199"/>
    <n v="292.31626364501199"/>
    <n v="85.525852592056097"/>
    <s v="OK"/>
    <s v="NON-ZERO"/>
    <n v="300"/>
    <n v="0.97438754548337325"/>
    <x v="1"/>
    <n v="-7.6837363549880138"/>
    <x v="1"/>
    <n v="0"/>
  </r>
  <r>
    <x v="1"/>
    <d v="2024-01-28T17:00:00"/>
    <n v="133.778329566975"/>
    <n v="130.839028665234"/>
    <n v="130.839028665234"/>
    <n v="64.518144081072293"/>
    <s v="OK"/>
    <s v="NON-ZERO"/>
    <n v="155.291427061512"/>
    <n v="0.84253864582883742"/>
    <x v="0"/>
    <n v="-24.452398396277999"/>
    <x v="1"/>
    <n v="-1.2226199198139001"/>
  </r>
  <r>
    <x v="1"/>
    <d v="2024-01-28T18:00:00"/>
    <n v="6.87762522016716E-14"/>
    <n v="6.7265139745946794E-14"/>
    <n v="6.7265139745946794E-14"/>
    <n v="76.915110081346199"/>
    <s v="OK"/>
    <s v="NON-ZERO"/>
    <n v="7.3478807948841102E-14"/>
    <n v="0.9154359144309947"/>
    <x v="1"/>
    <n v="-6.2136682028943072E-15"/>
    <x v="1"/>
    <n v="0"/>
  </r>
  <r>
    <x v="1"/>
    <d v="2024-01-28T19:00:00"/>
    <n v="0"/>
    <n v="0"/>
    <n v="0"/>
    <n v="81.096879201943693"/>
    <s v="OK"/>
    <s v="ZERO"/>
    <n v="0"/>
    <n v="0"/>
    <x v="0"/>
    <n v="0"/>
    <x v="0"/>
    <n v="0"/>
  </r>
  <r>
    <x v="1"/>
    <d v="2024-01-28T20:00:00"/>
    <n v="0"/>
    <n v="0"/>
    <n v="0"/>
    <n v="49.564287094993098"/>
    <s v="OK"/>
    <s v="ZERO"/>
    <n v="0"/>
    <n v="0"/>
    <x v="0"/>
    <n v="0"/>
    <x v="0"/>
    <n v="0"/>
  </r>
  <r>
    <x v="1"/>
    <d v="2024-01-28T21:00:00"/>
    <n v="0"/>
    <n v="0"/>
    <n v="0"/>
    <n v="55.392688292339201"/>
    <s v="OK"/>
    <s v="ZERO"/>
    <n v="0"/>
    <n v="0"/>
    <x v="0"/>
    <n v="0"/>
    <x v="0"/>
    <n v="0"/>
  </r>
  <r>
    <x v="1"/>
    <d v="2024-01-28T22:00:00"/>
    <n v="0"/>
    <n v="0"/>
    <n v="0"/>
    <n v="44.997489490289297"/>
    <s v="OK"/>
    <s v="ZERO"/>
    <n v="0"/>
    <n v="0"/>
    <x v="0"/>
    <n v="0"/>
    <x v="0"/>
    <n v="0"/>
  </r>
  <r>
    <x v="1"/>
    <d v="2024-01-28T23:00:00"/>
    <n v="0"/>
    <n v="0"/>
    <n v="0"/>
    <n v="37.875290797099701"/>
    <s v="OK"/>
    <s v="ZERO"/>
    <n v="0"/>
    <n v="0"/>
    <x v="0"/>
    <n v="0"/>
    <x v="0"/>
    <n v="0"/>
  </r>
  <r>
    <x v="1"/>
    <d v="2024-01-29T00:00:00"/>
    <n v="0"/>
    <n v="0"/>
    <n v="0"/>
    <n v="37.913387030270499"/>
    <s v="OK"/>
    <s v="ZERO"/>
    <n v="0"/>
    <n v="0"/>
    <x v="0"/>
    <n v="0"/>
    <x v="0"/>
    <n v="0"/>
  </r>
  <r>
    <x v="1"/>
    <d v="2024-01-29T01:00:00"/>
    <n v="0"/>
    <n v="0"/>
    <n v="0"/>
    <n v="32.664446702527599"/>
    <s v="OK"/>
    <s v="ZERO"/>
    <n v="0"/>
    <n v="0"/>
    <x v="0"/>
    <n v="0"/>
    <x v="0"/>
    <n v="0"/>
  </r>
  <r>
    <x v="1"/>
    <d v="2024-01-29T02:00:00"/>
    <n v="0"/>
    <n v="0"/>
    <n v="0"/>
    <n v="60.808146795460097"/>
    <s v="OK"/>
    <s v="ZERO"/>
    <n v="0"/>
    <n v="0"/>
    <x v="0"/>
    <n v="0"/>
    <x v="0"/>
    <n v="0"/>
  </r>
  <r>
    <x v="1"/>
    <d v="2024-01-29T03:00:00"/>
    <n v="0"/>
    <n v="0"/>
    <n v="0"/>
    <n v="53.547706718945001"/>
    <s v="OK"/>
    <s v="ZERO"/>
    <n v="0"/>
    <n v="0"/>
    <x v="0"/>
    <n v="0"/>
    <x v="0"/>
    <n v="0"/>
  </r>
  <r>
    <x v="1"/>
    <d v="2024-01-29T04:00:00"/>
    <n v="0"/>
    <n v="0"/>
    <n v="0"/>
    <n v="54.332345952810002"/>
    <s v="OK"/>
    <s v="ZERO"/>
    <n v="0"/>
    <n v="0"/>
    <x v="0"/>
    <n v="0"/>
    <x v="0"/>
    <n v="0"/>
  </r>
  <r>
    <x v="1"/>
    <d v="2024-01-29T05:00:00"/>
    <n v="0"/>
    <n v="0"/>
    <n v="0"/>
    <n v="73.197209535557604"/>
    <s v="OK"/>
    <s v="ZERO"/>
    <n v="0"/>
    <n v="0"/>
    <x v="0"/>
    <n v="0"/>
    <x v="0"/>
    <n v="0"/>
  </r>
  <r>
    <x v="1"/>
    <d v="2024-01-29T06:00:00"/>
    <n v="0"/>
    <n v="0"/>
    <n v="0"/>
    <n v="62.280282608404903"/>
    <s v="OK"/>
    <s v="ZERO"/>
    <n v="0"/>
    <n v="0"/>
    <x v="0"/>
    <n v="0"/>
    <x v="0"/>
    <n v="0"/>
  </r>
  <r>
    <x v="1"/>
    <d v="2024-01-29T07:00:00"/>
    <n v="143.87072330463701"/>
    <n v="140.70967810312899"/>
    <n v="140.70967810312899"/>
    <n v="23.9209327451569"/>
    <s v="OK"/>
    <s v="NON-ZERO"/>
    <n v="155.291427061512"/>
    <n v="0.90610074725756062"/>
    <x v="1"/>
    <n v="-14.581748958383002"/>
    <x v="1"/>
    <n v="0"/>
  </r>
  <r>
    <x v="1"/>
    <d v="2024-01-29T08:00:00"/>
    <n v="277.54244523469902"/>
    <n v="271.44444145344198"/>
    <n v="271.44444145344198"/>
    <n v="74.201268085586406"/>
    <s v="OK"/>
    <s v="NON-ZERO"/>
    <n v="300"/>
    <n v="0.90481480484480659"/>
    <x v="1"/>
    <n v="-28.555558546558018"/>
    <x v="1"/>
    <n v="0"/>
  </r>
  <r>
    <x v="1"/>
    <d v="2024-01-29T09:00:00"/>
    <n v="415.37052385482201"/>
    <n v="406.244240403123"/>
    <n v="406.244240403123"/>
    <n v="29.497784413878001"/>
    <s v="OK"/>
    <s v="NON-ZERO"/>
    <n v="424.26406871192802"/>
    <n v="0.95752685735675547"/>
    <x v="1"/>
    <n v="-18.019828308805018"/>
    <x v="1"/>
    <n v="0"/>
  </r>
  <r>
    <x v="1"/>
    <d v="2024-01-29T10:00:00"/>
    <n v="492.58683781513901"/>
    <n v="481.764001700633"/>
    <n v="481.764001700633"/>
    <n v="90.782478665900996"/>
    <s v="OK"/>
    <s v="NON-ZERO"/>
    <n v="519.61524227066297"/>
    <n v="0.92715525355910633"/>
    <x v="1"/>
    <n v="-37.851240570029972"/>
    <x v="1"/>
    <n v="0"/>
  </r>
  <r>
    <x v="1"/>
    <d v="2024-01-29T11:00:00"/>
    <n v="496.68185505599399"/>
    <n v="485.76904556607298"/>
    <n v="485.76904556607298"/>
    <n v="89.246451576045104"/>
    <s v="OK"/>
    <s v="NON-ZERO"/>
    <n v="579.55549577344095"/>
    <n v="0.83817520342515939"/>
    <x v="0"/>
    <n v="-93.786450207367977"/>
    <x v="1"/>
    <n v="-4.6893225103683989"/>
  </r>
  <r>
    <x v="1"/>
    <d v="2024-01-29T12:00:00"/>
    <n v="498.27080710213897"/>
    <n v="487.32308606714702"/>
    <n v="487.32308606714702"/>
    <n v="94.184398933154995"/>
    <s v="OK"/>
    <s v="NON-ZERO"/>
    <n v="600"/>
    <n v="0.81220514344524508"/>
    <x v="0"/>
    <n v="-112.67691393285298"/>
    <x v="1"/>
    <n v="-5.6338456966426493"/>
  </r>
  <r>
    <x v="1"/>
    <d v="2024-01-29T13:00:00"/>
    <n v="564.06558034258899"/>
    <n v="551.67225420143802"/>
    <n v="551.67225420143802"/>
    <n v="23.9017816272085"/>
    <s v="OK"/>
    <s v="NON-ZERO"/>
    <n v="579.55549577344095"/>
    <n v="0.95188857361314194"/>
    <x v="1"/>
    <n v="-27.88324157200293"/>
    <x v="1"/>
    <n v="0"/>
  </r>
  <r>
    <x v="1"/>
    <d v="2024-01-29T14:00:00"/>
    <n v="495.47264193739602"/>
    <n v="484.58640058613702"/>
    <n v="484.58640058613702"/>
    <n v="41.350605413484701"/>
    <s v="OK"/>
    <s v="NON-ZERO"/>
    <n v="519.61524227066297"/>
    <n v="0.93258696274679387"/>
    <x v="1"/>
    <n v="-35.028841684525958"/>
    <x v="1"/>
    <n v="0"/>
  </r>
  <r>
    <x v="1"/>
    <d v="2024-01-29T15:00:00"/>
    <n v="447.29574609970598"/>
    <n v="437.46801993425498"/>
    <n v="437.46801993425498"/>
    <n v="60.474634167736397"/>
    <s v="OK"/>
    <s v="NON-ZERO"/>
    <n v="424.26406871192802"/>
    <n v="1.0311220114925461"/>
    <x v="1"/>
    <n v="13.203951222326964"/>
    <x v="0"/>
    <n v="0"/>
  </r>
  <r>
    <x v="1"/>
    <d v="2024-01-29T16:00:00"/>
    <n v="280.83182637118301"/>
    <n v="274.661550189965"/>
    <n v="274.661550189965"/>
    <n v="80.1369424906636"/>
    <s v="OK"/>
    <s v="NON-ZERO"/>
    <n v="300"/>
    <n v="0.91553850063321662"/>
    <x v="1"/>
    <n v="-25.338449810035002"/>
    <x v="1"/>
    <n v="0"/>
  </r>
  <r>
    <x v="1"/>
    <d v="2024-01-29T17:00:00"/>
    <n v="137.94028676682501"/>
    <n v="134.90954172319601"/>
    <n v="134.90954172319601"/>
    <n v="28.130027953746701"/>
    <s v="OK"/>
    <s v="NON-ZERO"/>
    <n v="155.291427061512"/>
    <n v="0.8687507370883869"/>
    <x v="1"/>
    <n v="-20.381885338315982"/>
    <x v="1"/>
    <n v="0"/>
  </r>
  <r>
    <x v="1"/>
    <d v="2024-01-29T18:00:00"/>
    <n v="7.1327286240458606E-14"/>
    <n v="6.9760123924679006E-14"/>
    <n v="6.9760123924679006E-14"/>
    <n v="56.553110594093297"/>
    <s v="OK"/>
    <s v="NON-ZERO"/>
    <n v="7.3478807948841102E-14"/>
    <n v="0.94939106760208747"/>
    <x v="1"/>
    <n v="-3.7186840241620956E-15"/>
    <x v="1"/>
    <n v="0"/>
  </r>
  <r>
    <x v="1"/>
    <d v="2024-01-29T19:00:00"/>
    <n v="0"/>
    <n v="0"/>
    <n v="0"/>
    <n v="63.482858132185903"/>
    <s v="OK"/>
    <s v="ZERO"/>
    <n v="0"/>
    <n v="0"/>
    <x v="0"/>
    <n v="0"/>
    <x v="0"/>
    <n v="0"/>
  </r>
  <r>
    <x v="1"/>
    <d v="2024-01-29T20:00:00"/>
    <n v="0"/>
    <n v="0"/>
    <n v="0"/>
    <n v="22.435307876881101"/>
    <s v="OK"/>
    <s v="ZERO"/>
    <n v="0"/>
    <n v="0"/>
    <x v="0"/>
    <n v="0"/>
    <x v="0"/>
    <n v="0"/>
  </r>
  <r>
    <x v="1"/>
    <d v="2024-01-29T21:00:00"/>
    <n v="0"/>
    <n v="0"/>
    <n v="0"/>
    <n v="30.2042175823732"/>
    <s v="OK"/>
    <s v="ZERO"/>
    <n v="0"/>
    <n v="0"/>
    <x v="0"/>
    <n v="0"/>
    <x v="0"/>
    <n v="0"/>
  </r>
  <r>
    <x v="1"/>
    <d v="2024-01-29T22:00:00"/>
    <n v="0"/>
    <n v="0"/>
    <n v="0"/>
    <n v="47.923032392978499"/>
    <s v="OK"/>
    <s v="ZERO"/>
    <n v="0"/>
    <n v="0"/>
    <x v="0"/>
    <n v="0"/>
    <x v="0"/>
    <n v="0"/>
  </r>
  <r>
    <x v="1"/>
    <d v="2024-01-29T23:00:00"/>
    <n v="0"/>
    <n v="0"/>
    <n v="0"/>
    <n v="50.555591101601401"/>
    <s v="OK"/>
    <s v="ZERO"/>
    <n v="0"/>
    <n v="0"/>
    <x v="0"/>
    <n v="0"/>
    <x v="0"/>
    <n v="0"/>
  </r>
  <r>
    <x v="1"/>
    <d v="2024-01-30T00:00:00"/>
    <n v="0"/>
    <n v="0"/>
    <n v="0"/>
    <n v="59.525571843614998"/>
    <s v="OK"/>
    <s v="ZERO"/>
    <n v="0"/>
    <n v="0"/>
    <x v="0"/>
    <n v="0"/>
    <x v="0"/>
    <n v="0"/>
  </r>
  <r>
    <x v="1"/>
    <d v="2024-01-30T01:00:00"/>
    <n v="0"/>
    <n v="0"/>
    <n v="0"/>
    <n v="34.826772733586502"/>
    <s v="OK"/>
    <s v="ZERO"/>
    <n v="0"/>
    <n v="0"/>
    <x v="0"/>
    <n v="0"/>
    <x v="0"/>
    <n v="0"/>
  </r>
  <r>
    <x v="1"/>
    <d v="2024-01-30T02:00:00"/>
    <n v="0"/>
    <n v="0"/>
    <n v="0"/>
    <n v="92.758766481382395"/>
    <s v="OK"/>
    <s v="ZERO"/>
    <n v="0"/>
    <n v="0"/>
    <x v="0"/>
    <n v="0"/>
    <x v="0"/>
    <n v="0"/>
  </r>
  <r>
    <x v="1"/>
    <d v="2024-01-30T03:00:00"/>
    <n v="0"/>
    <n v="0"/>
    <n v="0"/>
    <n v="79.102636218126605"/>
    <s v="OK"/>
    <s v="ZERO"/>
    <n v="0"/>
    <n v="0"/>
    <x v="0"/>
    <n v="0"/>
    <x v="0"/>
    <n v="0"/>
  </r>
  <r>
    <x v="1"/>
    <d v="2024-01-30T04:00:00"/>
    <n v="0"/>
    <n v="0"/>
    <n v="0"/>
    <n v="68.210494331462996"/>
    <s v="OK"/>
    <s v="ZERO"/>
    <n v="0"/>
    <n v="0"/>
    <x v="0"/>
    <n v="0"/>
    <x v="0"/>
    <n v="0"/>
  </r>
  <r>
    <x v="1"/>
    <d v="2024-01-30T05:00:00"/>
    <n v="0"/>
    <n v="0"/>
    <n v="0"/>
    <n v="71.894552244994401"/>
    <s v="OK"/>
    <s v="ZERO"/>
    <n v="0"/>
    <n v="0"/>
    <x v="0"/>
    <n v="0"/>
    <x v="0"/>
    <n v="0"/>
  </r>
  <r>
    <x v="1"/>
    <d v="2024-01-30T06:00:00"/>
    <n v="0"/>
    <n v="0"/>
    <n v="0"/>
    <n v="25.439173771586098"/>
    <s v="OK"/>
    <s v="ZERO"/>
    <n v="0"/>
    <n v="0"/>
    <x v="0"/>
    <n v="0"/>
    <x v="0"/>
    <n v="0"/>
  </r>
  <r>
    <x v="1"/>
    <d v="2024-01-30T07:00:00"/>
    <n v="140.718817498883"/>
    <n v="137.627024168041"/>
    <n v="137.627024168041"/>
    <n v="89.003003940942705"/>
    <s v="OK"/>
    <s v="NON-ZERO"/>
    <n v="155.291427061512"/>
    <n v="0.88624998026147317"/>
    <x v="1"/>
    <n v="-17.664402893470992"/>
    <x v="1"/>
    <n v="0"/>
  </r>
  <r>
    <x v="1"/>
    <d v="2024-01-30T08:00:00"/>
    <n v="270.440474342627"/>
    <n v="264.498511001662"/>
    <n v="264.498511001662"/>
    <n v="45.290936780471398"/>
    <s v="OK"/>
    <s v="NON-ZERO"/>
    <n v="300"/>
    <n v="0.88166170333887328"/>
    <x v="1"/>
    <n v="-35.501488998338004"/>
    <x v="1"/>
    <n v="0"/>
  </r>
  <r>
    <x v="1"/>
    <d v="2024-01-30T09:00:00"/>
    <n v="410.60442272674402"/>
    <n v="401.58285732159999"/>
    <n v="401.58285732159999"/>
    <n v="57.238656667295302"/>
    <s v="OK"/>
    <s v="NON-ZERO"/>
    <n v="424.26406871192802"/>
    <n v="0.94653987206791157"/>
    <x v="1"/>
    <n v="-22.681211390328031"/>
    <x v="1"/>
    <n v="0"/>
  </r>
  <r>
    <x v="1"/>
    <d v="2024-01-30T10:00:00"/>
    <n v="484.39010686956101"/>
    <n v="473.74736463676101"/>
    <n v="473.74736463676101"/>
    <n v="80.237788372454801"/>
    <s v="OK"/>
    <s v="NON-ZERO"/>
    <n v="519.61524227066297"/>
    <n v="0.91172722833636621"/>
    <x v="1"/>
    <n v="-45.867877633901969"/>
    <x v="1"/>
    <n v="0"/>
  </r>
  <r>
    <x v="1"/>
    <d v="2024-01-30T11:00:00"/>
    <n v="511.35844468886899"/>
    <n v="500.123169570306"/>
    <n v="500.123169570306"/>
    <n v="48.001487077387303"/>
    <s v="OK"/>
    <s v="NON-ZERO"/>
    <n v="579.55549577344095"/>
    <n v="0.86294267454555118"/>
    <x v="1"/>
    <n v="-79.432326203134949"/>
    <x v="1"/>
    <n v="0"/>
  </r>
  <r>
    <x v="1"/>
    <d v="2024-01-30T12:00:00"/>
    <n v="586.00001909912305"/>
    <n v="573.12476202173605"/>
    <n v="573.12476202173605"/>
    <n v="47.504143144534901"/>
    <s v="OK"/>
    <s v="NON-ZERO"/>
    <n v="600"/>
    <n v="0.95520793670289339"/>
    <x v="1"/>
    <n v="-26.875237978263954"/>
    <x v="1"/>
    <n v="0"/>
  </r>
  <r>
    <x v="1"/>
    <d v="2024-01-30T13:00:00"/>
    <n v="532.526691865168"/>
    <n v="520.82632013331204"/>
    <n v="520.82632013331204"/>
    <n v="29.102894341146399"/>
    <s v="OK"/>
    <s v="NON-ZERO"/>
    <n v="579.55549577344095"/>
    <n v="0.89866513894109068"/>
    <x v="1"/>
    <n v="-58.729175640128915"/>
    <x v="1"/>
    <n v="0"/>
  </r>
  <r>
    <x v="1"/>
    <d v="2024-01-30T14:00:00"/>
    <n v="542.08617670923502"/>
    <n v="530.17576944686198"/>
    <n v="530.17576944686198"/>
    <n v="33.0873864798466"/>
    <s v="OK"/>
    <s v="NON-ZERO"/>
    <n v="519.61524227066297"/>
    <n v="1.0203237440265429"/>
    <x v="1"/>
    <n v="10.560527176199002"/>
    <x v="0"/>
    <n v="0"/>
  </r>
  <r>
    <x v="1"/>
    <d v="2024-01-30T15:00:00"/>
    <n v="347.78079920456503"/>
    <n v="340.13955850423002"/>
    <n v="340.13955850423002"/>
    <n v="68.315976199221296"/>
    <s v="OK"/>
    <s v="NON-ZERO"/>
    <n v="424.26406871192802"/>
    <n v="0.80171662789379916"/>
    <x v="0"/>
    <n v="-84.124510207697995"/>
    <x v="1"/>
    <n v="-4.2062255103849004"/>
  </r>
  <r>
    <x v="1"/>
    <d v="2024-01-30T16:00:00"/>
    <n v="303.700965730554"/>
    <n v="297.02822190634299"/>
    <n v="297.02822190634299"/>
    <n v="27.113689493986701"/>
    <s v="OK"/>
    <s v="NON-ZERO"/>
    <n v="300"/>
    <n v="0.99009407302114327"/>
    <x v="1"/>
    <n v="-2.971778093657008"/>
    <x v="1"/>
    <n v="0"/>
  </r>
  <r>
    <x v="1"/>
    <d v="2024-01-30T17:00:00"/>
    <n v="151.504436536631"/>
    <n v="148.17566775643101"/>
    <n v="148.17566775643101"/>
    <n v="76.769513384525993"/>
    <s v="OK"/>
    <s v="NON-ZERO"/>
    <n v="155.291427061512"/>
    <n v="0.95417802875710334"/>
    <x v="1"/>
    <n v="-7.1157593050809851"/>
    <x v="1"/>
    <n v="0"/>
  </r>
  <r>
    <x v="1"/>
    <d v="2024-01-30T18:00:00"/>
    <n v="6.39512457472255E-14"/>
    <n v="6.2546145572176897E-14"/>
    <n v="6.2546145572176897E-14"/>
    <n v="26.4601828661777"/>
    <s v="OK"/>
    <s v="NON-ZERO"/>
    <n v="7.3478807948841102E-14"/>
    <n v="0.85121339496585247"/>
    <x v="1"/>
    <n v="-1.0932662376664205E-14"/>
    <x v="1"/>
    <n v="0"/>
  </r>
  <r>
    <x v="1"/>
    <d v="2024-01-30T19:00:00"/>
    <n v="0"/>
    <n v="0"/>
    <n v="0"/>
    <n v="45.310778428472801"/>
    <s v="OK"/>
    <s v="ZERO"/>
    <n v="0"/>
    <n v="0"/>
    <x v="0"/>
    <n v="0"/>
    <x v="0"/>
    <n v="0"/>
  </r>
  <r>
    <x v="1"/>
    <d v="2024-01-30T20:00:00"/>
    <n v="0"/>
    <n v="0"/>
    <n v="0"/>
    <n v="69.761775884653204"/>
    <s v="OK"/>
    <s v="ZERO"/>
    <n v="0"/>
    <n v="0"/>
    <x v="0"/>
    <n v="0"/>
    <x v="0"/>
    <n v="0"/>
  </r>
  <r>
    <x v="1"/>
    <d v="2024-01-30T21:00:00"/>
    <n v="0"/>
    <n v="0"/>
    <n v="0"/>
    <n v="29.036136682885001"/>
    <s v="OK"/>
    <s v="ZERO"/>
    <n v="0"/>
    <n v="0"/>
    <x v="0"/>
    <n v="0"/>
    <x v="0"/>
    <n v="0"/>
  </r>
  <r>
    <x v="1"/>
    <d v="2024-01-30T22:00:00"/>
    <n v="0"/>
    <n v="0"/>
    <n v="0"/>
    <n v="57.565745441719898"/>
    <s v="OK"/>
    <s v="ZERO"/>
    <n v="0"/>
    <n v="0"/>
    <x v="0"/>
    <n v="0"/>
    <x v="0"/>
    <n v="0"/>
  </r>
  <r>
    <x v="1"/>
    <d v="2024-01-30T23:00:00"/>
    <n v="0"/>
    <n v="0"/>
    <n v="0"/>
    <n v="42.7299320881326"/>
    <s v="OK"/>
    <s v="ZERO"/>
    <n v="0"/>
    <n v="0"/>
    <x v="0"/>
    <n v="0"/>
    <x v="0"/>
    <n v="0"/>
  </r>
  <r>
    <x v="1"/>
    <d v="2024-01-31T00:00:00"/>
    <n v="0"/>
    <n v="0"/>
    <n v="0"/>
    <n v="61.205887404572302"/>
    <s v="OK"/>
    <s v="ZERO"/>
    <n v="0"/>
    <n v="0"/>
    <x v="0"/>
    <n v="0"/>
    <x v="0"/>
    <n v="0"/>
  </r>
  <r>
    <x v="1"/>
    <d v="2024-01-31T01:00:00"/>
    <n v="0"/>
    <n v="0"/>
    <n v="0"/>
    <n v="39.174966749886003"/>
    <s v="OK"/>
    <s v="ZERO"/>
    <n v="0"/>
    <n v="0"/>
    <x v="0"/>
    <n v="0"/>
    <x v="0"/>
    <n v="0"/>
  </r>
  <r>
    <x v="1"/>
    <d v="2024-01-31T02:00:00"/>
    <n v="0"/>
    <n v="0"/>
    <n v="0"/>
    <n v="62.199156717705598"/>
    <s v="OK"/>
    <s v="ZERO"/>
    <n v="0"/>
    <n v="0"/>
    <x v="0"/>
    <n v="0"/>
    <x v="0"/>
    <n v="0"/>
  </r>
  <r>
    <x v="1"/>
    <d v="2024-01-31T03:00:00"/>
    <n v="0"/>
    <n v="0"/>
    <n v="0"/>
    <n v="35.563362153865903"/>
    <s v="OK"/>
    <s v="ZERO"/>
    <n v="0"/>
    <n v="0"/>
    <x v="0"/>
    <n v="0"/>
    <x v="0"/>
    <n v="0"/>
  </r>
  <r>
    <x v="1"/>
    <d v="2024-01-31T04:00:00"/>
    <n v="0"/>
    <n v="0"/>
    <n v="0"/>
    <n v="53.916132507628802"/>
    <s v="OK"/>
    <s v="ZERO"/>
    <n v="0"/>
    <n v="0"/>
    <x v="0"/>
    <n v="0"/>
    <x v="0"/>
    <n v="0"/>
  </r>
  <r>
    <x v="1"/>
    <d v="2024-01-31T05:00:00"/>
    <n v="0"/>
    <n v="0"/>
    <n v="0"/>
    <n v="91.377680479290206"/>
    <s v="OK"/>
    <s v="ZERO"/>
    <n v="0"/>
    <n v="0"/>
    <x v="0"/>
    <n v="0"/>
    <x v="0"/>
    <n v="0"/>
  </r>
  <r>
    <x v="1"/>
    <d v="2024-01-31T06:00:00"/>
    <n v="0"/>
    <n v="0"/>
    <n v="0"/>
    <n v="26.244324353797399"/>
    <s v="OK"/>
    <s v="ZERO"/>
    <n v="0"/>
    <n v="0"/>
    <x v="0"/>
    <n v="0"/>
    <x v="0"/>
    <n v="0"/>
  </r>
  <r>
    <x v="1"/>
    <d v="2024-01-31T07:00:00"/>
    <n v="143.26368530704499"/>
    <n v="140.11597759703901"/>
    <n v="140.11597759703901"/>
    <n v="78.719271069317898"/>
    <s v="OK"/>
    <s v="NON-ZERO"/>
    <n v="155.291427061512"/>
    <n v="0.90227760957813918"/>
    <x v="1"/>
    <n v="-15.17544946447299"/>
    <x v="1"/>
    <n v="0"/>
  </r>
  <r>
    <x v="1"/>
    <d v="2024-01-31T08:00:00"/>
    <n v="269.73407186063503"/>
    <n v="263.80762919076102"/>
    <n v="263.80762919076102"/>
    <n v="53.234550899218497"/>
    <s v="OK"/>
    <s v="NON-ZERO"/>
    <n v="300"/>
    <n v="0.87935876396920343"/>
    <x v="1"/>
    <n v="-36.19237080923898"/>
    <x v="1"/>
    <n v="0"/>
  </r>
  <r>
    <x v="1"/>
    <d v="2024-01-31T09:00:00"/>
    <n v="319.02052274073998"/>
    <n v="312.011186376615"/>
    <n v="312.011186376615"/>
    <n v="59.445993267609403"/>
    <s v="OK"/>
    <s v="NON-ZERO"/>
    <n v="424.26406871192802"/>
    <n v="0.73541741897654822"/>
    <x v="0"/>
    <n v="-112.25288233531302"/>
    <x v="1"/>
    <n v="-5.6126441167656509"/>
  </r>
  <r>
    <x v="1"/>
    <d v="2024-01-31T10:00:00"/>
    <n v="475.05880529209799"/>
    <n v="464.62108507765998"/>
    <n v="464.62108507765998"/>
    <n v="40.207958472774102"/>
    <s v="OK"/>
    <s v="NON-ZERO"/>
    <n v="519.61524227066297"/>
    <n v="0.89416369513587701"/>
    <x v="1"/>
    <n v="-54.994157193002991"/>
    <x v="1"/>
    <n v="0"/>
  </r>
  <r>
    <x v="1"/>
    <d v="2024-01-31T11:00:00"/>
    <n v="596.86126924207599"/>
    <n v="583.74737499196794"/>
    <n v="583.74737499196794"/>
    <n v="74.265092999831595"/>
    <s v="OK"/>
    <s v="NON-ZERO"/>
    <n v="579.55549577344095"/>
    <n v="1.0072329211768283"/>
    <x v="1"/>
    <n v="4.1918792185269922"/>
    <x v="0"/>
    <n v="0"/>
  </r>
  <r>
    <x v="1"/>
    <d v="2024-01-31T12:00:00"/>
    <n v="648.03300792244602"/>
    <n v="633.79479751340796"/>
    <n v="633.79479751340796"/>
    <n v="58.213165491815097"/>
    <s v="OK"/>
    <s v="NON-ZERO"/>
    <n v="600"/>
    <n v="1.0563246625223466"/>
    <x v="1"/>
    <n v="33.794797513407957"/>
    <x v="0"/>
    <n v="0"/>
  </r>
  <r>
    <x v="1"/>
    <d v="2024-01-31T13:00:00"/>
    <n v="589.96219111757102"/>
    <n v="576.999879463973"/>
    <n v="576.999879463973"/>
    <n v="26.110542328470601"/>
    <s v="OK"/>
    <s v="NON-ZERO"/>
    <n v="579.55549577344095"/>
    <n v="0.99559038551423384"/>
    <x v="1"/>
    <n v="-2.5556163094679505"/>
    <x v="1"/>
    <n v="0"/>
  </r>
  <r>
    <x v="1"/>
    <d v="2024-01-31T14:00:00"/>
    <n v="461.71876014555198"/>
    <n v="451.57413976914802"/>
    <n v="451.57413976914802"/>
    <n v="73.788608528506799"/>
    <s v="OK"/>
    <s v="NON-ZERO"/>
    <n v="519.61524227066297"/>
    <n v="0.86905483718263798"/>
    <x v="1"/>
    <n v="-68.041102501514956"/>
    <x v="1"/>
    <n v="0"/>
  </r>
  <r>
    <x v="1"/>
    <d v="2024-01-31T15:00:00"/>
    <n v="331.63938770836802"/>
    <n v="324.352796864401"/>
    <n v="324.352796864401"/>
    <n v="38.234339781700101"/>
    <s v="OK"/>
    <s v="NON-ZERO"/>
    <n v="424.26406871192802"/>
    <n v="0.76450687386546989"/>
    <x v="0"/>
    <n v="-99.911271847527019"/>
    <x v="1"/>
    <n v="-4.9955635923763513"/>
  </r>
  <r>
    <x v="1"/>
    <d v="2024-01-31T16:00:00"/>
    <n v="270.15499963810998"/>
    <n v="264.21930858398798"/>
    <n v="264.21930858398798"/>
    <n v="41.470989658395503"/>
    <s v="OK"/>
    <s v="NON-ZERO"/>
    <n v="300"/>
    <n v="0.88073102861329322"/>
    <x v="1"/>
    <n v="-35.780691416012019"/>
    <x v="1"/>
    <n v="0"/>
  </r>
  <r>
    <x v="1"/>
    <d v="2024-01-31T17:00:00"/>
    <n v="153.195796707271"/>
    <n v="149.82986632929399"/>
    <n v="149.82986632929399"/>
    <n v="68.822880891390795"/>
    <s v="OK"/>
    <s v="NON-ZERO"/>
    <n v="155.291427061512"/>
    <n v="0.96483024957936259"/>
    <x v="1"/>
    <n v="-5.461560732218004"/>
    <x v="1"/>
    <n v="0"/>
  </r>
  <r>
    <x v="1"/>
    <d v="2024-01-31T18:00:00"/>
    <n v="6.8203444539228902E-14"/>
    <n v="6.6704917485670396E-14"/>
    <n v="6.6704917485670396E-14"/>
    <n v="93.500409739761196"/>
    <s v="OK"/>
    <s v="NON-ZERO"/>
    <n v="7.3478807948841102E-14"/>
    <n v="0.90781164457802632"/>
    <x v="1"/>
    <n v="-6.7738904631707057E-15"/>
    <x v="1"/>
    <n v="0"/>
  </r>
  <r>
    <x v="1"/>
    <d v="2024-01-31T19:00:00"/>
    <n v="0"/>
    <n v="0"/>
    <n v="0"/>
    <n v="20.551837221905998"/>
    <s v="OK"/>
    <s v="ZERO"/>
    <n v="0"/>
    <n v="0"/>
    <x v="0"/>
    <n v="0"/>
    <x v="0"/>
    <n v="0"/>
  </r>
  <r>
    <x v="1"/>
    <d v="2024-01-31T20:00:00"/>
    <n v="0"/>
    <n v="0"/>
    <n v="0"/>
    <n v="92.631434787530594"/>
    <s v="OK"/>
    <s v="ZERO"/>
    <n v="0"/>
    <n v="0"/>
    <x v="0"/>
    <n v="0"/>
    <x v="0"/>
    <n v="0"/>
  </r>
  <r>
    <x v="1"/>
    <d v="2024-01-31T21:00:00"/>
    <n v="0"/>
    <n v="0"/>
    <n v="0"/>
    <n v="90.876282068636996"/>
    <s v="OK"/>
    <s v="ZERO"/>
    <n v="0"/>
    <n v="0"/>
    <x v="0"/>
    <n v="0"/>
    <x v="0"/>
    <n v="0"/>
  </r>
  <r>
    <x v="1"/>
    <d v="2024-01-31T22:00:00"/>
    <n v="0"/>
    <n v="0"/>
    <n v="0"/>
    <n v="55.235324108651099"/>
    <s v="OK"/>
    <s v="ZERO"/>
    <n v="0"/>
    <n v="0"/>
    <x v="0"/>
    <n v="0"/>
    <x v="0"/>
    <n v="0"/>
  </r>
  <r>
    <x v="1"/>
    <d v="2024-01-31T23:00:00"/>
    <n v="0"/>
    <n v="0"/>
    <n v="0"/>
    <n v="46.757786776193797"/>
    <s v="OK"/>
    <s v="ZERO"/>
    <n v="0"/>
    <n v="0"/>
    <x v="0"/>
    <n v="0"/>
    <x v="0"/>
    <n v="0"/>
  </r>
  <r>
    <x v="2"/>
    <d v="2024-01-01T00:00:00"/>
    <n v="0"/>
    <n v="0"/>
    <n v="0"/>
    <n v="45.377589944391097"/>
    <s v="OK"/>
    <s v="ZERO"/>
    <n v="0"/>
    <n v="0"/>
    <x v="0"/>
    <n v="0"/>
    <x v="0"/>
    <n v="0"/>
  </r>
  <r>
    <x v="2"/>
    <d v="2024-01-01T01:00:00"/>
    <n v="0"/>
    <n v="0"/>
    <n v="0"/>
    <n v="35.701129953807403"/>
    <s v="OK"/>
    <s v="ZERO"/>
    <n v="0"/>
    <n v="0"/>
    <x v="0"/>
    <n v="0"/>
    <x v="0"/>
    <n v="0"/>
  </r>
  <r>
    <x v="2"/>
    <d v="2024-01-01T02:00:00"/>
    <n v="0"/>
    <n v="0"/>
    <n v="0"/>
    <n v="38.499233513358298"/>
    <s v="OK"/>
    <s v="ZERO"/>
    <n v="0"/>
    <n v="0"/>
    <x v="0"/>
    <n v="0"/>
    <x v="0"/>
    <n v="0"/>
  </r>
  <r>
    <x v="2"/>
    <d v="2024-01-01T03:00:00"/>
    <n v="0"/>
    <n v="0"/>
    <n v="0"/>
    <n v="61.7938874988808"/>
    <s v="OK"/>
    <s v="ZERO"/>
    <n v="0"/>
    <n v="0"/>
    <x v="0"/>
    <n v="0"/>
    <x v="0"/>
    <n v="0"/>
  </r>
  <r>
    <x v="2"/>
    <d v="2024-01-01T04:00:00"/>
    <n v="0"/>
    <n v="0"/>
    <n v="0"/>
    <n v="51.024914268740503"/>
    <s v="OK"/>
    <s v="ZERO"/>
    <n v="0"/>
    <n v="0"/>
    <x v="0"/>
    <n v="0"/>
    <x v="0"/>
    <n v="0"/>
  </r>
  <r>
    <x v="2"/>
    <d v="2024-01-01T05:00:00"/>
    <n v="0"/>
    <n v="0"/>
    <n v="0"/>
    <n v="94.298205287913405"/>
    <s v="OK"/>
    <s v="ZERO"/>
    <n v="0"/>
    <n v="0"/>
    <x v="0"/>
    <n v="0"/>
    <x v="0"/>
    <n v="0"/>
  </r>
  <r>
    <x v="2"/>
    <d v="2024-01-01T06:00:00"/>
    <n v="0"/>
    <n v="0"/>
    <n v="0"/>
    <n v="84.271259740204101"/>
    <s v="OK"/>
    <s v="ZERO"/>
    <n v="0"/>
    <n v="0"/>
    <x v="0"/>
    <n v="0"/>
    <x v="0"/>
    <n v="0"/>
  </r>
  <r>
    <x v="2"/>
    <d v="2024-01-01T07:00:00"/>
    <n v="170.59173030080399"/>
    <n v="165.351111006889"/>
    <n v="165.351111006889"/>
    <n v="35.263333124891403"/>
    <s v="OK"/>
    <s v="NON-ZERO"/>
    <n v="207.05523608201599"/>
    <n v="0.79858454263572598"/>
    <x v="0"/>
    <n v="-41.704125075126996"/>
    <x v="1"/>
    <n v="-2.0852062537563496"/>
  </r>
  <r>
    <x v="2"/>
    <d v="2024-01-01T08:00:00"/>
    <n v="370.87954725298698"/>
    <n v="359.48603768704498"/>
    <n v="359.48603768704498"/>
    <n v="90.551764079242304"/>
    <s v="OK"/>
    <s v="NON-ZERO"/>
    <n v="399.99999999999898"/>
    <n v="0.89871509421761475"/>
    <x v="1"/>
    <n v="-40.513962312953993"/>
    <x v="1"/>
    <n v="0"/>
  </r>
  <r>
    <x v="2"/>
    <d v="2024-01-01T09:00:00"/>
    <n v="566.72525410099695"/>
    <n v="549.31531696187506"/>
    <n v="549.31531696187506"/>
    <n v="84.2428991512501"/>
    <s v="OK"/>
    <s v="NON-ZERO"/>
    <n v="565.68542494923804"/>
    <n v="0.97106146408344896"/>
    <x v="1"/>
    <n v="-16.370107987362985"/>
    <x v="1"/>
    <n v="0"/>
  </r>
  <r>
    <x v="2"/>
    <d v="2024-01-01T10:00:00"/>
    <n v="596.56917678346099"/>
    <n v="578.24242710752901"/>
    <n v="578.24242710752901"/>
    <n v="88.656215110002705"/>
    <s v="OK"/>
    <s v="NON-ZERO"/>
    <n v="692.82032302754999"/>
    <n v="0.83462105236848716"/>
    <x v="0"/>
    <n v="-114.57789592002098"/>
    <x v="1"/>
    <n v="-5.7288947960010494"/>
  </r>
  <r>
    <x v="2"/>
    <d v="2024-01-01T11:00:00"/>
    <n v="710.36087902401903"/>
    <n v="688.53842068039398"/>
    <n v="688.53842068039398"/>
    <n v="94.127792504117807"/>
    <s v="OK"/>
    <s v="NON-ZERO"/>
    <n v="772.74066103125404"/>
    <n v="0.89103428278448726"/>
    <x v="1"/>
    <n v="-84.202240350860052"/>
    <x v="1"/>
    <n v="0"/>
  </r>
  <r>
    <x v="2"/>
    <d v="2024-01-01T12:00:00"/>
    <n v="721.199553085567"/>
    <n v="699.044128048262"/>
    <n v="699.044128048262"/>
    <n v="31.767696810958999"/>
    <s v="OK"/>
    <s v="NON-ZERO"/>
    <n v="800"/>
    <n v="0.87380516006032749"/>
    <x v="1"/>
    <n v="-100.955871951738"/>
    <x v="1"/>
    <n v="0"/>
  </r>
  <r>
    <x v="2"/>
    <d v="2024-01-01T13:00:00"/>
    <n v="731.15783257987505"/>
    <n v="708.69648678333897"/>
    <n v="708.69648678333897"/>
    <n v="40.121540032082898"/>
    <s v="OK"/>
    <s v="NON-ZERO"/>
    <n v="772.74066103125404"/>
    <n v="0.91712073988387577"/>
    <x v="1"/>
    <n v="-64.044174247915066"/>
    <x v="1"/>
    <n v="0"/>
  </r>
  <r>
    <x v="2"/>
    <d v="2024-01-01T14:00:00"/>
    <n v="735.20747960043605"/>
    <n v="712.62172766608796"/>
    <n v="712.62172766608796"/>
    <n v="58.639416960365999"/>
    <s v="OK"/>
    <s v="NON-ZERO"/>
    <n v="692.82032302755101"/>
    <n v="1.0285808657459801"/>
    <x v="1"/>
    <n v="19.801404638536951"/>
    <x v="0"/>
    <n v="0"/>
  </r>
  <r>
    <x v="2"/>
    <d v="2024-01-01T15:00:00"/>
    <n v="563.19032970815397"/>
    <n v="545.88898630299002"/>
    <n v="545.88898630299002"/>
    <n v="61.452791753415497"/>
    <s v="OK"/>
    <s v="NON-ZERO"/>
    <n v="565.68542494923804"/>
    <n v="0.96500450997473652"/>
    <x v="1"/>
    <n v="-19.796438646248021"/>
    <x v="1"/>
    <n v="0"/>
  </r>
  <r>
    <x v="2"/>
    <d v="2024-01-01T16:00:00"/>
    <n v="331.462854054986"/>
    <n v="321.28023485583799"/>
    <n v="321.28023485583799"/>
    <n v="22.4364947517623"/>
    <s v="OK"/>
    <s v="NON-ZERO"/>
    <n v="399.99999999999898"/>
    <n v="0.80320058713959708"/>
    <x v="0"/>
    <n v="-78.719765144160988"/>
    <x v="1"/>
    <n v="-3.9359882572080496"/>
  </r>
  <r>
    <x v="2"/>
    <d v="2024-01-01T17:00:00"/>
    <n v="199.91276870784401"/>
    <n v="193.77140000876901"/>
    <n v="193.77140000876901"/>
    <n v="92.661101793335305"/>
    <s v="OK"/>
    <s v="NON-ZERO"/>
    <n v="207.05523608201599"/>
    <n v="0.93584399832330167"/>
    <x v="1"/>
    <n v="-13.283836073246988"/>
    <x v="1"/>
    <n v="0"/>
  </r>
  <r>
    <x v="2"/>
    <d v="2024-01-01T18:00:00"/>
    <n v="8.8029431803949605E-14"/>
    <n v="8.5325146326976298E-14"/>
    <n v="8.5325146326976298E-14"/>
    <n v="94.763696321108"/>
    <s v="OK"/>
    <s v="NON-ZERO"/>
    <n v="9.7971743931788194E-14"/>
    <n v="0.87091586719516845"/>
    <x v="1"/>
    <n v="-1.2646597604811896E-14"/>
    <x v="1"/>
    <n v="0"/>
  </r>
  <r>
    <x v="2"/>
    <d v="2024-01-01T19:00:00"/>
    <n v="0"/>
    <n v="0"/>
    <n v="0"/>
    <n v="87.998997271399901"/>
    <s v="OK"/>
    <s v="ZERO"/>
    <n v="0"/>
    <n v="0"/>
    <x v="0"/>
    <n v="0"/>
    <x v="0"/>
    <n v="0"/>
  </r>
  <r>
    <x v="2"/>
    <d v="2024-01-01T20:00:00"/>
    <n v="0"/>
    <n v="0"/>
    <n v="0"/>
    <n v="46.0466355729273"/>
    <s v="OK"/>
    <s v="ZERO"/>
    <n v="0"/>
    <n v="0"/>
    <x v="0"/>
    <n v="0"/>
    <x v="0"/>
    <n v="0"/>
  </r>
  <r>
    <x v="2"/>
    <d v="2024-01-01T21:00:00"/>
    <n v="0"/>
    <n v="0"/>
    <n v="0"/>
    <n v="91.159287326893804"/>
    <s v="OK"/>
    <s v="ZERO"/>
    <n v="0"/>
    <n v="0"/>
    <x v="0"/>
    <n v="0"/>
    <x v="0"/>
    <n v="0"/>
  </r>
  <r>
    <x v="2"/>
    <d v="2024-01-01T22:00:00"/>
    <n v="0"/>
    <n v="0"/>
    <n v="0"/>
    <n v="25.291254778241999"/>
    <s v="OK"/>
    <s v="ZERO"/>
    <n v="0"/>
    <n v="0"/>
    <x v="0"/>
    <n v="0"/>
    <x v="0"/>
    <n v="0"/>
  </r>
  <r>
    <x v="2"/>
    <d v="2024-01-01T23:00:00"/>
    <n v="0"/>
    <n v="0"/>
    <n v="0"/>
    <n v="69.346243340344401"/>
    <s v="OK"/>
    <s v="ZERO"/>
    <n v="0"/>
    <n v="0"/>
    <x v="0"/>
    <n v="0"/>
    <x v="0"/>
    <n v="0"/>
  </r>
  <r>
    <x v="2"/>
    <d v="2024-01-02T00:00:00"/>
    <n v="0"/>
    <n v="0"/>
    <n v="0"/>
    <n v="89.349395718668504"/>
    <s v="OK"/>
    <s v="ZERO"/>
    <n v="0"/>
    <n v="0"/>
    <x v="0"/>
    <n v="0"/>
    <x v="0"/>
    <n v="0"/>
  </r>
  <r>
    <x v="2"/>
    <d v="2024-01-02T01:00:00"/>
    <n v="0"/>
    <n v="0"/>
    <n v="0"/>
    <n v="59.613329106726198"/>
    <s v="OK"/>
    <s v="ZERO"/>
    <n v="0"/>
    <n v="0"/>
    <x v="0"/>
    <n v="0"/>
    <x v="0"/>
    <n v="0"/>
  </r>
  <r>
    <x v="2"/>
    <d v="2024-01-02T02:00:00"/>
    <n v="0"/>
    <n v="0"/>
    <n v="0"/>
    <n v="20.753523579112301"/>
    <s v="OK"/>
    <s v="ZERO"/>
    <n v="0"/>
    <n v="0"/>
    <x v="0"/>
    <n v="0"/>
    <x v="0"/>
    <n v="0"/>
  </r>
  <r>
    <x v="2"/>
    <d v="2024-01-02T03:00:00"/>
    <n v="0"/>
    <n v="0"/>
    <n v="0"/>
    <n v="91.287767119185105"/>
    <s v="OK"/>
    <s v="ZERO"/>
    <n v="0"/>
    <n v="0"/>
    <x v="0"/>
    <n v="0"/>
    <x v="0"/>
    <n v="0"/>
  </r>
  <r>
    <x v="2"/>
    <d v="2024-01-02T04:00:00"/>
    <n v="0"/>
    <n v="0"/>
    <n v="0"/>
    <n v="42.419461257374898"/>
    <s v="OK"/>
    <s v="ZERO"/>
    <n v="0"/>
    <n v="0"/>
    <x v="0"/>
    <n v="0"/>
    <x v="0"/>
    <n v="0"/>
  </r>
  <r>
    <x v="2"/>
    <d v="2024-01-02T05:00:00"/>
    <n v="0"/>
    <n v="0"/>
    <n v="0"/>
    <n v="92.451609434765601"/>
    <s v="OK"/>
    <s v="ZERO"/>
    <n v="0"/>
    <n v="0"/>
    <x v="0"/>
    <n v="0"/>
    <x v="0"/>
    <n v="0"/>
  </r>
  <r>
    <x v="2"/>
    <d v="2024-01-02T06:00:00"/>
    <n v="0"/>
    <n v="0"/>
    <n v="0"/>
    <n v="78.535335378511604"/>
    <s v="OK"/>
    <s v="ZERO"/>
    <n v="0"/>
    <n v="0"/>
    <x v="0"/>
    <n v="0"/>
    <x v="0"/>
    <n v="0"/>
  </r>
  <r>
    <x v="2"/>
    <d v="2024-01-02T07:00:00"/>
    <n v="183.12002490522801"/>
    <n v="177.49453336511399"/>
    <n v="177.49453336511399"/>
    <n v="55.583988488339202"/>
    <s v="OK"/>
    <s v="NON-ZERO"/>
    <n v="207.05523608201599"/>
    <n v="0.85723276901245427"/>
    <x v="1"/>
    <n v="-29.560702716902"/>
    <x v="1"/>
    <n v="0"/>
  </r>
  <r>
    <x v="2"/>
    <d v="2024-01-02T08:00:00"/>
    <n v="396.478022015313"/>
    <n v="384.29812110145701"/>
    <n v="384.29812110145701"/>
    <n v="71.238167242986293"/>
    <s v="OK"/>
    <s v="NON-ZERO"/>
    <n v="399.99999999999898"/>
    <n v="0.960745302753645"/>
    <x v="1"/>
    <n v="-15.701878898541963"/>
    <x v="1"/>
    <n v="0"/>
  </r>
  <r>
    <x v="2"/>
    <d v="2024-01-02T09:00:00"/>
    <n v="563.80795131555203"/>
    <n v="546.48763442494203"/>
    <n v="546.48763442494203"/>
    <n v="83.413310813042003"/>
    <s v="OK"/>
    <s v="NON-ZERO"/>
    <n v="565.68542494923804"/>
    <n v="0.96606278034117865"/>
    <x v="1"/>
    <n v="-19.197790524296011"/>
    <x v="1"/>
    <n v="0"/>
  </r>
  <r>
    <x v="2"/>
    <d v="2024-01-02T10:00:00"/>
    <n v="660.14898541573803"/>
    <n v="639.869048611484"/>
    <n v="639.869048611484"/>
    <n v="74.537210730510395"/>
    <s v="OK"/>
    <s v="NON-ZERO"/>
    <n v="692.82032302754999"/>
    <n v="0.92357141865487624"/>
    <x v="1"/>
    <n v="-52.951274416065985"/>
    <x v="1"/>
    <n v="0"/>
  </r>
  <r>
    <x v="2"/>
    <d v="2024-01-02T11:00:00"/>
    <n v="811.59485605840405"/>
    <n v="786.66246540850204"/>
    <n v="786.66246540850204"/>
    <n v="36.924843728904101"/>
    <s v="OK"/>
    <s v="NON-ZERO"/>
    <n v="772.74066103125404"/>
    <n v="1.0180161405751171"/>
    <x v="1"/>
    <n v="13.921804377248009"/>
    <x v="0"/>
    <n v="0"/>
  </r>
  <r>
    <x v="2"/>
    <d v="2024-01-02T12:00:00"/>
    <n v="795.39877304475704"/>
    <n v="770.96392998979104"/>
    <n v="770.96392998979104"/>
    <n v="94.892060493922102"/>
    <s v="OK"/>
    <s v="NON-ZERO"/>
    <n v="800"/>
    <n v="0.96370491248723877"/>
    <x v="1"/>
    <n v="-29.03607001020896"/>
    <x v="1"/>
    <n v="0"/>
  </r>
  <r>
    <x v="2"/>
    <d v="2024-01-02T13:00:00"/>
    <n v="700.41806269768801"/>
    <n v="678.90105008102603"/>
    <n v="678.90105008102603"/>
    <n v="47.402513116298898"/>
    <s v="OK"/>
    <s v="NON-ZERO"/>
    <n v="772.74066103125404"/>
    <n v="0.87856260750534954"/>
    <x v="1"/>
    <n v="-93.839610950228007"/>
    <x v="1"/>
    <n v="0"/>
  </r>
  <r>
    <x v="2"/>
    <d v="2024-01-02T14:00:00"/>
    <n v="667.47296312650803"/>
    <n v="646.96803195217797"/>
    <n v="646.96803195217797"/>
    <n v="20.682363596058199"/>
    <s v="OK"/>
    <s v="NON-ZERO"/>
    <n v="692.82032302755101"/>
    <n v="0.93381791851168072"/>
    <x v="1"/>
    <n v="-45.852291075373046"/>
    <x v="1"/>
    <n v="0"/>
  </r>
  <r>
    <x v="2"/>
    <d v="2024-01-02T15:00:00"/>
    <n v="584.86062439597595"/>
    <n v="566.89356428669305"/>
    <n v="566.89356428669305"/>
    <n v="70.198656227262603"/>
    <s v="OK"/>
    <s v="NON-ZERO"/>
    <n v="565.68542494923804"/>
    <n v="1.0021357087953318"/>
    <x v="1"/>
    <n v="1.2081393374550089"/>
    <x v="0"/>
    <n v="0"/>
  </r>
  <r>
    <x v="2"/>
    <d v="2024-01-02T16:00:00"/>
    <n v="377.14027436926"/>
    <n v="365.55443374916001"/>
    <n v="365.55443374916001"/>
    <n v="80.372512541126397"/>
    <s v="OK"/>
    <s v="NON-ZERO"/>
    <n v="399.99999999999898"/>
    <n v="0.91388608437290242"/>
    <x v="1"/>
    <n v="-34.445566250838965"/>
    <x v="1"/>
    <n v="0"/>
  </r>
  <r>
    <x v="2"/>
    <d v="2024-01-02T17:00:00"/>
    <n v="211.05066353050501"/>
    <n v="204.56713600345901"/>
    <n v="204.56713600345901"/>
    <n v="57.111946370040897"/>
    <s v="OK"/>
    <s v="NON-ZERO"/>
    <n v="207.05523608201599"/>
    <n v="0.98798339937864976"/>
    <x v="1"/>
    <n v="-2.4881000785569825"/>
    <x v="1"/>
    <n v="0"/>
  </r>
  <r>
    <x v="2"/>
    <d v="2024-01-02T18:00:00"/>
    <n v="9.3893782887095701E-14"/>
    <n v="9.1009343123754397E-14"/>
    <n v="9.1009343123754397E-14"/>
    <n v="53.154965983855597"/>
    <s v="OK"/>
    <s v="NON-ZERO"/>
    <n v="9.7971743931788194E-14"/>
    <n v="0.92893460370694947"/>
    <x v="1"/>
    <n v="-6.9624008080337969E-15"/>
    <x v="1"/>
    <n v="0"/>
  </r>
  <r>
    <x v="2"/>
    <d v="2024-01-02T19:00:00"/>
    <n v="0"/>
    <n v="0"/>
    <n v="0"/>
    <n v="63.924075157159898"/>
    <s v="OK"/>
    <s v="ZERO"/>
    <n v="0"/>
    <n v="0"/>
    <x v="0"/>
    <n v="0"/>
    <x v="0"/>
    <n v="0"/>
  </r>
  <r>
    <x v="2"/>
    <d v="2024-01-02T20:00:00"/>
    <n v="0"/>
    <n v="0"/>
    <n v="0"/>
    <n v="91.638137035859899"/>
    <s v="OK"/>
    <s v="ZERO"/>
    <n v="0"/>
    <n v="0"/>
    <x v="0"/>
    <n v="0"/>
    <x v="0"/>
    <n v="0"/>
  </r>
  <r>
    <x v="2"/>
    <d v="2024-01-02T21:00:00"/>
    <n v="0"/>
    <n v="0"/>
    <n v="0"/>
    <n v="33.785966711136098"/>
    <s v="OK"/>
    <s v="ZERO"/>
    <n v="0"/>
    <n v="0"/>
    <x v="0"/>
    <n v="0"/>
    <x v="0"/>
    <n v="0"/>
  </r>
  <r>
    <x v="2"/>
    <d v="2024-01-02T22:00:00"/>
    <n v="0"/>
    <n v="0"/>
    <n v="0"/>
    <n v="62.008698725701102"/>
    <s v="OK"/>
    <s v="ZERO"/>
    <n v="0"/>
    <n v="0"/>
    <x v="0"/>
    <n v="0"/>
    <x v="0"/>
    <n v="0"/>
  </r>
  <r>
    <x v="2"/>
    <d v="2024-01-02T23:00:00"/>
    <n v="0"/>
    <n v="0"/>
    <n v="0"/>
    <n v="62.158316196742199"/>
    <s v="OK"/>
    <s v="ZERO"/>
    <n v="0"/>
    <n v="0"/>
    <x v="0"/>
    <n v="0"/>
    <x v="0"/>
    <n v="0"/>
  </r>
  <r>
    <x v="2"/>
    <d v="2024-01-03T00:00:00"/>
    <n v="0"/>
    <n v="0"/>
    <n v="0"/>
    <n v="62.669105438353697"/>
    <s v="OK"/>
    <s v="ZERO"/>
    <n v="0"/>
    <n v="0"/>
    <x v="0"/>
    <n v="0"/>
    <x v="0"/>
    <n v="0"/>
  </r>
  <r>
    <x v="2"/>
    <d v="2024-01-03T01:00:00"/>
    <n v="0"/>
    <n v="0"/>
    <n v="0"/>
    <n v="75.4672436083451"/>
    <s v="OK"/>
    <s v="ZERO"/>
    <n v="0"/>
    <n v="0"/>
    <x v="0"/>
    <n v="0"/>
    <x v="0"/>
    <n v="0"/>
  </r>
  <r>
    <x v="2"/>
    <d v="2024-01-03T02:00:00"/>
    <n v="0"/>
    <n v="0"/>
    <n v="0"/>
    <n v="23.686129275888199"/>
    <s v="OK"/>
    <s v="ZERO"/>
    <n v="0"/>
    <n v="0"/>
    <x v="0"/>
    <n v="0"/>
    <x v="0"/>
    <n v="0"/>
  </r>
  <r>
    <x v="2"/>
    <d v="2024-01-03T03:00:00"/>
    <n v="0"/>
    <n v="0"/>
    <n v="0"/>
    <n v="54.046912478589398"/>
    <s v="OK"/>
    <s v="ZERO"/>
    <n v="0"/>
    <n v="0"/>
    <x v="0"/>
    <n v="0"/>
    <x v="0"/>
    <n v="0"/>
  </r>
  <r>
    <x v="2"/>
    <d v="2024-01-03T04:00:00"/>
    <n v="0"/>
    <n v="0"/>
    <n v="0"/>
    <n v="40.423654788581203"/>
    <s v="OK"/>
    <s v="ZERO"/>
    <n v="0"/>
    <n v="0"/>
    <x v="0"/>
    <n v="0"/>
    <x v="0"/>
    <n v="0"/>
  </r>
  <r>
    <x v="2"/>
    <d v="2024-01-03T05:00:00"/>
    <n v="0"/>
    <n v="0"/>
    <n v="0"/>
    <n v="89.056733829104999"/>
    <s v="OK"/>
    <s v="ZERO"/>
    <n v="0"/>
    <n v="0"/>
    <x v="0"/>
    <n v="0"/>
    <x v="0"/>
    <n v="0"/>
  </r>
  <r>
    <x v="2"/>
    <d v="2024-01-03T06:00:00"/>
    <n v="0"/>
    <n v="0"/>
    <n v="0"/>
    <n v="80.5330265239634"/>
    <s v="OK"/>
    <s v="ZERO"/>
    <n v="0"/>
    <n v="0"/>
    <x v="0"/>
    <n v="0"/>
    <x v="0"/>
    <n v="0"/>
  </r>
  <r>
    <x v="2"/>
    <d v="2024-01-03T07:00:00"/>
    <n v="232.02754286421401"/>
    <n v="224.899600520761"/>
    <n v="224.899600520761"/>
    <n v="29.679884362179699"/>
    <s v="OK"/>
    <s v="NON-ZERO"/>
    <n v="207.05523608201599"/>
    <n v="1.0861816623254905"/>
    <x v="1"/>
    <n v="17.844364438745004"/>
    <x v="0"/>
    <n v="0"/>
  </r>
  <r>
    <x v="2"/>
    <d v="2024-01-03T08:00:00"/>
    <n v="400.281926315438"/>
    <n v="387.98516853969198"/>
    <n v="387.98516853969198"/>
    <n v="77.3071689934159"/>
    <s v="OK"/>
    <s v="NON-ZERO"/>
    <n v="399.99999999999898"/>
    <n v="0.96996292134923245"/>
    <x v="1"/>
    <n v="-12.014831460306993"/>
    <x v="1"/>
    <n v="0"/>
  </r>
  <r>
    <x v="2"/>
    <d v="2024-01-03T09:00:00"/>
    <n v="539.82282596367395"/>
    <n v="523.23933793613105"/>
    <n v="523.23933793613105"/>
    <n v="27.638544885678701"/>
    <s v="OK"/>
    <s v="NON-ZERO"/>
    <n v="565.68542494923804"/>
    <n v="0.92496521009549448"/>
    <x v="1"/>
    <n v="-42.44608701310699"/>
    <x v="1"/>
    <n v="0"/>
  </r>
  <r>
    <x v="2"/>
    <d v="2024-01-03T10:00:00"/>
    <n v="617.231553271954"/>
    <n v="598.27005038323398"/>
    <n v="598.27005038323398"/>
    <n v="74.410112633762196"/>
    <s v="OK"/>
    <s v="NON-ZERO"/>
    <n v="692.82032302754999"/>
    <n v="0.86352843659212897"/>
    <x v="1"/>
    <n v="-94.55027264431601"/>
    <x v="1"/>
    <n v="0"/>
  </r>
  <r>
    <x v="2"/>
    <d v="2024-01-03T11:00:00"/>
    <n v="768.85074745623399"/>
    <n v="745.23146618066505"/>
    <n v="745.23146618066505"/>
    <n v="56.3804681857021"/>
    <s v="OK"/>
    <s v="NON-ZERO"/>
    <n v="772.74066103125404"/>
    <n v="0.96440048228615682"/>
    <x v="1"/>
    <n v="-27.509194850588983"/>
    <x v="1"/>
    <n v="0"/>
  </r>
  <r>
    <x v="2"/>
    <d v="2024-01-03T12:00:00"/>
    <n v="833.96200715826399"/>
    <n v="808.34249220639799"/>
    <n v="808.34249220639799"/>
    <n v="71.965882077248907"/>
    <s v="OK"/>
    <s v="NON-ZERO"/>
    <n v="800"/>
    <n v="1.0104281152579975"/>
    <x v="1"/>
    <n v="8.342492206397992"/>
    <x v="0"/>
    <n v="0"/>
  </r>
  <r>
    <x v="2"/>
    <d v="2024-01-03T13:00:00"/>
    <n v="743.26543721541896"/>
    <n v="720.43214287047397"/>
    <n v="720.43214287047397"/>
    <n v="50.901330421374197"/>
    <s v="OK"/>
    <s v="NON-ZERO"/>
    <n v="772.74066103125404"/>
    <n v="0.93230779639449513"/>
    <x v="1"/>
    <n v="-52.308518160780068"/>
    <x v="1"/>
    <n v="0"/>
  </r>
  <r>
    <x v="2"/>
    <d v="2024-01-03T14:00:00"/>
    <n v="677.508636817666"/>
    <n v="656.69540731562404"/>
    <n v="656.69540731562404"/>
    <n v="45.349908577136702"/>
    <s v="OK"/>
    <s v="NON-ZERO"/>
    <n v="692.82032302755101"/>
    <n v="0.94785817547316609"/>
    <x v="1"/>
    <n v="-36.124915711926974"/>
    <x v="1"/>
    <n v="0"/>
  </r>
  <r>
    <x v="2"/>
    <d v="2024-01-03T15:00:00"/>
    <n v="502.97337335411402"/>
    <n v="487.52190944037397"/>
    <n v="487.52190944037397"/>
    <n v="26.405186321815499"/>
    <s v="OK"/>
    <s v="NON-ZERO"/>
    <n v="565.68542494923804"/>
    <n v="0.86182512035575587"/>
    <x v="1"/>
    <n v="-78.163515508864066"/>
    <x v="1"/>
    <n v="0"/>
  </r>
  <r>
    <x v="2"/>
    <d v="2024-01-03T16:00:00"/>
    <n v="424.28098425753302"/>
    <n v="411.246969606172"/>
    <n v="411.246969606172"/>
    <n v="87.106067812347504"/>
    <s v="OK"/>
    <s v="NON-ZERO"/>
    <n v="399.99999999999898"/>
    <n v="1.0281174240154327"/>
    <x v="1"/>
    <n v="11.246969606173025"/>
    <x v="0"/>
    <n v="0"/>
  </r>
  <r>
    <x v="2"/>
    <d v="2024-01-03T17:00:00"/>
    <n v="192.21430629170999"/>
    <n v="186.309436223608"/>
    <n v="186.309436223608"/>
    <n v="87.394768292672694"/>
    <s v="OK"/>
    <s v="NON-ZERO"/>
    <n v="207.05523608201599"/>
    <n v="0.89980548064869781"/>
    <x v="1"/>
    <n v="-20.745799858407992"/>
    <x v="1"/>
    <n v="0"/>
  </r>
  <r>
    <x v="2"/>
    <d v="2024-01-03T18:00:00"/>
    <n v="9.5198029789098506E-14"/>
    <n v="9.2273523244872697E-14"/>
    <n v="9.2273523244872697E-14"/>
    <n v="84.874623215583199"/>
    <s v="OK"/>
    <s v="NON-ZERO"/>
    <n v="9.7971743931788194E-14"/>
    <n v="0.94183812129665856"/>
    <x v="1"/>
    <n v="-5.6982206869154975E-15"/>
    <x v="1"/>
    <n v="0"/>
  </r>
  <r>
    <x v="2"/>
    <d v="2024-01-03T19:00:00"/>
    <n v="0"/>
    <n v="0"/>
    <n v="0"/>
    <n v="37.9527377256534"/>
    <s v="OK"/>
    <s v="ZERO"/>
    <n v="0"/>
    <n v="0"/>
    <x v="0"/>
    <n v="0"/>
    <x v="0"/>
    <n v="0"/>
  </r>
  <r>
    <x v="2"/>
    <d v="2024-01-03T20:00:00"/>
    <n v="0"/>
    <n v="0"/>
    <n v="0"/>
    <n v="42.213257416924797"/>
    <s v="OK"/>
    <s v="ZERO"/>
    <n v="0"/>
    <n v="0"/>
    <x v="0"/>
    <n v="0"/>
    <x v="0"/>
    <n v="0"/>
  </r>
  <r>
    <x v="2"/>
    <d v="2024-01-03T21:00:00"/>
    <n v="0"/>
    <n v="0"/>
    <n v="0"/>
    <n v="46.003907092693296"/>
    <s v="OK"/>
    <s v="ZERO"/>
    <n v="0"/>
    <n v="0"/>
    <x v="0"/>
    <n v="0"/>
    <x v="0"/>
    <n v="0"/>
  </r>
  <r>
    <x v="2"/>
    <d v="2024-01-03T22:00:00"/>
    <n v="0"/>
    <n v="0"/>
    <n v="0"/>
    <n v="75.833162587816503"/>
    <s v="OK"/>
    <s v="ZERO"/>
    <n v="0"/>
    <n v="0"/>
    <x v="0"/>
    <n v="0"/>
    <x v="0"/>
    <n v="0"/>
  </r>
  <r>
    <x v="2"/>
    <d v="2024-01-03T23:00:00"/>
    <n v="0"/>
    <n v="0"/>
    <n v="0"/>
    <n v="45.922027777711897"/>
    <s v="OK"/>
    <s v="ZERO"/>
    <n v="0"/>
    <n v="0"/>
    <x v="0"/>
    <n v="0"/>
    <x v="0"/>
    <n v="0"/>
  </r>
  <r>
    <x v="2"/>
    <d v="2024-01-04T00:00:00"/>
    <n v="0"/>
    <n v="0"/>
    <n v="0"/>
    <n v="84.405872639718496"/>
    <s v="OK"/>
    <s v="ZERO"/>
    <n v="0"/>
    <n v="0"/>
    <x v="0"/>
    <n v="0"/>
    <x v="0"/>
    <n v="0"/>
  </r>
  <r>
    <x v="2"/>
    <d v="2024-01-04T01:00:00"/>
    <n v="0"/>
    <n v="0"/>
    <n v="0"/>
    <n v="61.647186899613601"/>
    <s v="OK"/>
    <s v="ZERO"/>
    <n v="0"/>
    <n v="0"/>
    <x v="0"/>
    <n v="0"/>
    <x v="0"/>
    <n v="0"/>
  </r>
  <r>
    <x v="2"/>
    <d v="2024-01-04T02:00:00"/>
    <n v="0"/>
    <n v="0"/>
    <n v="0"/>
    <n v="43.202642156000898"/>
    <s v="OK"/>
    <s v="ZERO"/>
    <n v="0"/>
    <n v="0"/>
    <x v="0"/>
    <n v="0"/>
    <x v="0"/>
    <n v="0"/>
  </r>
  <r>
    <x v="2"/>
    <d v="2024-01-04T03:00:00"/>
    <n v="0"/>
    <n v="0"/>
    <n v="0"/>
    <n v="47.949284742061003"/>
    <s v="OK"/>
    <s v="ZERO"/>
    <n v="0"/>
    <n v="0"/>
    <x v="0"/>
    <n v="0"/>
    <x v="0"/>
    <n v="0"/>
  </r>
  <r>
    <x v="2"/>
    <d v="2024-01-04T04:00:00"/>
    <n v="0"/>
    <n v="0"/>
    <n v="0"/>
    <n v="36.333560132567598"/>
    <s v="OK"/>
    <s v="ZERO"/>
    <n v="0"/>
    <n v="0"/>
    <x v="0"/>
    <n v="0"/>
    <x v="0"/>
    <n v="0"/>
  </r>
  <r>
    <x v="2"/>
    <d v="2024-01-04T05:00:00"/>
    <n v="0"/>
    <n v="0"/>
    <n v="0"/>
    <n v="62.140771718113399"/>
    <s v="OK"/>
    <s v="ZERO"/>
    <n v="0"/>
    <n v="0"/>
    <x v="0"/>
    <n v="0"/>
    <x v="0"/>
    <n v="0"/>
  </r>
  <r>
    <x v="2"/>
    <d v="2024-01-04T06:00:00"/>
    <n v="0"/>
    <n v="0"/>
    <n v="0"/>
    <n v="42.1026027414146"/>
    <s v="OK"/>
    <s v="ZERO"/>
    <n v="0"/>
    <n v="0"/>
    <x v="0"/>
    <n v="0"/>
    <x v="0"/>
    <n v="0"/>
  </r>
  <r>
    <x v="2"/>
    <d v="2024-01-04T07:00:00"/>
    <n v="214.44849878116301"/>
    <n v="207.860588931828"/>
    <n v="207.860588931828"/>
    <n v="48.421693235938001"/>
    <s v="OK"/>
    <s v="NON-ZERO"/>
    <n v="207.05523608201599"/>
    <n v="1.0038895555845446"/>
    <x v="1"/>
    <n v="0.80535284981201016"/>
    <x v="0"/>
    <n v="0"/>
  </r>
  <r>
    <x v="2"/>
    <d v="2024-01-04T08:00:00"/>
    <n v="369.21896953206499"/>
    <n v="357.87647331611402"/>
    <n v="357.87647331611402"/>
    <n v="60.8812559644917"/>
    <s v="OK"/>
    <s v="NON-ZERO"/>
    <n v="399.99999999999898"/>
    <n v="0.8946911832902873"/>
    <x v="1"/>
    <n v="-42.123526683884961"/>
    <x v="1"/>
    <n v="0"/>
  </r>
  <r>
    <x v="2"/>
    <d v="2024-01-04T09:00:00"/>
    <n v="463.43205282706299"/>
    <n v="449.19530786186499"/>
    <n v="449.19530786186499"/>
    <n v="27.391013855970598"/>
    <s v="OK"/>
    <s v="NON-ZERO"/>
    <n v="565.68542494923804"/>
    <n v="0.79407262066575901"/>
    <x v="0"/>
    <n v="-116.49011708737305"/>
    <x v="1"/>
    <n v="-5.8245058543686525"/>
  </r>
  <r>
    <x v="2"/>
    <d v="2024-01-04T10:00:00"/>
    <n v="695.25453020395798"/>
    <n v="673.89614255676997"/>
    <n v="673.89614255676997"/>
    <n v="51.133038264119897"/>
    <s v="OK"/>
    <s v="NON-ZERO"/>
    <n v="692.82032302754999"/>
    <n v="0.97268529827750516"/>
    <x v="1"/>
    <n v="-18.924180470780016"/>
    <x v="1"/>
    <n v="0"/>
  </r>
  <r>
    <x v="2"/>
    <d v="2024-01-04T11:00:00"/>
    <n v="681.06822062213303"/>
    <n v="660.14563984303197"/>
    <n v="660.14563984303197"/>
    <n v="37.305094265529"/>
    <s v="OK"/>
    <s v="NON-ZERO"/>
    <n v="772.74066103125404"/>
    <n v="0.85429132066383129"/>
    <x v="1"/>
    <n v="-112.59502118822206"/>
    <x v="1"/>
    <n v="0"/>
  </r>
  <r>
    <x v="2"/>
    <d v="2024-01-04T12:00:00"/>
    <n v="814.53539040654903"/>
    <n v="789.51266582890003"/>
    <n v="789.51266582890003"/>
    <n v="52.075181436812599"/>
    <s v="OK"/>
    <s v="NON-ZERO"/>
    <n v="800"/>
    <n v="0.98689083228612506"/>
    <x v="1"/>
    <n v="-10.487334171099974"/>
    <x v="1"/>
    <n v="0"/>
  </r>
  <r>
    <x v="2"/>
    <d v="2024-01-04T13:00:00"/>
    <n v="693.70522676563996"/>
    <n v="672.39443409551598"/>
    <n v="672.39443409551598"/>
    <n v="45.3019308767959"/>
    <s v="OK"/>
    <s v="NON-ZERO"/>
    <n v="772.74066103125404"/>
    <n v="0.87014242682425702"/>
    <x v="1"/>
    <n v="-100.34622693573806"/>
    <x v="1"/>
    <n v="0"/>
  </r>
  <r>
    <x v="2"/>
    <d v="2024-01-04T14:00:00"/>
    <n v="649.44100095051397"/>
    <n v="629.49001602387204"/>
    <n v="629.49001602387204"/>
    <n v="45.844744679522798"/>
    <s v="OK"/>
    <s v="NON-ZERO"/>
    <n v="692.82032302755101"/>
    <n v="0.90859057550891076"/>
    <x v="1"/>
    <n v="-63.330307003678968"/>
    <x v="1"/>
    <n v="0"/>
  </r>
  <r>
    <x v="2"/>
    <d v="2024-01-04T15:00:00"/>
    <n v="591.70878434775398"/>
    <n v="573.53134710525501"/>
    <n v="573.53134710525501"/>
    <n v="90.783059025861206"/>
    <s v="OK"/>
    <s v="NON-ZERO"/>
    <n v="565.68542494923804"/>
    <n v="1.0138697619029535"/>
    <x v="1"/>
    <n v="7.8459221560169681"/>
    <x v="0"/>
    <n v="0"/>
  </r>
  <r>
    <x v="2"/>
    <d v="2024-01-04T16:00:00"/>
    <n v="384.904898580652"/>
    <n v="373.08052682319499"/>
    <n v="373.08052682319499"/>
    <n v="94.592319251339305"/>
    <s v="OK"/>
    <s v="NON-ZERO"/>
    <n v="399.99999999999898"/>
    <n v="0.93270131705798986"/>
    <x v="1"/>
    <n v="-26.91947317680399"/>
    <x v="1"/>
    <n v="0"/>
  </r>
  <r>
    <x v="2"/>
    <d v="2024-01-04T17:00:00"/>
    <n v="182.711887851303"/>
    <n v="177.09893438038799"/>
    <n v="177.09893438038799"/>
    <n v="94.462409876148101"/>
    <s v="OK"/>
    <s v="NON-ZERO"/>
    <n v="207.05523608201599"/>
    <n v="0.85532217263145127"/>
    <x v="1"/>
    <n v="-29.956301701628007"/>
    <x v="1"/>
    <n v="0"/>
  </r>
  <r>
    <x v="2"/>
    <d v="2024-01-04T18:00:00"/>
    <n v="8.2035026302691302E-14"/>
    <n v="7.9514890415326201E-14"/>
    <n v="7.9514890415326201E-14"/>
    <n v="26.4843130340114"/>
    <s v="OK"/>
    <s v="NON-ZERO"/>
    <n v="9.7971743931788194E-14"/>
    <n v="0.81161044219737088"/>
    <x v="0"/>
    <n v="-1.8456853516461993E-14"/>
    <x v="1"/>
    <n v="-9.2284267582309977E-16"/>
  </r>
  <r>
    <x v="2"/>
    <d v="2024-01-04T19:00:00"/>
    <n v="0"/>
    <n v="0"/>
    <n v="0"/>
    <n v="82.764756666994401"/>
    <s v="OK"/>
    <s v="ZERO"/>
    <n v="0"/>
    <n v="0"/>
    <x v="0"/>
    <n v="0"/>
    <x v="0"/>
    <n v="0"/>
  </r>
  <r>
    <x v="2"/>
    <d v="2024-01-04T20:00:00"/>
    <n v="0"/>
    <n v="0"/>
    <n v="0"/>
    <n v="41.3889947007535"/>
    <s v="OK"/>
    <s v="ZERO"/>
    <n v="0"/>
    <n v="0"/>
    <x v="0"/>
    <n v="0"/>
    <x v="0"/>
    <n v="0"/>
  </r>
  <r>
    <x v="2"/>
    <d v="2024-01-04T21:00:00"/>
    <n v="0"/>
    <n v="0"/>
    <n v="0"/>
    <n v="93.131537728076097"/>
    <s v="OK"/>
    <s v="ZERO"/>
    <n v="0"/>
    <n v="0"/>
    <x v="0"/>
    <n v="0"/>
    <x v="0"/>
    <n v="0"/>
  </r>
  <r>
    <x v="2"/>
    <d v="2024-01-04T22:00:00"/>
    <n v="0"/>
    <n v="0"/>
    <n v="0"/>
    <n v="85.251869414012404"/>
    <s v="OK"/>
    <s v="ZERO"/>
    <n v="0"/>
    <n v="0"/>
    <x v="0"/>
    <n v="0"/>
    <x v="0"/>
    <n v="0"/>
  </r>
  <r>
    <x v="2"/>
    <d v="2024-01-04T23:00:00"/>
    <n v="0"/>
    <n v="0"/>
    <n v="0"/>
    <n v="52.237344313475099"/>
    <s v="OK"/>
    <s v="ZERO"/>
    <n v="0"/>
    <n v="0"/>
    <x v="0"/>
    <n v="0"/>
    <x v="0"/>
    <n v="0"/>
  </r>
  <r>
    <x v="2"/>
    <d v="2024-01-05T00:00:00"/>
    <n v="0"/>
    <n v="0"/>
    <n v="0"/>
    <n v="24.105873669469599"/>
    <s v="OK"/>
    <s v="ZERO"/>
    <n v="0"/>
    <n v="0"/>
    <x v="0"/>
    <n v="0"/>
    <x v="0"/>
    <n v="0"/>
  </r>
  <r>
    <x v="2"/>
    <d v="2024-01-05T01:00:00"/>
    <n v="0"/>
    <n v="0"/>
    <n v="0"/>
    <n v="57.735016606123899"/>
    <s v="OK"/>
    <s v="ZERO"/>
    <n v="0"/>
    <n v="0"/>
    <x v="0"/>
    <n v="0"/>
    <x v="0"/>
    <n v="0"/>
  </r>
  <r>
    <x v="2"/>
    <d v="2024-01-05T02:00:00"/>
    <n v="0"/>
    <n v="0"/>
    <n v="0"/>
    <n v="80.382003259964407"/>
    <s v="OK"/>
    <s v="ZERO"/>
    <n v="0"/>
    <n v="0"/>
    <x v="0"/>
    <n v="0"/>
    <x v="0"/>
    <n v="0"/>
  </r>
  <r>
    <x v="2"/>
    <d v="2024-01-05T03:00:00"/>
    <n v="0"/>
    <n v="0"/>
    <n v="0"/>
    <n v="81.941616982010999"/>
    <s v="OK"/>
    <s v="ZERO"/>
    <n v="0"/>
    <n v="0"/>
    <x v="0"/>
    <n v="0"/>
    <x v="0"/>
    <n v="0"/>
  </r>
  <r>
    <x v="2"/>
    <d v="2024-01-05T04:00:00"/>
    <n v="0"/>
    <n v="0"/>
    <n v="0"/>
    <n v="41.418471217897697"/>
    <s v="OK"/>
    <s v="ZERO"/>
    <n v="0"/>
    <n v="0"/>
    <x v="0"/>
    <n v="0"/>
    <x v="0"/>
    <n v="0"/>
  </r>
  <r>
    <x v="2"/>
    <d v="2024-01-05T05:00:00"/>
    <n v="0"/>
    <n v="0"/>
    <n v="0"/>
    <n v="27.353340358320398"/>
    <s v="OK"/>
    <s v="ZERO"/>
    <n v="0"/>
    <n v="0"/>
    <x v="0"/>
    <n v="0"/>
    <x v="0"/>
    <n v="0"/>
  </r>
  <r>
    <x v="2"/>
    <d v="2024-01-05T06:00:00"/>
    <n v="0"/>
    <n v="0"/>
    <n v="0"/>
    <n v="54.826268741160597"/>
    <s v="OK"/>
    <s v="ZERO"/>
    <n v="0"/>
    <n v="0"/>
    <x v="0"/>
    <n v="0"/>
    <x v="0"/>
    <n v="0"/>
  </r>
  <r>
    <x v="2"/>
    <d v="2024-01-05T07:00:00"/>
    <n v="197.30793609205401"/>
    <n v="191.24658848215901"/>
    <n v="191.24658848215901"/>
    <n v="75.460599041308498"/>
    <s v="OK"/>
    <s v="NON-ZERO"/>
    <n v="207.05523608201599"/>
    <n v="0.92365009502297701"/>
    <x v="1"/>
    <n v="-15.808647599856982"/>
    <x v="1"/>
    <n v="0"/>
  </r>
  <r>
    <x v="2"/>
    <d v="2024-01-05T08:00:00"/>
    <n v="328.51425189658801"/>
    <n v="318.42221447027299"/>
    <n v="318.42221447027299"/>
    <n v="23.905430466595199"/>
    <s v="OK"/>
    <s v="NON-ZERO"/>
    <n v="399.99999999999898"/>
    <n v="0.79605553617568447"/>
    <x v="0"/>
    <n v="-81.577785529725986"/>
    <x v="1"/>
    <n v="-4.0788892764862998"/>
  </r>
  <r>
    <x v="2"/>
    <d v="2024-01-05T09:00:00"/>
    <n v="505.139959662205"/>
    <n v="489.62193769205601"/>
    <n v="489.62193769205601"/>
    <n v="55.7859781991787"/>
    <s v="OK"/>
    <s v="NON-ZERO"/>
    <n v="565.68542494923804"/>
    <n v="0.8655374808993751"/>
    <x v="1"/>
    <n v="-76.063487257182032"/>
    <x v="1"/>
    <n v="0"/>
  </r>
  <r>
    <x v="2"/>
    <d v="2024-01-05T10:00:00"/>
    <n v="640.64373919621801"/>
    <n v="620.96300828248604"/>
    <n v="620.96300828248604"/>
    <n v="73.233878766797901"/>
    <s v="OK"/>
    <s v="NON-ZERO"/>
    <n v="692.82032302754999"/>
    <n v="0.89628289997173405"/>
    <x v="1"/>
    <n v="-71.857314745063945"/>
    <x v="1"/>
    <n v="0"/>
  </r>
  <r>
    <x v="2"/>
    <d v="2024-01-05T11:00:00"/>
    <n v="706.80242323326104"/>
    <n v="685.08928151383998"/>
    <n v="685.08928151383998"/>
    <n v="93.143340146296893"/>
    <s v="OK"/>
    <s v="NON-ZERO"/>
    <n v="772.74066103125404"/>
    <n v="0.88657076825692116"/>
    <x v="1"/>
    <n v="-87.651379517414057"/>
    <x v="1"/>
    <n v="0"/>
  </r>
  <r>
    <x v="2"/>
    <d v="2024-01-05T12:00:00"/>
    <n v="730.63584248183099"/>
    <n v="708.19053234759997"/>
    <n v="708.19053234759997"/>
    <n v="50.375082394066098"/>
    <s v="OK"/>
    <s v="NON-ZERO"/>
    <n v="800"/>
    <n v="0.88523816543449996"/>
    <x v="1"/>
    <n v="-91.809467652400031"/>
    <x v="1"/>
    <n v="0"/>
  </r>
  <r>
    <x v="2"/>
    <d v="2024-01-05T13:00:00"/>
    <n v="763.24923042771695"/>
    <n v="739.80202911266599"/>
    <n v="739.80202911266599"/>
    <n v="58.3644230607119"/>
    <s v="OK"/>
    <s v="NON-ZERO"/>
    <n v="772.74066103125404"/>
    <n v="0.95737427369923811"/>
    <x v="1"/>
    <n v="-32.938631918588044"/>
    <x v="1"/>
    <n v="0"/>
  </r>
  <r>
    <x v="2"/>
    <d v="2024-01-05T14:00:00"/>
    <n v="638.78120943537795"/>
    <n v="619.15769588724197"/>
    <n v="619.15769588724197"/>
    <n v="92.601662903430395"/>
    <s v="OK"/>
    <s v="NON-ZERO"/>
    <n v="692.82032302755101"/>
    <n v="0.89367715597831887"/>
    <x v="1"/>
    <n v="-73.662627140309041"/>
    <x v="1"/>
    <n v="0"/>
  </r>
  <r>
    <x v="2"/>
    <d v="2024-01-05T15:00:00"/>
    <n v="496.60960114752299"/>
    <n v="481.35363385808699"/>
    <n v="481.35363385808699"/>
    <n v="29.086659594573899"/>
    <s v="OK"/>
    <s v="NON-ZERO"/>
    <n v="565.68542494923804"/>
    <n v="0.85092104662459955"/>
    <x v="1"/>
    <n v="-84.331791091151047"/>
    <x v="1"/>
    <n v="0"/>
  </r>
  <r>
    <x v="2"/>
    <d v="2024-01-05T16:00:00"/>
    <n v="370.05673616759202"/>
    <n v="358.688503557584"/>
    <n v="358.688503557584"/>
    <n v="25.380150781056798"/>
    <s v="OK"/>
    <s v="NON-ZERO"/>
    <n v="399.99999999999898"/>
    <n v="0.89672125889396226"/>
    <x v="1"/>
    <n v="-41.311496442414978"/>
    <x v="1"/>
    <n v="0"/>
  </r>
  <r>
    <x v="2"/>
    <d v="2024-01-05T17:00:00"/>
    <n v="177.86569935910401"/>
    <n v="172.40162197303499"/>
    <n v="172.40162197303499"/>
    <n v="88.130758045142699"/>
    <s v="OK"/>
    <s v="NON-ZERO"/>
    <n v="207.05523608201599"/>
    <n v="0.83263589578939956"/>
    <x v="0"/>
    <n v="-34.653614108981003"/>
    <x v="1"/>
    <n v="-1.7326807054490501"/>
  </r>
  <r>
    <x v="2"/>
    <d v="2024-01-05T18:00:00"/>
    <n v="1.00562822950288E-13"/>
    <n v="9.7473508660113403E-14"/>
    <n v="9.7473508660113403E-14"/>
    <n v="67.541709637433101"/>
    <s v="OK"/>
    <s v="NON-ZERO"/>
    <n v="9.7971743931788194E-14"/>
    <n v="0.99491450032754669"/>
    <x v="1"/>
    <n v="-4.9823527167479119E-16"/>
    <x v="1"/>
    <n v="0"/>
  </r>
  <r>
    <x v="2"/>
    <d v="2024-01-05T19:00:00"/>
    <n v="0"/>
    <n v="0"/>
    <n v="0"/>
    <n v="91.832499363216598"/>
    <s v="OK"/>
    <s v="ZERO"/>
    <n v="0"/>
    <n v="0"/>
    <x v="0"/>
    <n v="0"/>
    <x v="0"/>
    <n v="0"/>
  </r>
  <r>
    <x v="2"/>
    <d v="2024-01-05T20:00:00"/>
    <n v="0"/>
    <n v="0"/>
    <n v="0"/>
    <n v="33.473841346650602"/>
    <s v="OK"/>
    <s v="ZERO"/>
    <n v="0"/>
    <n v="0"/>
    <x v="0"/>
    <n v="0"/>
    <x v="0"/>
    <n v="0"/>
  </r>
  <r>
    <x v="2"/>
    <d v="2024-01-05T21:00:00"/>
    <n v="0"/>
    <n v="0"/>
    <n v="0"/>
    <n v="57.730445020370603"/>
    <s v="OK"/>
    <s v="ZERO"/>
    <n v="0"/>
    <n v="0"/>
    <x v="0"/>
    <n v="0"/>
    <x v="0"/>
    <n v="0"/>
  </r>
  <r>
    <x v="2"/>
    <d v="2024-01-05T22:00:00"/>
    <n v="0"/>
    <n v="0"/>
    <n v="0"/>
    <n v="52.6008611237352"/>
    <s v="OK"/>
    <s v="ZERO"/>
    <n v="0"/>
    <n v="0"/>
    <x v="0"/>
    <n v="0"/>
    <x v="0"/>
    <n v="0"/>
  </r>
  <r>
    <x v="2"/>
    <d v="2024-01-05T23:00:00"/>
    <n v="0"/>
    <n v="0"/>
    <n v="0"/>
    <n v="77.657313554086997"/>
    <s v="OK"/>
    <s v="ZERO"/>
    <n v="0"/>
    <n v="0"/>
    <x v="0"/>
    <n v="0"/>
    <x v="0"/>
    <n v="0"/>
  </r>
  <r>
    <x v="2"/>
    <d v="2024-01-06T00:00:00"/>
    <n v="0"/>
    <n v="0"/>
    <n v="0"/>
    <n v="54.911522932977398"/>
    <s v="OK"/>
    <s v="ZERO"/>
    <n v="0"/>
    <n v="0"/>
    <x v="0"/>
    <n v="0"/>
    <x v="0"/>
    <n v="0"/>
  </r>
  <r>
    <x v="2"/>
    <d v="2024-01-06T01:00:00"/>
    <n v="0"/>
    <n v="0"/>
    <n v="0"/>
    <n v="35.515390656671499"/>
    <s v="OK"/>
    <s v="ZERO"/>
    <n v="0"/>
    <n v="0"/>
    <x v="0"/>
    <n v="0"/>
    <x v="0"/>
    <n v="0"/>
  </r>
  <r>
    <x v="2"/>
    <d v="2024-01-06T02:00:00"/>
    <n v="0"/>
    <n v="0"/>
    <n v="0"/>
    <n v="87.5570121838049"/>
    <s v="OK"/>
    <s v="ZERO"/>
    <n v="0"/>
    <n v="0"/>
    <x v="0"/>
    <n v="0"/>
    <x v="0"/>
    <n v="0"/>
  </r>
  <r>
    <x v="2"/>
    <d v="2024-01-06T03:00:00"/>
    <n v="0"/>
    <n v="0"/>
    <n v="0"/>
    <n v="56.880345726424203"/>
    <s v="OK"/>
    <s v="ZERO"/>
    <n v="0"/>
    <n v="0"/>
    <x v="0"/>
    <n v="0"/>
    <x v="0"/>
    <n v="0"/>
  </r>
  <r>
    <x v="2"/>
    <d v="2024-01-06T04:00:00"/>
    <n v="0"/>
    <n v="0"/>
    <n v="0"/>
    <n v="68.252729380231997"/>
    <s v="OK"/>
    <s v="ZERO"/>
    <n v="0"/>
    <n v="0"/>
    <x v="0"/>
    <n v="0"/>
    <x v="0"/>
    <n v="0"/>
  </r>
  <r>
    <x v="2"/>
    <d v="2024-01-06T05:00:00"/>
    <n v="0"/>
    <n v="0"/>
    <n v="0"/>
    <n v="37.323448289604698"/>
    <s v="OK"/>
    <s v="ZERO"/>
    <n v="0"/>
    <n v="0"/>
    <x v="0"/>
    <n v="0"/>
    <x v="0"/>
    <n v="0"/>
  </r>
  <r>
    <x v="2"/>
    <d v="2024-01-06T06:00:00"/>
    <n v="0"/>
    <n v="0"/>
    <n v="0"/>
    <n v="93.339027012633593"/>
    <s v="OK"/>
    <s v="ZERO"/>
    <n v="0"/>
    <n v="0"/>
    <x v="0"/>
    <n v="0"/>
    <x v="0"/>
    <n v="0"/>
  </r>
  <r>
    <x v="2"/>
    <d v="2024-01-06T07:00:00"/>
    <n v="201.91354025447001"/>
    <n v="195.71070736863999"/>
    <n v="195.71070736863999"/>
    <n v="41.8900382777299"/>
    <s v="OK"/>
    <s v="NON-ZERO"/>
    <n v="207.05523608201599"/>
    <n v="0.94521013364336093"/>
    <x v="1"/>
    <n v="-11.344528713376008"/>
    <x v="1"/>
    <n v="0"/>
  </r>
  <r>
    <x v="2"/>
    <d v="2024-01-06T08:00:00"/>
    <n v="368.375092127416"/>
    <n v="357.05852002982999"/>
    <n v="357.05852002982999"/>
    <n v="50.895991145919702"/>
    <s v="OK"/>
    <s v="NON-ZERO"/>
    <n v="399.99999999999898"/>
    <n v="0.89264630007457724"/>
    <x v="1"/>
    <n v="-42.941479970168984"/>
    <x v="1"/>
    <n v="0"/>
  </r>
  <r>
    <x v="2"/>
    <d v="2024-01-06T09:00:00"/>
    <n v="492.80439598790701"/>
    <n v="477.66532552308001"/>
    <n v="477.66532552308001"/>
    <n v="35.770713342639603"/>
    <s v="OK"/>
    <s v="NON-ZERO"/>
    <n v="565.68542494923804"/>
    <n v="0.84440097703762385"/>
    <x v="0"/>
    <n v="-88.020099426158026"/>
    <x v="1"/>
    <n v="-4.4010049713079011"/>
  </r>
  <r>
    <x v="2"/>
    <d v="2024-01-06T10:00:00"/>
    <n v="755.13727933180303"/>
    <n v="731.93927912016795"/>
    <n v="731.93927912016795"/>
    <n v="68.686547362315395"/>
    <s v="OK"/>
    <s v="NON-ZERO"/>
    <n v="692.82032302754999"/>
    <n v="1.0564633495762255"/>
    <x v="1"/>
    <n v="39.118956092617964"/>
    <x v="0"/>
    <n v="0"/>
  </r>
  <r>
    <x v="2"/>
    <d v="2024-01-06T11:00:00"/>
    <n v="795.76698662737294"/>
    <n v="771.32083196192002"/>
    <n v="771.32083196192002"/>
    <n v="44.042241827069297"/>
    <s v="OK"/>
    <s v="NON-ZERO"/>
    <n v="772.74066103125404"/>
    <n v="0.9981626059803308"/>
    <x v="1"/>
    <n v="-1.4198290693340141"/>
    <x v="1"/>
    <n v="0"/>
  </r>
  <r>
    <x v="2"/>
    <d v="2024-01-06T12:00:00"/>
    <n v="751.35508205546"/>
    <n v="728.27327186068396"/>
    <n v="728.27327186068396"/>
    <n v="55.637814951697102"/>
    <s v="OK"/>
    <s v="NON-ZERO"/>
    <n v="800"/>
    <n v="0.910341589825855"/>
    <x v="1"/>
    <n v="-71.726728139316037"/>
    <x v="1"/>
    <n v="0"/>
  </r>
  <r>
    <x v="2"/>
    <d v="2024-01-06T13:00:00"/>
    <n v="687.53533381288196"/>
    <n v="666.41408174940102"/>
    <n v="666.41408174940102"/>
    <n v="57.346144443669701"/>
    <s v="OK"/>
    <s v="NON-ZERO"/>
    <n v="772.74066103125404"/>
    <n v="0.86240328140626654"/>
    <x v="1"/>
    <n v="-106.32657928185301"/>
    <x v="1"/>
    <n v="0"/>
  </r>
  <r>
    <x v="2"/>
    <d v="2024-01-06T14:00:00"/>
    <n v="704.60267938898699"/>
    <n v="682.95711433352005"/>
    <n v="682.95711433352005"/>
    <n v="23.522331680575"/>
    <s v="OK"/>
    <s v="NON-ZERO"/>
    <n v="692.82032302755101"/>
    <n v="0.98576368451356944"/>
    <x v="1"/>
    <n v="-9.8632086940309591"/>
    <x v="1"/>
    <n v="0"/>
  </r>
  <r>
    <x v="2"/>
    <d v="2024-01-06T15:00:00"/>
    <n v="514.32001711425505"/>
    <n v="498.51998155459802"/>
    <n v="498.51998155459802"/>
    <n v="30.237725906268601"/>
    <s v="OK"/>
    <s v="NON-ZERO"/>
    <n v="565.68542494923804"/>
    <n v="0.88126714878562207"/>
    <x v="1"/>
    <n v="-67.165443394640022"/>
    <x v="1"/>
    <n v="0"/>
  </r>
  <r>
    <x v="2"/>
    <d v="2024-01-06T16:00:00"/>
    <n v="391.56345583470102"/>
    <n v="379.53453158484803"/>
    <n v="379.53453158484803"/>
    <n v="55.532996938581697"/>
    <s v="OK"/>
    <s v="NON-ZERO"/>
    <n v="399.99999999999898"/>
    <n v="0.94883632896212244"/>
    <x v="1"/>
    <n v="-20.465468415150951"/>
    <x v="1"/>
    <n v="0"/>
  </r>
  <r>
    <x v="2"/>
    <d v="2024-01-06T17:00:00"/>
    <n v="192.456429178939"/>
    <n v="186.54412103706801"/>
    <n v="186.54412103706801"/>
    <n v="81.454867322486905"/>
    <s v="OK"/>
    <s v="NON-ZERO"/>
    <n v="207.05523608201599"/>
    <n v="0.90093892126049213"/>
    <x v="1"/>
    <n v="-20.511115044947985"/>
    <x v="1"/>
    <n v="0"/>
  </r>
  <r>
    <x v="2"/>
    <d v="2024-01-06T18:00:00"/>
    <n v="9.7322997039387199E-14"/>
    <n v="9.4333210986294403E-14"/>
    <n v="9.4333210986294403E-14"/>
    <n v="91.698504411955398"/>
    <s v="OK"/>
    <s v="NON-ZERO"/>
    <n v="9.7971743931788194E-14"/>
    <n v="0.96286140473290871"/>
    <x v="1"/>
    <n v="-3.6385329454937913E-15"/>
    <x v="1"/>
    <n v="0"/>
  </r>
  <r>
    <x v="2"/>
    <d v="2024-01-06T19:00:00"/>
    <n v="0"/>
    <n v="0"/>
    <n v="0"/>
    <n v="91.527771986878093"/>
    <s v="OK"/>
    <s v="ZERO"/>
    <n v="0"/>
    <n v="0"/>
    <x v="0"/>
    <n v="0"/>
    <x v="0"/>
    <n v="0"/>
  </r>
  <r>
    <x v="2"/>
    <d v="2024-01-06T20:00:00"/>
    <n v="0"/>
    <n v="0"/>
    <n v="0"/>
    <n v="47.163620209561302"/>
    <s v="OK"/>
    <s v="ZERO"/>
    <n v="0"/>
    <n v="0"/>
    <x v="0"/>
    <n v="0"/>
    <x v="0"/>
    <n v="0"/>
  </r>
  <r>
    <x v="2"/>
    <d v="2024-01-06T21:00:00"/>
    <n v="0"/>
    <n v="0"/>
    <n v="0"/>
    <n v="34.919733484627798"/>
    <s v="OK"/>
    <s v="ZERO"/>
    <n v="0"/>
    <n v="0"/>
    <x v="0"/>
    <n v="0"/>
    <x v="0"/>
    <n v="0"/>
  </r>
  <r>
    <x v="2"/>
    <d v="2024-01-06T22:00:00"/>
    <n v="0"/>
    <n v="0"/>
    <n v="0"/>
    <n v="52.703523058893403"/>
    <s v="OK"/>
    <s v="ZERO"/>
    <n v="0"/>
    <n v="0"/>
    <x v="0"/>
    <n v="0"/>
    <x v="0"/>
    <n v="0"/>
  </r>
  <r>
    <x v="2"/>
    <d v="2024-01-06T23:00:00"/>
    <n v="0"/>
    <n v="0"/>
    <n v="0"/>
    <n v="77.843230552488293"/>
    <s v="OK"/>
    <s v="ZERO"/>
    <n v="0"/>
    <n v="0"/>
    <x v="0"/>
    <n v="0"/>
    <x v="0"/>
    <n v="0"/>
  </r>
  <r>
    <x v="2"/>
    <d v="2024-01-07T00:00:00"/>
    <n v="0"/>
    <n v="0"/>
    <n v="0"/>
    <n v="42.740614531975602"/>
    <s v="OK"/>
    <s v="ZERO"/>
    <n v="0"/>
    <n v="0"/>
    <x v="0"/>
    <n v="0"/>
    <x v="0"/>
    <n v="0"/>
  </r>
  <r>
    <x v="2"/>
    <d v="2024-01-07T01:00:00"/>
    <n v="0"/>
    <n v="0"/>
    <n v="0"/>
    <n v="31.802868751243199"/>
    <s v="OK"/>
    <s v="ZERO"/>
    <n v="0"/>
    <n v="0"/>
    <x v="0"/>
    <n v="0"/>
    <x v="0"/>
    <n v="0"/>
  </r>
  <r>
    <x v="2"/>
    <d v="2024-01-07T02:00:00"/>
    <n v="0"/>
    <n v="0"/>
    <n v="0"/>
    <n v="63.480283620482901"/>
    <s v="OK"/>
    <s v="ZERO"/>
    <n v="0"/>
    <n v="0"/>
    <x v="0"/>
    <n v="0"/>
    <x v="0"/>
    <n v="0"/>
  </r>
  <r>
    <x v="2"/>
    <d v="2024-01-07T03:00:00"/>
    <n v="0"/>
    <n v="0"/>
    <n v="0"/>
    <n v="45.921512667559199"/>
    <s v="OK"/>
    <s v="ZERO"/>
    <n v="0"/>
    <n v="0"/>
    <x v="0"/>
    <n v="0"/>
    <x v="0"/>
    <n v="0"/>
  </r>
  <r>
    <x v="2"/>
    <d v="2024-01-07T04:00:00"/>
    <n v="0"/>
    <n v="0"/>
    <n v="0"/>
    <n v="77.507626725375104"/>
    <s v="OK"/>
    <s v="ZERO"/>
    <n v="0"/>
    <n v="0"/>
    <x v="0"/>
    <n v="0"/>
    <x v="0"/>
    <n v="0"/>
  </r>
  <r>
    <x v="2"/>
    <d v="2024-01-07T05:00:00"/>
    <n v="0"/>
    <n v="0"/>
    <n v="0"/>
    <n v="60.016582516518397"/>
    <s v="OK"/>
    <s v="ZERO"/>
    <n v="0"/>
    <n v="0"/>
    <x v="0"/>
    <n v="0"/>
    <x v="0"/>
    <n v="0"/>
  </r>
  <r>
    <x v="2"/>
    <d v="2024-01-07T06:00:00"/>
    <n v="0"/>
    <n v="0"/>
    <n v="0"/>
    <n v="34.364099153761103"/>
    <s v="OK"/>
    <s v="ZERO"/>
    <n v="0"/>
    <n v="0"/>
    <x v="0"/>
    <n v="0"/>
    <x v="0"/>
    <n v="0"/>
  </r>
  <r>
    <x v="2"/>
    <d v="2024-01-07T07:00:00"/>
    <n v="185.378814947113"/>
    <n v="179.68393282954401"/>
    <n v="179.68393282954401"/>
    <n v="38.101227787812398"/>
    <s v="OK"/>
    <s v="NON-ZERO"/>
    <n v="207.05523608201599"/>
    <n v="0.86780675644623628"/>
    <x v="1"/>
    <n v="-27.371303252471989"/>
    <x v="1"/>
    <n v="0"/>
  </r>
  <r>
    <x v="2"/>
    <d v="2024-01-07T08:00:00"/>
    <n v="373.849939565054"/>
    <n v="362.36517882747802"/>
    <n v="362.36517882747802"/>
    <n v="81.259502718076007"/>
    <s v="OK"/>
    <s v="NON-ZERO"/>
    <n v="399.99999999999898"/>
    <n v="0.90591294706869741"/>
    <x v="1"/>
    <n v="-37.634821172520958"/>
    <x v="1"/>
    <n v="0"/>
  </r>
  <r>
    <x v="2"/>
    <d v="2024-01-07T09:00:00"/>
    <n v="511.87328844458199"/>
    <n v="496.14841698256799"/>
    <n v="496.14841698256799"/>
    <n v="65.285230913281495"/>
    <s v="OK"/>
    <s v="NON-ZERO"/>
    <n v="565.68542494923804"/>
    <n v="0.87707477530836153"/>
    <x v="1"/>
    <n v="-69.537007966670046"/>
    <x v="1"/>
    <n v="0"/>
  </r>
  <r>
    <x v="2"/>
    <d v="2024-01-07T10:00:00"/>
    <n v="630.16650604571998"/>
    <n v="610.80763827329395"/>
    <n v="610.80763827329395"/>
    <n v="31.417116043764999"/>
    <s v="OK"/>
    <s v="NON-ZERO"/>
    <n v="692.82032302754999"/>
    <n v="0.88162488595041577"/>
    <x v="1"/>
    <n v="-82.012684754256043"/>
    <x v="1"/>
    <n v="0"/>
  </r>
  <r>
    <x v="2"/>
    <d v="2024-01-07T11:00:00"/>
    <n v="733.65130595025801"/>
    <n v="711.11336004754696"/>
    <n v="711.11336004754696"/>
    <n v="63.933370319828498"/>
    <s v="OK"/>
    <s v="NON-ZERO"/>
    <n v="772.74066103125404"/>
    <n v="0.92024840403575647"/>
    <x v="1"/>
    <n v="-61.627300983707073"/>
    <x v="1"/>
    <n v="0"/>
  </r>
  <r>
    <x v="2"/>
    <d v="2024-01-07T12:00:00"/>
    <n v="685.19762689962499"/>
    <n v="664.14818975901096"/>
    <n v="664.14818975901096"/>
    <n v="53.647444371330003"/>
    <s v="OK"/>
    <s v="NON-ZERO"/>
    <n v="800"/>
    <n v="0.83018523719876369"/>
    <x v="0"/>
    <n v="-135.85181024098904"/>
    <x v="1"/>
    <n v="-6.7925905120494514"/>
  </r>
  <r>
    <x v="2"/>
    <d v="2024-01-07T13:00:00"/>
    <n v="849.62358673922597"/>
    <n v="823.52294426740002"/>
    <n v="823.52294426740002"/>
    <n v="78.797888787919206"/>
    <s v="OK"/>
    <s v="NON-ZERO"/>
    <n v="772.74066103125404"/>
    <n v="1.0657171102765253"/>
    <x v="1"/>
    <n v="50.782283236145986"/>
    <x v="0"/>
    <n v="0"/>
  </r>
  <r>
    <x v="2"/>
    <d v="2024-01-07T14:00:00"/>
    <n v="737.73434706104103"/>
    <n v="715.070969145974"/>
    <n v="715.070969145974"/>
    <n v="48.729410481575201"/>
    <s v="OK"/>
    <s v="NON-ZERO"/>
    <n v="692.82032302755101"/>
    <n v="1.0321160413152866"/>
    <x v="1"/>
    <n v="22.250646118422992"/>
    <x v="0"/>
    <n v="0"/>
  </r>
  <r>
    <x v="2"/>
    <d v="2024-01-07T15:00:00"/>
    <n v="490.61522347622201"/>
    <n v="475.54340492145002"/>
    <n v="475.54340492145002"/>
    <n v="35.389035717860502"/>
    <s v="OK"/>
    <s v="NON-ZERO"/>
    <n v="565.68542494923804"/>
    <n v="0.84064991592124383"/>
    <x v="0"/>
    <n v="-90.142020027788021"/>
    <x v="1"/>
    <n v="-4.5071010013894011"/>
  </r>
  <r>
    <x v="2"/>
    <d v="2024-01-07T16:00:00"/>
    <n v="409.53377879974602"/>
    <n v="396.95280187370298"/>
    <n v="396.95280187370298"/>
    <n v="56.284767243709702"/>
    <s v="OK"/>
    <s v="NON-ZERO"/>
    <n v="399.99999999999898"/>
    <n v="0.99238200468425997"/>
    <x v="1"/>
    <n v="-3.0471981262959957"/>
    <x v="1"/>
    <n v="0"/>
  </r>
  <r>
    <x v="2"/>
    <d v="2024-01-07T17:00:00"/>
    <n v="196.18039019357201"/>
    <n v="190.15368106691301"/>
    <n v="190.15368106691301"/>
    <n v="80.199218311416402"/>
    <s v="OK"/>
    <s v="NON-ZERO"/>
    <n v="207.05523608201599"/>
    <n v="0.91837175753233224"/>
    <x v="1"/>
    <n v="-16.901555015102986"/>
    <x v="1"/>
    <n v="0"/>
  </r>
  <r>
    <x v="2"/>
    <d v="2024-01-07T18:00:00"/>
    <n v="9.5804164810856304E-14"/>
    <n v="9.2861037651878899E-14"/>
    <n v="9.2861037651878899E-14"/>
    <n v="59.017286682731701"/>
    <s v="OK"/>
    <s v="NON-ZERO"/>
    <n v="9.7971743931788194E-14"/>
    <n v="0.94783489529932663"/>
    <x v="1"/>
    <n v="-5.1107062799092956E-15"/>
    <x v="1"/>
    <n v="0"/>
  </r>
  <r>
    <x v="2"/>
    <d v="2024-01-07T19:00:00"/>
    <n v="0"/>
    <n v="0"/>
    <n v="0"/>
    <n v="29.826096398784902"/>
    <s v="OK"/>
    <s v="ZERO"/>
    <n v="0"/>
    <n v="0"/>
    <x v="0"/>
    <n v="0"/>
    <x v="0"/>
    <n v="0"/>
  </r>
  <r>
    <x v="2"/>
    <d v="2024-01-07T20:00:00"/>
    <n v="0"/>
    <n v="0"/>
    <n v="0"/>
    <n v="33.719219447156298"/>
    <s v="OK"/>
    <s v="ZERO"/>
    <n v="0"/>
    <n v="0"/>
    <x v="0"/>
    <n v="0"/>
    <x v="0"/>
    <n v="0"/>
  </r>
  <r>
    <x v="2"/>
    <d v="2024-01-07T21:00:00"/>
    <n v="0"/>
    <n v="0"/>
    <n v="0"/>
    <n v="66.737931839913998"/>
    <s v="OK"/>
    <s v="ZERO"/>
    <n v="0"/>
    <n v="0"/>
    <x v="0"/>
    <n v="0"/>
    <x v="0"/>
    <n v="0"/>
  </r>
  <r>
    <x v="2"/>
    <d v="2024-01-07T22:00:00"/>
    <n v="0"/>
    <n v="0"/>
    <n v="0"/>
    <n v="67.805345919588703"/>
    <s v="OK"/>
    <s v="ZERO"/>
    <n v="0"/>
    <n v="0"/>
    <x v="0"/>
    <n v="0"/>
    <x v="0"/>
    <n v="0"/>
  </r>
  <r>
    <x v="2"/>
    <d v="2024-01-07T23:00:00"/>
    <n v="0"/>
    <n v="0"/>
    <n v="0"/>
    <n v="45.170693318067599"/>
    <s v="OK"/>
    <s v="ZERO"/>
    <n v="0"/>
    <n v="0"/>
    <x v="0"/>
    <n v="0"/>
    <x v="0"/>
    <n v="0"/>
  </r>
  <r>
    <x v="2"/>
    <d v="2024-01-08T00:00:00"/>
    <n v="0"/>
    <n v="0"/>
    <n v="0"/>
    <n v="21.3768787999417"/>
    <s v="OK"/>
    <s v="ZERO"/>
    <n v="0"/>
    <n v="0"/>
    <x v="0"/>
    <n v="0"/>
    <x v="0"/>
    <n v="0"/>
  </r>
  <r>
    <x v="2"/>
    <d v="2024-01-08T01:00:00"/>
    <n v="0"/>
    <n v="0"/>
    <n v="0"/>
    <n v="43.238533756495997"/>
    <s v="OK"/>
    <s v="ZERO"/>
    <n v="0"/>
    <n v="0"/>
    <x v="0"/>
    <n v="0"/>
    <x v="0"/>
    <n v="0"/>
  </r>
  <r>
    <x v="2"/>
    <d v="2024-01-08T02:00:00"/>
    <n v="0"/>
    <n v="0"/>
    <n v="0"/>
    <n v="64.436224542619698"/>
    <s v="OK"/>
    <s v="ZERO"/>
    <n v="0"/>
    <n v="0"/>
    <x v="0"/>
    <n v="0"/>
    <x v="0"/>
    <n v="0"/>
  </r>
  <r>
    <x v="2"/>
    <d v="2024-01-08T03:00:00"/>
    <n v="0"/>
    <n v="0"/>
    <n v="0"/>
    <n v="37.747484860250601"/>
    <s v="OK"/>
    <s v="ZERO"/>
    <n v="0"/>
    <n v="0"/>
    <x v="0"/>
    <n v="0"/>
    <x v="0"/>
    <n v="0"/>
  </r>
  <r>
    <x v="2"/>
    <d v="2024-01-08T04:00:00"/>
    <n v="0"/>
    <n v="0"/>
    <n v="0"/>
    <n v="38.355880972769498"/>
    <s v="OK"/>
    <s v="ZERO"/>
    <n v="0"/>
    <n v="0"/>
    <x v="0"/>
    <n v="0"/>
    <x v="0"/>
    <n v="0"/>
  </r>
  <r>
    <x v="2"/>
    <d v="2024-01-08T05:00:00"/>
    <n v="0"/>
    <n v="0"/>
    <n v="0"/>
    <n v="74.025002687449401"/>
    <s v="OK"/>
    <s v="ZERO"/>
    <n v="0"/>
    <n v="0"/>
    <x v="0"/>
    <n v="0"/>
    <x v="0"/>
    <n v="0"/>
  </r>
  <r>
    <x v="2"/>
    <d v="2024-01-08T06:00:00"/>
    <n v="0"/>
    <n v="0"/>
    <n v="0"/>
    <n v="88.106276529488994"/>
    <s v="OK"/>
    <s v="ZERO"/>
    <n v="0"/>
    <n v="0"/>
    <x v="0"/>
    <n v="0"/>
    <x v="0"/>
    <n v="0"/>
  </r>
  <r>
    <x v="2"/>
    <d v="2024-01-08T07:00:00"/>
    <n v="207.84315707019201"/>
    <n v="201.45816491887399"/>
    <n v="201.45816491887399"/>
    <n v="71.942960005818605"/>
    <s v="OK"/>
    <s v="NON-ZERO"/>
    <n v="207.05523608201599"/>
    <n v="0.97296822205971667"/>
    <x v="1"/>
    <n v="-5.5970711631420045"/>
    <x v="1"/>
    <n v="0"/>
  </r>
  <r>
    <x v="2"/>
    <d v="2024-01-08T08:00:00"/>
    <n v="403.995894857655"/>
    <n v="391.58504306829502"/>
    <n v="391.58504306829502"/>
    <n v="85.959702013391905"/>
    <s v="OK"/>
    <s v="NON-ZERO"/>
    <n v="399.99999999999898"/>
    <n v="0.97896260767074006"/>
    <x v="1"/>
    <n v="-8.414956931703955"/>
    <x v="1"/>
    <n v="0"/>
  </r>
  <r>
    <x v="2"/>
    <d v="2024-01-08T09:00:00"/>
    <n v="543.38909462458605"/>
    <n v="526.696049959574"/>
    <n v="526.696049959574"/>
    <n v="25.2845508250218"/>
    <s v="OK"/>
    <s v="NON-ZERO"/>
    <n v="565.68542494923804"/>
    <n v="0.93107587137645842"/>
    <x v="1"/>
    <n v="-38.989374989664043"/>
    <x v="1"/>
    <n v="0"/>
  </r>
  <r>
    <x v="2"/>
    <d v="2024-01-08T10:00:00"/>
    <n v="612.76408695607904"/>
    <n v="593.93982571517199"/>
    <n v="593.93982571517199"/>
    <n v="54.565155145223898"/>
    <s v="OK"/>
    <s v="NON-ZERO"/>
    <n v="692.82032302754999"/>
    <n v="0.85727829564773605"/>
    <x v="1"/>
    <n v="-98.880497312377997"/>
    <x v="1"/>
    <n v="0"/>
  </r>
  <r>
    <x v="2"/>
    <d v="2024-01-08T11:00:00"/>
    <n v="670.06739382946398"/>
    <n v="649.48276111523705"/>
    <n v="649.48276111523705"/>
    <n v="56.483179035640497"/>
    <s v="OK"/>
    <s v="NON-ZERO"/>
    <n v="772.74066103125404"/>
    <n v="0.84049254021197195"/>
    <x v="0"/>
    <n v="-123.25789991601698"/>
    <x v="1"/>
    <n v="-6.1628949958008485"/>
  </r>
  <r>
    <x v="2"/>
    <d v="2024-01-08T12:00:00"/>
    <n v="794.28544083478698"/>
    <n v="769.884799615102"/>
    <n v="769.884799615102"/>
    <n v="29.471260443842599"/>
    <s v="OK"/>
    <s v="NON-ZERO"/>
    <n v="800"/>
    <n v="0.96235599951887751"/>
    <x v="1"/>
    <n v="-30.115200384898003"/>
    <x v="1"/>
    <n v="0"/>
  </r>
  <r>
    <x v="2"/>
    <d v="2024-01-08T13:00:00"/>
    <n v="755.63730958623"/>
    <n v="732.42394832400703"/>
    <n v="732.42394832400703"/>
    <n v="78.100470288634796"/>
    <s v="OK"/>
    <s v="NON-ZERO"/>
    <n v="772.74066103125404"/>
    <n v="0.94782633457718823"/>
    <x v="1"/>
    <n v="-40.316712707247007"/>
    <x v="1"/>
    <n v="0"/>
  </r>
  <r>
    <x v="2"/>
    <d v="2024-01-08T14:00:00"/>
    <n v="668.10519860385"/>
    <n v="647.58084500244797"/>
    <n v="647.58084500244797"/>
    <n v="36.429437979491198"/>
    <s v="OK"/>
    <s v="NON-ZERO"/>
    <n v="692.82032302755101"/>
    <n v="0.93470243796052155"/>
    <x v="1"/>
    <n v="-45.23947802510304"/>
    <x v="1"/>
    <n v="0"/>
  </r>
  <r>
    <x v="2"/>
    <d v="2024-01-08T15:00:00"/>
    <n v="533.00524487669895"/>
    <n v="516.63119459223503"/>
    <n v="516.63119459223503"/>
    <n v="77.748021365495006"/>
    <s v="OK"/>
    <s v="NON-ZERO"/>
    <n v="565.68542494923804"/>
    <n v="0.91328355267169048"/>
    <x v="1"/>
    <n v="-49.054230357003007"/>
    <x v="1"/>
    <n v="0"/>
  </r>
  <r>
    <x v="2"/>
    <d v="2024-01-08T16:00:00"/>
    <n v="371.05427802396503"/>
    <n v="359.655400686397"/>
    <n v="359.655400686397"/>
    <n v="54.635486117151402"/>
    <s v="OK"/>
    <s v="NON-ZERO"/>
    <n v="399.99999999999898"/>
    <n v="0.89913850171599485"/>
    <x v="1"/>
    <n v="-40.344599313601975"/>
    <x v="1"/>
    <n v="0"/>
  </r>
  <r>
    <x v="2"/>
    <d v="2024-01-08T17:00:00"/>
    <n v="204.57080812571201"/>
    <n v="198.28634332694901"/>
    <n v="198.28634332694901"/>
    <n v="74.741683827769805"/>
    <s v="OK"/>
    <s v="NON-ZERO"/>
    <n v="207.05523608201599"/>
    <n v="0.95764950009960836"/>
    <x v="1"/>
    <n v="-8.768892755066986"/>
    <x v="1"/>
    <n v="0"/>
  </r>
  <r>
    <x v="2"/>
    <d v="2024-01-08T18:00:00"/>
    <n v="1.05229732397189E-13"/>
    <n v="1.0199704951788401E-13"/>
    <n v="1.0199704951788401E-13"/>
    <n v="23.897457359838501"/>
    <s v="OK"/>
    <s v="NON-ZERO"/>
    <n v="9.7971743931788194E-14"/>
    <n v="1.0410863931226781"/>
    <x v="1"/>
    <n v="4.0253055860958113E-15"/>
    <x v="0"/>
    <n v="0"/>
  </r>
  <r>
    <x v="2"/>
    <d v="2024-01-08T19:00:00"/>
    <n v="0"/>
    <n v="0"/>
    <n v="0"/>
    <n v="39.681206127216001"/>
    <s v="OK"/>
    <s v="ZERO"/>
    <n v="0"/>
    <n v="0"/>
    <x v="0"/>
    <n v="0"/>
    <x v="0"/>
    <n v="0"/>
  </r>
  <r>
    <x v="2"/>
    <d v="2024-01-08T20:00:00"/>
    <n v="0"/>
    <n v="0"/>
    <n v="0"/>
    <n v="76.229431008765701"/>
    <s v="OK"/>
    <s v="ZERO"/>
    <n v="0"/>
    <n v="0"/>
    <x v="0"/>
    <n v="0"/>
    <x v="0"/>
    <n v="0"/>
  </r>
  <r>
    <x v="2"/>
    <d v="2024-01-08T21:00:00"/>
    <n v="0"/>
    <n v="0"/>
    <n v="0"/>
    <n v="94.376460529455102"/>
    <s v="OK"/>
    <s v="ZERO"/>
    <n v="0"/>
    <n v="0"/>
    <x v="0"/>
    <n v="0"/>
    <x v="0"/>
    <n v="0"/>
  </r>
  <r>
    <x v="2"/>
    <d v="2024-01-08T22:00:00"/>
    <n v="0"/>
    <n v="0"/>
    <n v="0"/>
    <n v="50.717069544688101"/>
    <s v="OK"/>
    <s v="ZERO"/>
    <n v="0"/>
    <n v="0"/>
    <x v="0"/>
    <n v="0"/>
    <x v="0"/>
    <n v="0"/>
  </r>
  <r>
    <x v="2"/>
    <d v="2024-01-08T23:00:00"/>
    <n v="0"/>
    <n v="0"/>
    <n v="0"/>
    <n v="37.107528342678798"/>
    <s v="OK"/>
    <s v="ZERO"/>
    <n v="0"/>
    <n v="0"/>
    <x v="0"/>
    <n v="0"/>
    <x v="0"/>
    <n v="0"/>
  </r>
  <r>
    <x v="2"/>
    <d v="2024-01-09T00:00:00"/>
    <n v="0"/>
    <n v="0"/>
    <n v="0"/>
    <n v="65.380344007830701"/>
    <s v="OK"/>
    <s v="ZERO"/>
    <n v="0"/>
    <n v="0"/>
    <x v="0"/>
    <n v="0"/>
    <x v="0"/>
    <n v="0"/>
  </r>
  <r>
    <x v="2"/>
    <d v="2024-01-09T01:00:00"/>
    <n v="0"/>
    <n v="0"/>
    <n v="0"/>
    <n v="57.869960306705003"/>
    <s v="OK"/>
    <s v="ZERO"/>
    <n v="0"/>
    <n v="0"/>
    <x v="0"/>
    <n v="0"/>
    <x v="0"/>
    <n v="0"/>
  </r>
  <r>
    <x v="2"/>
    <d v="2024-01-09T02:00:00"/>
    <n v="0"/>
    <n v="0"/>
    <n v="0"/>
    <n v="77.461782618708298"/>
    <s v="OK"/>
    <s v="ZERO"/>
    <n v="0"/>
    <n v="0"/>
    <x v="0"/>
    <n v="0"/>
    <x v="0"/>
    <n v="0"/>
  </r>
  <r>
    <x v="2"/>
    <d v="2024-01-09T03:00:00"/>
    <n v="0"/>
    <n v="0"/>
    <n v="0"/>
    <n v="47.676329930837902"/>
    <s v="OK"/>
    <s v="ZERO"/>
    <n v="0"/>
    <n v="0"/>
    <x v="0"/>
    <n v="0"/>
    <x v="0"/>
    <n v="0"/>
  </r>
  <r>
    <x v="2"/>
    <d v="2024-01-09T04:00:00"/>
    <n v="0"/>
    <n v="0"/>
    <n v="0"/>
    <n v="33.768472051635896"/>
    <s v="OK"/>
    <s v="ZERO"/>
    <n v="0"/>
    <n v="0"/>
    <x v="0"/>
    <n v="0"/>
    <x v="0"/>
    <n v="0"/>
  </r>
  <r>
    <x v="2"/>
    <d v="2024-01-09T05:00:00"/>
    <n v="0"/>
    <n v="0"/>
    <n v="0"/>
    <n v="48.737335141934402"/>
    <s v="OK"/>
    <s v="ZERO"/>
    <n v="0"/>
    <n v="0"/>
    <x v="0"/>
    <n v="0"/>
    <x v="0"/>
    <n v="0"/>
  </r>
  <r>
    <x v="2"/>
    <d v="2024-01-09T06:00:00"/>
    <n v="0"/>
    <n v="0"/>
    <n v="0"/>
    <n v="58.183503889064099"/>
    <s v="OK"/>
    <s v="ZERO"/>
    <n v="0"/>
    <n v="0"/>
    <x v="0"/>
    <n v="0"/>
    <x v="0"/>
    <n v="0"/>
  </r>
  <r>
    <x v="2"/>
    <d v="2024-01-09T07:00:00"/>
    <n v="217.338175810899"/>
    <n v="210.66149438296199"/>
    <n v="210.66149438296199"/>
    <n v="62.431047991335902"/>
    <s v="OK"/>
    <s v="NON-ZERO"/>
    <n v="207.05523608201599"/>
    <n v="1.0174168901457654"/>
    <x v="1"/>
    <n v="3.6062583009459956"/>
    <x v="0"/>
    <n v="0"/>
  </r>
  <r>
    <x v="2"/>
    <d v="2024-01-09T08:00:00"/>
    <n v="387.99118254820701"/>
    <n v="376.07199939937499"/>
    <n v="376.07199939937499"/>
    <n v="38.353669776777501"/>
    <s v="OK"/>
    <s v="NON-ZERO"/>
    <n v="399.99999999999898"/>
    <n v="0.94017999849843992"/>
    <x v="1"/>
    <n v="-23.928000600623989"/>
    <x v="1"/>
    <n v="0"/>
  </r>
  <r>
    <x v="2"/>
    <d v="2024-01-09T09:00:00"/>
    <n v="542.94462308732295"/>
    <n v="526.26523269564302"/>
    <n v="526.26523269564302"/>
    <n v="87.131387957473507"/>
    <s v="OK"/>
    <s v="NON-ZERO"/>
    <n v="565.68542494923804"/>
    <n v="0.93031428685451389"/>
    <x v="1"/>
    <n v="-39.420192253595019"/>
    <x v="1"/>
    <n v="0"/>
  </r>
  <r>
    <x v="2"/>
    <d v="2024-01-09T10:00:00"/>
    <n v="650.309026453397"/>
    <n v="630.33137557295902"/>
    <n v="630.33137557295902"/>
    <n v="60.790844087083798"/>
    <s v="OK"/>
    <s v="NON-ZERO"/>
    <n v="692.82032302754999"/>
    <n v="0.90980497341428868"/>
    <x v="1"/>
    <n v="-62.488947454590971"/>
    <x v="1"/>
    <n v="0"/>
  </r>
  <r>
    <x v="2"/>
    <d v="2024-01-09T11:00:00"/>
    <n v="732.73254709047296"/>
    <n v="710.22282568257503"/>
    <n v="710.22282568257503"/>
    <n v="65.987777055733702"/>
    <s v="OK"/>
    <s v="NON-ZERO"/>
    <n v="772.74066103125404"/>
    <n v="0.91909596776589131"/>
    <x v="1"/>
    <n v="-62.517835348679"/>
    <x v="1"/>
    <n v="0"/>
  </r>
  <r>
    <x v="2"/>
    <d v="2024-01-09T12:00:00"/>
    <n v="780.934880120093"/>
    <n v="756.94437136077204"/>
    <n v="756.94437136077204"/>
    <n v="87.918660317984902"/>
    <s v="OK"/>
    <s v="NON-ZERO"/>
    <n v="800"/>
    <n v="0.94618046420096502"/>
    <x v="1"/>
    <n v="-43.055628639227962"/>
    <x v="1"/>
    <n v="0"/>
  </r>
  <r>
    <x v="2"/>
    <d v="2024-01-09T13:00:00"/>
    <n v="780.16696338348299"/>
    <n v="756.200045212399"/>
    <n v="756.200045212399"/>
    <n v="41.338396980683299"/>
    <s v="OK"/>
    <s v="NON-ZERO"/>
    <n v="772.74066103125404"/>
    <n v="0.97859486804178142"/>
    <x v="1"/>
    <n v="-16.540615818855031"/>
    <x v="1"/>
    <n v="0"/>
  </r>
  <r>
    <x v="2"/>
    <d v="2024-01-09T14:00:00"/>
    <n v="664.41746684685995"/>
    <n v="644.00640125867199"/>
    <n v="644.00640125867199"/>
    <n v="80.931024321792506"/>
    <s v="OK"/>
    <s v="NON-ZERO"/>
    <n v="692.82032302755101"/>
    <n v="0.92954317281634091"/>
    <x v="1"/>
    <n v="-48.813921768879027"/>
    <x v="1"/>
    <n v="0"/>
  </r>
  <r>
    <x v="2"/>
    <d v="2024-01-09T15:00:00"/>
    <n v="523.71346359832796"/>
    <n v="507.62485908639002"/>
    <n v="507.62485908639002"/>
    <n v="39.896381681453903"/>
    <s v="OK"/>
    <s v="NON-ZERO"/>
    <n v="565.68542494923804"/>
    <n v="0.89736245039713003"/>
    <x v="1"/>
    <n v="-58.060565862848023"/>
    <x v="1"/>
    <n v="0"/>
  </r>
  <r>
    <x v="2"/>
    <d v="2024-01-09T16:00:00"/>
    <n v="372.01913624830303"/>
    <n v="360.59061823227199"/>
    <n v="360.59061823227199"/>
    <n v="23.2910816276557"/>
    <s v="OK"/>
    <s v="NON-ZERO"/>
    <n v="399.99999999999898"/>
    <n v="0.90147654558068224"/>
    <x v="1"/>
    <n v="-39.409381767726984"/>
    <x v="1"/>
    <n v="0"/>
  </r>
  <r>
    <x v="2"/>
    <d v="2024-01-09T17:00:00"/>
    <n v="206.00790620328999"/>
    <n v="199.67929340333501"/>
    <n v="199.67929340333501"/>
    <n v="39.221928152691298"/>
    <s v="OK"/>
    <s v="NON-ZERO"/>
    <n v="207.05523608201599"/>
    <n v="0.96437693236717126"/>
    <x v="1"/>
    <n v="-7.3759426786809854"/>
    <x v="1"/>
    <n v="0"/>
  </r>
  <r>
    <x v="2"/>
    <d v="2024-01-09T18:00:00"/>
    <n v="0"/>
    <n v="0"/>
    <n v="0"/>
    <n v="25.943720459744601"/>
    <s v="OK"/>
    <s v="ZERO"/>
    <n v="9.7971743931788194E-14"/>
    <n v="0"/>
    <x v="0"/>
    <n v="-9.7971743931788194E-14"/>
    <x v="1"/>
    <n v="-4.8985871965894099E-15"/>
  </r>
  <r>
    <x v="2"/>
    <d v="2024-01-09T19:00:00"/>
    <n v="0"/>
    <n v="0"/>
    <n v="0"/>
    <n v="56.364405478707702"/>
    <s v="OK"/>
    <s v="ZERO"/>
    <n v="0"/>
    <n v="0"/>
    <x v="0"/>
    <n v="0"/>
    <x v="0"/>
    <n v="0"/>
  </r>
  <r>
    <x v="2"/>
    <d v="2024-01-09T20:00:00"/>
    <n v="0"/>
    <n v="0"/>
    <n v="0"/>
    <n v="21.757471652554099"/>
    <s v="OK"/>
    <s v="ZERO"/>
    <n v="0"/>
    <n v="0"/>
    <x v="0"/>
    <n v="0"/>
    <x v="0"/>
    <n v="0"/>
  </r>
  <r>
    <x v="2"/>
    <d v="2024-01-09T21:00:00"/>
    <n v="0"/>
    <n v="0"/>
    <n v="0"/>
    <n v="42.6092139808"/>
    <s v="OK"/>
    <s v="ZERO"/>
    <n v="0"/>
    <n v="0"/>
    <x v="0"/>
    <n v="0"/>
    <x v="0"/>
    <n v="0"/>
  </r>
  <r>
    <x v="2"/>
    <d v="2024-01-09T22:00:00"/>
    <n v="0"/>
    <n v="0"/>
    <n v="0"/>
    <n v="24.018241970555501"/>
    <s v="OK"/>
    <s v="ZERO"/>
    <n v="0"/>
    <n v="0"/>
    <x v="0"/>
    <n v="0"/>
    <x v="0"/>
    <n v="0"/>
  </r>
  <r>
    <x v="2"/>
    <d v="2024-01-09T23:00:00"/>
    <n v="0"/>
    <n v="0"/>
    <n v="0"/>
    <n v="35.586788109412602"/>
    <s v="OK"/>
    <s v="ZERO"/>
    <n v="0"/>
    <n v="0"/>
    <x v="0"/>
    <n v="0"/>
    <x v="0"/>
    <n v="0"/>
  </r>
  <r>
    <x v="2"/>
    <d v="2024-01-10T00:00:00"/>
    <n v="0"/>
    <n v="0"/>
    <n v="0"/>
    <n v="83.1848080126681"/>
    <s v="OK"/>
    <s v="ZERO"/>
    <n v="0"/>
    <n v="0"/>
    <x v="0"/>
    <n v="0"/>
    <x v="0"/>
    <n v="0"/>
  </r>
  <r>
    <x v="2"/>
    <d v="2024-01-10T01:00:00"/>
    <n v="0"/>
    <n v="0"/>
    <n v="0"/>
    <n v="27.959751448176402"/>
    <s v="OK"/>
    <s v="ZERO"/>
    <n v="0"/>
    <n v="0"/>
    <x v="0"/>
    <n v="0"/>
    <x v="0"/>
    <n v="0"/>
  </r>
  <r>
    <x v="2"/>
    <d v="2024-01-10T02:00:00"/>
    <n v="0"/>
    <n v="0"/>
    <n v="0"/>
    <n v="56.560087659798"/>
    <s v="OK"/>
    <s v="ZERO"/>
    <n v="0"/>
    <n v="0"/>
    <x v="0"/>
    <n v="0"/>
    <x v="0"/>
    <n v="0"/>
  </r>
  <r>
    <x v="2"/>
    <d v="2024-01-10T03:00:00"/>
    <n v="0"/>
    <n v="0"/>
    <n v="0"/>
    <n v="29.6777306667068"/>
    <s v="OK"/>
    <s v="ZERO"/>
    <n v="0"/>
    <n v="0"/>
    <x v="0"/>
    <n v="0"/>
    <x v="0"/>
    <n v="0"/>
  </r>
  <r>
    <x v="2"/>
    <d v="2024-01-10T04:00:00"/>
    <n v="0"/>
    <n v="0"/>
    <n v="0"/>
    <n v="88.529562050484401"/>
    <s v="OK"/>
    <s v="ZERO"/>
    <n v="0"/>
    <n v="0"/>
    <x v="0"/>
    <n v="0"/>
    <x v="0"/>
    <n v="0"/>
  </r>
  <r>
    <x v="2"/>
    <d v="2024-01-10T05:00:00"/>
    <n v="0"/>
    <n v="0"/>
    <n v="0"/>
    <n v="79.196799100782798"/>
    <s v="OK"/>
    <s v="ZERO"/>
    <n v="0"/>
    <n v="0"/>
    <x v="0"/>
    <n v="0"/>
    <x v="0"/>
    <n v="0"/>
  </r>
  <r>
    <x v="2"/>
    <d v="2024-01-10T06:00:00"/>
    <n v="0"/>
    <n v="0"/>
    <n v="0"/>
    <n v="94.201213553152897"/>
    <s v="OK"/>
    <s v="ZERO"/>
    <n v="0"/>
    <n v="0"/>
    <x v="0"/>
    <n v="0"/>
    <x v="0"/>
    <n v="0"/>
  </r>
  <r>
    <x v="2"/>
    <d v="2024-01-10T07:00:00"/>
    <n v="200.43512542532"/>
    <n v="194.27770980130299"/>
    <n v="194.27770980130299"/>
    <n v="53.205194577984301"/>
    <s v="OK"/>
    <s v="NON-ZERO"/>
    <n v="207.05523608201599"/>
    <n v="0.93828928684685986"/>
    <x v="1"/>
    <n v="-12.777526280713005"/>
    <x v="1"/>
    <n v="0"/>
  </r>
  <r>
    <x v="2"/>
    <d v="2024-01-10T08:00:00"/>
    <n v="336.37396339610098"/>
    <n v="326.04047372789603"/>
    <n v="326.04047372789603"/>
    <n v="34.534184751751603"/>
    <s v="OK"/>
    <s v="NON-ZERO"/>
    <n v="399.99999999999898"/>
    <n v="0.81510118431974221"/>
    <x v="0"/>
    <n v="-73.959526272102948"/>
    <x v="1"/>
    <n v="-3.6979763136051473"/>
  </r>
  <r>
    <x v="2"/>
    <d v="2024-01-10T09:00:00"/>
    <n v="649.60185555321095"/>
    <n v="629.64592913419403"/>
    <n v="629.64592913419403"/>
    <n v="34.185402224505502"/>
    <s v="OK"/>
    <s v="NON-ZERO"/>
    <n v="565.68542494923804"/>
    <n v="1.1130672655932323"/>
    <x v="1"/>
    <n v="63.960504184955994"/>
    <x v="0"/>
    <n v="0"/>
  </r>
  <r>
    <x v="2"/>
    <d v="2024-01-10T10:00:00"/>
    <n v="589.75915791356203"/>
    <n v="571.641613667569"/>
    <n v="571.641613667569"/>
    <n v="58.886973120668003"/>
    <s v="OK"/>
    <s v="NON-ZERO"/>
    <n v="692.82032302754999"/>
    <n v="0.82509359882740863"/>
    <x v="0"/>
    <n v="-121.17870935998099"/>
    <x v="1"/>
    <n v="-6.0589354679990493"/>
  </r>
  <r>
    <x v="2"/>
    <d v="2024-01-10T11:00:00"/>
    <n v="753.79893138125601"/>
    <n v="730.64204554297999"/>
    <n v="730.64204554297999"/>
    <n v="23.733575114228199"/>
    <s v="OK"/>
    <s v="NON-ZERO"/>
    <n v="772.74066103125404"/>
    <n v="0.94552038269593353"/>
    <x v="1"/>
    <n v="-42.098615488274049"/>
    <x v="1"/>
    <n v="0"/>
  </r>
  <r>
    <x v="2"/>
    <d v="2024-01-10T12:00:00"/>
    <n v="807.551985932202"/>
    <n v="782.74379323227595"/>
    <n v="782.74379323227595"/>
    <n v="49.720794686877497"/>
    <s v="OK"/>
    <s v="NON-ZERO"/>
    <n v="800"/>
    <n v="0.9784297415403449"/>
    <x v="1"/>
    <n v="-17.256206767724052"/>
    <x v="1"/>
    <n v="0"/>
  </r>
  <r>
    <x v="2"/>
    <d v="2024-01-10T13:00:00"/>
    <n v="665.16253635625503"/>
    <n v="644.72858205218699"/>
    <n v="644.72858205218699"/>
    <n v="58.443216194315802"/>
    <s v="OK"/>
    <s v="NON-ZERO"/>
    <n v="772.74066103125404"/>
    <n v="0.83434017978524688"/>
    <x v="0"/>
    <n v="-128.01207897906704"/>
    <x v="1"/>
    <n v="-6.4006039489533526"/>
  </r>
  <r>
    <x v="2"/>
    <d v="2024-01-10T14:00:00"/>
    <n v="642.199221804486"/>
    <n v="622.47070608809202"/>
    <n v="622.47070608809202"/>
    <n v="90.547999938958498"/>
    <s v="OK"/>
    <s v="NON-ZERO"/>
    <n v="692.82032302755101"/>
    <n v="0.89845907430654071"/>
    <x v="1"/>
    <n v="-70.349616939458997"/>
    <x v="1"/>
    <n v="0"/>
  </r>
  <r>
    <x v="2"/>
    <d v="2024-01-10T15:00:00"/>
    <n v="470.14122470260099"/>
    <n v="455.69837235156899"/>
    <n v="455.69837235156899"/>
    <n v="57.222134412547902"/>
    <s v="OK"/>
    <s v="NON-ZERO"/>
    <n v="565.68542494923804"/>
    <n v="0.80556852316366689"/>
    <x v="0"/>
    <n v="-109.98705259766905"/>
    <x v="1"/>
    <n v="-5.4993526298834521"/>
  </r>
  <r>
    <x v="2"/>
    <d v="2024-01-10T16:00:00"/>
    <n v="344.81387698238598"/>
    <n v="334.22111112358698"/>
    <n v="334.22111112358698"/>
    <n v="90.933103775634507"/>
    <s v="OK"/>
    <s v="NON-ZERO"/>
    <n v="399.99999999999898"/>
    <n v="0.83555277780896964"/>
    <x v="0"/>
    <n v="-65.778888876411997"/>
    <x v="1"/>
    <n v="-3.2889444438206001"/>
  </r>
  <r>
    <x v="2"/>
    <d v="2024-01-10T17:00:00"/>
    <n v="199.144885039135"/>
    <n v="193.02710591244201"/>
    <n v="193.02710591244201"/>
    <n v="72.837022730876299"/>
    <s v="OK"/>
    <s v="NON-ZERO"/>
    <n v="207.05523608201599"/>
    <n v="0.93224933387331799"/>
    <x v="1"/>
    <n v="-14.028130169573984"/>
    <x v="1"/>
    <n v="0"/>
  </r>
  <r>
    <x v="2"/>
    <d v="2024-01-10T18:00:00"/>
    <n v="1.06190679698476E-13"/>
    <n v="1.0292847628521299E-13"/>
    <n v="1.0292847628521299E-13"/>
    <n v="47.990552682884498"/>
    <s v="OK"/>
    <s v="NON-ZERO"/>
    <n v="9.7971743931788194E-14"/>
    <n v="1.0505934890459423"/>
    <x v="1"/>
    <n v="4.9567323534248001E-15"/>
    <x v="0"/>
    <n v="0"/>
  </r>
  <r>
    <x v="2"/>
    <d v="2024-01-10T19:00:00"/>
    <n v="0"/>
    <n v="0"/>
    <n v="0"/>
    <n v="34.180824033376098"/>
    <s v="OK"/>
    <s v="ZERO"/>
    <n v="0"/>
    <n v="0"/>
    <x v="0"/>
    <n v="0"/>
    <x v="0"/>
    <n v="0"/>
  </r>
  <r>
    <x v="2"/>
    <d v="2024-01-10T20:00:00"/>
    <n v="0"/>
    <n v="0"/>
    <n v="0"/>
    <n v="65.313045362944393"/>
    <s v="OK"/>
    <s v="ZERO"/>
    <n v="0"/>
    <n v="0"/>
    <x v="0"/>
    <n v="0"/>
    <x v="0"/>
    <n v="0"/>
  </r>
  <r>
    <x v="2"/>
    <d v="2024-01-10T21:00:00"/>
    <n v="0"/>
    <n v="0"/>
    <n v="0"/>
    <n v="59.548317173179498"/>
    <s v="OK"/>
    <s v="ZERO"/>
    <n v="0"/>
    <n v="0"/>
    <x v="0"/>
    <n v="0"/>
    <x v="0"/>
    <n v="0"/>
  </r>
  <r>
    <x v="2"/>
    <d v="2024-01-10T22:00:00"/>
    <n v="0"/>
    <n v="0"/>
    <n v="0"/>
    <n v="33.109003628386802"/>
    <s v="OK"/>
    <s v="ZERO"/>
    <n v="0"/>
    <n v="0"/>
    <x v="0"/>
    <n v="0"/>
    <x v="0"/>
    <n v="0"/>
  </r>
  <r>
    <x v="2"/>
    <d v="2024-01-10T23:00:00"/>
    <n v="0"/>
    <n v="0"/>
    <n v="0"/>
    <n v="71.557764570564999"/>
    <s v="OK"/>
    <s v="ZERO"/>
    <n v="0"/>
    <n v="0"/>
    <x v="0"/>
    <n v="0"/>
    <x v="0"/>
    <n v="0"/>
  </r>
  <r>
    <x v="2"/>
    <d v="2024-01-11T00:00:00"/>
    <n v="0"/>
    <n v="0"/>
    <n v="0"/>
    <n v="51.785613888017998"/>
    <s v="OK"/>
    <s v="ZERO"/>
    <n v="0"/>
    <n v="0"/>
    <x v="0"/>
    <n v="0"/>
    <x v="0"/>
    <n v="0"/>
  </r>
  <r>
    <x v="2"/>
    <d v="2024-01-11T01:00:00"/>
    <n v="0"/>
    <n v="0"/>
    <n v="0"/>
    <n v="80.769434788796502"/>
    <s v="OK"/>
    <s v="ZERO"/>
    <n v="0"/>
    <n v="0"/>
    <x v="0"/>
    <n v="0"/>
    <x v="0"/>
    <n v="0"/>
  </r>
  <r>
    <x v="2"/>
    <d v="2024-01-11T02:00:00"/>
    <n v="0"/>
    <n v="0"/>
    <n v="0"/>
    <n v="87.1275394140077"/>
    <s v="OK"/>
    <s v="ZERO"/>
    <n v="0"/>
    <n v="0"/>
    <x v="0"/>
    <n v="0"/>
    <x v="0"/>
    <n v="0"/>
  </r>
  <r>
    <x v="2"/>
    <d v="2024-01-11T03:00:00"/>
    <n v="0"/>
    <n v="0"/>
    <n v="0"/>
    <n v="24.920057370877199"/>
    <s v="OK"/>
    <s v="ZERO"/>
    <n v="0"/>
    <n v="0"/>
    <x v="0"/>
    <n v="0"/>
    <x v="0"/>
    <n v="0"/>
  </r>
  <r>
    <x v="2"/>
    <d v="2024-01-11T04:00:00"/>
    <n v="0"/>
    <n v="0"/>
    <n v="0"/>
    <n v="36.261070694683099"/>
    <s v="OK"/>
    <s v="ZERO"/>
    <n v="0"/>
    <n v="0"/>
    <x v="0"/>
    <n v="0"/>
    <x v="0"/>
    <n v="0"/>
  </r>
  <r>
    <x v="2"/>
    <d v="2024-01-11T05:00:00"/>
    <n v="0"/>
    <n v="0"/>
    <n v="0"/>
    <n v="33.178643437761899"/>
    <s v="OK"/>
    <s v="ZERO"/>
    <n v="0"/>
    <n v="0"/>
    <x v="0"/>
    <n v="0"/>
    <x v="0"/>
    <n v="0"/>
  </r>
  <r>
    <x v="2"/>
    <d v="2024-01-11T06:00:00"/>
    <n v="0"/>
    <n v="0"/>
    <n v="0"/>
    <n v="81.885115674606396"/>
    <s v="OK"/>
    <s v="ZERO"/>
    <n v="0"/>
    <n v="0"/>
    <x v="0"/>
    <n v="0"/>
    <x v="0"/>
    <n v="0"/>
  </r>
  <r>
    <x v="2"/>
    <d v="2024-01-11T07:00:00"/>
    <n v="223.745776176519"/>
    <n v="216.87225171261201"/>
    <n v="216.87225171261201"/>
    <n v="42.8570684597994"/>
    <s v="OK"/>
    <s v="NON-ZERO"/>
    <n v="207.05523608201599"/>
    <n v="1.0474125446733809"/>
    <x v="1"/>
    <n v="9.8170156305960177"/>
    <x v="0"/>
    <n v="0"/>
  </r>
  <r>
    <x v="2"/>
    <d v="2024-01-11T08:00:00"/>
    <n v="355.06944236871698"/>
    <n v="344.16162305604399"/>
    <n v="344.16162305604399"/>
    <n v="51.183110074223798"/>
    <s v="OK"/>
    <s v="NON-ZERO"/>
    <n v="399.99999999999898"/>
    <n v="0.86040405764011219"/>
    <x v="1"/>
    <n v="-55.838376943954984"/>
    <x v="1"/>
    <n v="0"/>
  </r>
  <r>
    <x v="2"/>
    <d v="2024-01-11T09:00:00"/>
    <n v="562.25328978665402"/>
    <n v="544.98073247494995"/>
    <n v="544.98073247494995"/>
    <n v="27.546498291694199"/>
    <s v="OK"/>
    <s v="NON-ZERO"/>
    <n v="565.68542494923804"/>
    <n v="0.96339892887262202"/>
    <x v="1"/>
    <n v="-20.704692474288095"/>
    <x v="1"/>
    <n v="0"/>
  </r>
  <r>
    <x v="2"/>
    <d v="2024-01-11T10:00:00"/>
    <n v="710.67068007858302"/>
    <n v="688.83870457148896"/>
    <n v="688.83870457148896"/>
    <n v="54.507696991826599"/>
    <s v="OK"/>
    <s v="NON-ZERO"/>
    <n v="692.82032302754999"/>
    <n v="0.99425302878145694"/>
    <x v="1"/>
    <n v="-3.9816184560610282"/>
    <x v="1"/>
    <n v="0"/>
  </r>
  <r>
    <x v="2"/>
    <d v="2024-01-11T11:00:00"/>
    <n v="666.03364641813198"/>
    <n v="645.57293140187005"/>
    <n v="645.57293140187005"/>
    <n v="21.7285316304955"/>
    <s v="OK"/>
    <s v="NON-ZERO"/>
    <n v="772.74066103125404"/>
    <n v="0.83543284824733632"/>
    <x v="0"/>
    <n v="-127.16772962938398"/>
    <x v="1"/>
    <n v="-6.358386481469199"/>
  </r>
  <r>
    <x v="2"/>
    <d v="2024-01-11T12:00:00"/>
    <n v="751.11553372573496"/>
    <n v="728.04108251369803"/>
    <n v="728.04108251369803"/>
    <n v="29.5556053771571"/>
    <s v="OK"/>
    <s v="NON-ZERO"/>
    <n v="800"/>
    <n v="0.91005135314212249"/>
    <x v="1"/>
    <n v="-71.958917486301971"/>
    <x v="1"/>
    <n v="0"/>
  </r>
  <r>
    <x v="2"/>
    <d v="2024-01-11T13:00:00"/>
    <n v="745.87290681152899"/>
    <n v="722.95951036872896"/>
    <n v="722.95951036872896"/>
    <n v="30.0651819744762"/>
    <s v="OK"/>
    <s v="NON-ZERO"/>
    <n v="772.74066103125404"/>
    <n v="0.93557845060710265"/>
    <x v="1"/>
    <n v="-49.781150662525079"/>
    <x v="1"/>
    <n v="0"/>
  </r>
  <r>
    <x v="2"/>
    <d v="2024-01-11T14:00:00"/>
    <n v="592.22430632376097"/>
    <n v="574.03103212123403"/>
    <n v="574.03103212123403"/>
    <n v="39.2015879796134"/>
    <s v="OK"/>
    <s v="NON-ZERO"/>
    <n v="692.82032302755101"/>
    <n v="0.82854242729598282"/>
    <x v="0"/>
    <n v="-118.78929090631698"/>
    <x v="1"/>
    <n v="-5.9394645453158494"/>
  </r>
  <r>
    <x v="2"/>
    <d v="2024-01-11T15:00:00"/>
    <n v="586.01955275341402"/>
    <n v="568.01689008415099"/>
    <n v="568.01689008415099"/>
    <n v="60.230778731002196"/>
    <s v="OK"/>
    <s v="NON-ZERO"/>
    <n v="565.68542494923804"/>
    <n v="1.0041214870174924"/>
    <x v="1"/>
    <n v="2.3314651349129463"/>
    <x v="0"/>
    <n v="0"/>
  </r>
  <r>
    <x v="2"/>
    <d v="2024-01-11T16:00:00"/>
    <n v="333.754931291888"/>
    <n v="323.50189892458798"/>
    <n v="323.50189892458798"/>
    <n v="94.9178524822307"/>
    <s v="OK"/>
    <s v="NON-ZERO"/>
    <n v="399.99999999999898"/>
    <n v="0.80875474731147201"/>
    <x v="0"/>
    <n v="-76.498101075411"/>
    <x v="1"/>
    <n v="-3.8249050537705496"/>
  </r>
  <r>
    <x v="2"/>
    <d v="2024-01-11T17:00:00"/>
    <n v="190.22082596436701"/>
    <n v="184.37719609499601"/>
    <n v="184.37719609499601"/>
    <n v="36.890532516215103"/>
    <s v="OK"/>
    <s v="NON-ZERO"/>
    <n v="207.05523608201599"/>
    <n v="0.89047347743460559"/>
    <x v="1"/>
    <n v="-22.678039987019986"/>
    <x v="1"/>
    <n v="0"/>
  </r>
  <r>
    <x v="2"/>
    <d v="2024-01-11T18:00:00"/>
    <n v="9.2093374539111506E-14"/>
    <n v="8.92642437565087E-14"/>
    <n v="8.92642437565087E-14"/>
    <n v="47.622160074178197"/>
    <s v="OK"/>
    <s v="NON-ZERO"/>
    <n v="9.7971743931788194E-14"/>
    <n v="0.9111223315434499"/>
    <x v="1"/>
    <n v="-8.7075001752794946E-15"/>
    <x v="1"/>
    <n v="0"/>
  </r>
  <r>
    <x v="2"/>
    <d v="2024-01-11T19:00:00"/>
    <n v="0"/>
    <n v="0"/>
    <n v="0"/>
    <n v="82.746515777574302"/>
    <s v="OK"/>
    <s v="ZERO"/>
    <n v="0"/>
    <n v="0"/>
    <x v="0"/>
    <n v="0"/>
    <x v="0"/>
    <n v="0"/>
  </r>
  <r>
    <x v="2"/>
    <d v="2024-01-11T20:00:00"/>
    <n v="0"/>
    <n v="0"/>
    <n v="0"/>
    <n v="22.8772896016775"/>
    <s v="OK"/>
    <s v="ZERO"/>
    <n v="0"/>
    <n v="0"/>
    <x v="0"/>
    <n v="0"/>
    <x v="0"/>
    <n v="0"/>
  </r>
  <r>
    <x v="2"/>
    <d v="2024-01-11T21:00:00"/>
    <n v="0"/>
    <n v="0"/>
    <n v="0"/>
    <n v="49.868767614755903"/>
    <s v="OK"/>
    <s v="ZERO"/>
    <n v="0"/>
    <n v="0"/>
    <x v="0"/>
    <n v="0"/>
    <x v="0"/>
    <n v="0"/>
  </r>
  <r>
    <x v="2"/>
    <d v="2024-01-11T22:00:00"/>
    <n v="0"/>
    <n v="0"/>
    <n v="0"/>
    <n v="53.505464398354398"/>
    <s v="OK"/>
    <s v="ZERO"/>
    <n v="0"/>
    <n v="0"/>
    <x v="0"/>
    <n v="0"/>
    <x v="0"/>
    <n v="0"/>
  </r>
  <r>
    <x v="2"/>
    <d v="2024-01-11T23:00:00"/>
    <n v="0"/>
    <n v="0"/>
    <n v="0"/>
    <n v="52.959903076883101"/>
    <s v="OK"/>
    <s v="ZERO"/>
    <n v="0"/>
    <n v="0"/>
    <x v="0"/>
    <n v="0"/>
    <x v="0"/>
    <n v="0"/>
  </r>
  <r>
    <x v="2"/>
    <d v="2024-01-12T00:00:00"/>
    <n v="0"/>
    <n v="0"/>
    <n v="0"/>
    <n v="92.106318338492997"/>
    <s v="OK"/>
    <s v="ZERO"/>
    <n v="0"/>
    <n v="0"/>
    <x v="0"/>
    <n v="0"/>
    <x v="0"/>
    <n v="0"/>
  </r>
  <r>
    <x v="2"/>
    <d v="2024-01-12T01:00:00"/>
    <n v="0"/>
    <n v="0"/>
    <n v="0"/>
    <n v="28.201692733210901"/>
    <s v="OK"/>
    <s v="ZERO"/>
    <n v="0"/>
    <n v="0"/>
    <x v="0"/>
    <n v="0"/>
    <x v="0"/>
    <n v="0"/>
  </r>
  <r>
    <x v="2"/>
    <d v="2024-01-12T02:00:00"/>
    <n v="0"/>
    <n v="0"/>
    <n v="0"/>
    <n v="25.875366332150499"/>
    <s v="OK"/>
    <s v="ZERO"/>
    <n v="0"/>
    <n v="0"/>
    <x v="0"/>
    <n v="0"/>
    <x v="0"/>
    <n v="0"/>
  </r>
  <r>
    <x v="2"/>
    <d v="2024-01-12T03:00:00"/>
    <n v="0"/>
    <n v="0"/>
    <n v="0"/>
    <n v="35.963756452876801"/>
    <s v="OK"/>
    <s v="ZERO"/>
    <n v="0"/>
    <n v="0"/>
    <x v="0"/>
    <n v="0"/>
    <x v="0"/>
    <n v="0"/>
  </r>
  <r>
    <x v="2"/>
    <d v="2024-01-12T04:00:00"/>
    <n v="0"/>
    <n v="0"/>
    <n v="0"/>
    <n v="29.733722429195801"/>
    <s v="OK"/>
    <s v="ZERO"/>
    <n v="0"/>
    <n v="0"/>
    <x v="0"/>
    <n v="0"/>
    <x v="0"/>
    <n v="0"/>
  </r>
  <r>
    <x v="2"/>
    <d v="2024-01-12T05:00:00"/>
    <n v="0"/>
    <n v="0"/>
    <n v="0"/>
    <n v="51.1248318778065"/>
    <s v="OK"/>
    <s v="ZERO"/>
    <n v="0"/>
    <n v="0"/>
    <x v="0"/>
    <n v="0"/>
    <x v="0"/>
    <n v="0"/>
  </r>
  <r>
    <x v="2"/>
    <d v="2024-01-12T06:00:00"/>
    <n v="0"/>
    <n v="0"/>
    <n v="0"/>
    <n v="94.661270804991403"/>
    <s v="OK"/>
    <s v="ZERO"/>
    <n v="0"/>
    <n v="0"/>
    <x v="0"/>
    <n v="0"/>
    <x v="0"/>
    <n v="0"/>
  </r>
  <r>
    <x v="2"/>
    <d v="2024-01-12T07:00:00"/>
    <n v="173.294417888476"/>
    <n v="167.970771376931"/>
    <n v="167.970771376931"/>
    <n v="65.710082252496605"/>
    <s v="OK"/>
    <s v="NON-ZERO"/>
    <n v="207.05523608201599"/>
    <n v="0.81123653067337365"/>
    <x v="0"/>
    <n v="-39.084464705084997"/>
    <x v="1"/>
    <n v="-1.9542232352542499"/>
  </r>
  <r>
    <x v="2"/>
    <d v="2024-01-12T08:00:00"/>
    <n v="364.13430611065502"/>
    <n v="352.94801198716402"/>
    <n v="352.94801198716402"/>
    <n v="24.228639038992299"/>
    <s v="OK"/>
    <s v="NON-ZERO"/>
    <n v="399.99999999999898"/>
    <n v="0.88237002996791236"/>
    <x v="1"/>
    <n v="-47.051988012834954"/>
    <x v="1"/>
    <n v="0"/>
  </r>
  <r>
    <x v="2"/>
    <d v="2024-01-12T09:00:00"/>
    <n v="570.89469401130805"/>
    <n v="553.35667066777103"/>
    <n v="553.35667066777103"/>
    <n v="62.026150576274198"/>
    <s v="OK"/>
    <s v="NON-ZERO"/>
    <n v="565.68542494923804"/>
    <n v="0.97820563560997997"/>
    <x v="1"/>
    <n v="-12.328754281467013"/>
    <x v="1"/>
    <n v="0"/>
  </r>
  <r>
    <x v="2"/>
    <d v="2024-01-12T10:00:00"/>
    <n v="617.46661336928196"/>
    <n v="598.49788937741005"/>
    <n v="598.49788937741005"/>
    <n v="61.071207549031001"/>
    <s v="OK"/>
    <s v="NON-ZERO"/>
    <n v="692.82032302754999"/>
    <n v="0.86385729385367749"/>
    <x v="1"/>
    <n v="-94.322433650139942"/>
    <x v="1"/>
    <n v="0"/>
  </r>
  <r>
    <x v="2"/>
    <d v="2024-01-12T11:00:00"/>
    <n v="805.622089999222"/>
    <n v="780.87318417002302"/>
    <n v="780.87318417002302"/>
    <n v="26.3486565188471"/>
    <s v="OK"/>
    <s v="NON-ZERO"/>
    <n v="772.74066103125404"/>
    <n v="1.0105242593652517"/>
    <x v="1"/>
    <n v="8.1325231387689882"/>
    <x v="0"/>
    <n v="0"/>
  </r>
  <r>
    <x v="2"/>
    <d v="2024-01-12T12:00:00"/>
    <n v="743.64378311003304"/>
    <n v="720.79886588752197"/>
    <n v="720.79886588752197"/>
    <n v="72.597000656628794"/>
    <s v="OK"/>
    <s v="NON-ZERO"/>
    <n v="800"/>
    <n v="0.90099858235940244"/>
    <x v="1"/>
    <n v="-79.20113411247803"/>
    <x v="1"/>
    <n v="0"/>
  </r>
  <r>
    <x v="2"/>
    <d v="2024-01-12T13:00:00"/>
    <n v="712.26375472667303"/>
    <n v="690.38283958034299"/>
    <n v="690.38283958034299"/>
    <n v="50.349030623641198"/>
    <s v="OK"/>
    <s v="NON-ZERO"/>
    <n v="772.74066103125404"/>
    <n v="0.89342113647675647"/>
    <x v="1"/>
    <n v="-82.357821450911047"/>
    <x v="1"/>
    <n v="0"/>
  </r>
  <r>
    <x v="2"/>
    <d v="2024-01-12T14:00:00"/>
    <n v="598.20434035232597"/>
    <n v="579.82735805531399"/>
    <n v="579.82735805531399"/>
    <n v="94.191251256543893"/>
    <s v="OK"/>
    <s v="NON-ZERO"/>
    <n v="692.82032302755101"/>
    <n v="0.8369087031418625"/>
    <x v="0"/>
    <n v="-112.99296497223702"/>
    <x v="1"/>
    <n v="-5.6496482486118511"/>
  </r>
  <r>
    <x v="2"/>
    <d v="2024-01-12T15:00:00"/>
    <n v="520.50444359469202"/>
    <n v="504.5144209549"/>
    <n v="504.5144209549"/>
    <n v="78.464876136794899"/>
    <s v="OK"/>
    <s v="NON-ZERO"/>
    <n v="565.68542494923804"/>
    <n v="0.89186392065903553"/>
    <x v="1"/>
    <n v="-61.171003994338037"/>
    <x v="1"/>
    <n v="0"/>
  </r>
  <r>
    <x v="2"/>
    <d v="2024-01-12T16:00:00"/>
    <n v="399.68582410875001"/>
    <n v="387.40737873724498"/>
    <n v="387.40737873724498"/>
    <n v="50.6695426817504"/>
    <s v="OK"/>
    <s v="NON-ZERO"/>
    <n v="399.99999999999898"/>
    <n v="0.96851844684311494"/>
    <x v="1"/>
    <n v="-12.592621262753994"/>
    <x v="1"/>
    <n v="0"/>
  </r>
  <r>
    <x v="2"/>
    <d v="2024-01-12T17:00:00"/>
    <n v="189.05427550242601"/>
    <n v="183.246482345934"/>
    <n v="183.246482345934"/>
    <n v="67.294152298140702"/>
    <s v="OK"/>
    <s v="NON-ZERO"/>
    <n v="207.05523608201599"/>
    <n v="0.88501254937280993"/>
    <x v="1"/>
    <n v="-23.808753736081997"/>
    <x v="1"/>
    <n v="0"/>
  </r>
  <r>
    <x v="2"/>
    <d v="2024-01-12T18:00:00"/>
    <n v="8.3883016999046801E-14"/>
    <n v="8.1306110389670595E-14"/>
    <n v="8.1306110389670595E-14"/>
    <n v="80.795288619511993"/>
    <s v="OK"/>
    <s v="NON-ZERO"/>
    <n v="9.7971743931788194E-14"/>
    <n v="0.8298934685318976"/>
    <x v="0"/>
    <n v="-1.66656335421176E-14"/>
    <x v="1"/>
    <n v="-8.3328167710587996E-16"/>
  </r>
  <r>
    <x v="2"/>
    <d v="2024-01-12T19:00:00"/>
    <n v="0"/>
    <n v="0"/>
    <n v="0"/>
    <n v="28.504032166442901"/>
    <s v="OK"/>
    <s v="ZERO"/>
    <n v="0"/>
    <n v="0"/>
    <x v="0"/>
    <n v="0"/>
    <x v="0"/>
    <n v="0"/>
  </r>
  <r>
    <x v="2"/>
    <d v="2024-01-12T20:00:00"/>
    <n v="0"/>
    <n v="0"/>
    <n v="0"/>
    <n v="24.136744295133902"/>
    <s v="OK"/>
    <s v="ZERO"/>
    <n v="0"/>
    <n v="0"/>
    <x v="0"/>
    <n v="0"/>
    <x v="0"/>
    <n v="0"/>
  </r>
  <r>
    <x v="2"/>
    <d v="2024-01-12T21:00:00"/>
    <n v="0"/>
    <n v="0"/>
    <n v="0"/>
    <n v="47.537721927126697"/>
    <s v="OK"/>
    <s v="ZERO"/>
    <n v="0"/>
    <n v="0"/>
    <x v="0"/>
    <n v="0"/>
    <x v="0"/>
    <n v="0"/>
  </r>
  <r>
    <x v="2"/>
    <d v="2024-01-12T22:00:00"/>
    <n v="0"/>
    <n v="0"/>
    <n v="0"/>
    <n v="32.644928632552698"/>
    <s v="OK"/>
    <s v="ZERO"/>
    <n v="0"/>
    <n v="0"/>
    <x v="0"/>
    <n v="0"/>
    <x v="0"/>
    <n v="0"/>
  </r>
  <r>
    <x v="2"/>
    <d v="2024-01-12T23:00:00"/>
    <n v="0"/>
    <n v="0"/>
    <n v="0"/>
    <n v="88.748232702043694"/>
    <s v="OK"/>
    <s v="ZERO"/>
    <n v="0"/>
    <n v="0"/>
    <x v="0"/>
    <n v="0"/>
    <x v="0"/>
    <n v="0"/>
  </r>
  <r>
    <x v="2"/>
    <d v="2024-01-13T00:00:00"/>
    <n v="0"/>
    <n v="0"/>
    <n v="0"/>
    <n v="29.011944405171601"/>
    <s v="OK"/>
    <s v="ZERO"/>
    <n v="0"/>
    <n v="0"/>
    <x v="0"/>
    <n v="0"/>
    <x v="0"/>
    <n v="0"/>
  </r>
  <r>
    <x v="2"/>
    <d v="2024-01-13T01:00:00"/>
    <n v="0"/>
    <n v="0"/>
    <n v="0"/>
    <n v="51.308621292234598"/>
    <s v="OK"/>
    <s v="ZERO"/>
    <n v="0"/>
    <n v="0"/>
    <x v="0"/>
    <n v="0"/>
    <x v="0"/>
    <n v="0"/>
  </r>
  <r>
    <x v="2"/>
    <d v="2024-01-13T02:00:00"/>
    <n v="0"/>
    <n v="0"/>
    <n v="0"/>
    <n v="82.999866743295698"/>
    <s v="OK"/>
    <s v="ZERO"/>
    <n v="0"/>
    <n v="0"/>
    <x v="0"/>
    <n v="0"/>
    <x v="0"/>
    <n v="0"/>
  </r>
  <r>
    <x v="2"/>
    <d v="2024-01-13T03:00:00"/>
    <n v="0"/>
    <n v="0"/>
    <n v="0"/>
    <n v="28.816793684070198"/>
    <s v="OK"/>
    <s v="ZERO"/>
    <n v="0"/>
    <n v="0"/>
    <x v="0"/>
    <n v="0"/>
    <x v="0"/>
    <n v="0"/>
  </r>
  <r>
    <x v="2"/>
    <d v="2024-01-13T04:00:00"/>
    <n v="0"/>
    <n v="0"/>
    <n v="0"/>
    <n v="87.802623984091895"/>
    <s v="OK"/>
    <s v="ZERO"/>
    <n v="0"/>
    <n v="0"/>
    <x v="0"/>
    <n v="0"/>
    <x v="0"/>
    <n v="0"/>
  </r>
  <r>
    <x v="2"/>
    <d v="2024-01-13T05:00:00"/>
    <n v="0"/>
    <n v="0"/>
    <n v="0"/>
    <n v="34.0927691598812"/>
    <s v="OK"/>
    <s v="ZERO"/>
    <n v="0"/>
    <n v="0"/>
    <x v="0"/>
    <n v="0"/>
    <x v="0"/>
    <n v="0"/>
  </r>
  <r>
    <x v="2"/>
    <d v="2024-01-13T06:00:00"/>
    <n v="0"/>
    <n v="0"/>
    <n v="0"/>
    <n v="33.413080138084901"/>
    <s v="OK"/>
    <s v="ZERO"/>
    <n v="0"/>
    <n v="0"/>
    <x v="0"/>
    <n v="0"/>
    <x v="0"/>
    <n v="0"/>
  </r>
  <r>
    <x v="2"/>
    <d v="2024-01-13T07:00:00"/>
    <n v="213.273599202648"/>
    <n v="206.721782553075"/>
    <n v="206.721782553075"/>
    <n v="38.395947873077503"/>
    <s v="OK"/>
    <s v="NON-ZERO"/>
    <n v="207.05523608201599"/>
    <n v="0.99838954312264327"/>
    <x v="1"/>
    <n v="-0.33345352894099278"/>
    <x v="1"/>
    <n v="0"/>
  </r>
  <r>
    <x v="2"/>
    <d v="2024-01-13T08:00:00"/>
    <n v="326.58686940520897"/>
    <n v="316.55404163608699"/>
    <n v="316.55404163608699"/>
    <n v="52.852524252323498"/>
    <s v="OK"/>
    <s v="NON-ZERO"/>
    <n v="399.99999999999898"/>
    <n v="0.79138510409021956"/>
    <x v="0"/>
    <n v="-83.445958363911984"/>
    <x v="1"/>
    <n v="-4.172297918195599"/>
  </r>
  <r>
    <x v="2"/>
    <d v="2024-01-13T09:00:00"/>
    <n v="515.68565569839495"/>
    <n v="499.84366739050199"/>
    <n v="499.84366739050199"/>
    <n v="31.792674882067502"/>
    <s v="OK"/>
    <s v="NON-ZERO"/>
    <n v="565.68542494923804"/>
    <n v="0.88360711686244275"/>
    <x v="1"/>
    <n v="-65.841757558736049"/>
    <x v="1"/>
    <n v="0"/>
  </r>
  <r>
    <x v="2"/>
    <d v="2024-01-13T10:00:00"/>
    <n v="664.86689659517799"/>
    <n v="644.44202441621201"/>
    <n v="644.44202441621201"/>
    <n v="53.0325927992034"/>
    <s v="OK"/>
    <s v="NON-ZERO"/>
    <n v="692.82032302754999"/>
    <n v="0.93017194068451969"/>
    <x v="1"/>
    <n v="-48.378298611337982"/>
    <x v="1"/>
    <n v="0"/>
  </r>
  <r>
    <x v="2"/>
    <d v="2024-01-13T11:00:00"/>
    <n v="839.94027329050903"/>
    <n v="814.13710455436103"/>
    <n v="814.13710455436103"/>
    <n v="56.645369440848803"/>
    <s v="OK"/>
    <s v="NON-ZERO"/>
    <n v="772.74066103125404"/>
    <n v="1.053570939916455"/>
    <x v="1"/>
    <n v="41.396443523106996"/>
    <x v="0"/>
    <n v="0"/>
  </r>
  <r>
    <x v="2"/>
    <d v="2024-01-13T12:00:00"/>
    <n v="668.40757449829005"/>
    <n v="647.87393183613597"/>
    <n v="647.87393183613597"/>
    <n v="23.288513937247199"/>
    <s v="OK"/>
    <s v="NON-ZERO"/>
    <n v="800"/>
    <n v="0.80984241479516994"/>
    <x v="0"/>
    <n v="-152.12606816386403"/>
    <x v="1"/>
    <n v="-7.6063034081932015"/>
  </r>
  <r>
    <x v="2"/>
    <d v="2024-01-13T13:00:00"/>
    <n v="786.461587876365"/>
    <n v="762.301297315498"/>
    <n v="762.301297315498"/>
    <n v="24.224995834942899"/>
    <s v="OK"/>
    <s v="NON-ZERO"/>
    <n v="772.74066103125404"/>
    <n v="0.98649046925805062"/>
    <x v="1"/>
    <n v="-10.439363715756031"/>
    <x v="1"/>
    <n v="0"/>
  </r>
  <r>
    <x v="2"/>
    <d v="2024-01-13T14:00:00"/>
    <n v="656.06823994302397"/>
    <n v="635.91366462857002"/>
    <n v="635.91366462857002"/>
    <n v="39.701998241000297"/>
    <s v="OK"/>
    <s v="NON-ZERO"/>
    <n v="692.82032302755101"/>
    <n v="0.91786231363666559"/>
    <x v="1"/>
    <n v="-56.906658398980994"/>
    <x v="1"/>
    <n v="0"/>
  </r>
  <r>
    <x v="2"/>
    <d v="2024-01-13T15:00:00"/>
    <n v="520.97977699135799"/>
    <n v="504.97515199443399"/>
    <n v="504.97515199443399"/>
    <n v="58.592833720084997"/>
    <s v="OK"/>
    <s v="NON-ZERO"/>
    <n v="565.68542494923804"/>
    <n v="0.89267838576492953"/>
    <x v="1"/>
    <n v="-60.710272954804054"/>
    <x v="1"/>
    <n v="0"/>
  </r>
  <r>
    <x v="2"/>
    <d v="2024-01-13T16:00:00"/>
    <n v="362.75322658162401"/>
    <n v="351.609359555938"/>
    <n v="351.609359555938"/>
    <n v="31.058975694963401"/>
    <s v="OK"/>
    <s v="NON-ZERO"/>
    <n v="399.99999999999898"/>
    <n v="0.87902339888984726"/>
    <x v="1"/>
    <n v="-48.390640444060978"/>
    <x v="1"/>
    <n v="0"/>
  </r>
  <r>
    <x v="2"/>
    <d v="2024-01-13T17:00:00"/>
    <n v="181.864655925421"/>
    <n v="176.27772962457701"/>
    <n v="176.27772962457701"/>
    <n v="76.430692490900697"/>
    <s v="OK"/>
    <s v="NON-ZERO"/>
    <n v="207.05523608201599"/>
    <n v="0.85135605821990512"/>
    <x v="1"/>
    <n v="-30.777506457438989"/>
    <x v="1"/>
    <n v="0"/>
  </r>
  <r>
    <x v="2"/>
    <d v="2024-01-13T18:00:00"/>
    <n v="9.8749596458929796E-14"/>
    <n v="9.5715984925964298E-14"/>
    <n v="9.5715984925964298E-14"/>
    <n v="68.170862263033598"/>
    <s v="OK"/>
    <s v="NON-ZERO"/>
    <n v="9.7971743931788194E-14"/>
    <n v="0.97697541234547747"/>
    <x v="1"/>
    <n v="-2.2557590058238962E-15"/>
    <x v="1"/>
    <n v="0"/>
  </r>
  <r>
    <x v="2"/>
    <d v="2024-01-13T19:00:00"/>
    <n v="0"/>
    <n v="0"/>
    <n v="0"/>
    <n v="78.340827915265706"/>
    <s v="OK"/>
    <s v="ZERO"/>
    <n v="0"/>
    <n v="0"/>
    <x v="0"/>
    <n v="0"/>
    <x v="0"/>
    <n v="0"/>
  </r>
  <r>
    <x v="2"/>
    <d v="2024-01-13T20:00:00"/>
    <n v="0"/>
    <n v="0"/>
    <n v="0"/>
    <n v="71.960089897243094"/>
    <s v="OK"/>
    <s v="ZERO"/>
    <n v="0"/>
    <n v="0"/>
    <x v="0"/>
    <n v="0"/>
    <x v="0"/>
    <n v="0"/>
  </r>
  <r>
    <x v="2"/>
    <d v="2024-01-13T21:00:00"/>
    <n v="0"/>
    <n v="0"/>
    <n v="0"/>
    <n v="77.732923053918896"/>
    <s v="OK"/>
    <s v="ZERO"/>
    <n v="0"/>
    <n v="0"/>
    <x v="0"/>
    <n v="0"/>
    <x v="0"/>
    <n v="0"/>
  </r>
  <r>
    <x v="2"/>
    <d v="2024-01-13T22:00:00"/>
    <n v="0"/>
    <n v="0"/>
    <n v="0"/>
    <n v="63.3407811080681"/>
    <s v="OK"/>
    <s v="ZERO"/>
    <n v="0"/>
    <n v="0"/>
    <x v="0"/>
    <n v="0"/>
    <x v="0"/>
    <n v="0"/>
  </r>
  <r>
    <x v="2"/>
    <d v="2024-01-13T23:00:00"/>
    <n v="0"/>
    <n v="0"/>
    <n v="0"/>
    <n v="25.517251566182399"/>
    <s v="OK"/>
    <s v="ZERO"/>
    <n v="0"/>
    <n v="0"/>
    <x v="0"/>
    <n v="0"/>
    <x v="0"/>
    <n v="0"/>
  </r>
  <r>
    <x v="2"/>
    <d v="2024-01-14T00:00:00"/>
    <n v="0"/>
    <n v="0"/>
    <n v="0"/>
    <n v="77.606703381399996"/>
    <s v="OK"/>
    <s v="ZERO"/>
    <n v="0"/>
    <n v="0"/>
    <x v="0"/>
    <n v="0"/>
    <x v="0"/>
    <n v="0"/>
  </r>
  <r>
    <x v="2"/>
    <d v="2024-01-14T01:00:00"/>
    <n v="0"/>
    <n v="0"/>
    <n v="0"/>
    <n v="42.967943392130003"/>
    <s v="OK"/>
    <s v="ZERO"/>
    <n v="0"/>
    <n v="0"/>
    <x v="0"/>
    <n v="0"/>
    <x v="0"/>
    <n v="0"/>
  </r>
  <r>
    <x v="2"/>
    <d v="2024-01-14T02:00:00"/>
    <n v="0"/>
    <n v="0"/>
    <n v="0"/>
    <n v="70.859187615248402"/>
    <s v="OK"/>
    <s v="ZERO"/>
    <n v="0"/>
    <n v="0"/>
    <x v="0"/>
    <n v="0"/>
    <x v="0"/>
    <n v="0"/>
  </r>
  <r>
    <x v="2"/>
    <d v="2024-01-14T03:00:00"/>
    <n v="0"/>
    <n v="0"/>
    <n v="0"/>
    <n v="45.798472723727699"/>
    <s v="OK"/>
    <s v="ZERO"/>
    <n v="0"/>
    <n v="0"/>
    <x v="0"/>
    <n v="0"/>
    <x v="0"/>
    <n v="0"/>
  </r>
  <r>
    <x v="2"/>
    <d v="2024-01-14T04:00:00"/>
    <n v="0"/>
    <n v="0"/>
    <n v="0"/>
    <n v="22.329265702636601"/>
    <s v="OK"/>
    <s v="ZERO"/>
    <n v="0"/>
    <n v="0"/>
    <x v="0"/>
    <n v="0"/>
    <x v="0"/>
    <n v="0"/>
  </r>
  <r>
    <x v="2"/>
    <d v="2024-01-14T05:00:00"/>
    <n v="0"/>
    <n v="0"/>
    <n v="0"/>
    <n v="60.303439283289102"/>
    <s v="OK"/>
    <s v="ZERO"/>
    <n v="0"/>
    <n v="0"/>
    <x v="0"/>
    <n v="0"/>
    <x v="0"/>
    <n v="0"/>
  </r>
  <r>
    <x v="2"/>
    <d v="2024-01-14T06:00:00"/>
    <n v="0"/>
    <n v="0"/>
    <n v="0"/>
    <n v="91.559873117830406"/>
    <s v="OK"/>
    <s v="ZERO"/>
    <n v="0"/>
    <n v="0"/>
    <x v="0"/>
    <n v="0"/>
    <x v="0"/>
    <n v="0"/>
  </r>
  <r>
    <x v="2"/>
    <d v="2024-01-14T07:00:00"/>
    <n v="187.176935499949"/>
    <n v="181.42681468326401"/>
    <n v="181.42681468326401"/>
    <n v="51.941986627751099"/>
    <s v="OK"/>
    <s v="NON-ZERO"/>
    <n v="207.05523608201599"/>
    <n v="0.87622422941962985"/>
    <x v="1"/>
    <n v="-25.628421398751982"/>
    <x v="1"/>
    <n v="0"/>
  </r>
  <r>
    <x v="2"/>
    <d v="2024-01-14T08:00:00"/>
    <n v="380.94424688179799"/>
    <n v="369.24154730430502"/>
    <n v="369.24154730430502"/>
    <n v="76.117910463567497"/>
    <s v="OK"/>
    <s v="NON-ZERO"/>
    <n v="399.99999999999898"/>
    <n v="0.92310386826076485"/>
    <x v="1"/>
    <n v="-30.758452695693961"/>
    <x v="1"/>
    <n v="0"/>
  </r>
  <r>
    <x v="2"/>
    <d v="2024-01-14T09:00:00"/>
    <n v="549.39471955884403"/>
    <n v="532.51718064052295"/>
    <n v="532.51718064052295"/>
    <n v="27.2094388799113"/>
    <s v="OK"/>
    <s v="NON-ZERO"/>
    <n v="565.68542494923804"/>
    <n v="0.94136627382313864"/>
    <x v="1"/>
    <n v="-33.168244308715089"/>
    <x v="1"/>
    <n v="0"/>
  </r>
  <r>
    <x v="2"/>
    <d v="2024-01-14T10:00:00"/>
    <n v="692.28817764617099"/>
    <n v="671.02091706838701"/>
    <n v="671.02091706838701"/>
    <n v="30.584458872449101"/>
    <s v="OK"/>
    <s v="NON-ZERO"/>
    <n v="692.82032302754999"/>
    <n v="0.96853526775325827"/>
    <x v="1"/>
    <n v="-21.799405959162982"/>
    <x v="1"/>
    <n v="0"/>
  </r>
  <r>
    <x v="2"/>
    <d v="2024-01-14T11:00:00"/>
    <n v="0"/>
    <n v="0"/>
    <n v="0"/>
    <n v="26.568092223967799"/>
    <s v="OK"/>
    <s v="ZERO"/>
    <n v="772.74066103125404"/>
    <n v="0"/>
    <x v="0"/>
    <n v="-772.74066103125404"/>
    <x v="1"/>
    <n v="-38.637033051562696"/>
  </r>
  <r>
    <x v="2"/>
    <d v="2024-01-14T12:00:00"/>
    <n v="799.54893458695506"/>
    <n v="774.98659756371501"/>
    <n v="774.98659756371501"/>
    <n v="25.902393253063199"/>
    <s v="OK"/>
    <s v="NON-ZERO"/>
    <n v="800"/>
    <n v="0.9687332469546438"/>
    <x v="1"/>
    <n v="-25.013402436284991"/>
    <x v="1"/>
    <n v="0"/>
  </r>
  <r>
    <x v="2"/>
    <d v="2024-01-14T13:00:00"/>
    <n v="746.43609095845898"/>
    <n v="723.50539336219094"/>
    <n v="723.50539336219094"/>
    <n v="75.196517038638305"/>
    <s v="OK"/>
    <s v="NON-ZERO"/>
    <n v="772.74066103125404"/>
    <n v="0.93628487518263037"/>
    <x v="1"/>
    <n v="-49.235267669063091"/>
    <x v="1"/>
    <n v="0"/>
  </r>
  <r>
    <x v="2"/>
    <d v="2024-01-14T14:00:00"/>
    <n v="641.45848940154099"/>
    <n v="621.75272916406595"/>
    <n v="621.75272916406595"/>
    <n v="75.622836396321503"/>
    <s v="OK"/>
    <s v="NON-ZERO"/>
    <n v="692.82032302755101"/>
    <n v="0.89742276388064479"/>
    <x v="1"/>
    <n v="-71.067593863485058"/>
    <x v="1"/>
    <n v="0"/>
  </r>
  <r>
    <x v="2"/>
    <d v="2024-01-14T15:00:00"/>
    <n v="463.27488769893603"/>
    <n v="449.042970884559"/>
    <n v="449.042970884559"/>
    <n v="31.871228802453"/>
    <s v="OK"/>
    <s v="NON-ZERO"/>
    <n v="565.68542494923804"/>
    <n v="0.79380332439156265"/>
    <x v="0"/>
    <n v="-116.64245406467904"/>
    <x v="1"/>
    <n v="-5.832122703233952"/>
  </r>
  <r>
    <x v="2"/>
    <d v="2024-01-14T16:00:00"/>
    <n v="358.66748238879001"/>
    <n v="347.64913041479701"/>
    <n v="347.64913041479701"/>
    <n v="76.128143707113693"/>
    <s v="OK"/>
    <s v="NON-ZERO"/>
    <n v="399.99999999999898"/>
    <n v="0.86912282603699476"/>
    <x v="1"/>
    <n v="-52.350869585201963"/>
    <x v="1"/>
    <n v="0"/>
  </r>
  <r>
    <x v="2"/>
    <d v="2024-01-14T17:00:00"/>
    <n v="202.28942174695899"/>
    <n v="196.07504169059399"/>
    <n v="196.07504169059399"/>
    <n v="86.886515855495901"/>
    <s v="OK"/>
    <s v="NON-ZERO"/>
    <n v="207.05523608201599"/>
    <n v="0.9469697332982554"/>
    <x v="1"/>
    <n v="-10.980194391422003"/>
    <x v="1"/>
    <n v="0"/>
  </r>
  <r>
    <x v="2"/>
    <d v="2024-01-14T18:00:00"/>
    <n v="9.6243362920973703E-14"/>
    <n v="9.3286743489623698E-14"/>
    <n v="9.3286743489623698E-14"/>
    <n v="73.499129712595405"/>
    <s v="OK"/>
    <s v="NON-ZERO"/>
    <n v="9.7971743931788194E-14"/>
    <n v="0.95218008525574094"/>
    <x v="1"/>
    <n v="-4.6850004421644964E-15"/>
    <x v="1"/>
    <n v="0"/>
  </r>
  <r>
    <x v="2"/>
    <d v="2024-01-14T19:00:00"/>
    <n v="0"/>
    <n v="0"/>
    <n v="0"/>
    <n v="41.190564774683203"/>
    <s v="OK"/>
    <s v="ZERO"/>
    <n v="0"/>
    <n v="0"/>
    <x v="0"/>
    <n v="0"/>
    <x v="0"/>
    <n v="0"/>
  </r>
  <r>
    <x v="2"/>
    <d v="2024-01-14T20:00:00"/>
    <n v="0"/>
    <n v="0"/>
    <n v="0"/>
    <n v="73.157422425924096"/>
    <s v="OK"/>
    <s v="ZERO"/>
    <n v="0"/>
    <n v="0"/>
    <x v="0"/>
    <n v="0"/>
    <x v="0"/>
    <n v="0"/>
  </r>
  <r>
    <x v="2"/>
    <d v="2024-01-14T21:00:00"/>
    <n v="0"/>
    <n v="0"/>
    <n v="0"/>
    <n v="45.066150294508603"/>
    <s v="OK"/>
    <s v="ZERO"/>
    <n v="0"/>
    <n v="0"/>
    <x v="0"/>
    <n v="0"/>
    <x v="0"/>
    <n v="0"/>
  </r>
  <r>
    <x v="2"/>
    <d v="2024-01-14T22:00:00"/>
    <n v="0"/>
    <n v="0"/>
    <n v="0"/>
    <n v="22.311846402452701"/>
    <s v="OK"/>
    <s v="ZERO"/>
    <n v="0"/>
    <n v="0"/>
    <x v="0"/>
    <n v="0"/>
    <x v="0"/>
    <n v="0"/>
  </r>
  <r>
    <x v="2"/>
    <d v="2024-01-14T23:00:00"/>
    <n v="0"/>
    <n v="0"/>
    <n v="0"/>
    <n v="90.856256015765794"/>
    <s v="OK"/>
    <s v="ZERO"/>
    <n v="0"/>
    <n v="0"/>
    <x v="0"/>
    <n v="0"/>
    <x v="0"/>
    <n v="0"/>
  </r>
  <r>
    <x v="2"/>
    <d v="2024-01-15T00:00:00"/>
    <n v="0"/>
    <n v="0"/>
    <n v="0"/>
    <n v="63.606867115181501"/>
    <s v="OK"/>
    <s v="ZERO"/>
    <n v="0"/>
    <n v="0"/>
    <x v="0"/>
    <n v="0"/>
    <x v="0"/>
    <n v="0"/>
  </r>
  <r>
    <x v="2"/>
    <d v="2024-01-15T01:00:00"/>
    <n v="0"/>
    <n v="0"/>
    <n v="0"/>
    <n v="52.166557351265702"/>
    <s v="OK"/>
    <s v="ZERO"/>
    <n v="0"/>
    <n v="0"/>
    <x v="0"/>
    <n v="0"/>
    <x v="0"/>
    <n v="0"/>
  </r>
  <r>
    <x v="2"/>
    <d v="2024-01-15T02:00:00"/>
    <n v="0"/>
    <n v="0"/>
    <n v="0"/>
    <n v="32.339402929460903"/>
    <s v="OK"/>
    <s v="ZERO"/>
    <n v="0"/>
    <n v="0"/>
    <x v="0"/>
    <n v="0"/>
    <x v="0"/>
    <n v="0"/>
  </r>
  <r>
    <x v="2"/>
    <d v="2024-01-15T03:00:00"/>
    <n v="0"/>
    <n v="0"/>
    <n v="0"/>
    <n v="22.8365102414026"/>
    <s v="OK"/>
    <s v="ZERO"/>
    <n v="0"/>
    <n v="0"/>
    <x v="0"/>
    <n v="0"/>
    <x v="0"/>
    <n v="0"/>
  </r>
  <r>
    <x v="2"/>
    <d v="2024-01-15T04:00:00"/>
    <n v="0"/>
    <n v="0"/>
    <n v="0"/>
    <n v="84.092649802447994"/>
    <s v="OK"/>
    <s v="ZERO"/>
    <n v="0"/>
    <n v="0"/>
    <x v="0"/>
    <n v="0"/>
    <x v="0"/>
    <n v="0"/>
  </r>
  <r>
    <x v="2"/>
    <d v="2024-01-15T05:00:00"/>
    <n v="0"/>
    <n v="0"/>
    <n v="0"/>
    <n v="36.731751383401601"/>
    <s v="OK"/>
    <s v="ZERO"/>
    <n v="0"/>
    <n v="0"/>
    <x v="0"/>
    <n v="0"/>
    <x v="0"/>
    <n v="0"/>
  </r>
  <r>
    <x v="2"/>
    <d v="2024-01-15T06:00:00"/>
    <n v="0"/>
    <n v="0"/>
    <n v="0"/>
    <n v="90.540297582720996"/>
    <s v="OK"/>
    <s v="ZERO"/>
    <n v="0"/>
    <n v="0"/>
    <x v="0"/>
    <n v="0"/>
    <x v="0"/>
    <n v="0"/>
  </r>
  <r>
    <x v="2"/>
    <d v="2024-01-15T07:00:00"/>
    <n v="191.25371213122901"/>
    <n v="185.378351748516"/>
    <n v="185.378351748516"/>
    <n v="46.581799399053899"/>
    <s v="OK"/>
    <s v="NON-ZERO"/>
    <n v="207.05523608201599"/>
    <n v="0.89530868794395702"/>
    <x v="1"/>
    <n v="-21.676884333499999"/>
    <x v="1"/>
    <n v="0"/>
  </r>
  <r>
    <x v="2"/>
    <d v="2024-01-15T08:00:00"/>
    <n v="343.19015291782301"/>
    <n v="332.64726825576099"/>
    <n v="332.64726825576099"/>
    <n v="84.2547459879423"/>
    <s v="OK"/>
    <s v="NON-ZERO"/>
    <n v="399.99999999999898"/>
    <n v="0.83161817063940457"/>
    <x v="0"/>
    <n v="-67.352731744237985"/>
    <x v="1"/>
    <n v="-3.3676365872118996"/>
  </r>
  <r>
    <x v="2"/>
    <d v="2024-01-15T09:00:00"/>
    <n v="467.21062357160702"/>
    <n v="452.85779999748502"/>
    <n v="452.85779999748502"/>
    <n v="62.052086103176002"/>
    <s v="OK"/>
    <s v="NON-ZERO"/>
    <n v="565.68542494923804"/>
    <n v="0.80054705322860731"/>
    <x v="0"/>
    <n v="-112.82762495175302"/>
    <x v="1"/>
    <n v="-5.6413812475876508"/>
  </r>
  <r>
    <x v="2"/>
    <d v="2024-01-15T10:00:00"/>
    <n v="593.04119315045602"/>
    <n v="574.82282398665802"/>
    <n v="574.82282398665802"/>
    <n v="54.174561616481803"/>
    <s v="OK"/>
    <s v="NON-ZERO"/>
    <n v="692.82032302754999"/>
    <n v="0.82968528041259582"/>
    <x v="0"/>
    <n v="-117.99749904089197"/>
    <x v="1"/>
    <n v="-5.8998749520445983"/>
  </r>
  <r>
    <x v="2"/>
    <d v="2024-01-15T11:00:00"/>
    <n v="712.704873404865"/>
    <n v="690.81040698584604"/>
    <n v="690.81040698584604"/>
    <n v="48.730202729487999"/>
    <s v="OK"/>
    <s v="NON-ZERO"/>
    <n v="772.74066103125404"/>
    <n v="0.89397444941480275"/>
    <x v="1"/>
    <n v="-81.930254045407992"/>
    <x v="1"/>
    <n v="0"/>
  </r>
  <r>
    <x v="2"/>
    <d v="2024-01-15T12:00:00"/>
    <n v="770.91480349469202"/>
    <n v="747.23211391744496"/>
    <n v="747.23211391744496"/>
    <n v="54.8517101333873"/>
    <s v="OK"/>
    <s v="NON-ZERO"/>
    <n v="800"/>
    <n v="0.93404014239680622"/>
    <x v="1"/>
    <n v="-52.767886082555037"/>
    <x v="1"/>
    <n v="0"/>
  </r>
  <r>
    <x v="2"/>
    <d v="2024-01-15T13:00:00"/>
    <n v="791.062343580944"/>
    <n v="766.76071668994302"/>
    <n v="766.76071668994302"/>
    <n v="82.4121840296838"/>
    <s v="OK"/>
    <s v="NON-ZERO"/>
    <n v="772.74066103125404"/>
    <n v="0.99226138257907825"/>
    <x v="1"/>
    <n v="-5.9799443413110112"/>
    <x v="1"/>
    <n v="0"/>
  </r>
  <r>
    <x v="2"/>
    <d v="2024-01-15T14:00:00"/>
    <n v="607.75997610044101"/>
    <n v="589.08944235765296"/>
    <n v="589.08944235765296"/>
    <n v="72.349285362334399"/>
    <s v="OK"/>
    <s v="NON-ZERO"/>
    <n v="692.82032302755101"/>
    <n v="0.85027737030489359"/>
    <x v="1"/>
    <n v="-103.73088066989806"/>
    <x v="1"/>
    <n v="0"/>
  </r>
  <r>
    <x v="2"/>
    <d v="2024-01-15T15:00:00"/>
    <n v="536.75502505777899"/>
    <n v="520.26578061747796"/>
    <n v="520.26578061747796"/>
    <n v="57.174044066243503"/>
    <s v="OK"/>
    <s v="NON-ZERO"/>
    <n v="565.68542494923804"/>
    <n v="0.91970865373482824"/>
    <x v="1"/>
    <n v="-45.419644331760082"/>
    <x v="1"/>
    <n v="0"/>
  </r>
  <r>
    <x v="2"/>
    <d v="2024-01-15T16:00:00"/>
    <n v="329.71223852052702"/>
    <n v="319.58339865481997"/>
    <n v="319.58339865481997"/>
    <n v="34.751641867340901"/>
    <s v="OK"/>
    <s v="NON-ZERO"/>
    <n v="399.99999999999898"/>
    <n v="0.79895849663705198"/>
    <x v="0"/>
    <n v="-80.416601345179004"/>
    <x v="1"/>
    <n v="-4.0208300672589505"/>
  </r>
  <r>
    <x v="2"/>
    <d v="2024-01-15T17:00:00"/>
    <n v="173.75425439239999"/>
    <n v="168.41648159202401"/>
    <n v="168.41648159202401"/>
    <n v="20.690067321903399"/>
    <s v="OK"/>
    <s v="NON-ZERO"/>
    <n v="207.05523608201599"/>
    <n v="0.81338914571236964"/>
    <x v="0"/>
    <n v="-38.638754489991982"/>
    <x v="1"/>
    <n v="-1.931937724499599"/>
  </r>
  <r>
    <x v="2"/>
    <d v="2024-01-15T18:00:00"/>
    <n v="8.2954752776457101E-14"/>
    <n v="8.0406362668942795E-14"/>
    <n v="8.0406362668942795E-14"/>
    <n v="45.937142773219499"/>
    <s v="OK"/>
    <s v="NON-ZERO"/>
    <n v="9.7971743931788194E-14"/>
    <n v="0.82070972141646159"/>
    <x v="0"/>
    <n v="-1.7565381262845399E-14"/>
    <x v="1"/>
    <n v="-8.7826906314226988E-16"/>
  </r>
  <r>
    <x v="2"/>
    <d v="2024-01-15T19:00:00"/>
    <n v="0"/>
    <n v="0"/>
    <n v="0"/>
    <n v="82.940596477959403"/>
    <s v="OK"/>
    <s v="ZERO"/>
    <n v="0"/>
    <n v="0"/>
    <x v="0"/>
    <n v="0"/>
    <x v="0"/>
    <n v="0"/>
  </r>
  <r>
    <x v="2"/>
    <d v="2024-01-15T20:00:00"/>
    <n v="0"/>
    <n v="0"/>
    <n v="0"/>
    <n v="49.028750895116502"/>
    <s v="OK"/>
    <s v="ZERO"/>
    <n v="0"/>
    <n v="0"/>
    <x v="0"/>
    <n v="0"/>
    <x v="0"/>
    <n v="0"/>
  </r>
  <r>
    <x v="2"/>
    <d v="2024-01-15T21:00:00"/>
    <n v="0"/>
    <n v="0"/>
    <n v="0"/>
    <n v="24.053572051229398"/>
    <s v="OK"/>
    <s v="ZERO"/>
    <n v="0"/>
    <n v="0"/>
    <x v="0"/>
    <n v="0"/>
    <x v="0"/>
    <n v="0"/>
  </r>
  <r>
    <x v="2"/>
    <d v="2024-01-15T22:00:00"/>
    <n v="0"/>
    <n v="0"/>
    <n v="0"/>
    <n v="81.698594539541702"/>
    <s v="OK"/>
    <s v="ZERO"/>
    <n v="0"/>
    <n v="0"/>
    <x v="0"/>
    <n v="0"/>
    <x v="0"/>
    <n v="0"/>
  </r>
  <r>
    <x v="2"/>
    <d v="2024-01-15T23:00:00"/>
    <n v="0"/>
    <n v="0"/>
    <n v="0"/>
    <n v="43.745182612055899"/>
    <s v="OK"/>
    <s v="ZERO"/>
    <n v="0"/>
    <n v="0"/>
    <x v="0"/>
    <n v="0"/>
    <x v="0"/>
    <n v="0"/>
  </r>
  <r>
    <x v="2"/>
    <d v="2024-01-16T00:00:00"/>
    <n v="0"/>
    <n v="0"/>
    <n v="0"/>
    <n v="53.115050778417199"/>
    <s v="OK"/>
    <s v="ZERO"/>
    <n v="0"/>
    <n v="0"/>
    <x v="0"/>
    <n v="0"/>
    <x v="0"/>
    <n v="0"/>
  </r>
  <r>
    <x v="2"/>
    <d v="2024-01-16T01:00:00"/>
    <n v="0"/>
    <n v="0"/>
    <n v="0"/>
    <n v="72.954358597852305"/>
    <s v="OK"/>
    <s v="ZERO"/>
    <n v="0"/>
    <n v="0"/>
    <x v="0"/>
    <n v="0"/>
    <x v="0"/>
    <n v="0"/>
  </r>
  <r>
    <x v="2"/>
    <d v="2024-01-16T02:00:00"/>
    <n v="0"/>
    <n v="0"/>
    <n v="0"/>
    <n v="36.586070758302"/>
    <s v="OK"/>
    <s v="ZERO"/>
    <n v="0"/>
    <n v="0"/>
    <x v="0"/>
    <n v="0"/>
    <x v="0"/>
    <n v="0"/>
  </r>
  <r>
    <x v="2"/>
    <d v="2024-01-16T03:00:00"/>
    <n v="0"/>
    <n v="0"/>
    <n v="0"/>
    <n v="23.3109171565591"/>
    <s v="OK"/>
    <s v="ZERO"/>
    <n v="0"/>
    <n v="0"/>
    <x v="0"/>
    <n v="0"/>
    <x v="0"/>
    <n v="0"/>
  </r>
  <r>
    <x v="2"/>
    <d v="2024-01-16T04:00:00"/>
    <n v="0"/>
    <n v="0"/>
    <n v="0"/>
    <n v="50.968339219190902"/>
    <s v="OK"/>
    <s v="ZERO"/>
    <n v="0"/>
    <n v="0"/>
    <x v="0"/>
    <n v="0"/>
    <x v="0"/>
    <n v="0"/>
  </r>
  <r>
    <x v="2"/>
    <d v="2024-01-16T05:00:00"/>
    <n v="0"/>
    <n v="0"/>
    <n v="0"/>
    <n v="20.176060540058899"/>
    <s v="OK"/>
    <s v="ZERO"/>
    <n v="0"/>
    <n v="0"/>
    <x v="0"/>
    <n v="0"/>
    <x v="0"/>
    <n v="0"/>
  </r>
  <r>
    <x v="2"/>
    <d v="2024-01-16T06:00:00"/>
    <n v="0"/>
    <n v="0"/>
    <n v="0"/>
    <n v="50.822045602692697"/>
    <s v="OK"/>
    <s v="ZERO"/>
    <n v="0"/>
    <n v="0"/>
    <x v="0"/>
    <n v="0"/>
    <x v="0"/>
    <n v="0"/>
  </r>
  <r>
    <x v="2"/>
    <d v="2024-01-16T07:00:00"/>
    <n v="180.487226840576"/>
    <n v="174.942615495007"/>
    <n v="174.942615495007"/>
    <n v="33.383800557378102"/>
    <s v="OK"/>
    <s v="NON-ZERO"/>
    <n v="207.05523608201599"/>
    <n v="0.84490795212592951"/>
    <x v="0"/>
    <n v="-32.11262058700899"/>
    <x v="1"/>
    <n v="-1.6056310293504497"/>
  </r>
  <r>
    <x v="2"/>
    <d v="2024-01-16T08:00:00"/>
    <n v="398.45071577386801"/>
    <n v="386.210213229712"/>
    <n v="386.210213229712"/>
    <n v="32.662520498942698"/>
    <s v="OK"/>
    <s v="NON-ZERO"/>
    <n v="399.99999999999898"/>
    <n v="0.96552553307428246"/>
    <x v="1"/>
    <n v="-13.78978677028698"/>
    <x v="1"/>
    <n v="0"/>
  </r>
  <r>
    <x v="2"/>
    <d v="2024-01-16T09:00:00"/>
    <n v="519.72730508656298"/>
    <n v="503.76115633006299"/>
    <n v="503.76115633006299"/>
    <n v="64.7542242579662"/>
    <s v="OK"/>
    <s v="NON-ZERO"/>
    <n v="565.68542494923804"/>
    <n v="0.89053232434841001"/>
    <x v="1"/>
    <n v="-61.924268619175052"/>
    <x v="1"/>
    <n v="0"/>
  </r>
  <r>
    <x v="2"/>
    <d v="2024-01-16T10:00:00"/>
    <n v="598.74627419344802"/>
    <n v="580.35264355751099"/>
    <n v="580.35264355751099"/>
    <n v="63.894565663238403"/>
    <s v="OK"/>
    <s v="NON-ZERO"/>
    <n v="692.82032302754999"/>
    <n v="0.83766688745710083"/>
    <x v="0"/>
    <n v="-112.467679470039"/>
    <x v="1"/>
    <n v="-5.6233839735019497"/>
  </r>
  <r>
    <x v="2"/>
    <d v="2024-01-16T11:00:00"/>
    <n v="688.663229677755"/>
    <n v="667.50732837998601"/>
    <n v="667.50732837998601"/>
    <n v="47.263584302695001"/>
    <s v="OK"/>
    <s v="NON-ZERO"/>
    <n v="772.74066103125404"/>
    <n v="0.86381804665121431"/>
    <x v="1"/>
    <n v="-105.23333265126803"/>
    <x v="1"/>
    <n v="0"/>
  </r>
  <r>
    <x v="2"/>
    <d v="2024-01-16T12:00:00"/>
    <n v="802.50088190648501"/>
    <n v="777.84786034624994"/>
    <n v="777.84786034624994"/>
    <n v="30.565145296314501"/>
    <s v="OK"/>
    <s v="NON-ZERO"/>
    <n v="800"/>
    <n v="0.97230982543281241"/>
    <x v="1"/>
    <n v="-22.152139653750055"/>
    <x v="1"/>
    <n v="0"/>
  </r>
  <r>
    <x v="2"/>
    <d v="2024-01-16T13:00:00"/>
    <n v="748.52991199426197"/>
    <n v="725.53489170838395"/>
    <n v="725.53489170838395"/>
    <n v="89.893454944809093"/>
    <s v="OK"/>
    <s v="NON-ZERO"/>
    <n v="772.74066103125404"/>
    <n v="0.93891123930262443"/>
    <x v="1"/>
    <n v="-47.205769322870083"/>
    <x v="1"/>
    <n v="0"/>
  </r>
  <r>
    <x v="2"/>
    <d v="2024-01-16T14:00:00"/>
    <n v="665.50401369492897"/>
    <n v="645.05956912426802"/>
    <n v="645.05956912426802"/>
    <n v="59.735679280253997"/>
    <s v="OK"/>
    <s v="NON-ZERO"/>
    <n v="692.82032302755101"/>
    <n v="0.93106328969310026"/>
    <x v="1"/>
    <n v="-47.760753903282989"/>
    <x v="1"/>
    <n v="0"/>
  </r>
  <r>
    <x v="2"/>
    <d v="2024-01-16T15:00:00"/>
    <n v="512.04582444451898"/>
    <n v="496.315652634777"/>
    <n v="496.315652634777"/>
    <n v="31.273296686297599"/>
    <s v="OK"/>
    <s v="NON-ZERO"/>
    <n v="565.68542494923804"/>
    <n v="0.87737040896769447"/>
    <x v="1"/>
    <n v="-69.369772314461045"/>
    <x v="1"/>
    <n v="0"/>
  </r>
  <r>
    <x v="2"/>
    <d v="2024-01-16T16:00:00"/>
    <n v="358.31507397011899"/>
    <n v="347.30754806814502"/>
    <n v="347.30754806814502"/>
    <n v="22.322795256688199"/>
    <s v="OK"/>
    <s v="NON-ZERO"/>
    <n v="399.99999999999898"/>
    <n v="0.8682688701703648"/>
    <x v="1"/>
    <n v="-52.692451931853952"/>
    <x v="1"/>
    <n v="0"/>
  </r>
  <r>
    <x v="2"/>
    <d v="2024-01-16T17:00:00"/>
    <n v="191.10342843868301"/>
    <n v="185.232684807423"/>
    <n v="185.232684807423"/>
    <n v="51.525154189662402"/>
    <s v="OK"/>
    <s v="NON-ZERO"/>
    <n v="207.05523608201599"/>
    <n v="0.8946051706417657"/>
    <x v="1"/>
    <n v="-21.822551274592996"/>
    <x v="1"/>
    <n v="0"/>
  </r>
  <r>
    <x v="2"/>
    <d v="2024-01-16T18:00:00"/>
    <n v="8.5943324205153103E-14"/>
    <n v="8.3303124459136095E-14"/>
    <n v="8.3303124459136095E-14"/>
    <n v="31.531198407718801"/>
    <s v="OK"/>
    <s v="NON-ZERO"/>
    <n v="9.7971743931788194E-14"/>
    <n v="0.85027704025698503"/>
    <x v="1"/>
    <n v="-1.46686194726521E-14"/>
    <x v="1"/>
    <n v="0"/>
  </r>
  <r>
    <x v="2"/>
    <d v="2024-01-16T19:00:00"/>
    <n v="0"/>
    <n v="0"/>
    <n v="0"/>
    <n v="74.877895454236295"/>
    <s v="OK"/>
    <s v="ZERO"/>
    <n v="0"/>
    <n v="0"/>
    <x v="0"/>
    <n v="0"/>
    <x v="0"/>
    <n v="0"/>
  </r>
  <r>
    <x v="2"/>
    <d v="2024-01-16T20:00:00"/>
    <n v="0"/>
    <n v="0"/>
    <n v="0"/>
    <n v="36.479206258279703"/>
    <s v="OK"/>
    <s v="ZERO"/>
    <n v="0"/>
    <n v="0"/>
    <x v="0"/>
    <n v="0"/>
    <x v="0"/>
    <n v="0"/>
  </r>
  <r>
    <x v="2"/>
    <d v="2024-01-16T21:00:00"/>
    <n v="0"/>
    <n v="0"/>
    <n v="0"/>
    <n v="78.796438857338003"/>
    <s v="OK"/>
    <s v="ZERO"/>
    <n v="0"/>
    <n v="0"/>
    <x v="0"/>
    <n v="0"/>
    <x v="0"/>
    <n v="0"/>
  </r>
  <r>
    <x v="2"/>
    <d v="2024-01-16T22:00:00"/>
    <n v="0"/>
    <n v="0"/>
    <n v="0"/>
    <n v="37.1319389231315"/>
    <s v="OK"/>
    <s v="ZERO"/>
    <n v="0"/>
    <n v="0"/>
    <x v="0"/>
    <n v="0"/>
    <x v="0"/>
    <n v="0"/>
  </r>
  <r>
    <x v="2"/>
    <d v="2024-01-16T23:00:00"/>
    <n v="0"/>
    <n v="0"/>
    <n v="0"/>
    <n v="28.7603080800464"/>
    <s v="OK"/>
    <s v="ZERO"/>
    <n v="0"/>
    <n v="0"/>
    <x v="0"/>
    <n v="0"/>
    <x v="0"/>
    <n v="0"/>
  </r>
  <r>
    <x v="2"/>
    <d v="2024-01-17T00:00:00"/>
    <n v="0"/>
    <n v="0"/>
    <n v="0"/>
    <n v="27.836023756546801"/>
    <s v="OK"/>
    <s v="ZERO"/>
    <n v="0"/>
    <n v="0"/>
    <x v="0"/>
    <n v="0"/>
    <x v="0"/>
    <n v="0"/>
  </r>
  <r>
    <x v="2"/>
    <d v="2024-01-17T01:00:00"/>
    <n v="0"/>
    <n v="0"/>
    <n v="0"/>
    <n v="27.181564899751798"/>
    <s v="OK"/>
    <s v="ZERO"/>
    <n v="0"/>
    <n v="0"/>
    <x v="0"/>
    <n v="0"/>
    <x v="0"/>
    <n v="0"/>
  </r>
  <r>
    <x v="2"/>
    <d v="2024-01-17T02:00:00"/>
    <n v="0"/>
    <n v="0"/>
    <n v="0"/>
    <n v="39.302409380122498"/>
    <s v="OK"/>
    <s v="ZERO"/>
    <n v="0"/>
    <n v="0"/>
    <x v="0"/>
    <n v="0"/>
    <x v="0"/>
    <n v="0"/>
  </r>
  <r>
    <x v="2"/>
    <d v="2024-01-17T03:00:00"/>
    <n v="0"/>
    <n v="0"/>
    <n v="0"/>
    <n v="82.955602820695304"/>
    <s v="OK"/>
    <s v="ZERO"/>
    <n v="0"/>
    <n v="0"/>
    <x v="0"/>
    <n v="0"/>
    <x v="0"/>
    <n v="0"/>
  </r>
  <r>
    <x v="2"/>
    <d v="2024-01-17T04:00:00"/>
    <n v="0"/>
    <n v="0"/>
    <n v="0"/>
    <n v="77.918020691995693"/>
    <s v="OK"/>
    <s v="ZERO"/>
    <n v="0"/>
    <n v="0"/>
    <x v="0"/>
    <n v="0"/>
    <x v="0"/>
    <n v="0"/>
  </r>
  <r>
    <x v="2"/>
    <d v="2024-01-17T05:00:00"/>
    <n v="0"/>
    <n v="0"/>
    <n v="0"/>
    <n v="54.224444286679798"/>
    <s v="OK"/>
    <s v="ZERO"/>
    <n v="0"/>
    <n v="0"/>
    <x v="0"/>
    <n v="0"/>
    <x v="0"/>
    <n v="0"/>
  </r>
  <r>
    <x v="2"/>
    <d v="2024-01-17T06:00:00"/>
    <n v="0"/>
    <n v="0"/>
    <n v="0"/>
    <n v="50.7878616011267"/>
    <s v="OK"/>
    <s v="ZERO"/>
    <n v="0"/>
    <n v="0"/>
    <x v="0"/>
    <n v="0"/>
    <x v="0"/>
    <n v="0"/>
  </r>
  <r>
    <x v="2"/>
    <d v="2024-01-17T07:00:00"/>
    <n v="210.844321570928"/>
    <n v="204.36713291888299"/>
    <n v="204.36713291888299"/>
    <n v="81.966303183141505"/>
    <s v="OK"/>
    <s v="NON-ZERO"/>
    <n v="207.05523608201599"/>
    <n v="0.98701745865500246"/>
    <x v="1"/>
    <n v="-2.6881031631330075"/>
    <x v="1"/>
    <n v="0"/>
  </r>
  <r>
    <x v="2"/>
    <d v="2024-01-17T08:00:00"/>
    <n v="383.887298316098"/>
    <n v="372.094187485362"/>
    <n v="372.094187485362"/>
    <n v="68.165722775202298"/>
    <s v="OK"/>
    <s v="NON-ZERO"/>
    <n v="399.99999999999898"/>
    <n v="0.93023546871340734"/>
    <x v="1"/>
    <n v="-27.905812514636978"/>
    <x v="1"/>
    <n v="0"/>
  </r>
  <r>
    <x v="2"/>
    <d v="2024-01-17T09:00:00"/>
    <n v="476.12636360341099"/>
    <n v="461.499646334982"/>
    <n v="461.499646334982"/>
    <n v="79.578816881964201"/>
    <s v="OK"/>
    <s v="NON-ZERO"/>
    <n v="565.68542494923804"/>
    <n v="0.81582382359664796"/>
    <x v="0"/>
    <n v="-104.18577861425604"/>
    <x v="1"/>
    <n v="-5.2092889307128019"/>
  </r>
  <r>
    <x v="2"/>
    <d v="2024-01-17T10:00:00"/>
    <n v="644.60368804773202"/>
    <n v="624.80130654567699"/>
    <n v="624.80130654567699"/>
    <n v="92.978401213561995"/>
    <s v="OK"/>
    <s v="NON-ZERO"/>
    <n v="692.82032302754999"/>
    <n v="0.90182300631044243"/>
    <x v="1"/>
    <n v="-68.019016481872995"/>
    <x v="1"/>
    <n v="0"/>
  </r>
  <r>
    <x v="2"/>
    <d v="2024-01-17T11:00:00"/>
    <n v="707.54292503617796"/>
    <n v="685.80703492192799"/>
    <n v="685.80703492192799"/>
    <n v="23.073366668741699"/>
    <s v="OK"/>
    <s v="NON-ZERO"/>
    <n v="772.74066103125404"/>
    <n v="0.88749960951542328"/>
    <x v="1"/>
    <n v="-86.933626109326042"/>
    <x v="1"/>
    <n v="0"/>
  </r>
  <r>
    <x v="2"/>
    <d v="2024-01-17T12:00:00"/>
    <n v="735.80554640229195"/>
    <n v="713.20142171086297"/>
    <n v="713.20142171086297"/>
    <n v="22.338118183393998"/>
    <s v="OK"/>
    <s v="NON-ZERO"/>
    <n v="800"/>
    <n v="0.8915017771385787"/>
    <x v="1"/>
    <n v="-86.798578289137026"/>
    <x v="1"/>
    <n v="0"/>
  </r>
  <r>
    <x v="2"/>
    <d v="2024-01-17T13:00:00"/>
    <n v="831.87952581081197"/>
    <n v="806.32398519058199"/>
    <n v="806.32398519058199"/>
    <n v="29.5483909060043"/>
    <s v="OK"/>
    <s v="NON-ZERO"/>
    <n v="772.74066103125404"/>
    <n v="1.0434600194514285"/>
    <x v="1"/>
    <n v="33.583324159327958"/>
    <x v="0"/>
    <n v="0"/>
  </r>
  <r>
    <x v="2"/>
    <d v="2024-01-17T14:00:00"/>
    <n v="705.38504682993005"/>
    <n v="683.71544725708895"/>
    <n v="683.71544725708895"/>
    <n v="37.5863005087377"/>
    <s v="OK"/>
    <s v="NON-ZERO"/>
    <n v="692.82032302755101"/>
    <n v="0.98685824380746412"/>
    <x v="1"/>
    <n v="-9.1048757704620584"/>
    <x v="1"/>
    <n v="0"/>
  </r>
  <r>
    <x v="2"/>
    <d v="2024-01-17T15:00:00"/>
    <n v="562.10617261961204"/>
    <n v="544.83813478292996"/>
    <n v="544.83813478292996"/>
    <n v="67.383113273956596"/>
    <s v="OK"/>
    <s v="NON-ZERO"/>
    <n v="565.68542494923804"/>
    <n v="0.96314684938509987"/>
    <x v="1"/>
    <n v="-20.847290166308085"/>
    <x v="1"/>
    <n v="0"/>
  </r>
  <r>
    <x v="2"/>
    <d v="2024-01-17T16:00:00"/>
    <n v="379.62668028297799"/>
    <n v="367.964456670684"/>
    <n v="367.964456670684"/>
    <n v="62.799843423559103"/>
    <s v="OK"/>
    <s v="NON-ZERO"/>
    <n v="399.99999999999898"/>
    <n v="0.9199111416767124"/>
    <x v="1"/>
    <n v="-32.035543329314976"/>
    <x v="1"/>
    <n v="0"/>
  </r>
  <r>
    <x v="2"/>
    <d v="2024-01-17T17:00:00"/>
    <n v="191.73533123234799"/>
    <n v="185.84517539413801"/>
    <n v="185.84517539413801"/>
    <n v="74.954256155997996"/>
    <s v="OK"/>
    <s v="NON-ZERO"/>
    <n v="207.05523608201599"/>
    <n v="0.89756327302210059"/>
    <x v="1"/>
    <n v="-21.210060687877984"/>
    <x v="1"/>
    <n v="0"/>
  </r>
  <r>
    <x v="2"/>
    <d v="2024-01-17T18:00:00"/>
    <n v="9.9300234992583905E-14"/>
    <n v="9.6249707710429706E-14"/>
    <n v="9.6249707710429706E-14"/>
    <n v="63.889608904463998"/>
    <s v="OK"/>
    <s v="NON-ZERO"/>
    <n v="9.7971743931788194E-14"/>
    <n v="0.98242313393382652"/>
    <x v="1"/>
    <n v="-1.7220362213584885E-15"/>
    <x v="1"/>
    <n v="0"/>
  </r>
  <r>
    <x v="2"/>
    <d v="2024-01-17T19:00:00"/>
    <n v="0"/>
    <n v="0"/>
    <n v="0"/>
    <n v="43.533660747929602"/>
    <s v="OK"/>
    <s v="ZERO"/>
    <n v="0"/>
    <n v="0"/>
    <x v="0"/>
    <n v="0"/>
    <x v="0"/>
    <n v="0"/>
  </r>
  <r>
    <x v="2"/>
    <d v="2024-01-17T20:00:00"/>
    <n v="0"/>
    <n v="0"/>
    <n v="0"/>
    <n v="69.554554483186294"/>
    <s v="OK"/>
    <s v="ZERO"/>
    <n v="0"/>
    <n v="0"/>
    <x v="0"/>
    <n v="0"/>
    <x v="0"/>
    <n v="0"/>
  </r>
  <r>
    <x v="2"/>
    <d v="2024-01-17T21:00:00"/>
    <n v="0"/>
    <n v="0"/>
    <n v="0"/>
    <n v="23.903437906709801"/>
    <s v="OK"/>
    <s v="ZERO"/>
    <n v="0"/>
    <n v="0"/>
    <x v="0"/>
    <n v="0"/>
    <x v="0"/>
    <n v="0"/>
  </r>
  <r>
    <x v="2"/>
    <d v="2024-01-17T22:00:00"/>
    <n v="0"/>
    <n v="0"/>
    <n v="0"/>
    <n v="87.899137128206704"/>
    <s v="OK"/>
    <s v="ZERO"/>
    <n v="0"/>
    <n v="0"/>
    <x v="0"/>
    <n v="0"/>
    <x v="0"/>
    <n v="0"/>
  </r>
  <r>
    <x v="2"/>
    <d v="2024-01-17T23:00:00"/>
    <n v="0"/>
    <n v="0"/>
    <n v="0"/>
    <n v="53.056620758098802"/>
    <s v="OK"/>
    <s v="ZERO"/>
    <n v="0"/>
    <n v="0"/>
    <x v="0"/>
    <n v="0"/>
    <x v="0"/>
    <n v="0"/>
  </r>
  <r>
    <x v="2"/>
    <d v="2024-01-18T00:00:00"/>
    <n v="0"/>
    <n v="0"/>
    <n v="0"/>
    <n v="23.556172710506299"/>
    <s v="OK"/>
    <s v="ZERO"/>
    <n v="0"/>
    <n v="0"/>
    <x v="0"/>
    <n v="0"/>
    <x v="0"/>
    <n v="0"/>
  </r>
  <r>
    <x v="2"/>
    <d v="2024-01-18T01:00:00"/>
    <n v="0"/>
    <n v="0"/>
    <n v="0"/>
    <n v="34.890714415115099"/>
    <s v="OK"/>
    <s v="ZERO"/>
    <n v="0"/>
    <n v="0"/>
    <x v="0"/>
    <n v="0"/>
    <x v="0"/>
    <n v="0"/>
  </r>
  <r>
    <x v="2"/>
    <d v="2024-01-18T02:00:00"/>
    <n v="0"/>
    <n v="0"/>
    <n v="0"/>
    <n v="42.891089759664403"/>
    <s v="OK"/>
    <s v="ZERO"/>
    <n v="0"/>
    <n v="0"/>
    <x v="0"/>
    <n v="0"/>
    <x v="0"/>
    <n v="0"/>
  </r>
  <r>
    <x v="2"/>
    <d v="2024-01-18T03:00:00"/>
    <n v="0"/>
    <n v="0"/>
    <n v="0"/>
    <n v="50.617813950972398"/>
    <s v="OK"/>
    <s v="ZERO"/>
    <n v="0"/>
    <n v="0"/>
    <x v="0"/>
    <n v="0"/>
    <x v="0"/>
    <n v="0"/>
  </r>
  <r>
    <x v="2"/>
    <d v="2024-01-18T04:00:00"/>
    <n v="0"/>
    <n v="0"/>
    <n v="0"/>
    <n v="59.737541672155203"/>
    <s v="OK"/>
    <s v="ZERO"/>
    <n v="0"/>
    <n v="0"/>
    <x v="0"/>
    <n v="0"/>
    <x v="0"/>
    <n v="0"/>
  </r>
  <r>
    <x v="2"/>
    <d v="2024-01-18T05:00:00"/>
    <n v="0"/>
    <n v="0"/>
    <n v="0"/>
    <n v="28.845400615567499"/>
    <s v="OK"/>
    <s v="ZERO"/>
    <n v="0"/>
    <n v="0"/>
    <x v="0"/>
    <n v="0"/>
    <x v="0"/>
    <n v="0"/>
  </r>
  <r>
    <x v="2"/>
    <d v="2024-01-18T06:00:00"/>
    <n v="0"/>
    <n v="0"/>
    <n v="0"/>
    <n v="90.021153337632001"/>
    <s v="OK"/>
    <s v="ZERO"/>
    <n v="0"/>
    <n v="0"/>
    <x v="0"/>
    <n v="0"/>
    <x v="0"/>
    <n v="0"/>
  </r>
  <r>
    <x v="2"/>
    <d v="2024-01-18T07:00:00"/>
    <n v="210.080504934956"/>
    <n v="203.626780915062"/>
    <n v="203.626780915062"/>
    <n v="78.377892840911798"/>
    <s v="OK"/>
    <s v="NON-ZERO"/>
    <n v="207.05523608201599"/>
    <n v="0.98344183304982469"/>
    <x v="1"/>
    <n v="-3.4284551669539951"/>
    <x v="1"/>
    <n v="0"/>
  </r>
  <r>
    <x v="2"/>
    <d v="2024-01-18T08:00:00"/>
    <n v="390.070176420699"/>
    <n v="378.08712607630702"/>
    <n v="378.08712607630702"/>
    <n v="24.765179181793801"/>
    <s v="OK"/>
    <s v="NON-ZERO"/>
    <n v="399.99999999999898"/>
    <n v="0.94521781519076997"/>
    <x v="1"/>
    <n v="-21.912873923691961"/>
    <x v="1"/>
    <n v="0"/>
  </r>
  <r>
    <x v="2"/>
    <d v="2024-01-18T09:00:00"/>
    <n v="540.68464032988095"/>
    <n v="524.07467715616599"/>
    <n v="524.07467715616599"/>
    <n v="60.423565583759"/>
    <s v="OK"/>
    <s v="NON-ZERO"/>
    <n v="565.68542494923804"/>
    <n v="0.92644189516318898"/>
    <x v="1"/>
    <n v="-41.610747793072051"/>
    <x v="1"/>
    <n v="0"/>
  </r>
  <r>
    <x v="2"/>
    <d v="2024-01-18T10:00:00"/>
    <n v="626.568329000159"/>
    <n v="607.31999809851004"/>
    <n v="607.31999809851004"/>
    <n v="48.045403520283003"/>
    <s v="OK"/>
    <s v="NON-ZERO"/>
    <n v="692.82032302754999"/>
    <n v="0.87659091096604558"/>
    <x v="1"/>
    <n v="-85.500324929039948"/>
    <x v="1"/>
    <n v="0"/>
  </r>
  <r>
    <x v="2"/>
    <d v="2024-01-18T11:00:00"/>
    <n v="714.40845022555902"/>
    <n v="692.46164951378501"/>
    <n v="692.46164951378501"/>
    <n v="42.7792888723869"/>
    <s v="OK"/>
    <s v="NON-ZERO"/>
    <n v="772.74066103125404"/>
    <n v="0.89611131448637193"/>
    <x v="1"/>
    <n v="-80.27901151746903"/>
    <x v="1"/>
    <n v="0"/>
  </r>
  <r>
    <x v="2"/>
    <d v="2024-01-18T12:00:00"/>
    <n v="746.94657242191897"/>
    <n v="724.00019271139001"/>
    <n v="724.00019271139001"/>
    <n v="81.785131244040301"/>
    <s v="OK"/>
    <s v="NON-ZERO"/>
    <n v="800"/>
    <n v="0.90500024088923747"/>
    <x v="1"/>
    <n v="-75.999807288609986"/>
    <x v="1"/>
    <n v="0"/>
  </r>
  <r>
    <x v="2"/>
    <d v="2024-01-18T13:00:00"/>
    <n v="763.75279309094697"/>
    <n v="740.29012220885397"/>
    <n v="740.29012220885397"/>
    <n v="79.630466088587298"/>
    <s v="OK"/>
    <s v="NON-ZERO"/>
    <n v="772.74066103125404"/>
    <n v="0.95800591264462065"/>
    <x v="1"/>
    <n v="-32.450538822400063"/>
    <x v="1"/>
    <n v="0"/>
  </r>
  <r>
    <x v="2"/>
    <d v="2024-01-18T14:00:00"/>
    <n v="685.93851538423598"/>
    <n v="664.86631796983704"/>
    <n v="664.86631796983704"/>
    <n v="78.746756932914906"/>
    <s v="OK"/>
    <s v="NON-ZERO"/>
    <n v="692.82032302755101"/>
    <n v="0.95965186913750167"/>
    <x v="1"/>
    <n v="-27.954005057713971"/>
    <x v="1"/>
    <n v="0"/>
  </r>
  <r>
    <x v="2"/>
    <d v="2024-01-18T15:00:00"/>
    <n v="503.32432860981697"/>
    <n v="487.862083265575"/>
    <n v="487.862083265575"/>
    <n v="51.5472677659114"/>
    <s v="OK"/>
    <s v="NON-ZERO"/>
    <n v="565.68542494923804"/>
    <n v="0.86242646840221038"/>
    <x v="1"/>
    <n v="-77.823341683663045"/>
    <x v="1"/>
    <n v="0"/>
  </r>
  <r>
    <x v="2"/>
    <d v="2024-01-18T16:00:00"/>
    <n v="314.86187632730201"/>
    <n v="305.18924318682201"/>
    <n v="305.18924318682201"/>
    <n v="71.415396542196703"/>
    <s v="OK"/>
    <s v="NON-ZERO"/>
    <n v="399.99999999999898"/>
    <n v="0.76297310796705697"/>
    <x v="0"/>
    <n v="-94.810756813176965"/>
    <x v="1"/>
    <n v="-4.7405378406588481"/>
  </r>
  <r>
    <x v="2"/>
    <d v="2024-01-18T17:00:00"/>
    <n v="191.507068006406"/>
    <n v="185.62392446981201"/>
    <n v="185.62392446981201"/>
    <n v="81.202512672655104"/>
    <s v="OK"/>
    <s v="NON-ZERO"/>
    <n v="207.05523608201599"/>
    <n v="0.89649471311261653"/>
    <x v="1"/>
    <n v="-21.431311612203984"/>
    <x v="1"/>
    <n v="0"/>
  </r>
  <r>
    <x v="2"/>
    <d v="2024-01-18T18:00:00"/>
    <n v="9.2636802479408006E-14"/>
    <n v="8.9790977458791805E-14"/>
    <n v="8.9790977458791805E-14"/>
    <n v="41.611410183305203"/>
    <s v="OK"/>
    <s v="NON-ZERO"/>
    <n v="9.7971743931788194E-14"/>
    <n v="0.91649871539806249"/>
    <x v="1"/>
    <n v="-8.1807664729963892E-15"/>
    <x v="1"/>
    <n v="0"/>
  </r>
  <r>
    <x v="2"/>
    <d v="2024-01-18T19:00:00"/>
    <n v="0"/>
    <n v="0"/>
    <n v="0"/>
    <n v="23.024392979071301"/>
    <s v="OK"/>
    <s v="ZERO"/>
    <n v="0"/>
    <n v="0"/>
    <x v="0"/>
    <n v="0"/>
    <x v="0"/>
    <n v="0"/>
  </r>
  <r>
    <x v="2"/>
    <d v="2024-01-18T20:00:00"/>
    <n v="0"/>
    <n v="0"/>
    <n v="0"/>
    <n v="47.3613572230892"/>
    <s v="OK"/>
    <s v="ZERO"/>
    <n v="0"/>
    <n v="0"/>
    <x v="0"/>
    <n v="0"/>
    <x v="0"/>
    <n v="0"/>
  </r>
  <r>
    <x v="2"/>
    <d v="2024-01-18T21:00:00"/>
    <n v="0"/>
    <n v="0"/>
    <n v="0"/>
    <n v="45.125642746827097"/>
    <s v="OK"/>
    <s v="ZERO"/>
    <n v="0"/>
    <n v="0"/>
    <x v="0"/>
    <n v="0"/>
    <x v="0"/>
    <n v="0"/>
  </r>
  <r>
    <x v="2"/>
    <d v="2024-01-18T22:00:00"/>
    <n v="0"/>
    <n v="0"/>
    <n v="0"/>
    <n v="41.718702850304503"/>
    <s v="OK"/>
    <s v="ZERO"/>
    <n v="0"/>
    <n v="0"/>
    <x v="0"/>
    <n v="0"/>
    <x v="0"/>
    <n v="0"/>
  </r>
  <r>
    <x v="2"/>
    <d v="2024-01-18T23:00:00"/>
    <n v="0"/>
    <n v="0"/>
    <n v="0"/>
    <n v="34.346686752238497"/>
    <s v="OK"/>
    <s v="ZERO"/>
    <n v="0"/>
    <n v="0"/>
    <x v="0"/>
    <n v="0"/>
    <x v="0"/>
    <n v="0"/>
  </r>
  <r>
    <x v="2"/>
    <d v="2024-01-19T00:00:00"/>
    <n v="0"/>
    <n v="0"/>
    <n v="0"/>
    <n v="39.131541681604801"/>
    <s v="OK"/>
    <s v="ZERO"/>
    <n v="0"/>
    <n v="0"/>
    <x v="0"/>
    <n v="0"/>
    <x v="0"/>
    <n v="0"/>
  </r>
  <r>
    <x v="2"/>
    <d v="2024-01-19T01:00:00"/>
    <n v="0"/>
    <n v="0"/>
    <n v="0"/>
    <n v="42.906012390706302"/>
    <s v="OK"/>
    <s v="ZERO"/>
    <n v="0"/>
    <n v="0"/>
    <x v="0"/>
    <n v="0"/>
    <x v="0"/>
    <n v="0"/>
  </r>
  <r>
    <x v="2"/>
    <d v="2024-01-19T02:00:00"/>
    <n v="0"/>
    <n v="0"/>
    <n v="0"/>
    <n v="61.835759430157502"/>
    <s v="OK"/>
    <s v="ZERO"/>
    <n v="0"/>
    <n v="0"/>
    <x v="0"/>
    <n v="0"/>
    <x v="0"/>
    <n v="0"/>
  </r>
  <r>
    <x v="2"/>
    <d v="2024-01-19T03:00:00"/>
    <n v="0"/>
    <n v="0"/>
    <n v="0"/>
    <n v="62.212267791095201"/>
    <s v="OK"/>
    <s v="ZERO"/>
    <n v="0"/>
    <n v="0"/>
    <x v="0"/>
    <n v="0"/>
    <x v="0"/>
    <n v="0"/>
  </r>
  <r>
    <x v="2"/>
    <d v="2024-01-19T04:00:00"/>
    <n v="0"/>
    <n v="0"/>
    <n v="0"/>
    <n v="34.443622434389503"/>
    <s v="OK"/>
    <s v="ZERO"/>
    <n v="0"/>
    <n v="0"/>
    <x v="0"/>
    <n v="0"/>
    <x v="0"/>
    <n v="0"/>
  </r>
  <r>
    <x v="2"/>
    <d v="2024-01-19T05:00:00"/>
    <n v="0"/>
    <n v="0"/>
    <n v="0"/>
    <n v="46.242159773554903"/>
    <s v="OK"/>
    <s v="ZERO"/>
    <n v="0"/>
    <n v="0"/>
    <x v="0"/>
    <n v="0"/>
    <x v="0"/>
    <n v="0"/>
  </r>
  <r>
    <x v="2"/>
    <d v="2024-01-19T06:00:00"/>
    <n v="0"/>
    <n v="0"/>
    <n v="0"/>
    <n v="59.385563882722202"/>
    <s v="OK"/>
    <s v="ZERO"/>
    <n v="0"/>
    <n v="0"/>
    <x v="0"/>
    <n v="0"/>
    <x v="0"/>
    <n v="0"/>
  </r>
  <r>
    <x v="2"/>
    <d v="2024-01-19T07:00:00"/>
    <n v="207.63175010212001"/>
    <n v="201.25325242409099"/>
    <n v="201.25325242409099"/>
    <n v="79.7710628011734"/>
    <s v="OK"/>
    <s v="NON-ZERO"/>
    <n v="207.05523608201599"/>
    <n v="0.97197857070551552"/>
    <x v="1"/>
    <n v="-5.8019836579250068"/>
    <x v="1"/>
    <n v="0"/>
  </r>
  <r>
    <x v="2"/>
    <d v="2024-01-19T08:00:00"/>
    <n v="356.12481954548002"/>
    <n v="345.18457879019002"/>
    <n v="345.18457879019002"/>
    <n v="79.452755433556305"/>
    <s v="OK"/>
    <s v="NON-ZERO"/>
    <n v="399.99999999999898"/>
    <n v="0.86296144697547728"/>
    <x v="1"/>
    <n v="-54.81542120980896"/>
    <x v="1"/>
    <n v="0"/>
  </r>
  <r>
    <x v="2"/>
    <d v="2024-01-19T09:00:00"/>
    <n v="544.97578235238404"/>
    <n v="528.23399425587604"/>
    <n v="528.23399425587604"/>
    <n v="73.262994994262002"/>
    <s v="OK"/>
    <s v="NON-ZERO"/>
    <n v="565.68542494923804"/>
    <n v="0.93379459847896429"/>
    <x v="1"/>
    <n v="-37.451430693361999"/>
    <x v="1"/>
    <n v="0"/>
  </r>
  <r>
    <x v="2"/>
    <d v="2024-01-19T10:00:00"/>
    <n v="573.572403130015"/>
    <n v="555.95211991346901"/>
    <n v="555.95211991346901"/>
    <n v="64.315394223069305"/>
    <s v="OK"/>
    <s v="NON-ZERO"/>
    <n v="692.82032302754999"/>
    <n v="0.80244776522146211"/>
    <x v="0"/>
    <n v="-136.86820311408098"/>
    <x v="1"/>
    <n v="-6.8434101557040492"/>
  </r>
  <r>
    <x v="2"/>
    <d v="2024-01-19T11:00:00"/>
    <n v="684.24970910836305"/>
    <n v="663.22939223200297"/>
    <n v="663.22939223200297"/>
    <n v="89.109330216239698"/>
    <s v="OK"/>
    <s v="NON-ZERO"/>
    <n v="772.74066103125404"/>
    <n v="0.85828198990706173"/>
    <x v="1"/>
    <n v="-109.51126879925107"/>
    <x v="1"/>
    <n v="0"/>
  </r>
  <r>
    <x v="2"/>
    <d v="2024-01-19T12:00:00"/>
    <n v="688.95324929678202"/>
    <n v="667.78843852603597"/>
    <n v="667.78843852603597"/>
    <n v="93.577211683630694"/>
    <s v="OK"/>
    <s v="NON-ZERO"/>
    <n v="800"/>
    <n v="0.83473554815754492"/>
    <x v="0"/>
    <n v="-132.21156147396403"/>
    <x v="1"/>
    <n v="-6.6105780736982016"/>
  </r>
  <r>
    <x v="2"/>
    <d v="2024-01-19T13:00:00"/>
    <n v="830.74395954828196"/>
    <n v="805.223303798816"/>
    <n v="805.223303798816"/>
    <n v="26.419966461707599"/>
    <s v="OK"/>
    <s v="NON-ZERO"/>
    <n v="772.74066103125404"/>
    <n v="1.0420356329175335"/>
    <x v="1"/>
    <n v="32.48264276756197"/>
    <x v="0"/>
    <n v="0"/>
  </r>
  <r>
    <x v="2"/>
    <d v="2024-01-19T14:00:00"/>
    <n v="685.73476660750998"/>
    <n v="664.66882840490496"/>
    <n v="664.66882840490496"/>
    <n v="21.046176401893302"/>
    <s v="OK"/>
    <s v="NON-ZERO"/>
    <n v="692.82032302755101"/>
    <n v="0.95936681750381247"/>
    <x v="1"/>
    <n v="-28.151494622646055"/>
    <x v="1"/>
    <n v="0"/>
  </r>
  <r>
    <x v="2"/>
    <d v="2024-01-19T15:00:00"/>
    <n v="509.84016143958303"/>
    <n v="494.17774813184502"/>
    <n v="494.17774813184502"/>
    <n v="65.862113953939897"/>
    <s v="OK"/>
    <s v="NON-ZERO"/>
    <n v="565.68542494923804"/>
    <n v="0.87359109203881324"/>
    <x v="1"/>
    <n v="-71.507676817393019"/>
    <x v="1"/>
    <n v="0"/>
  </r>
  <r>
    <x v="2"/>
    <d v="2024-01-19T16:00:00"/>
    <n v="350.92042343099502"/>
    <n v="340.14006298550999"/>
    <n v="340.14006298550999"/>
    <n v="64.170201692191"/>
    <s v="OK"/>
    <s v="NON-ZERO"/>
    <n v="399.99999999999898"/>
    <n v="0.85035015746377718"/>
    <x v="1"/>
    <n v="-59.859937014488992"/>
    <x v="1"/>
    <n v="0"/>
  </r>
  <r>
    <x v="2"/>
    <d v="2024-01-19T17:00:00"/>
    <n v="215.43477312350399"/>
    <n v="208.816564687371"/>
    <n v="208.816564687371"/>
    <n v="58.230163250295199"/>
    <s v="OK"/>
    <s v="NON-ZERO"/>
    <n v="207.05523608201599"/>
    <n v="1.0085065639424706"/>
    <x v="1"/>
    <n v="1.7613286053550041"/>
    <x v="0"/>
    <n v="0"/>
  </r>
  <r>
    <x v="2"/>
    <d v="2024-01-19T18:00:00"/>
    <n v="8.0334526239430798E-14"/>
    <n v="7.7866630126086997E-14"/>
    <n v="7.7866630126086997E-14"/>
    <n v="93.201511814336996"/>
    <s v="OK"/>
    <s v="NON-ZERO"/>
    <n v="9.7971743931788194E-14"/>
    <n v="0.79478660888491304"/>
    <x v="0"/>
    <n v="-2.0105113805701197E-14"/>
    <x v="1"/>
    <n v="-1.0052556902850599E-15"/>
  </r>
  <r>
    <x v="2"/>
    <d v="2024-01-19T19:00:00"/>
    <n v="0"/>
    <n v="0"/>
    <n v="0"/>
    <n v="64.084655379977903"/>
    <s v="OK"/>
    <s v="ZERO"/>
    <n v="0"/>
    <n v="0"/>
    <x v="0"/>
    <n v="0"/>
    <x v="0"/>
    <n v="0"/>
  </r>
  <r>
    <x v="2"/>
    <d v="2024-01-19T20:00:00"/>
    <n v="0"/>
    <n v="0"/>
    <n v="0"/>
    <n v="58.279454101152901"/>
    <s v="OK"/>
    <s v="ZERO"/>
    <n v="0"/>
    <n v="0"/>
    <x v="0"/>
    <n v="0"/>
    <x v="0"/>
    <n v="0"/>
  </r>
  <r>
    <x v="2"/>
    <d v="2024-01-19T21:00:00"/>
    <n v="0"/>
    <n v="0"/>
    <n v="0"/>
    <n v="25.318714357892699"/>
    <s v="OK"/>
    <s v="ZERO"/>
    <n v="0"/>
    <n v="0"/>
    <x v="0"/>
    <n v="0"/>
    <x v="0"/>
    <n v="0"/>
  </r>
  <r>
    <x v="2"/>
    <d v="2024-01-19T22:00:00"/>
    <n v="0"/>
    <n v="0"/>
    <n v="0"/>
    <n v="68.331737722236198"/>
    <s v="OK"/>
    <s v="ZERO"/>
    <n v="0"/>
    <n v="0"/>
    <x v="0"/>
    <n v="0"/>
    <x v="0"/>
    <n v="0"/>
  </r>
  <r>
    <x v="2"/>
    <d v="2024-01-19T23:00:00"/>
    <n v="0"/>
    <n v="0"/>
    <n v="0"/>
    <n v="79.120640612812196"/>
    <s v="OK"/>
    <s v="ZERO"/>
    <n v="0"/>
    <n v="0"/>
    <x v="0"/>
    <n v="0"/>
    <x v="0"/>
    <n v="0"/>
  </r>
  <r>
    <x v="2"/>
    <d v="2024-01-20T00:00:00"/>
    <n v="0"/>
    <n v="0"/>
    <n v="0"/>
    <n v="35.085240694278298"/>
    <s v="OK"/>
    <s v="ZERO"/>
    <n v="0"/>
    <n v="0"/>
    <x v="0"/>
    <n v="0"/>
    <x v="0"/>
    <n v="0"/>
  </r>
  <r>
    <x v="2"/>
    <d v="2024-01-20T01:00:00"/>
    <n v="0"/>
    <n v="0"/>
    <n v="0"/>
    <n v="51.383712288159302"/>
    <s v="OK"/>
    <s v="ZERO"/>
    <n v="0"/>
    <n v="0"/>
    <x v="0"/>
    <n v="0"/>
    <x v="0"/>
    <n v="0"/>
  </r>
  <r>
    <x v="2"/>
    <d v="2024-01-20T02:00:00"/>
    <n v="0"/>
    <n v="0"/>
    <n v="0"/>
    <n v="65.382621667786296"/>
    <s v="OK"/>
    <s v="ZERO"/>
    <n v="0"/>
    <n v="0"/>
    <x v="0"/>
    <n v="0"/>
    <x v="0"/>
    <n v="0"/>
  </r>
  <r>
    <x v="2"/>
    <d v="2024-01-20T03:00:00"/>
    <n v="0"/>
    <n v="0"/>
    <n v="0"/>
    <n v="85.020578212288399"/>
    <s v="OK"/>
    <s v="ZERO"/>
    <n v="0"/>
    <n v="0"/>
    <x v="0"/>
    <n v="0"/>
    <x v="0"/>
    <n v="0"/>
  </r>
  <r>
    <x v="2"/>
    <d v="2024-01-20T04:00:00"/>
    <n v="0"/>
    <n v="0"/>
    <n v="0"/>
    <n v="72.216607709095399"/>
    <s v="OK"/>
    <s v="ZERO"/>
    <n v="0"/>
    <n v="0"/>
    <x v="0"/>
    <n v="0"/>
    <x v="0"/>
    <n v="0"/>
  </r>
  <r>
    <x v="2"/>
    <d v="2024-01-20T05:00:00"/>
    <n v="0"/>
    <n v="0"/>
    <n v="0"/>
    <n v="24.875059171166601"/>
    <s v="OK"/>
    <s v="ZERO"/>
    <n v="0"/>
    <n v="0"/>
    <x v="0"/>
    <n v="0"/>
    <x v="0"/>
    <n v="0"/>
  </r>
  <r>
    <x v="2"/>
    <d v="2024-01-20T06:00:00"/>
    <n v="0"/>
    <n v="0"/>
    <n v="0"/>
    <n v="54.843707332943403"/>
    <s v="OK"/>
    <s v="ZERO"/>
    <n v="0"/>
    <n v="0"/>
    <x v="0"/>
    <n v="0"/>
    <x v="0"/>
    <n v="0"/>
  </r>
  <r>
    <x v="2"/>
    <d v="2024-01-20T07:00:00"/>
    <n v="198.464624084066"/>
    <n v="192.36774273875901"/>
    <n v="192.36774273875901"/>
    <n v="80.230673175330793"/>
    <s v="OK"/>
    <s v="NON-ZERO"/>
    <n v="207.05523608201599"/>
    <n v="0.92906485428149632"/>
    <x v="1"/>
    <n v="-14.687493343256989"/>
    <x v="1"/>
    <n v="0"/>
  </r>
  <r>
    <x v="2"/>
    <d v="2024-01-20T08:00:00"/>
    <n v="419.71527128902397"/>
    <n v="406.82151644645398"/>
    <n v="406.82151644645398"/>
    <n v="56.477907561885999"/>
    <s v="OK"/>
    <s v="NON-ZERO"/>
    <n v="399.99999999999898"/>
    <n v="1.0170537911161375"/>
    <x v="1"/>
    <n v="6.8215164464550071"/>
    <x v="0"/>
    <n v="0"/>
  </r>
  <r>
    <x v="2"/>
    <d v="2024-01-20T09:00:00"/>
    <n v="523.99978034920605"/>
    <n v="507.90238011729798"/>
    <n v="507.90238011729798"/>
    <n v="81.618326882062803"/>
    <s v="OK"/>
    <s v="NON-ZERO"/>
    <n v="565.68542494923804"/>
    <n v="0.89785304290432222"/>
    <x v="1"/>
    <n v="-57.78304483194006"/>
    <x v="1"/>
    <n v="0"/>
  </r>
  <r>
    <x v="2"/>
    <d v="2024-01-20T10:00:00"/>
    <n v="595.37624118665303"/>
    <n v="577.08613878133701"/>
    <n v="577.08613878133701"/>
    <n v="76.473964477938793"/>
    <s v="OK"/>
    <s v="NON-ZERO"/>
    <n v="692.82032302754999"/>
    <n v="0.83295209392751779"/>
    <x v="0"/>
    <n v="-115.73418424621298"/>
    <x v="1"/>
    <n v="-5.7867092123106483"/>
  </r>
  <r>
    <x v="2"/>
    <d v="2024-01-20T11:00:00"/>
    <n v="746.02371555481602"/>
    <n v="723.10568623087704"/>
    <n v="723.10568623087704"/>
    <n v="55.0894596975619"/>
    <s v="OK"/>
    <s v="NON-ZERO"/>
    <n v="772.74066103125404"/>
    <n v="0.93576761609239367"/>
    <x v="1"/>
    <n v="-49.634974800376995"/>
    <x v="1"/>
    <n v="0"/>
  </r>
  <r>
    <x v="2"/>
    <d v="2024-01-20T12:00:00"/>
    <n v="818.38232915718004"/>
    <n v="793.24142568889204"/>
    <n v="793.24142568889204"/>
    <n v="61.130070255643297"/>
    <s v="OK"/>
    <s v="NON-ZERO"/>
    <n v="800"/>
    <n v="0.99155178211111505"/>
    <x v="1"/>
    <n v="-6.7585743111079637"/>
    <x v="1"/>
    <n v="0"/>
  </r>
  <r>
    <x v="2"/>
    <d v="2024-01-20T13:00:00"/>
    <n v="759.15692097725696"/>
    <n v="735.83543640020298"/>
    <n v="735.83543640020298"/>
    <n v="41.144716381366997"/>
    <s v="OK"/>
    <s v="NON-ZERO"/>
    <n v="772.74066103125404"/>
    <n v="0.95224112500848668"/>
    <x v="1"/>
    <n v="-36.905224631051055"/>
    <x v="1"/>
    <n v="0"/>
  </r>
  <r>
    <x v="2"/>
    <d v="2024-01-20T14:00:00"/>
    <n v="626.56335038511804"/>
    <n v="607.31517242772998"/>
    <n v="607.31517242772998"/>
    <n v="29.945299306010799"/>
    <s v="OK"/>
    <s v="NON-ZERO"/>
    <n v="692.82032302755101"/>
    <n v="0.87658394571023457"/>
    <x v="1"/>
    <n v="-85.505150599821036"/>
    <x v="1"/>
    <n v="0"/>
  </r>
  <r>
    <x v="2"/>
    <d v="2024-01-20T15:00:00"/>
    <n v="539.17804317858599"/>
    <n v="522.61436303444896"/>
    <n v="522.61436303444896"/>
    <n v="58.7840666084997"/>
    <s v="OK"/>
    <s v="NON-ZERO"/>
    <n v="565.68542494923804"/>
    <n v="0.92386040011786752"/>
    <x v="1"/>
    <n v="-43.071061914789084"/>
    <x v="1"/>
    <n v="0"/>
  </r>
  <r>
    <x v="2"/>
    <d v="2024-01-20T16:00:00"/>
    <n v="371.35703252910599"/>
    <n v="359.94885449977397"/>
    <n v="359.94885449977397"/>
    <n v="28.4824804567866"/>
    <s v="OK"/>
    <s v="NON-ZERO"/>
    <n v="399.99999999999898"/>
    <n v="0.89987213624943718"/>
    <x v="1"/>
    <n v="-40.051145500225005"/>
    <x v="1"/>
    <n v="0"/>
  </r>
  <r>
    <x v="2"/>
    <d v="2024-01-20T17:00:00"/>
    <n v="219.09527768648701"/>
    <n v="212.36461766313801"/>
    <n v="212.36461766313801"/>
    <n v="49.766704481677898"/>
    <s v="OK"/>
    <s v="NON-ZERO"/>
    <n v="207.05523608201599"/>
    <n v="1.0256423439541462"/>
    <x v="1"/>
    <n v="5.3093815811220111"/>
    <x v="0"/>
    <n v="0"/>
  </r>
  <r>
    <x v="2"/>
    <d v="2024-01-20T18:00:00"/>
    <n v="9.6598510231755094E-14"/>
    <n v="9.3630980588955803E-14"/>
    <n v="9.3630980588955803E-14"/>
    <n v="37.012782674412101"/>
    <s v="OK"/>
    <s v="NON-ZERO"/>
    <n v="9.7971743931788194E-14"/>
    <n v="0.95569372179539236"/>
    <x v="1"/>
    <n v="-4.340763342832391E-15"/>
    <x v="1"/>
    <n v="0"/>
  </r>
  <r>
    <x v="2"/>
    <d v="2024-01-20T19:00:00"/>
    <n v="0"/>
    <n v="0"/>
    <n v="0"/>
    <n v="58.619563164550399"/>
    <s v="OK"/>
    <s v="ZERO"/>
    <n v="0"/>
    <n v="0"/>
    <x v="0"/>
    <n v="0"/>
    <x v="0"/>
    <n v="0"/>
  </r>
  <r>
    <x v="2"/>
    <d v="2024-01-20T20:00:00"/>
    <n v="0"/>
    <n v="0"/>
    <n v="0"/>
    <n v="56.863566937386899"/>
    <s v="OK"/>
    <s v="ZERO"/>
    <n v="0"/>
    <n v="0"/>
    <x v="0"/>
    <n v="0"/>
    <x v="0"/>
    <n v="0"/>
  </r>
  <r>
    <x v="2"/>
    <d v="2024-01-20T21:00:00"/>
    <n v="0"/>
    <n v="0"/>
    <n v="0"/>
    <n v="64.628475869281999"/>
    <s v="OK"/>
    <s v="ZERO"/>
    <n v="0"/>
    <n v="0"/>
    <x v="0"/>
    <n v="0"/>
    <x v="0"/>
    <n v="0"/>
  </r>
  <r>
    <x v="2"/>
    <d v="2024-01-20T22:00:00"/>
    <n v="0"/>
    <n v="0"/>
    <n v="0"/>
    <n v="73.674698905423298"/>
    <s v="OK"/>
    <s v="ZERO"/>
    <n v="0"/>
    <n v="0"/>
    <x v="0"/>
    <n v="0"/>
    <x v="0"/>
    <n v="0"/>
  </r>
  <r>
    <x v="2"/>
    <d v="2024-01-20T23:00:00"/>
    <n v="0"/>
    <n v="0"/>
    <n v="0"/>
    <n v="64.2296777057349"/>
    <s v="OK"/>
    <s v="ZERO"/>
    <n v="0"/>
    <n v="0"/>
    <x v="0"/>
    <n v="0"/>
    <x v="0"/>
    <n v="0"/>
  </r>
  <r>
    <x v="2"/>
    <d v="2024-01-21T00:00:00"/>
    <n v="0"/>
    <n v="0"/>
    <n v="0"/>
    <n v="89.865128686644596"/>
    <s v="OK"/>
    <s v="ZERO"/>
    <n v="0"/>
    <n v="0"/>
    <x v="0"/>
    <n v="0"/>
    <x v="0"/>
    <n v="0"/>
  </r>
  <r>
    <x v="2"/>
    <d v="2024-01-21T01:00:00"/>
    <n v="0"/>
    <n v="0"/>
    <n v="0"/>
    <n v="54.086204971651703"/>
    <s v="OK"/>
    <s v="ZERO"/>
    <n v="0"/>
    <n v="0"/>
    <x v="0"/>
    <n v="0"/>
    <x v="0"/>
    <n v="0"/>
  </r>
  <r>
    <x v="2"/>
    <d v="2024-01-21T02:00:00"/>
    <n v="0"/>
    <n v="0"/>
    <n v="0"/>
    <n v="93.548616467303702"/>
    <s v="OK"/>
    <s v="ZERO"/>
    <n v="0"/>
    <n v="0"/>
    <x v="0"/>
    <n v="0"/>
    <x v="0"/>
    <n v="0"/>
  </r>
  <r>
    <x v="2"/>
    <d v="2024-01-21T03:00:00"/>
    <n v="0"/>
    <n v="0"/>
    <n v="0"/>
    <n v="30.013666351461399"/>
    <s v="OK"/>
    <s v="ZERO"/>
    <n v="0"/>
    <n v="0"/>
    <x v="0"/>
    <n v="0"/>
    <x v="0"/>
    <n v="0"/>
  </r>
  <r>
    <x v="2"/>
    <d v="2024-01-21T04:00:00"/>
    <n v="0"/>
    <n v="0"/>
    <n v="0"/>
    <n v="39.023185575603101"/>
    <s v="OK"/>
    <s v="ZERO"/>
    <n v="0"/>
    <n v="0"/>
    <x v="0"/>
    <n v="0"/>
    <x v="0"/>
    <n v="0"/>
  </r>
  <r>
    <x v="2"/>
    <d v="2024-01-21T05:00:00"/>
    <n v="0"/>
    <n v="0"/>
    <n v="0"/>
    <n v="29.775554267680299"/>
    <s v="OK"/>
    <s v="ZERO"/>
    <n v="0"/>
    <n v="0"/>
    <x v="0"/>
    <n v="0"/>
    <x v="0"/>
    <n v="0"/>
  </r>
  <r>
    <x v="2"/>
    <d v="2024-01-21T06:00:00"/>
    <n v="0"/>
    <n v="0"/>
    <n v="0"/>
    <n v="29.7742960026746"/>
    <s v="OK"/>
    <s v="ZERO"/>
    <n v="0"/>
    <n v="0"/>
    <x v="0"/>
    <n v="0"/>
    <x v="0"/>
    <n v="0"/>
  </r>
  <r>
    <x v="2"/>
    <d v="2024-01-21T07:00:00"/>
    <n v="191.607345714692"/>
    <n v="185.72112162259899"/>
    <n v="185.72112162259899"/>
    <n v="24.803264289859101"/>
    <s v="OK"/>
    <s v="NON-ZERO"/>
    <n v="207.05523608201599"/>
    <n v="0.89696413931321006"/>
    <x v="1"/>
    <n v="-21.334114459417009"/>
    <x v="1"/>
    <n v="0"/>
  </r>
  <r>
    <x v="2"/>
    <d v="2024-01-21T08:00:00"/>
    <n v="371.19638606573"/>
    <n v="359.793143134682"/>
    <n v="359.793143134682"/>
    <n v="51.044454353944097"/>
    <s v="OK"/>
    <s v="NON-ZERO"/>
    <n v="399.99999999999898"/>
    <n v="0.89948285783670734"/>
    <x v="1"/>
    <n v="-40.206856865316979"/>
    <x v="1"/>
    <n v="0"/>
  </r>
  <r>
    <x v="2"/>
    <d v="2024-01-21T09:00:00"/>
    <n v="474.21991420177397"/>
    <n v="459.65176352094898"/>
    <n v="459.65176352094898"/>
    <n v="69.051730824407002"/>
    <s v="OK"/>
    <s v="NON-ZERO"/>
    <n v="565.68542494923804"/>
    <n v="0.81255719742504584"/>
    <x v="0"/>
    <n v="-106.03366142828907"/>
    <x v="1"/>
    <n v="-5.3016830714144536"/>
  </r>
  <r>
    <x v="2"/>
    <d v="2024-01-21T10:00:00"/>
    <n v="597.93682357185799"/>
    <n v="579.56805945516896"/>
    <n v="579.56805945516896"/>
    <n v="84.400404119712206"/>
    <s v="OK"/>
    <s v="NON-ZERO"/>
    <n v="692.82032302754999"/>
    <n v="0.83653443785037818"/>
    <x v="0"/>
    <n v="-113.25226357238103"/>
    <x v="1"/>
    <n v="-5.6626131786190506"/>
  </r>
  <r>
    <x v="2"/>
    <d v="2024-01-21T11:00:00"/>
    <n v="716.530073042563"/>
    <n v="694.518095563722"/>
    <n v="694.518095563722"/>
    <n v="70.513759011294397"/>
    <s v="OK"/>
    <s v="NON-ZERO"/>
    <n v="772.74066103125404"/>
    <n v="0.89877255150111968"/>
    <x v="1"/>
    <n v="-78.222565467532036"/>
    <x v="1"/>
    <n v="0"/>
  </r>
  <r>
    <x v="2"/>
    <d v="2024-01-21T12:00:00"/>
    <n v="779.41506719609299"/>
    <n v="755.47124745809003"/>
    <n v="755.47124745809003"/>
    <n v="30.620851296342401"/>
    <s v="OK"/>
    <s v="NON-ZERO"/>
    <n v="800"/>
    <n v="0.94433905932261253"/>
    <x v="1"/>
    <n v="-44.528752541909967"/>
    <x v="1"/>
    <n v="0"/>
  </r>
  <r>
    <x v="2"/>
    <d v="2024-01-21T13:00:00"/>
    <n v="697.04443973023797"/>
    <n v="675.63106562865801"/>
    <n v="675.63106562865801"/>
    <n v="91.761100294315796"/>
    <s v="OK"/>
    <s v="NON-ZERO"/>
    <n v="772.74066103125404"/>
    <n v="0.8743309362380397"/>
    <x v="1"/>
    <n v="-97.109595402596028"/>
    <x v="1"/>
    <n v="0"/>
  </r>
  <r>
    <x v="2"/>
    <d v="2024-01-21T14:00:00"/>
    <n v="669.39471157364198"/>
    <n v="648.83074382132304"/>
    <n v="648.83074382132304"/>
    <n v="80.265633261982003"/>
    <s v="OK"/>
    <s v="NON-ZERO"/>
    <n v="692.82032302755101"/>
    <n v="0.93650651150936481"/>
    <x v="1"/>
    <n v="-43.989579206227972"/>
    <x v="1"/>
    <n v="0"/>
  </r>
  <r>
    <x v="2"/>
    <d v="2024-01-21T15:00:00"/>
    <n v="534.03242784808401"/>
    <n v="517.626822253824"/>
    <n v="517.626822253824"/>
    <n v="52.758287699248903"/>
    <s v="OK"/>
    <s v="NON-ZERO"/>
    <n v="565.68542494923804"/>
    <n v="0.9150435903493066"/>
    <x v="1"/>
    <n v="-48.058602695414038"/>
    <x v="1"/>
    <n v="0"/>
  </r>
  <r>
    <x v="2"/>
    <d v="2024-01-21T16:00:00"/>
    <n v="327.52883788089099"/>
    <n v="317.46707261193097"/>
    <n v="317.46707261193097"/>
    <n v="41.145266325631802"/>
    <s v="OK"/>
    <s v="NON-ZERO"/>
    <n v="399.99999999999898"/>
    <n v="0.79366768152982947"/>
    <x v="0"/>
    <n v="-82.532927388068003"/>
    <x v="1"/>
    <n v="-4.1266463694034003"/>
  </r>
  <r>
    <x v="2"/>
    <d v="2024-01-21T17:00:00"/>
    <n v="199.37538342032499"/>
    <n v="193.25052332750599"/>
    <n v="193.25052332750599"/>
    <n v="85.494076751875397"/>
    <s v="OK"/>
    <s v="NON-ZERO"/>
    <n v="207.05523608201599"/>
    <n v="0.93332835712958317"/>
    <x v="1"/>
    <n v="-13.804712754510007"/>
    <x v="1"/>
    <n v="0"/>
  </r>
  <r>
    <x v="2"/>
    <d v="2024-01-21T18:00:00"/>
    <n v="8.9646795683794697E-14"/>
    <n v="8.6892824396500694E-14"/>
    <n v="8.6892824396500694E-14"/>
    <n v="91.716588023271996"/>
    <s v="OK"/>
    <s v="NON-ZERO"/>
    <n v="9.7971743931788194E-14"/>
    <n v="0.88691719580901729"/>
    <x v="1"/>
    <n v="-1.10789195352875E-14"/>
    <x v="1"/>
    <n v="0"/>
  </r>
  <r>
    <x v="2"/>
    <d v="2024-01-21T19:00:00"/>
    <n v="0"/>
    <n v="0"/>
    <n v="0"/>
    <n v="89.584360953148604"/>
    <s v="OK"/>
    <s v="ZERO"/>
    <n v="0"/>
    <n v="0"/>
    <x v="0"/>
    <n v="0"/>
    <x v="0"/>
    <n v="0"/>
  </r>
  <r>
    <x v="2"/>
    <d v="2024-01-21T20:00:00"/>
    <n v="0"/>
    <n v="0"/>
    <n v="0"/>
    <n v="58.540687608367499"/>
    <s v="OK"/>
    <s v="ZERO"/>
    <n v="0"/>
    <n v="0"/>
    <x v="0"/>
    <n v="0"/>
    <x v="0"/>
    <n v="0"/>
  </r>
  <r>
    <x v="2"/>
    <d v="2024-01-21T21:00:00"/>
    <n v="0"/>
    <n v="0"/>
    <n v="0"/>
    <n v="80.772747434249894"/>
    <s v="OK"/>
    <s v="ZERO"/>
    <n v="0"/>
    <n v="0"/>
    <x v="0"/>
    <n v="0"/>
    <x v="0"/>
    <n v="0"/>
  </r>
  <r>
    <x v="2"/>
    <d v="2024-01-21T22:00:00"/>
    <n v="0"/>
    <n v="0"/>
    <n v="0"/>
    <n v="93.349506780367506"/>
    <s v="OK"/>
    <s v="ZERO"/>
    <n v="0"/>
    <n v="0"/>
    <x v="0"/>
    <n v="0"/>
    <x v="0"/>
    <n v="0"/>
  </r>
  <r>
    <x v="2"/>
    <d v="2024-01-21T23:00:00"/>
    <n v="0"/>
    <n v="0"/>
    <n v="0"/>
    <n v="32.760705513286801"/>
    <s v="OK"/>
    <s v="ZERO"/>
    <n v="0"/>
    <n v="0"/>
    <x v="0"/>
    <n v="0"/>
    <x v="0"/>
    <n v="0"/>
  </r>
  <r>
    <x v="2"/>
    <d v="2024-01-22T00:00:00"/>
    <n v="0"/>
    <n v="0"/>
    <n v="0"/>
    <n v="92.917228191226798"/>
    <s v="OK"/>
    <s v="ZERO"/>
    <n v="0"/>
    <n v="0"/>
    <x v="0"/>
    <n v="0"/>
    <x v="0"/>
    <n v="0"/>
  </r>
  <r>
    <x v="2"/>
    <d v="2024-01-22T01:00:00"/>
    <n v="0"/>
    <n v="0"/>
    <n v="0"/>
    <n v="20.030771707938101"/>
    <s v="OK"/>
    <s v="ZERO"/>
    <n v="0"/>
    <n v="0"/>
    <x v="0"/>
    <n v="0"/>
    <x v="0"/>
    <n v="0"/>
  </r>
  <r>
    <x v="2"/>
    <d v="2024-01-22T02:00:00"/>
    <n v="0"/>
    <n v="0"/>
    <n v="0"/>
    <n v="68.875984615882004"/>
    <s v="OK"/>
    <s v="ZERO"/>
    <n v="0"/>
    <n v="0"/>
    <x v="0"/>
    <n v="0"/>
    <x v="0"/>
    <n v="0"/>
  </r>
  <r>
    <x v="2"/>
    <d v="2024-01-22T03:00:00"/>
    <n v="0"/>
    <n v="0"/>
    <n v="0"/>
    <n v="43.948766001602998"/>
    <s v="OK"/>
    <s v="ZERO"/>
    <n v="0"/>
    <n v="0"/>
    <x v="0"/>
    <n v="0"/>
    <x v="0"/>
    <n v="0"/>
  </r>
  <r>
    <x v="2"/>
    <d v="2024-01-22T04:00:00"/>
    <n v="0"/>
    <n v="0"/>
    <n v="0"/>
    <n v="51.8291763554382"/>
    <s v="OK"/>
    <s v="ZERO"/>
    <n v="0"/>
    <n v="0"/>
    <x v="0"/>
    <n v="0"/>
    <x v="0"/>
    <n v="0"/>
  </r>
  <r>
    <x v="2"/>
    <d v="2024-01-22T05:00:00"/>
    <n v="0"/>
    <n v="0"/>
    <n v="0"/>
    <n v="60.306270394985503"/>
    <s v="OK"/>
    <s v="ZERO"/>
    <n v="0"/>
    <n v="0"/>
    <x v="0"/>
    <n v="0"/>
    <x v="0"/>
    <n v="0"/>
  </r>
  <r>
    <x v="2"/>
    <d v="2024-01-22T06:00:00"/>
    <n v="0"/>
    <n v="0"/>
    <n v="0"/>
    <n v="67.636774164795099"/>
    <s v="OK"/>
    <s v="ZERO"/>
    <n v="0"/>
    <n v="0"/>
    <x v="0"/>
    <n v="0"/>
    <x v="0"/>
    <n v="0"/>
  </r>
  <r>
    <x v="2"/>
    <d v="2024-01-22T07:00:00"/>
    <n v="190.99846644597699"/>
    <n v="185.130947272567"/>
    <n v="185.130947272567"/>
    <n v="61.778568964417502"/>
    <s v="OK"/>
    <s v="NON-ZERO"/>
    <n v="207.05523608201599"/>
    <n v="0.89411381607966367"/>
    <x v="1"/>
    <n v="-21.924288809448996"/>
    <x v="1"/>
    <n v="0"/>
  </r>
  <r>
    <x v="2"/>
    <d v="2024-01-22T08:00:00"/>
    <n v="385.87923340268901"/>
    <n v="374.02492984339199"/>
    <n v="374.02492984339199"/>
    <n v="86.567230386214305"/>
    <s v="OK"/>
    <s v="NON-ZERO"/>
    <n v="399.99999999999898"/>
    <n v="0.93506232460848238"/>
    <x v="1"/>
    <n v="-25.975070156606989"/>
    <x v="1"/>
    <n v="0"/>
  </r>
  <r>
    <x v="2"/>
    <d v="2024-01-22T09:00:00"/>
    <n v="595.20053608050603"/>
    <n v="576.91583137862904"/>
    <n v="576.91583137862904"/>
    <n v="63.938909182487599"/>
    <s v="OK"/>
    <s v="NON-ZERO"/>
    <n v="565.68542494923804"/>
    <n v="1.0198527413542584"/>
    <x v="1"/>
    <n v="11.230406429390996"/>
    <x v="0"/>
    <n v="0"/>
  </r>
  <r>
    <x v="2"/>
    <d v="2024-01-22T10:00:00"/>
    <n v="708.33097611284302"/>
    <n v="686.57087687855096"/>
    <n v="686.57087687855096"/>
    <n v="58.522503794648799"/>
    <s v="OK"/>
    <s v="NON-ZERO"/>
    <n v="692.82032302754999"/>
    <n v="0.99097970145897329"/>
    <x v="1"/>
    <n v="-6.2494461489990272"/>
    <x v="1"/>
    <n v="0"/>
  </r>
  <r>
    <x v="2"/>
    <d v="2024-01-22T11:00:00"/>
    <n v="766.12799294941999"/>
    <n v="742.59235535209905"/>
    <n v="742.59235535209905"/>
    <n v="49.109109257637201"/>
    <s v="OK"/>
    <s v="NON-ZERO"/>
    <n v="772.74066103125404"/>
    <n v="0.96098522156331101"/>
    <x v="1"/>
    <n v="-30.148305679154987"/>
    <x v="1"/>
    <n v="0"/>
  </r>
  <r>
    <x v="2"/>
    <d v="2024-01-22T12:00:00"/>
    <n v="774.24167508700702"/>
    <n v="750.45678320825095"/>
    <n v="750.45678320825095"/>
    <n v="70.966387742951298"/>
    <s v="OK"/>
    <s v="NON-ZERO"/>
    <n v="800"/>
    <n v="0.93807097901031367"/>
    <x v="1"/>
    <n v="-49.543216791749046"/>
    <x v="1"/>
    <n v="0"/>
  </r>
  <r>
    <x v="2"/>
    <d v="2024-01-22T13:00:00"/>
    <n v="696.14465094251295"/>
    <n v="674.75891857053603"/>
    <n v="674.75891857053603"/>
    <n v="77.902383947926594"/>
    <s v="OK"/>
    <s v="NON-ZERO"/>
    <n v="772.74066103125404"/>
    <n v="0.87320229489417911"/>
    <x v="1"/>
    <n v="-97.98174246071801"/>
    <x v="1"/>
    <n v="0"/>
  </r>
  <r>
    <x v="2"/>
    <d v="2024-01-22T14:00:00"/>
    <n v="639.68217017579695"/>
    <n v="620.03097889538697"/>
    <n v="620.03097889538697"/>
    <n v="86.139110061551193"/>
    <s v="OK"/>
    <s v="NON-ZERO"/>
    <n v="692.82032302755101"/>
    <n v="0.89493763142789695"/>
    <x v="1"/>
    <n v="-72.789344132164047"/>
    <x v="1"/>
    <n v="0"/>
  </r>
  <r>
    <x v="2"/>
    <d v="2024-01-22T15:00:00"/>
    <n v="552.44638859117401"/>
    <n v="535.47510166067696"/>
    <n v="535.47510166067696"/>
    <n v="88.927870777150304"/>
    <s v="OK"/>
    <s v="NON-ZERO"/>
    <n v="565.68542494923804"/>
    <n v="0.94659518885205141"/>
    <x v="1"/>
    <n v="-30.210323288561085"/>
    <x v="1"/>
    <n v="0"/>
  </r>
  <r>
    <x v="2"/>
    <d v="2024-01-22T16:00:00"/>
    <n v="376.66171802455398"/>
    <n v="365.09057877133102"/>
    <n v="365.09057877133102"/>
    <n v="49.082324639731198"/>
    <s v="OK"/>
    <s v="NON-ZERO"/>
    <n v="399.99999999999898"/>
    <n v="0.91272644692832994"/>
    <x v="1"/>
    <n v="-34.909421228667952"/>
    <x v="1"/>
    <n v="0"/>
  </r>
  <r>
    <x v="2"/>
    <d v="2024-01-22T17:00:00"/>
    <n v="210.03318596965599"/>
    <n v="203.580915599842"/>
    <n v="203.580915599842"/>
    <n v="84.579720235978897"/>
    <s v="OK"/>
    <s v="NON-ZERO"/>
    <n v="207.05523608201599"/>
    <n v="0.98322032058731523"/>
    <x v="1"/>
    <n v="-3.4743204821739937"/>
    <x v="1"/>
    <n v="0"/>
  </r>
  <r>
    <x v="2"/>
    <d v="2024-01-22T18:00:00"/>
    <n v="9.4475731997214996E-14"/>
    <n v="9.1573414616188504E-14"/>
    <n v="9.1573414616188504E-14"/>
    <n v="24.615727560112699"/>
    <s v="OK"/>
    <s v="NON-ZERO"/>
    <n v="9.7971743931788194E-14"/>
    <n v="0.93469209530398412"/>
    <x v="1"/>
    <n v="-6.3983293155996906E-15"/>
    <x v="1"/>
    <n v="0"/>
  </r>
  <r>
    <x v="2"/>
    <d v="2024-01-22T19:00:00"/>
    <n v="0"/>
    <n v="0"/>
    <n v="0"/>
    <n v="86.376149341044396"/>
    <s v="OK"/>
    <s v="ZERO"/>
    <n v="0"/>
    <n v="0"/>
    <x v="0"/>
    <n v="0"/>
    <x v="0"/>
    <n v="0"/>
  </r>
  <r>
    <x v="2"/>
    <d v="2024-01-22T20:00:00"/>
    <n v="0"/>
    <n v="0"/>
    <n v="0"/>
    <n v="77.209928965685407"/>
    <s v="OK"/>
    <s v="ZERO"/>
    <n v="0"/>
    <n v="0"/>
    <x v="0"/>
    <n v="0"/>
    <x v="0"/>
    <n v="0"/>
  </r>
  <r>
    <x v="2"/>
    <d v="2024-01-22T21:00:00"/>
    <n v="0"/>
    <n v="0"/>
    <n v="0"/>
    <n v="83.551629043202496"/>
    <s v="OK"/>
    <s v="ZERO"/>
    <n v="0"/>
    <n v="0"/>
    <x v="0"/>
    <n v="0"/>
    <x v="0"/>
    <n v="0"/>
  </r>
  <r>
    <x v="2"/>
    <d v="2024-01-22T22:00:00"/>
    <n v="0"/>
    <n v="0"/>
    <n v="0"/>
    <n v="60.713103075055599"/>
    <s v="OK"/>
    <s v="ZERO"/>
    <n v="0"/>
    <n v="0"/>
    <x v="0"/>
    <n v="0"/>
    <x v="0"/>
    <n v="0"/>
  </r>
  <r>
    <x v="2"/>
    <d v="2024-01-22T23:00:00"/>
    <n v="0"/>
    <n v="0"/>
    <n v="0"/>
    <n v="59.0390400231135"/>
    <s v="OK"/>
    <s v="ZERO"/>
    <n v="0"/>
    <n v="0"/>
    <x v="0"/>
    <n v="0"/>
    <x v="0"/>
    <n v="0"/>
  </r>
  <r>
    <x v="2"/>
    <d v="2024-01-23T00:00:00"/>
    <n v="0"/>
    <n v="0"/>
    <n v="0"/>
    <n v="31.6013636138645"/>
    <s v="OK"/>
    <s v="ZERO"/>
    <n v="0"/>
    <n v="0"/>
    <x v="0"/>
    <n v="0"/>
    <x v="0"/>
    <n v="0"/>
  </r>
  <r>
    <x v="2"/>
    <d v="2024-01-23T01:00:00"/>
    <n v="0"/>
    <n v="0"/>
    <n v="0"/>
    <n v="71.559860303729593"/>
    <s v="OK"/>
    <s v="ZERO"/>
    <n v="0"/>
    <n v="0"/>
    <x v="0"/>
    <n v="0"/>
    <x v="0"/>
    <n v="0"/>
  </r>
  <r>
    <x v="2"/>
    <d v="2024-01-23T02:00:00"/>
    <n v="0"/>
    <n v="0"/>
    <n v="0"/>
    <n v="88.326177498441496"/>
    <s v="OK"/>
    <s v="ZERO"/>
    <n v="0"/>
    <n v="0"/>
    <x v="0"/>
    <n v="0"/>
    <x v="0"/>
    <n v="0"/>
  </r>
  <r>
    <x v="2"/>
    <d v="2024-01-23T03:00:00"/>
    <n v="0"/>
    <n v="0"/>
    <n v="0"/>
    <n v="37.478989098864297"/>
    <s v="OK"/>
    <s v="ZERO"/>
    <n v="0"/>
    <n v="0"/>
    <x v="0"/>
    <n v="0"/>
    <x v="0"/>
    <n v="0"/>
  </r>
  <r>
    <x v="2"/>
    <d v="2024-01-23T04:00:00"/>
    <n v="0"/>
    <n v="0"/>
    <n v="0"/>
    <n v="65.336673669384396"/>
    <s v="OK"/>
    <s v="ZERO"/>
    <n v="0"/>
    <n v="0"/>
    <x v="0"/>
    <n v="0"/>
    <x v="0"/>
    <n v="0"/>
  </r>
  <r>
    <x v="2"/>
    <d v="2024-01-23T05:00:00"/>
    <n v="0"/>
    <n v="0"/>
    <n v="0"/>
    <n v="41.259586194805898"/>
    <s v="OK"/>
    <s v="ZERO"/>
    <n v="0"/>
    <n v="0"/>
    <x v="0"/>
    <n v="0"/>
    <x v="0"/>
    <n v="0"/>
  </r>
  <r>
    <x v="2"/>
    <d v="2024-01-23T06:00:00"/>
    <n v="0"/>
    <n v="0"/>
    <n v="0"/>
    <n v="50.693718033904801"/>
    <s v="OK"/>
    <s v="ZERO"/>
    <n v="0"/>
    <n v="0"/>
    <x v="0"/>
    <n v="0"/>
    <x v="0"/>
    <n v="0"/>
  </r>
  <r>
    <x v="2"/>
    <d v="2024-01-23T07:00:00"/>
    <n v="214.07544026476199"/>
    <n v="207.498990863453"/>
    <n v="207.498990863453"/>
    <n v="80.027314134150899"/>
    <s v="OK"/>
    <s v="NON-ZERO"/>
    <n v="207.05523608201599"/>
    <n v="1.0021431710196462"/>
    <x v="1"/>
    <n v="0.44375478143700775"/>
    <x v="0"/>
    <n v="0"/>
  </r>
  <r>
    <x v="2"/>
    <d v="2024-01-23T08:00:00"/>
    <n v="442.98425235749602"/>
    <n v="429.37566877778698"/>
    <n v="429.37566877778698"/>
    <n v="51.8751810592398"/>
    <s v="OK"/>
    <s v="NON-ZERO"/>
    <n v="399.99999999999898"/>
    <n v="1.0734391719444702"/>
    <x v="1"/>
    <n v="29.375668777788007"/>
    <x v="0"/>
    <n v="0"/>
  </r>
  <r>
    <x v="2"/>
    <d v="2024-01-23T09:00:00"/>
    <n v="501.461491395211"/>
    <n v="486.056472861619"/>
    <n v="486.056472861619"/>
    <n v="60.214420946165298"/>
    <s v="OK"/>
    <s v="NON-ZERO"/>
    <n v="565.68542494923804"/>
    <n v="0.85923457000016468"/>
    <x v="1"/>
    <n v="-79.628952087619041"/>
    <x v="1"/>
    <n v="0"/>
  </r>
  <r>
    <x v="2"/>
    <d v="2024-01-23T10:00:00"/>
    <n v="557.600210895646"/>
    <n v="540.47059729504304"/>
    <n v="540.47059729504304"/>
    <n v="36.030251598643297"/>
    <s v="OK"/>
    <s v="NON-ZERO"/>
    <n v="692.82032302754999"/>
    <n v="0.78010211209342839"/>
    <x v="0"/>
    <n v="-152.34972573250695"/>
    <x v="1"/>
    <n v="-7.6174862866253479"/>
  </r>
  <r>
    <x v="2"/>
    <d v="2024-01-23T11:00:00"/>
    <n v="638.83476516804603"/>
    <n v="619.20960637482494"/>
    <n v="619.20960637482494"/>
    <n v="37.083375621335101"/>
    <s v="OK"/>
    <s v="NON-ZERO"/>
    <n v="772.74066103125404"/>
    <n v="0.80131619520120034"/>
    <x v="0"/>
    <n v="-153.53105465642909"/>
    <x v="1"/>
    <n v="-7.6765527328214551"/>
  </r>
  <r>
    <x v="2"/>
    <d v="2024-01-23T12:00:00"/>
    <n v="658.05770930797701"/>
    <n v="637.84201701252698"/>
    <n v="637.84201701252698"/>
    <n v="35.265164186135301"/>
    <s v="OK"/>
    <s v="NON-ZERO"/>
    <n v="800"/>
    <n v="0.7973025212656587"/>
    <x v="0"/>
    <n v="-162.15798298747302"/>
    <x v="1"/>
    <n v="-8.107899149373651"/>
  </r>
  <r>
    <x v="2"/>
    <d v="2024-01-23T13:00:00"/>
    <n v="798.34532991641902"/>
    <n v="773.81996792032396"/>
    <n v="773.81996792032396"/>
    <n v="52.529277712356503"/>
    <s v="OK"/>
    <s v="NON-ZERO"/>
    <n v="772.74066103125404"/>
    <n v="1.0013967258920082"/>
    <x v="1"/>
    <n v="1.079306889069926"/>
    <x v="0"/>
    <n v="0"/>
  </r>
  <r>
    <x v="2"/>
    <d v="2024-01-23T14:00:00"/>
    <n v="635.56928554587603"/>
    <n v="616.04444307796302"/>
    <n v="616.04444307796302"/>
    <n v="61.913065321599902"/>
    <s v="OK"/>
    <s v="NON-ZERO"/>
    <n v="692.82032302755101"/>
    <n v="0.88918356260958742"/>
    <x v="1"/>
    <n v="-76.775879949587988"/>
    <x v="1"/>
    <n v="0"/>
  </r>
  <r>
    <x v="2"/>
    <d v="2024-01-23T15:00:00"/>
    <n v="533.90657406794799"/>
    <n v="517.50483473231202"/>
    <n v="517.50483473231202"/>
    <n v="38.916735067296401"/>
    <s v="OK"/>
    <s v="NON-ZERO"/>
    <n v="565.68542494923804"/>
    <n v="0.91482794484010344"/>
    <x v="1"/>
    <n v="-48.180590216926021"/>
    <x v="1"/>
    <n v="0"/>
  </r>
  <r>
    <x v="2"/>
    <d v="2024-01-23T16:00:00"/>
    <n v="379.79636734000798"/>
    <n v="368.12893090020202"/>
    <n v="368.12893090020202"/>
    <n v="44.412750359460098"/>
    <s v="OK"/>
    <s v="NON-ZERO"/>
    <n v="399.99999999999898"/>
    <n v="0.92032232725050744"/>
    <x v="1"/>
    <n v="-31.871069099796955"/>
    <x v="1"/>
    <n v="0"/>
  </r>
  <r>
    <x v="2"/>
    <d v="2024-01-23T17:00:00"/>
    <n v="180.375523163004"/>
    <n v="174.83434338147899"/>
    <n v="174.83434338147899"/>
    <n v="60.029406025358298"/>
    <s v="OK"/>
    <s v="NON-ZERO"/>
    <n v="207.05523608201599"/>
    <n v="0.84438503797231146"/>
    <x v="0"/>
    <n v="-32.220892700537007"/>
    <x v="1"/>
    <n v="-1.6110446350268504"/>
  </r>
  <r>
    <x v="2"/>
    <d v="2024-01-23T18:00:00"/>
    <n v="8.9747328570738098E-14"/>
    <n v="8.6990268888795401E-14"/>
    <n v="8.6990268888795401E-14"/>
    <n v="63.9114453736276"/>
    <s v="OK"/>
    <s v="NON-ZERO"/>
    <n v="9.7971743931788194E-14"/>
    <n v="0.88791181413858944"/>
    <x v="1"/>
    <n v="-1.0981475042992794E-14"/>
    <x v="1"/>
    <n v="0"/>
  </r>
  <r>
    <x v="2"/>
    <d v="2024-01-23T19:00:00"/>
    <n v="0"/>
    <n v="0"/>
    <n v="0"/>
    <n v="36.721250641831503"/>
    <s v="OK"/>
    <s v="ZERO"/>
    <n v="0"/>
    <n v="0"/>
    <x v="0"/>
    <n v="0"/>
    <x v="0"/>
    <n v="0"/>
  </r>
  <r>
    <x v="2"/>
    <d v="2024-01-23T20:00:00"/>
    <n v="0"/>
    <n v="0"/>
    <n v="0"/>
    <n v="20.905245147546299"/>
    <s v="OK"/>
    <s v="ZERO"/>
    <n v="0"/>
    <n v="0"/>
    <x v="0"/>
    <n v="0"/>
    <x v="0"/>
    <n v="0"/>
  </r>
  <r>
    <x v="2"/>
    <d v="2024-01-23T21:00:00"/>
    <n v="0"/>
    <n v="0"/>
    <n v="0"/>
    <n v="92.2152870501357"/>
    <s v="OK"/>
    <s v="ZERO"/>
    <n v="0"/>
    <n v="0"/>
    <x v="0"/>
    <n v="0"/>
    <x v="0"/>
    <n v="0"/>
  </r>
  <r>
    <x v="2"/>
    <d v="2024-01-23T22:00:00"/>
    <n v="0"/>
    <n v="0"/>
    <n v="0"/>
    <n v="82.128360920123399"/>
    <s v="OK"/>
    <s v="ZERO"/>
    <n v="0"/>
    <n v="0"/>
    <x v="0"/>
    <n v="0"/>
    <x v="0"/>
    <n v="0"/>
  </r>
  <r>
    <x v="2"/>
    <d v="2024-01-23T23:00:00"/>
    <n v="0"/>
    <n v="0"/>
    <n v="0"/>
    <n v="39.6975209274555"/>
    <s v="OK"/>
    <s v="ZERO"/>
    <n v="0"/>
    <n v="0"/>
    <x v="0"/>
    <n v="0"/>
    <x v="0"/>
    <n v="0"/>
  </r>
  <r>
    <x v="2"/>
    <d v="2024-01-24T00:00:00"/>
    <n v="0"/>
    <n v="0"/>
    <n v="0"/>
    <n v="74.268552532998498"/>
    <s v="OK"/>
    <s v="ZERO"/>
    <n v="0"/>
    <n v="0"/>
    <x v="0"/>
    <n v="0"/>
    <x v="0"/>
    <n v="0"/>
  </r>
  <r>
    <x v="2"/>
    <d v="2024-01-24T01:00:00"/>
    <n v="0"/>
    <n v="0"/>
    <n v="0"/>
    <n v="69.809430446251199"/>
    <s v="OK"/>
    <s v="ZERO"/>
    <n v="0"/>
    <n v="0"/>
    <x v="0"/>
    <n v="0"/>
    <x v="0"/>
    <n v="0"/>
  </r>
  <r>
    <x v="2"/>
    <d v="2024-01-24T02:00:00"/>
    <n v="0"/>
    <n v="0"/>
    <n v="0"/>
    <n v="71.862915936019505"/>
    <s v="OK"/>
    <s v="ZERO"/>
    <n v="0"/>
    <n v="0"/>
    <x v="0"/>
    <n v="0"/>
    <x v="0"/>
    <n v="0"/>
  </r>
  <r>
    <x v="2"/>
    <d v="2024-01-24T03:00:00"/>
    <n v="0"/>
    <n v="0"/>
    <n v="0"/>
    <n v="43.493805536661597"/>
    <s v="OK"/>
    <s v="ZERO"/>
    <n v="0"/>
    <n v="0"/>
    <x v="0"/>
    <n v="0"/>
    <x v="0"/>
    <n v="0"/>
  </r>
  <r>
    <x v="2"/>
    <d v="2024-01-24T04:00:00"/>
    <n v="0"/>
    <n v="0"/>
    <n v="0"/>
    <n v="74.331675520198601"/>
    <s v="OK"/>
    <s v="ZERO"/>
    <n v="0"/>
    <n v="0"/>
    <x v="0"/>
    <n v="0"/>
    <x v="0"/>
    <n v="0"/>
  </r>
  <r>
    <x v="2"/>
    <d v="2024-01-24T05:00:00"/>
    <n v="0"/>
    <n v="0"/>
    <n v="0"/>
    <n v="46.697629312417703"/>
    <s v="OK"/>
    <s v="ZERO"/>
    <n v="0"/>
    <n v="0"/>
    <x v="0"/>
    <n v="0"/>
    <x v="0"/>
    <n v="0"/>
  </r>
  <r>
    <x v="2"/>
    <d v="2024-01-24T06:00:00"/>
    <n v="0"/>
    <n v="0"/>
    <n v="0"/>
    <n v="54.062560262582203"/>
    <s v="OK"/>
    <s v="ZERO"/>
    <n v="0"/>
    <n v="0"/>
    <x v="0"/>
    <n v="0"/>
    <x v="0"/>
    <n v="0"/>
  </r>
  <r>
    <x v="2"/>
    <d v="2024-01-24T07:00:00"/>
    <n v="188.65838722472"/>
    <n v="182.862755852053"/>
    <n v="182.862755852053"/>
    <n v="49.331918311116503"/>
    <s v="OK"/>
    <s v="NON-ZERO"/>
    <n v="207.05523608201599"/>
    <n v="0.88315929271945492"/>
    <x v="1"/>
    <n v="-24.192480229962996"/>
    <x v="1"/>
    <n v="0"/>
  </r>
  <r>
    <x v="2"/>
    <d v="2024-01-24T08:00:00"/>
    <n v="427.37137545068799"/>
    <n v="414.24242323298699"/>
    <n v="414.24242323298699"/>
    <n v="24.044943713065301"/>
    <s v="OK"/>
    <s v="NON-ZERO"/>
    <n v="399.99999999999898"/>
    <n v="1.0356060580824702"/>
    <x v="1"/>
    <n v="14.242423232988017"/>
    <x v="0"/>
    <n v="0"/>
  </r>
  <r>
    <x v="2"/>
    <d v="2024-01-24T09:00:00"/>
    <n v="598.58944535523801"/>
    <n v="580.20063253921501"/>
    <n v="580.20063253921501"/>
    <n v="31.216198891770802"/>
    <s v="OK"/>
    <s v="NON-ZERO"/>
    <n v="565.68542494923804"/>
    <n v="1.0256595042930079"/>
    <x v="1"/>
    <n v="14.515207589976967"/>
    <x v="0"/>
    <n v="0"/>
  </r>
  <r>
    <x v="2"/>
    <d v="2024-01-24T10:00:00"/>
    <n v="669.36753221887705"/>
    <n v="648.80439942292298"/>
    <n v="648.80439942292298"/>
    <n v="33.017910811357901"/>
    <s v="OK"/>
    <s v="NON-ZERO"/>
    <n v="692.82032302754999"/>
    <n v="0.93646848664559645"/>
    <x v="1"/>
    <n v="-44.015923604627005"/>
    <x v="1"/>
    <n v="0"/>
  </r>
  <r>
    <x v="2"/>
    <d v="2024-01-24T11:00:00"/>
    <n v="688.72227611524102"/>
    <n v="667.56456089660401"/>
    <n v="667.56456089660401"/>
    <n v="37.287112801364003"/>
    <s v="OK"/>
    <s v="NON-ZERO"/>
    <n v="772.74066103125404"/>
    <n v="0.86389211097771379"/>
    <x v="1"/>
    <n v="-105.17610013465003"/>
    <x v="1"/>
    <n v="0"/>
  </r>
  <r>
    <x v="2"/>
    <d v="2024-01-24T12:00:00"/>
    <n v="699.63727177551095"/>
    <n v="678.14424524518495"/>
    <n v="678.14424524518495"/>
    <n v="70.352600667259594"/>
    <s v="OK"/>
    <s v="NON-ZERO"/>
    <n v="800"/>
    <n v="0.84768030655648119"/>
    <x v="0"/>
    <n v="-121.85575475481505"/>
    <x v="1"/>
    <n v="-6.0927877377407533"/>
  </r>
  <r>
    <x v="2"/>
    <d v="2024-01-24T13:00:00"/>
    <n v="699.44779380252101"/>
    <n v="677.96058808144198"/>
    <n v="677.96058808144198"/>
    <n v="32.329451324631002"/>
    <s v="OK"/>
    <s v="NON-ZERO"/>
    <n v="772.74066103125404"/>
    <n v="0.87734556012191178"/>
    <x v="1"/>
    <n v="-94.780072949812052"/>
    <x v="1"/>
    <n v="0"/>
  </r>
  <r>
    <x v="2"/>
    <d v="2024-01-24T14:00:00"/>
    <n v="685.92592959017998"/>
    <n v="664.85411881442406"/>
    <n v="664.85411881442406"/>
    <n v="32.761448085838701"/>
    <s v="OK"/>
    <s v="NON-ZERO"/>
    <n v="692.82032302755101"/>
    <n v="0.95963426117334771"/>
    <x v="1"/>
    <n v="-27.966204213126957"/>
    <x v="1"/>
    <n v="0"/>
  </r>
  <r>
    <x v="2"/>
    <d v="2024-01-24T15:00:00"/>
    <n v="560.99883111210499"/>
    <n v="543.76481107487302"/>
    <n v="543.76481107487302"/>
    <n v="61.717729551932898"/>
    <s v="OK"/>
    <s v="NON-ZERO"/>
    <n v="565.68542494923804"/>
    <n v="0.96124946320416149"/>
    <x v="1"/>
    <n v="-21.920613874365017"/>
    <x v="1"/>
    <n v="0"/>
  </r>
  <r>
    <x v="2"/>
    <d v="2024-01-24T16:00:00"/>
    <n v="396.59094414844202"/>
    <n v="384.40757423929301"/>
    <n v="384.40757423929301"/>
    <n v="37.297898016069702"/>
    <s v="OK"/>
    <s v="NON-ZERO"/>
    <n v="399.99999999999898"/>
    <n v="0.96101893559823504"/>
    <x v="1"/>
    <n v="-15.592425760705964"/>
    <x v="1"/>
    <n v="0"/>
  </r>
  <r>
    <x v="2"/>
    <d v="2024-01-24T17:00:00"/>
    <n v="195.00321931709701"/>
    <n v="189.01267316502501"/>
    <n v="189.01267316502501"/>
    <n v="30.731104656298498"/>
    <s v="OK"/>
    <s v="NON-ZERO"/>
    <n v="207.05523608201599"/>
    <n v="0.91286111253016466"/>
    <x v="1"/>
    <n v="-18.042562916990988"/>
    <x v="1"/>
    <n v="0"/>
  </r>
  <r>
    <x v="2"/>
    <d v="2024-01-24T18:00:00"/>
    <n v="9.0119754653133794E-14"/>
    <n v="8.7351253951690805E-14"/>
    <n v="8.7351253951690805E-14"/>
    <n v="55.381723204315499"/>
    <s v="OK"/>
    <s v="NON-ZERO"/>
    <n v="9.7971743931788194E-14"/>
    <n v="0.89159639755426023"/>
    <x v="1"/>
    <n v="-1.062048998009739E-14"/>
    <x v="1"/>
    <n v="0"/>
  </r>
  <r>
    <x v="2"/>
    <d v="2024-01-24T19:00:00"/>
    <n v="0"/>
    <n v="0"/>
    <n v="0"/>
    <n v="26.582968559257999"/>
    <s v="OK"/>
    <s v="ZERO"/>
    <n v="0"/>
    <n v="0"/>
    <x v="0"/>
    <n v="0"/>
    <x v="0"/>
    <n v="0"/>
  </r>
  <r>
    <x v="2"/>
    <d v="2024-01-24T20:00:00"/>
    <n v="0"/>
    <n v="0"/>
    <n v="0"/>
    <n v="73.747395252652296"/>
    <s v="OK"/>
    <s v="ZERO"/>
    <n v="0"/>
    <n v="0"/>
    <x v="0"/>
    <n v="0"/>
    <x v="0"/>
    <n v="0"/>
  </r>
  <r>
    <x v="2"/>
    <d v="2024-01-24T21:00:00"/>
    <n v="0"/>
    <n v="0"/>
    <n v="0"/>
    <n v="30.272497590817601"/>
    <s v="OK"/>
    <s v="ZERO"/>
    <n v="0"/>
    <n v="0"/>
    <x v="0"/>
    <n v="0"/>
    <x v="0"/>
    <n v="0"/>
  </r>
  <r>
    <x v="2"/>
    <d v="2024-01-24T22:00:00"/>
    <n v="0"/>
    <n v="0"/>
    <n v="0"/>
    <n v="39.369826841537197"/>
    <s v="OK"/>
    <s v="ZERO"/>
    <n v="0"/>
    <n v="0"/>
    <x v="0"/>
    <n v="0"/>
    <x v="0"/>
    <n v="0"/>
  </r>
  <r>
    <x v="2"/>
    <d v="2024-01-24T23:00:00"/>
    <n v="0"/>
    <n v="0"/>
    <n v="0"/>
    <n v="71.498781751552798"/>
    <s v="OK"/>
    <s v="ZERO"/>
    <n v="0"/>
    <n v="0"/>
    <x v="0"/>
    <n v="0"/>
    <x v="0"/>
    <n v="0"/>
  </r>
  <r>
    <x v="2"/>
    <d v="2024-01-25T00:00:00"/>
    <n v="0"/>
    <n v="0"/>
    <n v="0"/>
    <n v="29.2183386906683"/>
    <s v="OK"/>
    <s v="ZERO"/>
    <n v="0"/>
    <n v="0"/>
    <x v="0"/>
    <n v="0"/>
    <x v="0"/>
    <n v="0"/>
  </r>
  <r>
    <x v="2"/>
    <d v="2024-01-25T01:00:00"/>
    <n v="0"/>
    <n v="0"/>
    <n v="0"/>
    <n v="83.4308658744322"/>
    <s v="OK"/>
    <s v="ZERO"/>
    <n v="0"/>
    <n v="0"/>
    <x v="0"/>
    <n v="0"/>
    <x v="0"/>
    <n v="0"/>
  </r>
  <r>
    <x v="2"/>
    <d v="2024-01-25T02:00:00"/>
    <n v="0"/>
    <n v="0"/>
    <n v="0"/>
    <n v="46.793147612760201"/>
    <s v="OK"/>
    <s v="ZERO"/>
    <n v="0"/>
    <n v="0"/>
    <x v="0"/>
    <n v="0"/>
    <x v="0"/>
    <n v="0"/>
  </r>
  <r>
    <x v="2"/>
    <d v="2024-01-25T03:00:00"/>
    <n v="0"/>
    <n v="0"/>
    <n v="0"/>
    <n v="26.2905303914009"/>
    <s v="OK"/>
    <s v="ZERO"/>
    <n v="0"/>
    <n v="0"/>
    <x v="0"/>
    <n v="0"/>
    <x v="0"/>
    <n v="0"/>
  </r>
  <r>
    <x v="2"/>
    <d v="2024-01-25T04:00:00"/>
    <n v="0"/>
    <n v="0"/>
    <n v="0"/>
    <n v="39.658472901259699"/>
    <s v="OK"/>
    <s v="ZERO"/>
    <n v="0"/>
    <n v="0"/>
    <x v="0"/>
    <n v="0"/>
    <x v="0"/>
    <n v="0"/>
  </r>
  <r>
    <x v="2"/>
    <d v="2024-01-25T05:00:00"/>
    <n v="0"/>
    <n v="0"/>
    <n v="0"/>
    <n v="74.031205181925699"/>
    <s v="OK"/>
    <s v="ZERO"/>
    <n v="0"/>
    <n v="0"/>
    <x v="0"/>
    <n v="0"/>
    <x v="0"/>
    <n v="0"/>
  </r>
  <r>
    <x v="2"/>
    <d v="2024-01-25T06:00:00"/>
    <n v="0"/>
    <n v="0"/>
    <n v="0"/>
    <n v="63.816859162378798"/>
    <s v="OK"/>
    <s v="ZERO"/>
    <n v="0"/>
    <n v="0"/>
    <x v="0"/>
    <n v="0"/>
    <x v="0"/>
    <n v="0"/>
  </r>
  <r>
    <x v="2"/>
    <d v="2024-01-25T07:00:00"/>
    <n v="196.962921917079"/>
    <n v="190.91217322624499"/>
    <n v="190.91217322624499"/>
    <n v="63.012468870141198"/>
    <s v="OK"/>
    <s v="NON-ZERO"/>
    <n v="207.05523608201599"/>
    <n v="0.92203499336101491"/>
    <x v="1"/>
    <n v="-16.143062855771007"/>
    <x v="1"/>
    <n v="0"/>
  </r>
  <r>
    <x v="2"/>
    <d v="2024-01-25T08:00:00"/>
    <n v="367.96627406771501"/>
    <n v="356.66226095999099"/>
    <n v="356.66226095999099"/>
    <n v="74.9340971850297"/>
    <s v="OK"/>
    <s v="NON-ZERO"/>
    <n v="399.99999999999898"/>
    <n v="0.89165565239997979"/>
    <x v="1"/>
    <n v="-43.337739040007989"/>
    <x v="1"/>
    <n v="0"/>
  </r>
  <r>
    <x v="2"/>
    <d v="2024-01-25T09:00:00"/>
    <n v="560.72084420798501"/>
    <n v="543.49536399580995"/>
    <n v="543.49536399580995"/>
    <n v="52.927193298533503"/>
    <s v="OK"/>
    <s v="NON-ZERO"/>
    <n v="565.68542494923804"/>
    <n v="0.96077314356222043"/>
    <x v="1"/>
    <n v="-22.190060953428087"/>
    <x v="1"/>
    <n v="0"/>
  </r>
  <r>
    <x v="2"/>
    <d v="2024-01-25T10:00:00"/>
    <n v="634.91476639804705"/>
    <n v="615.41003091696302"/>
    <n v="615.41003091696302"/>
    <n v="29.325898808180799"/>
    <s v="OK"/>
    <s v="NON-ZERO"/>
    <n v="692.82032302754999"/>
    <n v="0.8882678675297625"/>
    <x v="1"/>
    <n v="-77.410292110586965"/>
    <x v="1"/>
    <n v="0"/>
  </r>
  <r>
    <x v="2"/>
    <d v="2024-01-25T11:00:00"/>
    <n v="732.46720565231499"/>
    <n v="709.96563559769697"/>
    <n v="709.96563559769697"/>
    <n v="63.072015478143001"/>
    <s v="OK"/>
    <s v="NON-ZERO"/>
    <n v="772.74066103125404"/>
    <n v="0.91876313930500142"/>
    <x v="1"/>
    <n v="-62.775025433557062"/>
    <x v="1"/>
    <n v="0"/>
  </r>
  <r>
    <x v="2"/>
    <d v="2024-01-25T12:00:00"/>
    <n v="766.24958414648404"/>
    <n v="742.710211238125"/>
    <n v="742.710211238125"/>
    <n v="66.171829751234498"/>
    <s v="OK"/>
    <s v="NON-ZERO"/>
    <n v="800"/>
    <n v="0.92838776404765622"/>
    <x v="1"/>
    <n v="-57.289788761875002"/>
    <x v="1"/>
    <n v="0"/>
  </r>
  <r>
    <x v="2"/>
    <d v="2024-01-25T13:00:00"/>
    <n v="862.38804425669696"/>
    <n v="835.89527455675398"/>
    <n v="835.89527455675398"/>
    <n v="51.349941269026303"/>
    <s v="OK"/>
    <s v="NON-ZERO"/>
    <n v="772.74066103125404"/>
    <n v="1.0817280838324432"/>
    <x v="1"/>
    <n v="63.15461352549994"/>
    <x v="0"/>
    <n v="0"/>
  </r>
  <r>
    <x v="2"/>
    <d v="2024-01-25T14:00:00"/>
    <n v="752.217395225122"/>
    <n v="729.10909456081197"/>
    <n v="729.10909456081197"/>
    <n v="30.048115006233498"/>
    <s v="OK"/>
    <s v="NON-ZERO"/>
    <n v="692.82032302755101"/>
    <n v="1.0523783300332226"/>
    <x v="1"/>
    <n v="36.288771533260956"/>
    <x v="0"/>
    <n v="0"/>
  </r>
  <r>
    <x v="2"/>
    <d v="2024-01-25T15:00:00"/>
    <n v="571.16557395396603"/>
    <n v="685.39868874475906"/>
    <n v="685.39868874475906"/>
    <n v="89.348832905388505"/>
    <s v="ERROR"/>
    <s v="NON-ZERO"/>
    <n v="565.68542494923804"/>
    <n v="1.2116251515694674"/>
    <x v="1"/>
    <n v="119.71326379552102"/>
    <x v="0"/>
    <n v="0"/>
  </r>
  <r>
    <x v="2"/>
    <d v="2024-01-25T16:00:00"/>
    <n v="348.46880867819499"/>
    <n v="337.76376243201003"/>
    <n v="337.76376243201003"/>
    <n v="53.218557353147197"/>
    <s v="OK"/>
    <s v="NON-ZERO"/>
    <n v="399.99999999999898"/>
    <n v="0.84440940608002724"/>
    <x v="0"/>
    <n v="-62.236237567988951"/>
    <x v="1"/>
    <n v="-3.1118118783994477"/>
  </r>
  <r>
    <x v="2"/>
    <d v="2024-01-25T17:00:00"/>
    <n v="175.14487816915499"/>
    <n v="169.76438506937001"/>
    <n v="169.76438506937001"/>
    <n v="80.782468517987695"/>
    <s v="OK"/>
    <s v="NON-ZERO"/>
    <n v="207.05523608201599"/>
    <n v="0.81989901961293643"/>
    <x v="0"/>
    <n v="-37.290851012645987"/>
    <x v="1"/>
    <n v="-1.8645425506322995"/>
  </r>
  <r>
    <x v="2"/>
    <d v="2024-01-25T18:00:00"/>
    <n v="1.00708002831702E-13"/>
    <n v="9.7614228580389703E-14"/>
    <n v="9.7614228580389703E-14"/>
    <n v="27.474794155758101"/>
    <s v="OK"/>
    <s v="NON-ZERO"/>
    <n v="9.7971743931788194E-14"/>
    <n v="0.99635083201491847"/>
    <x v="1"/>
    <n v="-3.5751535139849142E-16"/>
    <x v="1"/>
    <n v="0"/>
  </r>
  <r>
    <x v="2"/>
    <d v="2024-01-25T19:00:00"/>
    <n v="0"/>
    <n v="0"/>
    <n v="0"/>
    <n v="93.535309833730295"/>
    <s v="OK"/>
    <s v="ZERO"/>
    <n v="0"/>
    <n v="0"/>
    <x v="0"/>
    <n v="0"/>
    <x v="0"/>
    <n v="0"/>
  </r>
  <r>
    <x v="2"/>
    <d v="2024-01-25T20:00:00"/>
    <n v="0"/>
    <n v="0"/>
    <n v="0"/>
    <n v="63.393901144471201"/>
    <s v="OK"/>
    <s v="ZERO"/>
    <n v="0"/>
    <n v="0"/>
    <x v="0"/>
    <n v="0"/>
    <x v="0"/>
    <n v="0"/>
  </r>
  <r>
    <x v="2"/>
    <d v="2024-01-25T21:00:00"/>
    <n v="0"/>
    <n v="0"/>
    <n v="0"/>
    <n v="47.381275496329998"/>
    <s v="OK"/>
    <s v="ZERO"/>
    <n v="0"/>
    <n v="0"/>
    <x v="0"/>
    <n v="0"/>
    <x v="0"/>
    <n v="0"/>
  </r>
  <r>
    <x v="2"/>
    <d v="2024-01-25T22:00:00"/>
    <n v="0"/>
    <n v="0"/>
    <n v="0"/>
    <n v="67.008786278888294"/>
    <s v="OK"/>
    <s v="ZERO"/>
    <n v="0"/>
    <n v="0"/>
    <x v="0"/>
    <n v="0"/>
    <x v="0"/>
    <n v="0"/>
  </r>
  <r>
    <x v="2"/>
    <d v="2024-01-25T23:00:00"/>
    <n v="0"/>
    <n v="0"/>
    <n v="0"/>
    <n v="61.529617354877097"/>
    <s v="OK"/>
    <s v="ZERO"/>
    <n v="0"/>
    <n v="0"/>
    <x v="0"/>
    <n v="0"/>
    <x v="0"/>
    <n v="0"/>
  </r>
  <r>
    <x v="2"/>
    <d v="2024-01-26T00:00:00"/>
    <n v="0"/>
    <n v="0"/>
    <n v="0"/>
    <n v="56.217082744894803"/>
    <s v="OK"/>
    <s v="ZERO"/>
    <n v="0"/>
    <n v="0"/>
    <x v="0"/>
    <n v="0"/>
    <x v="0"/>
    <n v="0"/>
  </r>
  <r>
    <x v="2"/>
    <d v="2024-01-26T01:00:00"/>
    <n v="0"/>
    <n v="0"/>
    <n v="0"/>
    <n v="53.283768446175102"/>
    <s v="OK"/>
    <s v="ZERO"/>
    <n v="0"/>
    <n v="0"/>
    <x v="0"/>
    <n v="0"/>
    <x v="0"/>
    <n v="0"/>
  </r>
  <r>
    <x v="2"/>
    <d v="2024-01-26T02:00:00"/>
    <n v="0"/>
    <n v="0"/>
    <n v="0"/>
    <n v="82.103246433068904"/>
    <s v="OK"/>
    <s v="ZERO"/>
    <n v="0"/>
    <n v="0"/>
    <x v="0"/>
    <n v="0"/>
    <x v="0"/>
    <n v="0"/>
  </r>
  <r>
    <x v="2"/>
    <d v="2024-01-26T03:00:00"/>
    <n v="0"/>
    <n v="0"/>
    <n v="0"/>
    <n v="64.520790833481001"/>
    <s v="OK"/>
    <s v="ZERO"/>
    <n v="0"/>
    <n v="0"/>
    <x v="0"/>
    <n v="0"/>
    <x v="0"/>
    <n v="0"/>
  </r>
  <r>
    <x v="2"/>
    <d v="2024-01-26T04:00:00"/>
    <n v="0"/>
    <n v="0"/>
    <n v="0"/>
    <n v="70.070128518742607"/>
    <s v="OK"/>
    <s v="ZERO"/>
    <n v="0"/>
    <n v="0"/>
    <x v="0"/>
    <n v="0"/>
    <x v="0"/>
    <n v="0"/>
  </r>
  <r>
    <x v="2"/>
    <d v="2024-01-26T05:00:00"/>
    <n v="0"/>
    <n v="0"/>
    <n v="0"/>
    <n v="26.600452063358901"/>
    <s v="OK"/>
    <s v="ZERO"/>
    <n v="0"/>
    <n v="0"/>
    <x v="0"/>
    <n v="0"/>
    <x v="0"/>
    <n v="0"/>
  </r>
  <r>
    <x v="2"/>
    <d v="2024-01-26T06:00:00"/>
    <n v="0"/>
    <n v="0"/>
    <n v="0"/>
    <n v="49.254954931072099"/>
    <s v="OK"/>
    <s v="ZERO"/>
    <n v="0"/>
    <n v="0"/>
    <x v="0"/>
    <n v="0"/>
    <x v="0"/>
    <n v="0"/>
  </r>
  <r>
    <x v="2"/>
    <d v="2024-01-26T07:00:00"/>
    <n v="209.223314806833"/>
    <n v="202.795923875395"/>
    <n v="202.795923875395"/>
    <n v="42.758991233720401"/>
    <s v="OK"/>
    <s v="NON-ZERO"/>
    <n v="207.05523608201599"/>
    <n v="0.9794291016869825"/>
    <x v="1"/>
    <n v="-4.2593122066209901"/>
    <x v="1"/>
    <n v="0"/>
  </r>
  <r>
    <x v="2"/>
    <d v="2024-01-26T08:00:00"/>
    <n v="389.879342008273"/>
    <n v="377.90215414327503"/>
    <n v="377.90215414327503"/>
    <n v="63.271936259073399"/>
    <s v="OK"/>
    <s v="NON-ZERO"/>
    <n v="399.99999999999898"/>
    <n v="0.94475538535819004"/>
    <x v="1"/>
    <n v="-22.09784585672395"/>
    <x v="1"/>
    <n v="0"/>
  </r>
  <r>
    <x v="2"/>
    <d v="2024-01-26T09:00:00"/>
    <n v="555.46264990696795"/>
    <n v="538.39870269792698"/>
    <n v="538.39870269792698"/>
    <n v="20.3993142928298"/>
    <s v="OK"/>
    <s v="NON-ZERO"/>
    <n v="565.68542494923804"/>
    <n v="0.95176343414936027"/>
    <x v="1"/>
    <n v="-27.286722251311062"/>
    <x v="1"/>
    <n v="0"/>
  </r>
  <r>
    <x v="2"/>
    <d v="2024-01-26T10:00:00"/>
    <n v="565.59499426320804"/>
    <n v="548.219778980196"/>
    <n v="548.219778980196"/>
    <n v="83.861333698549501"/>
    <s v="OK"/>
    <s v="NON-ZERO"/>
    <n v="692.82032302754999"/>
    <n v="0.79128709242323436"/>
    <x v="0"/>
    <n v="-144.60054404735399"/>
    <x v="1"/>
    <n v="-7.2300272023677001"/>
  </r>
  <r>
    <x v="2"/>
    <d v="2024-01-26T11:00:00"/>
    <n v="775.73082743352802"/>
    <n v="751.90018843382404"/>
    <n v="751.90018843382404"/>
    <n v="39.8447833910772"/>
    <s v="OK"/>
    <s v="NON-ZERO"/>
    <n v="772.74066103125404"/>
    <n v="0.97303044391423954"/>
    <x v="1"/>
    <n v="-20.840472597429994"/>
    <x v="1"/>
    <n v="0"/>
  </r>
  <r>
    <x v="2"/>
    <d v="2024-01-26T12:00:00"/>
    <n v="604.01727112736103"/>
    <n v="585.46171418830704"/>
    <n v="585.46171418830704"/>
    <n v="69.614324310963099"/>
    <s v="OK"/>
    <s v="NON-ZERO"/>
    <n v="800"/>
    <n v="0.73182714273538385"/>
    <x v="0"/>
    <n v="-214.53828581169296"/>
    <x v="1"/>
    <n v="-10.726914290584647"/>
  </r>
  <r>
    <x v="2"/>
    <d v="2024-01-26T13:00:00"/>
    <n v="793.50708358442705"/>
    <n v="769.13035368809096"/>
    <n v="769.13035368809096"/>
    <n v="62.8504646339807"/>
    <s v="OK"/>
    <s v="NON-ZERO"/>
    <n v="772.74066103125404"/>
    <n v="0.99532791850457958"/>
    <x v="1"/>
    <n v="-3.6103073431630719"/>
    <x v="1"/>
    <n v="0"/>
  </r>
  <r>
    <x v="2"/>
    <d v="2024-01-26T14:00:00"/>
    <n v="582.84907254234099"/>
    <n v="564.94380779345602"/>
    <n v="564.94380779345602"/>
    <n v="61.574194856274097"/>
    <s v="OK"/>
    <s v="NON-ZERO"/>
    <n v="692.82032302755101"/>
    <n v="0.81542614876640995"/>
    <x v="0"/>
    <n v="-127.876515234095"/>
    <x v="1"/>
    <n v="-6.3938257617047496"/>
  </r>
  <r>
    <x v="2"/>
    <d v="2024-01-26T15:00:00"/>
    <n v="563.77138229449895"/>
    <n v="546.45218881307699"/>
    <n v="546.45218881307699"/>
    <n v="68.2827956075933"/>
    <s v="OK"/>
    <s v="NON-ZERO"/>
    <n v="565.68542494923804"/>
    <n v="0.96600012075989594"/>
    <x v="1"/>
    <n v="-19.233236136161054"/>
    <x v="1"/>
    <n v="0"/>
  </r>
  <r>
    <x v="2"/>
    <d v="2024-01-26T16:00:00"/>
    <n v="412.94173225378"/>
    <n v="400.25606217178898"/>
    <n v="400.25606217178898"/>
    <n v="61.507077559030101"/>
    <s v="OK"/>
    <s v="NON-ZERO"/>
    <n v="399.99999999999898"/>
    <n v="1.000640155429475"/>
    <x v="1"/>
    <n v="0.25606217179000623"/>
    <x v="0"/>
    <n v="0"/>
  </r>
  <r>
    <x v="2"/>
    <d v="2024-01-26T17:00:00"/>
    <n v="185.51741707707001"/>
    <n v="179.81827706848199"/>
    <n v="179.81827706848199"/>
    <n v="48.203134333186703"/>
    <s v="OK"/>
    <s v="NON-ZERO"/>
    <n v="207.05523608201599"/>
    <n v="0.86845558929625299"/>
    <x v="1"/>
    <n v="-27.236959013534005"/>
    <x v="1"/>
    <n v="0"/>
  </r>
  <r>
    <x v="2"/>
    <d v="2024-01-26T18:00:00"/>
    <n v="8.2705287115102194E-14"/>
    <n v="8.0164560653157097E-14"/>
    <n v="8.0164560653157097E-14"/>
    <n v="55.742595768501303"/>
    <s v="OK"/>
    <s v="NON-ZERO"/>
    <n v="9.7971743931788194E-14"/>
    <n v="0.81824164229403573"/>
    <x v="0"/>
    <n v="-1.7807183278631097E-14"/>
    <x v="1"/>
    <n v="-8.9035916393155485E-16"/>
  </r>
  <r>
    <x v="2"/>
    <d v="2024-01-26T19:00:00"/>
    <n v="0"/>
    <n v="0"/>
    <n v="0"/>
    <n v="32.402781913488901"/>
    <s v="OK"/>
    <s v="ZERO"/>
    <n v="0"/>
    <n v="0"/>
    <x v="0"/>
    <n v="0"/>
    <x v="0"/>
    <n v="0"/>
  </r>
  <r>
    <x v="2"/>
    <d v="2024-01-26T20:00:00"/>
    <n v="0"/>
    <n v="0"/>
    <n v="0"/>
    <n v="45.543195306583897"/>
    <s v="OK"/>
    <s v="ZERO"/>
    <n v="0"/>
    <n v="0"/>
    <x v="0"/>
    <n v="0"/>
    <x v="0"/>
    <n v="0"/>
  </r>
  <r>
    <x v="2"/>
    <d v="2024-01-26T21:00:00"/>
    <n v="0"/>
    <n v="0"/>
    <n v="0"/>
    <n v="57.359725563798499"/>
    <s v="OK"/>
    <s v="ZERO"/>
    <n v="0"/>
    <n v="0"/>
    <x v="0"/>
    <n v="0"/>
    <x v="0"/>
    <n v="0"/>
  </r>
  <r>
    <x v="2"/>
    <d v="2024-01-26T22:00:00"/>
    <n v="0"/>
    <n v="0"/>
    <n v="0"/>
    <n v="23.920727920415398"/>
    <s v="OK"/>
    <s v="ZERO"/>
    <n v="0"/>
    <n v="0"/>
    <x v="0"/>
    <n v="0"/>
    <x v="0"/>
    <n v="0"/>
  </r>
  <r>
    <x v="2"/>
    <d v="2024-01-26T23:00:00"/>
    <n v="0"/>
    <n v="0"/>
    <n v="0"/>
    <n v="27.783103147605502"/>
    <s v="OK"/>
    <s v="ZERO"/>
    <n v="0"/>
    <n v="0"/>
    <x v="0"/>
    <n v="0"/>
    <x v="0"/>
    <n v="0"/>
  </r>
  <r>
    <x v="2"/>
    <d v="2024-01-27T00:00:00"/>
    <n v="0"/>
    <n v="0"/>
    <n v="0"/>
    <n v="42.918234449586897"/>
    <s v="OK"/>
    <s v="ZERO"/>
    <n v="0"/>
    <n v="0"/>
    <x v="0"/>
    <n v="0"/>
    <x v="0"/>
    <n v="0"/>
  </r>
  <r>
    <x v="2"/>
    <d v="2024-01-27T01:00:00"/>
    <n v="0"/>
    <n v="0"/>
    <n v="0"/>
    <n v="62.322579850237197"/>
    <s v="OK"/>
    <s v="ZERO"/>
    <n v="0"/>
    <n v="0"/>
    <x v="0"/>
    <n v="0"/>
    <x v="0"/>
    <n v="0"/>
  </r>
  <r>
    <x v="2"/>
    <d v="2024-01-27T02:00:00"/>
    <n v="0"/>
    <n v="0"/>
    <n v="0"/>
    <n v="82.495572877156803"/>
    <s v="OK"/>
    <s v="ZERO"/>
    <n v="0"/>
    <n v="0"/>
    <x v="0"/>
    <n v="0"/>
    <x v="0"/>
    <n v="0"/>
  </r>
  <r>
    <x v="2"/>
    <d v="2024-01-27T03:00:00"/>
    <n v="0"/>
    <n v="0"/>
    <n v="0"/>
    <n v="28.058991233141398"/>
    <s v="OK"/>
    <s v="ZERO"/>
    <n v="0"/>
    <n v="0"/>
    <x v="0"/>
    <n v="0"/>
    <x v="0"/>
    <n v="0"/>
  </r>
  <r>
    <x v="2"/>
    <d v="2024-01-27T04:00:00"/>
    <n v="0"/>
    <n v="0"/>
    <n v="0"/>
    <n v="43.721926154421801"/>
    <s v="OK"/>
    <s v="ZERO"/>
    <n v="0"/>
    <n v="0"/>
    <x v="0"/>
    <n v="0"/>
    <x v="0"/>
    <n v="0"/>
  </r>
  <r>
    <x v="2"/>
    <d v="2024-01-27T05:00:00"/>
    <n v="0"/>
    <n v="0"/>
    <n v="0"/>
    <n v="54.209540670997498"/>
    <s v="OK"/>
    <s v="ZERO"/>
    <n v="0"/>
    <n v="0"/>
    <x v="0"/>
    <n v="0"/>
    <x v="0"/>
    <n v="0"/>
  </r>
  <r>
    <x v="2"/>
    <d v="2024-01-27T06:00:00"/>
    <n v="0"/>
    <n v="0"/>
    <n v="0"/>
    <n v="58.755203370504802"/>
    <s v="OK"/>
    <s v="ZERO"/>
    <n v="0"/>
    <n v="0"/>
    <x v="0"/>
    <n v="0"/>
    <x v="0"/>
    <n v="0"/>
  </r>
  <r>
    <x v="2"/>
    <d v="2024-01-27T07:00:00"/>
    <n v="191.14140589681099"/>
    <n v="185.26949558883399"/>
    <n v="185.26949558883399"/>
    <n v="23.058876007663802"/>
    <s v="OK"/>
    <s v="NON-ZERO"/>
    <n v="207.05523608201599"/>
    <n v="0.89478295306401945"/>
    <x v="1"/>
    <n v="-21.785740493182004"/>
    <x v="1"/>
    <n v="0"/>
  </r>
  <r>
    <x v="2"/>
    <d v="2024-01-27T08:00:00"/>
    <n v="400.27668274455999"/>
    <n v="387.98008605258201"/>
    <n v="387.98008605258201"/>
    <n v="37.126671063413497"/>
    <s v="OK"/>
    <s v="NON-ZERO"/>
    <n v="399.99999999999898"/>
    <n v="0.96995021513145752"/>
    <x v="1"/>
    <n v="-12.019913947416967"/>
    <x v="1"/>
    <n v="0"/>
  </r>
  <r>
    <x v="2"/>
    <d v="2024-01-27T09:00:00"/>
    <n v="467.18572268189598"/>
    <n v="452.83366406913899"/>
    <n v="452.83366406913899"/>
    <n v="89.187417222687699"/>
    <s v="OK"/>
    <s v="NON-ZERO"/>
    <n v="565.68542494923804"/>
    <n v="0.8005043865320981"/>
    <x v="0"/>
    <n v="-112.85176088009905"/>
    <x v="1"/>
    <n v="-5.6425880440049525"/>
  </r>
  <r>
    <x v="2"/>
    <d v="2024-01-27T10:00:00"/>
    <n v="678.11127243448504"/>
    <n v="657.27952982025897"/>
    <n v="657.27952982025897"/>
    <n v="54.824880859636401"/>
    <s v="OK"/>
    <s v="NON-ZERO"/>
    <n v="692.82032302754999"/>
    <n v="0.94870128368639417"/>
    <x v="1"/>
    <n v="-35.540793207291017"/>
    <x v="1"/>
    <n v="0"/>
  </r>
  <r>
    <x v="2"/>
    <d v="2024-01-27T11:00:00"/>
    <n v="762.62553042610205"/>
    <n v="739.197489326241"/>
    <n v="739.197489326241"/>
    <n v="22.287241088956499"/>
    <s v="OK"/>
    <s v="NON-ZERO"/>
    <n v="772.74066103125404"/>
    <n v="0.9565919416479931"/>
    <x v="1"/>
    <n v="-33.543171705013037"/>
    <x v="1"/>
    <n v="0"/>
  </r>
  <r>
    <x v="2"/>
    <d v="2024-01-27T12:00:00"/>
    <n v="733.71370290361301"/>
    <n v="711.17384015137395"/>
    <n v="711.17384015137395"/>
    <n v="75.558490037050404"/>
    <s v="OK"/>
    <s v="NON-ZERO"/>
    <n v="800"/>
    <n v="0.88896730018921744"/>
    <x v="1"/>
    <n v="-88.826159848626048"/>
    <x v="1"/>
    <n v="0"/>
  </r>
  <r>
    <x v="2"/>
    <d v="2024-01-27T13:00:00"/>
    <n v="816.95299680257995"/>
    <n v="791.85600277059098"/>
    <n v="791.85600277059098"/>
    <n v="74.195879362583696"/>
    <s v="OK"/>
    <s v="NON-ZERO"/>
    <n v="772.74066103125404"/>
    <n v="1.0247370724789178"/>
    <x v="1"/>
    <n v="19.115341739336941"/>
    <x v="0"/>
    <n v="0"/>
  </r>
  <r>
    <x v="2"/>
    <d v="2024-01-27T14:00:00"/>
    <n v="628.88783906627805"/>
    <n v="609.56825225331602"/>
    <n v="609.56825225331602"/>
    <n v="76.620515011874602"/>
    <s v="OK"/>
    <s v="NON-ZERO"/>
    <n v="692.82032302755101"/>
    <n v="0.87983598631975413"/>
    <x v="1"/>
    <n v="-83.252070774234994"/>
    <x v="1"/>
    <n v="0"/>
  </r>
  <r>
    <x v="2"/>
    <d v="2024-01-27T15:00:00"/>
    <n v="493.78462220196201"/>
    <n v="478.61543895030297"/>
    <n v="478.61543895030297"/>
    <n v="49.928033903622797"/>
    <s v="OK"/>
    <s v="NON-ZERO"/>
    <n v="565.68542494923804"/>
    <n v="0.84608055615583821"/>
    <x v="0"/>
    <n v="-87.069985998935067"/>
    <x v="1"/>
    <n v="-4.353499299946753"/>
  </r>
  <r>
    <x v="2"/>
    <d v="2024-01-27T16:00:00"/>
    <n v="346.72100728908902"/>
    <n v="336.06965392511802"/>
    <n v="336.06965392511802"/>
    <n v="72.662324648623397"/>
    <s v="OK"/>
    <s v="NON-ZERO"/>
    <n v="399.99999999999898"/>
    <n v="0.84017413481279724"/>
    <x v="0"/>
    <n v="-63.930346074880958"/>
    <x v="1"/>
    <n v="-3.1965173037440482"/>
  </r>
  <r>
    <x v="2"/>
    <d v="2024-01-27T17:00:00"/>
    <n v="225.52816668117501"/>
    <n v="218.59988674904301"/>
    <n v="218.59988674904301"/>
    <n v="41.670276249318697"/>
    <s v="OK"/>
    <s v="NON-ZERO"/>
    <n v="207.05523608201599"/>
    <n v="1.0557563811738337"/>
    <x v="1"/>
    <n v="11.544650667027014"/>
    <x v="0"/>
    <n v="0"/>
  </r>
  <r>
    <x v="2"/>
    <d v="2024-01-27T18:00:00"/>
    <n v="1.0120993272060399E-13"/>
    <n v="9.8100739061473298E-14"/>
    <n v="9.8100739061473298E-14"/>
    <n v="73.712340363320806"/>
    <s v="OK"/>
    <s v="NON-ZERO"/>
    <n v="9.7971743931788194E-14"/>
    <n v="1.0013166564614275"/>
    <x v="1"/>
    <n v="1.289951296851037E-16"/>
    <x v="0"/>
    <n v="0"/>
  </r>
  <r>
    <x v="2"/>
    <d v="2024-01-27T19:00:00"/>
    <n v="0"/>
    <n v="0"/>
    <n v="0"/>
    <n v="30.853297710238898"/>
    <s v="OK"/>
    <s v="ZERO"/>
    <n v="0"/>
    <n v="0"/>
    <x v="0"/>
    <n v="0"/>
    <x v="0"/>
    <n v="0"/>
  </r>
  <r>
    <x v="2"/>
    <d v="2024-01-27T20:00:00"/>
    <n v="0"/>
    <n v="0"/>
    <n v="0"/>
    <n v="59.582915680165698"/>
    <s v="OK"/>
    <s v="ZERO"/>
    <n v="0"/>
    <n v="0"/>
    <x v="0"/>
    <n v="0"/>
    <x v="0"/>
    <n v="0"/>
  </r>
  <r>
    <x v="2"/>
    <d v="2024-01-27T21:00:00"/>
    <n v="0"/>
    <n v="0"/>
    <n v="0"/>
    <n v="44.441760754523202"/>
    <s v="OK"/>
    <s v="ZERO"/>
    <n v="0"/>
    <n v="0"/>
    <x v="0"/>
    <n v="0"/>
    <x v="0"/>
    <n v="0"/>
  </r>
  <r>
    <x v="2"/>
    <d v="2024-01-27T22:00:00"/>
    <n v="0"/>
    <n v="0"/>
    <n v="0"/>
    <n v="84.661471871984105"/>
    <s v="OK"/>
    <s v="ZERO"/>
    <n v="0"/>
    <n v="0"/>
    <x v="0"/>
    <n v="0"/>
    <x v="0"/>
    <n v="0"/>
  </r>
  <r>
    <x v="2"/>
    <d v="2024-01-27T23:00:00"/>
    <n v="0"/>
    <n v="0"/>
    <n v="0"/>
    <n v="69.308324538309805"/>
    <s v="OK"/>
    <s v="ZERO"/>
    <n v="0"/>
    <n v="0"/>
    <x v="0"/>
    <n v="0"/>
    <x v="0"/>
    <n v="0"/>
  </r>
  <r>
    <x v="2"/>
    <d v="2024-01-28T00:00:00"/>
    <n v="0"/>
    <n v="0"/>
    <n v="0"/>
    <n v="65.0811999044911"/>
    <s v="OK"/>
    <s v="ZERO"/>
    <n v="0"/>
    <n v="0"/>
    <x v="0"/>
    <n v="0"/>
    <x v="0"/>
    <n v="0"/>
  </r>
  <r>
    <x v="2"/>
    <d v="2024-01-28T01:00:00"/>
    <n v="0"/>
    <n v="0"/>
    <n v="0"/>
    <n v="38.346220553919899"/>
    <s v="OK"/>
    <s v="ZERO"/>
    <n v="0"/>
    <n v="0"/>
    <x v="0"/>
    <n v="0"/>
    <x v="0"/>
    <n v="0"/>
  </r>
  <r>
    <x v="2"/>
    <d v="2024-01-28T02:00:00"/>
    <n v="0"/>
    <n v="0"/>
    <n v="0"/>
    <n v="61.416671013038403"/>
    <s v="OK"/>
    <s v="ZERO"/>
    <n v="0"/>
    <n v="0"/>
    <x v="0"/>
    <n v="0"/>
    <x v="0"/>
    <n v="0"/>
  </r>
  <r>
    <x v="2"/>
    <d v="2024-01-28T03:00:00"/>
    <n v="0"/>
    <n v="0"/>
    <n v="0"/>
    <n v="56.0955463870703"/>
    <s v="OK"/>
    <s v="ZERO"/>
    <n v="0"/>
    <n v="0"/>
    <x v="0"/>
    <n v="0"/>
    <x v="0"/>
    <n v="0"/>
  </r>
  <r>
    <x v="2"/>
    <d v="2024-01-28T04:00:00"/>
    <n v="0"/>
    <n v="0"/>
    <n v="0"/>
    <n v="58.360065503196303"/>
    <s v="OK"/>
    <s v="ZERO"/>
    <n v="0"/>
    <n v="0"/>
    <x v="0"/>
    <n v="0"/>
    <x v="0"/>
    <n v="0"/>
  </r>
  <r>
    <x v="2"/>
    <d v="2024-01-28T05:00:00"/>
    <n v="0"/>
    <n v="0"/>
    <n v="0"/>
    <n v="46.634882301928698"/>
    <s v="OK"/>
    <s v="ZERO"/>
    <n v="0"/>
    <n v="0"/>
    <x v="0"/>
    <n v="0"/>
    <x v="0"/>
    <n v="0"/>
  </r>
  <r>
    <x v="2"/>
    <d v="2024-01-28T06:00:00"/>
    <n v="0"/>
    <n v="0"/>
    <n v="0"/>
    <n v="57.286536191215298"/>
    <s v="OK"/>
    <s v="ZERO"/>
    <n v="0"/>
    <n v="0"/>
    <x v="0"/>
    <n v="0"/>
    <x v="0"/>
    <n v="0"/>
  </r>
  <r>
    <x v="2"/>
    <d v="2024-01-28T07:00:00"/>
    <n v="172.641043258845"/>
    <n v="167.33746857425399"/>
    <n v="167.33746857425399"/>
    <n v="32.682792531548799"/>
    <s v="OK"/>
    <s v="NON-ZERO"/>
    <n v="207.05523608201599"/>
    <n v="0.80817791300853881"/>
    <x v="0"/>
    <n v="-39.717767507762005"/>
    <x v="1"/>
    <n v="-1.9858883753881003"/>
  </r>
  <r>
    <x v="2"/>
    <d v="2024-01-28T08:00:00"/>
    <n v="425.90050873433398"/>
    <n v="412.81674189859098"/>
    <n v="412.81674189859098"/>
    <n v="67.844786718474893"/>
    <s v="OK"/>
    <s v="NON-ZERO"/>
    <n v="399.99999999999898"/>
    <n v="1.03204185474648"/>
    <x v="1"/>
    <n v="12.816741898591999"/>
    <x v="0"/>
    <n v="0"/>
  </r>
  <r>
    <x v="2"/>
    <d v="2024-01-28T09:00:00"/>
    <n v="580.11624882757997"/>
    <n v="562.29493708545101"/>
    <n v="562.29493708545101"/>
    <n v="92.000891061434402"/>
    <s v="OK"/>
    <s v="NON-ZERO"/>
    <n v="565.68542494923804"/>
    <n v="0.99400640759996373"/>
    <x v="1"/>
    <n v="-3.3904878637870297"/>
    <x v="1"/>
    <n v="0"/>
  </r>
  <r>
    <x v="2"/>
    <d v="2024-01-28T10:00:00"/>
    <n v="673.61957387201801"/>
    <n v="652.92581732609199"/>
    <n v="652.92581732609199"/>
    <n v="41.421994976268202"/>
    <s v="OK"/>
    <s v="NON-ZERO"/>
    <n v="692.82032302754999"/>
    <n v="0.94241724098519031"/>
    <x v="1"/>
    <n v="-39.894505701458002"/>
    <x v="1"/>
    <n v="0"/>
  </r>
  <r>
    <x v="2"/>
    <d v="2024-01-28T11:00:00"/>
    <n v="749.69568801751495"/>
    <n v="726.66485480970198"/>
    <n v="726.66485480970198"/>
    <n v="22.391359640644399"/>
    <s v="OK"/>
    <s v="NON-ZERO"/>
    <n v="772.74066103125404"/>
    <n v="0.94037351915704548"/>
    <x v="1"/>
    <n v="-46.075806221552057"/>
    <x v="1"/>
    <n v="0"/>
  </r>
  <r>
    <x v="2"/>
    <d v="2024-01-28T12:00:00"/>
    <n v="749.46623896947699"/>
    <n v="726.44245449202197"/>
    <n v="726.44245449202197"/>
    <n v="79.845739193997503"/>
    <s v="OK"/>
    <s v="NON-ZERO"/>
    <n v="800"/>
    <n v="0.90805306811502751"/>
    <x v="1"/>
    <n v="-73.557545507978034"/>
    <x v="1"/>
    <n v="0"/>
  </r>
  <r>
    <x v="2"/>
    <d v="2024-01-28T13:00:00"/>
    <n v="715.02625064070003"/>
    <n v="693.06047095046301"/>
    <n v="693.06047095046301"/>
    <n v="52.199207427814599"/>
    <s v="OK"/>
    <s v="NON-ZERO"/>
    <n v="772.74066103125404"/>
    <n v="0.89688624644851156"/>
    <x v="1"/>
    <n v="-79.680190080791022"/>
    <x v="1"/>
    <n v="0"/>
  </r>
  <r>
    <x v="2"/>
    <d v="2024-01-28T14:00:00"/>
    <n v="612.83971184538495"/>
    <n v="594.01312738955198"/>
    <n v="594.01312738955198"/>
    <n v="74.066991428907301"/>
    <s v="OK"/>
    <s v="NON-ZERO"/>
    <n v="692.82032302755101"/>
    <n v="0.85738409750132316"/>
    <x v="1"/>
    <n v="-98.80719563799903"/>
    <x v="1"/>
    <n v="0"/>
  </r>
  <r>
    <x v="2"/>
    <d v="2024-01-28T15:00:00"/>
    <n v="528.568039812444"/>
    <n v="634.28164777493203"/>
    <n v="634.28164777493203"/>
    <n v="91.544060288504099"/>
    <s v="ERROR"/>
    <s v="NON-ZERO"/>
    <n v="565.68542494923804"/>
    <n v="1.1212621358095791"/>
    <x v="1"/>
    <n v="68.596222825693985"/>
    <x v="0"/>
    <n v="0"/>
  </r>
  <r>
    <x v="2"/>
    <d v="2024-01-28T16:00:00"/>
    <n v="392.22851155581498"/>
    <n v="380.17915663304802"/>
    <n v="380.17915663304802"/>
    <n v="91.993751723156805"/>
    <s v="OK"/>
    <s v="NON-ZERO"/>
    <n v="399.99999999999898"/>
    <n v="0.95044789158262244"/>
    <x v="1"/>
    <n v="-19.820843366950953"/>
    <x v="1"/>
    <n v="0"/>
  </r>
  <r>
    <x v="2"/>
    <d v="2024-01-28T17:00:00"/>
    <n v="202.517517354609"/>
    <n v="196.29613014590299"/>
    <n v="196.29613014590299"/>
    <n v="90.9222258311747"/>
    <s v="OK"/>
    <s v="NON-ZERO"/>
    <n v="207.05523608201599"/>
    <n v="0.94803750854264202"/>
    <x v="1"/>
    <n v="-10.759105936113002"/>
    <x v="1"/>
    <n v="0"/>
  </r>
  <r>
    <x v="2"/>
    <d v="2024-01-28T18:00:00"/>
    <n v="1.0751039995781901E-13"/>
    <n v="1.0420765441838299E-13"/>
    <n v="1.0420765441838299E-13"/>
    <n v="25.706354507413"/>
    <s v="OK"/>
    <s v="NON-ZERO"/>
    <n v="9.7971743931788194E-14"/>
    <n v="1.0636500917135505"/>
    <x v="1"/>
    <n v="6.2359104865947998E-15"/>
    <x v="0"/>
    <n v="0"/>
  </r>
  <r>
    <x v="2"/>
    <d v="2024-01-28T19:00:00"/>
    <n v="0"/>
    <n v="0"/>
    <n v="0"/>
    <n v="79.392990381667701"/>
    <s v="OK"/>
    <s v="ZERO"/>
    <n v="0"/>
    <n v="0"/>
    <x v="0"/>
    <n v="0"/>
    <x v="0"/>
    <n v="0"/>
  </r>
  <r>
    <x v="2"/>
    <d v="2024-01-28T20:00:00"/>
    <n v="0"/>
    <n v="0"/>
    <n v="0"/>
    <n v="50.177790465603003"/>
    <s v="OK"/>
    <s v="ZERO"/>
    <n v="0"/>
    <n v="0"/>
    <x v="0"/>
    <n v="0"/>
    <x v="0"/>
    <n v="0"/>
  </r>
  <r>
    <x v="2"/>
    <d v="2024-01-28T21:00:00"/>
    <n v="0"/>
    <n v="0"/>
    <n v="0"/>
    <n v="60.2651163477951"/>
    <s v="OK"/>
    <s v="ZERO"/>
    <n v="0"/>
    <n v="0"/>
    <x v="0"/>
    <n v="0"/>
    <x v="0"/>
    <n v="0"/>
  </r>
  <r>
    <x v="2"/>
    <d v="2024-01-28T22:00:00"/>
    <n v="0"/>
    <n v="0"/>
    <n v="0"/>
    <n v="89.552480709616503"/>
    <s v="OK"/>
    <s v="ZERO"/>
    <n v="0"/>
    <n v="0"/>
    <x v="0"/>
    <n v="0"/>
    <x v="0"/>
    <n v="0"/>
  </r>
  <r>
    <x v="2"/>
    <d v="2024-01-28T23:00:00"/>
    <n v="0"/>
    <n v="0"/>
    <n v="0"/>
    <n v="48.796167069722898"/>
    <s v="OK"/>
    <s v="ZERO"/>
    <n v="0"/>
    <n v="0"/>
    <x v="0"/>
    <n v="0"/>
    <x v="0"/>
    <n v="0"/>
  </r>
  <r>
    <x v="2"/>
    <d v="2024-01-29T00:00:00"/>
    <n v="0"/>
    <n v="0"/>
    <n v="0"/>
    <n v="54.057244503315196"/>
    <s v="OK"/>
    <s v="ZERO"/>
    <n v="0"/>
    <n v="0"/>
    <x v="0"/>
    <n v="0"/>
    <x v="0"/>
    <n v="0"/>
  </r>
  <r>
    <x v="2"/>
    <d v="2024-01-29T01:00:00"/>
    <n v="0"/>
    <n v="0"/>
    <n v="0"/>
    <n v="21.416065893217599"/>
    <s v="OK"/>
    <s v="ZERO"/>
    <n v="0"/>
    <n v="0"/>
    <x v="0"/>
    <n v="0"/>
    <x v="0"/>
    <n v="0"/>
  </r>
  <r>
    <x v="2"/>
    <d v="2024-01-29T02:00:00"/>
    <n v="0"/>
    <n v="0"/>
    <n v="0"/>
    <n v="72.161634438323702"/>
    <s v="OK"/>
    <s v="ZERO"/>
    <n v="0"/>
    <n v="0"/>
    <x v="0"/>
    <n v="0"/>
    <x v="0"/>
    <n v="0"/>
  </r>
  <r>
    <x v="2"/>
    <d v="2024-01-29T03:00:00"/>
    <n v="0"/>
    <n v="0"/>
    <n v="0"/>
    <n v="56.939139051538099"/>
    <s v="OK"/>
    <s v="ZERO"/>
    <n v="0"/>
    <n v="0"/>
    <x v="0"/>
    <n v="0"/>
    <x v="0"/>
    <n v="0"/>
  </r>
  <r>
    <x v="2"/>
    <d v="2024-01-29T04:00:00"/>
    <n v="0"/>
    <n v="0"/>
    <n v="0"/>
    <n v="43.074131551725202"/>
    <s v="OK"/>
    <s v="ZERO"/>
    <n v="0"/>
    <n v="0"/>
    <x v="0"/>
    <n v="0"/>
    <x v="0"/>
    <n v="0"/>
  </r>
  <r>
    <x v="2"/>
    <d v="2024-01-29T05:00:00"/>
    <n v="0"/>
    <n v="0"/>
    <n v="0"/>
    <n v="38.640180794531901"/>
    <s v="OK"/>
    <s v="ZERO"/>
    <n v="0"/>
    <n v="0"/>
    <x v="0"/>
    <n v="0"/>
    <x v="0"/>
    <n v="0"/>
  </r>
  <r>
    <x v="2"/>
    <d v="2024-01-29T06:00:00"/>
    <n v="0"/>
    <n v="0"/>
    <n v="0"/>
    <n v="32.679331185027898"/>
    <s v="OK"/>
    <s v="ZERO"/>
    <n v="0"/>
    <n v="0"/>
    <x v="0"/>
    <n v="0"/>
    <x v="0"/>
    <n v="0"/>
  </r>
  <r>
    <x v="2"/>
    <d v="2024-01-29T07:00:00"/>
    <n v="185.921075578048"/>
    <n v="180.20953508249301"/>
    <n v="180.20953508249301"/>
    <n v="54.031532018776502"/>
    <s v="OK"/>
    <s v="NON-ZERO"/>
    <n v="207.05523608201599"/>
    <n v="0.87034522039863205"/>
    <x v="1"/>
    <n v="-26.84570099952299"/>
    <x v="1"/>
    <n v="0"/>
  </r>
  <r>
    <x v="2"/>
    <d v="2024-01-29T08:00:00"/>
    <n v="435.42001935403999"/>
    <n v="422.043810845221"/>
    <n v="422.043810845221"/>
    <n v="23.356357544467802"/>
    <s v="OK"/>
    <s v="NON-ZERO"/>
    <n v="399.99999999999898"/>
    <n v="1.0551095271130553"/>
    <x v="1"/>
    <n v="22.043810845222026"/>
    <x v="0"/>
    <n v="0"/>
  </r>
  <r>
    <x v="2"/>
    <d v="2024-01-29T09:00:00"/>
    <n v="540.29967149723302"/>
    <n v="523.70153465934595"/>
    <n v="523.70153465934595"/>
    <n v="30.9512679194081"/>
    <s v="OK"/>
    <s v="NON-ZERO"/>
    <n v="565.68542494923804"/>
    <n v="0.92578226618856319"/>
    <x v="1"/>
    <n v="-41.983890289892088"/>
    <x v="1"/>
    <n v="0"/>
  </r>
  <r>
    <x v="2"/>
    <d v="2024-01-29T10:00:00"/>
    <n v="609.303491291353"/>
    <n v="590.58554038786394"/>
    <n v="590.58554038786394"/>
    <n v="48.582538520885997"/>
    <s v="OK"/>
    <s v="NON-ZERO"/>
    <n v="692.82032302754999"/>
    <n v="0.85243680180608572"/>
    <x v="1"/>
    <n v="-102.23478263968605"/>
    <x v="1"/>
    <n v="0"/>
  </r>
  <r>
    <x v="2"/>
    <d v="2024-01-29T11:00:00"/>
    <n v="673.69028551925703"/>
    <n v="652.99435669439299"/>
    <n v="652.99435669439299"/>
    <n v="41.771275798607"/>
    <s v="OK"/>
    <s v="NON-ZERO"/>
    <n v="772.74066103125404"/>
    <n v="0.8450368792848888"/>
    <x v="0"/>
    <n v="-119.74630433686104"/>
    <x v="1"/>
    <n v="-5.9873152168430526"/>
  </r>
  <r>
    <x v="2"/>
    <d v="2024-01-29T12:00:00"/>
    <n v="736.36397443497697"/>
    <n v="713.74269469906096"/>
    <n v="713.74269469906096"/>
    <n v="90.718453354381694"/>
    <s v="OK"/>
    <s v="NON-ZERO"/>
    <n v="800"/>
    <n v="0.89217836837382625"/>
    <x v="1"/>
    <n v="-86.257305300939038"/>
    <x v="1"/>
    <n v="0"/>
  </r>
  <r>
    <x v="2"/>
    <d v="2024-01-29T13:00:00"/>
    <n v="736.07797668097703"/>
    <n v="713.46548286536995"/>
    <n v="713.46548286536995"/>
    <n v="83.473850958565507"/>
    <s v="OK"/>
    <s v="NON-ZERO"/>
    <n v="772.74066103125404"/>
    <n v="0.92329227494412036"/>
    <x v="1"/>
    <n v="-59.275178165884086"/>
    <x v="1"/>
    <n v="0"/>
  </r>
  <r>
    <x v="2"/>
    <d v="2024-01-29T14:00:00"/>
    <n v="692.23790357353698"/>
    <n v="670.97218742744701"/>
    <n v="670.97218742744701"/>
    <n v="36.612578814038898"/>
    <s v="OK"/>
    <s v="NON-ZERO"/>
    <n v="692.82032302755101"/>
    <n v="0.96846493257497124"/>
    <x v="1"/>
    <n v="-21.848135600104001"/>
    <x v="1"/>
    <n v="0"/>
  </r>
  <r>
    <x v="2"/>
    <d v="2024-01-29T15:00:00"/>
    <n v="595.62730225498694"/>
    <n v="577.32948719281296"/>
    <n v="577.32948719281296"/>
    <n v="60.3744779007434"/>
    <s v="OK"/>
    <s v="NON-ZERO"/>
    <n v="565.68542494923804"/>
    <n v="1.0205839884324752"/>
    <x v="1"/>
    <n v="11.644062243574922"/>
    <x v="0"/>
    <n v="0"/>
  </r>
  <r>
    <x v="2"/>
    <d v="2024-01-29T16:00:00"/>
    <n v="397.334701385443"/>
    <n v="385.12848307373997"/>
    <n v="385.12848307373997"/>
    <n v="80.106260818147007"/>
    <s v="OK"/>
    <s v="NON-ZERO"/>
    <n v="399.99999999999898"/>
    <n v="0.96282120768435242"/>
    <x v="1"/>
    <n v="-14.871516926259005"/>
    <x v="1"/>
    <n v="0"/>
  </r>
  <r>
    <x v="2"/>
    <d v="2024-01-29T17:00:00"/>
    <n v="198.003805568225"/>
    <n v="191.92108067939299"/>
    <n v="191.92108067939299"/>
    <n v="39.8842446084304"/>
    <s v="OK"/>
    <s v="NON-ZERO"/>
    <n v="207.05523608201599"/>
    <n v="0.92690764218767085"/>
    <x v="1"/>
    <n v="-15.134155402623009"/>
    <x v="1"/>
    <n v="0"/>
  </r>
  <r>
    <x v="2"/>
    <d v="2024-01-29T18:00:00"/>
    <n v="1.01376172655787E-13"/>
    <n v="9.8261872065562501E-14"/>
    <n v="9.8261872065562501E-14"/>
    <n v="30.421992893668701"/>
    <s v="OK"/>
    <s v="NON-ZERO"/>
    <n v="9.7971743931788194E-14"/>
    <n v="1.0029613449973525"/>
    <x v="1"/>
    <n v="2.9012813377430676E-16"/>
    <x v="0"/>
    <n v="0"/>
  </r>
  <r>
    <x v="2"/>
    <d v="2024-01-29T19:00:00"/>
    <n v="0"/>
    <n v="0"/>
    <n v="0"/>
    <n v="32.355050666579302"/>
    <s v="OK"/>
    <s v="ZERO"/>
    <n v="0"/>
    <n v="0"/>
    <x v="0"/>
    <n v="0"/>
    <x v="0"/>
    <n v="0"/>
  </r>
  <r>
    <x v="2"/>
    <d v="2024-01-29T20:00:00"/>
    <n v="0"/>
    <n v="0"/>
    <n v="0"/>
    <n v="47.588538585709998"/>
    <s v="OK"/>
    <s v="ZERO"/>
    <n v="0"/>
    <n v="0"/>
    <x v="0"/>
    <n v="0"/>
    <x v="0"/>
    <n v="0"/>
  </r>
  <r>
    <x v="2"/>
    <d v="2024-01-29T21:00:00"/>
    <n v="0"/>
    <n v="0"/>
    <n v="0"/>
    <n v="80.376326992597001"/>
    <s v="OK"/>
    <s v="ZERO"/>
    <n v="0"/>
    <n v="0"/>
    <x v="0"/>
    <n v="0"/>
    <x v="0"/>
    <n v="0"/>
  </r>
  <r>
    <x v="2"/>
    <d v="2024-01-29T22:00:00"/>
    <n v="0"/>
    <n v="0"/>
    <n v="0"/>
    <n v="86.350623871501199"/>
    <s v="OK"/>
    <s v="ZERO"/>
    <n v="0"/>
    <n v="0"/>
    <x v="0"/>
    <n v="0"/>
    <x v="0"/>
    <n v="0"/>
  </r>
  <r>
    <x v="2"/>
    <d v="2024-01-29T23:00:00"/>
    <n v="0"/>
    <n v="0"/>
    <n v="0"/>
    <n v="33.675138768366402"/>
    <s v="OK"/>
    <s v="ZERO"/>
    <n v="0"/>
    <n v="0"/>
    <x v="0"/>
    <n v="0"/>
    <x v="0"/>
    <n v="0"/>
  </r>
  <r>
    <x v="2"/>
    <d v="2024-01-30T00:00:00"/>
    <n v="0"/>
    <n v="0"/>
    <n v="0"/>
    <n v="77.433821953679299"/>
    <s v="OK"/>
    <s v="ZERO"/>
    <n v="0"/>
    <n v="0"/>
    <x v="0"/>
    <n v="0"/>
    <x v="0"/>
    <n v="0"/>
  </r>
  <r>
    <x v="2"/>
    <d v="2024-01-30T01:00:00"/>
    <n v="0"/>
    <n v="0"/>
    <n v="0"/>
    <n v="48.987029214793502"/>
    <s v="OK"/>
    <s v="ZERO"/>
    <n v="0"/>
    <n v="0"/>
    <x v="0"/>
    <n v="0"/>
    <x v="0"/>
    <n v="0"/>
  </r>
  <r>
    <x v="2"/>
    <d v="2024-01-30T02:00:00"/>
    <n v="0"/>
    <n v="0"/>
    <n v="0"/>
    <n v="54.572719415940398"/>
    <s v="OK"/>
    <s v="ZERO"/>
    <n v="0"/>
    <n v="0"/>
    <x v="0"/>
    <n v="0"/>
    <x v="0"/>
    <n v="0"/>
  </r>
  <r>
    <x v="2"/>
    <d v="2024-01-30T03:00:00"/>
    <n v="0"/>
    <n v="0"/>
    <n v="0"/>
    <n v="83.2570846781787"/>
    <s v="OK"/>
    <s v="ZERO"/>
    <n v="0"/>
    <n v="0"/>
    <x v="0"/>
    <n v="0"/>
    <x v="0"/>
    <n v="0"/>
  </r>
  <r>
    <x v="2"/>
    <d v="2024-01-30T04:00:00"/>
    <n v="0"/>
    <n v="0"/>
    <n v="0"/>
    <n v="46.080337666948601"/>
    <s v="OK"/>
    <s v="ZERO"/>
    <n v="0"/>
    <n v="0"/>
    <x v="0"/>
    <n v="0"/>
    <x v="0"/>
    <n v="0"/>
  </r>
  <r>
    <x v="2"/>
    <d v="2024-01-30T05:00:00"/>
    <n v="0"/>
    <n v="0"/>
    <n v="0"/>
    <n v="25.868157393501701"/>
    <s v="OK"/>
    <s v="ZERO"/>
    <n v="0"/>
    <n v="0"/>
    <x v="0"/>
    <n v="0"/>
    <x v="0"/>
    <n v="0"/>
  </r>
  <r>
    <x v="2"/>
    <d v="2024-01-30T06:00:00"/>
    <n v="0"/>
    <n v="0"/>
    <n v="0"/>
    <n v="71.507584669787704"/>
    <s v="OK"/>
    <s v="ZERO"/>
    <n v="0"/>
    <n v="0"/>
    <x v="0"/>
    <n v="0"/>
    <x v="0"/>
    <n v="0"/>
  </r>
  <r>
    <x v="2"/>
    <d v="2024-01-30T07:00:00"/>
    <n v="203.32037154062499"/>
    <n v="197.07432045677101"/>
    <n v="197.07432045677101"/>
    <n v="51.443693698922402"/>
    <s v="OK"/>
    <s v="NON-ZERO"/>
    <n v="207.05523608201599"/>
    <n v="0.95179587913781871"/>
    <x v="1"/>
    <n v="-9.9809156252449895"/>
    <x v="1"/>
    <n v="0"/>
  </r>
  <r>
    <x v="2"/>
    <d v="2024-01-30T08:00:00"/>
    <n v="362.65018013033801"/>
    <n v="351.50947871660702"/>
    <n v="351.50947871660702"/>
    <n v="80.418561983092502"/>
    <s v="OK"/>
    <s v="NON-ZERO"/>
    <n v="399.99999999999898"/>
    <n v="0.87877369679151984"/>
    <x v="1"/>
    <n v="-48.490521283391956"/>
    <x v="1"/>
    <n v="0"/>
  </r>
  <r>
    <x v="2"/>
    <d v="2024-01-30T09:00:00"/>
    <n v="502.50287355287298"/>
    <n v="487.06586350704202"/>
    <n v="487.06586350704202"/>
    <n v="78.558911252410695"/>
    <s v="OK"/>
    <s v="NON-ZERO"/>
    <n v="565.68542494923804"/>
    <n v="0.86101893742577695"/>
    <x v="1"/>
    <n v="-78.619561442196016"/>
    <x v="1"/>
    <n v="0"/>
  </r>
  <r>
    <x v="2"/>
    <d v="2024-01-30T10:00:00"/>
    <n v="697.76396397467897"/>
    <n v="676.32848591394895"/>
    <n v="676.32848591394895"/>
    <n v="42.348484599670201"/>
    <s v="OK"/>
    <s v="NON-ZERO"/>
    <n v="692.82032302754999"/>
    <n v="0.97619608350757747"/>
    <x v="1"/>
    <n v="-16.491837113601036"/>
    <x v="1"/>
    <n v="0"/>
  </r>
  <r>
    <x v="2"/>
    <d v="2024-01-30T11:00:00"/>
    <n v="676.84371540362497"/>
    <n v="656.050912448551"/>
    <n v="656.050912448551"/>
    <n v="63.355628688862303"/>
    <s v="OK"/>
    <s v="NON-ZERO"/>
    <n v="772.74066103125404"/>
    <n v="0.84899235349285773"/>
    <x v="0"/>
    <n v="-116.68974858270303"/>
    <x v="1"/>
    <n v="-5.8344874291351516"/>
  </r>
  <r>
    <x v="2"/>
    <d v="2024-01-30T12:00:00"/>
    <n v="795.29005717244604"/>
    <n v="770.85855389542201"/>
    <n v="770.85855389542201"/>
    <n v="39.948054849058401"/>
    <s v="OK"/>
    <s v="NON-ZERO"/>
    <n v="800"/>
    <n v="0.96357319236927752"/>
    <x v="1"/>
    <n v="-29.141446104577994"/>
    <x v="1"/>
    <n v="0"/>
  </r>
  <r>
    <x v="2"/>
    <d v="2024-01-30T13:00:00"/>
    <n v="612.83531499903302"/>
    <n v="594.00886561538596"/>
    <n v="594.00886561538596"/>
    <n v="91.183434266618505"/>
    <s v="OK"/>
    <s v="NON-ZERO"/>
    <n v="772.74066103125404"/>
    <n v="0.76870403690502942"/>
    <x v="0"/>
    <n v="-178.73179541586808"/>
    <x v="1"/>
    <n v="-8.9365897707934039"/>
  </r>
  <r>
    <x v="2"/>
    <d v="2024-01-30T14:00:00"/>
    <n v="0"/>
    <n v="0"/>
    <n v="0"/>
    <n v="54.542450567169098"/>
    <s v="OK"/>
    <s v="ZERO"/>
    <n v="692.82032302755101"/>
    <n v="0"/>
    <x v="0"/>
    <n v="-692.82032302755101"/>
    <x v="1"/>
    <n v="-34.641016151377556"/>
  </r>
  <r>
    <x v="2"/>
    <d v="2024-01-30T15:00:00"/>
    <n v="594.20081441720504"/>
    <n v="575.94682140708505"/>
    <n v="575.94682140708505"/>
    <n v="71.519556258072598"/>
    <s v="OK"/>
    <s v="NON-ZERO"/>
    <n v="565.68542494923804"/>
    <n v="1.0181397575494682"/>
    <x v="1"/>
    <n v="10.261396457847013"/>
    <x v="0"/>
    <n v="0"/>
  </r>
  <r>
    <x v="2"/>
    <d v="2024-01-30T16:00:00"/>
    <n v="394.38178094822399"/>
    <n v="382.26627706792601"/>
    <n v="382.26627706792601"/>
    <n v="50.538030394915602"/>
    <s v="OK"/>
    <s v="NON-ZERO"/>
    <n v="399.99999999999898"/>
    <n v="0.95566569266981749"/>
    <x v="1"/>
    <n v="-17.733722932072965"/>
    <x v="1"/>
    <n v="0"/>
  </r>
  <r>
    <x v="2"/>
    <d v="2024-01-30T17:00:00"/>
    <n v="171.09762823418399"/>
    <n v="165.84146763316201"/>
    <n v="165.84146763316201"/>
    <n v="34.912139771485997"/>
    <s v="OK"/>
    <s v="NON-ZERO"/>
    <n v="207.05523608201599"/>
    <n v="0.80095278328277131"/>
    <x v="0"/>
    <n v="-41.213768448853983"/>
    <x v="1"/>
    <n v="-2.0606884224426989"/>
  </r>
  <r>
    <x v="2"/>
    <d v="2024-01-30T18:00:00"/>
    <n v="8.4646394646422101E-14"/>
    <n v="8.2046036890731104E-14"/>
    <n v="8.2046036890731104E-14"/>
    <n v="28.279567568745001"/>
    <s v="OK"/>
    <s v="NON-ZERO"/>
    <n v="9.7971743931788194E-14"/>
    <n v="0.8374459165272673"/>
    <x v="0"/>
    <n v="-1.5925707041057091E-14"/>
    <x v="1"/>
    <n v="-7.9628535205285453E-16"/>
  </r>
  <r>
    <x v="2"/>
    <d v="2024-01-30T19:00:00"/>
    <n v="0"/>
    <n v="0"/>
    <n v="0"/>
    <n v="64.863683415650101"/>
    <s v="OK"/>
    <s v="ZERO"/>
    <n v="0"/>
    <n v="0"/>
    <x v="0"/>
    <n v="0"/>
    <x v="0"/>
    <n v="0"/>
  </r>
  <r>
    <x v="2"/>
    <d v="2024-01-30T20:00:00"/>
    <n v="0"/>
    <n v="0"/>
    <n v="0"/>
    <n v="61.181241692654197"/>
    <s v="OK"/>
    <s v="ZERO"/>
    <n v="0"/>
    <n v="0"/>
    <x v="0"/>
    <n v="0"/>
    <x v="0"/>
    <n v="0"/>
  </r>
  <r>
    <x v="2"/>
    <d v="2024-01-30T21:00:00"/>
    <n v="0"/>
    <n v="0"/>
    <n v="0"/>
    <n v="91.180970238711197"/>
    <s v="OK"/>
    <s v="ZERO"/>
    <n v="0"/>
    <n v="0"/>
    <x v="0"/>
    <n v="0"/>
    <x v="0"/>
    <n v="0"/>
  </r>
  <r>
    <x v="2"/>
    <d v="2024-01-30T22:00:00"/>
    <n v="0"/>
    <n v="0"/>
    <n v="0"/>
    <n v="82.150035765019496"/>
    <s v="OK"/>
    <s v="ZERO"/>
    <n v="0"/>
    <n v="0"/>
    <x v="0"/>
    <n v="0"/>
    <x v="0"/>
    <n v="0"/>
  </r>
  <r>
    <x v="2"/>
    <d v="2024-01-30T23:00:00"/>
    <n v="0"/>
    <n v="0"/>
    <n v="0"/>
    <n v="72.585584853768196"/>
    <s v="OK"/>
    <s v="ZERO"/>
    <n v="0"/>
    <n v="0"/>
    <x v="0"/>
    <n v="0"/>
    <x v="0"/>
    <n v="0"/>
  </r>
  <r>
    <x v="2"/>
    <d v="2024-01-31T00:00:00"/>
    <n v="0"/>
    <n v="0"/>
    <n v="0"/>
    <n v="37.236953134440199"/>
    <s v="OK"/>
    <s v="ZERO"/>
    <n v="0"/>
    <n v="0"/>
    <x v="0"/>
    <n v="0"/>
    <x v="0"/>
    <n v="0"/>
  </r>
  <r>
    <x v="2"/>
    <d v="2024-01-31T01:00:00"/>
    <n v="0"/>
    <n v="0"/>
    <n v="0"/>
    <n v="32.838855787634301"/>
    <s v="OK"/>
    <s v="ZERO"/>
    <n v="0"/>
    <n v="0"/>
    <x v="0"/>
    <n v="0"/>
    <x v="0"/>
    <n v="0"/>
  </r>
  <r>
    <x v="2"/>
    <d v="2024-01-31T02:00:00"/>
    <n v="0"/>
    <n v="0"/>
    <n v="0"/>
    <n v="23.3427530534473"/>
    <s v="OK"/>
    <s v="ZERO"/>
    <n v="0"/>
    <n v="0"/>
    <x v="0"/>
    <n v="0"/>
    <x v="0"/>
    <n v="0"/>
  </r>
  <r>
    <x v="2"/>
    <d v="2024-01-31T03:00:00"/>
    <n v="0"/>
    <n v="0"/>
    <n v="0"/>
    <n v="44.239554899325199"/>
    <s v="OK"/>
    <s v="ZERO"/>
    <n v="0"/>
    <n v="0"/>
    <x v="0"/>
    <n v="0"/>
    <x v="0"/>
    <n v="0"/>
  </r>
  <r>
    <x v="2"/>
    <d v="2024-01-31T04:00:00"/>
    <n v="0"/>
    <n v="0"/>
    <n v="0"/>
    <n v="34.169736032371397"/>
    <s v="OK"/>
    <s v="ZERO"/>
    <n v="0"/>
    <n v="0"/>
    <x v="0"/>
    <n v="0"/>
    <x v="0"/>
    <n v="0"/>
  </r>
  <r>
    <x v="2"/>
    <d v="2024-01-31T05:00:00"/>
    <n v="0"/>
    <n v="0"/>
    <n v="0"/>
    <n v="48.514624848138297"/>
    <s v="OK"/>
    <s v="ZERO"/>
    <n v="0"/>
    <n v="0"/>
    <x v="0"/>
    <n v="0"/>
    <x v="0"/>
    <n v="0"/>
  </r>
  <r>
    <x v="2"/>
    <d v="2024-01-31T06:00:00"/>
    <n v="0"/>
    <n v="0"/>
    <n v="0"/>
    <n v="21.476241153606001"/>
    <s v="OK"/>
    <s v="ZERO"/>
    <n v="0"/>
    <n v="0"/>
    <x v="0"/>
    <n v="0"/>
    <x v="0"/>
    <n v="0"/>
  </r>
  <r>
    <x v="2"/>
    <d v="2024-01-31T07:00:00"/>
    <n v="208.846456277459"/>
    <n v="202.430642531367"/>
    <n v="202.430642531367"/>
    <n v="80.988661046334499"/>
    <s v="OK"/>
    <s v="NON-ZERO"/>
    <n v="207.05523608201599"/>
    <n v="0.97766492826669127"/>
    <x v="1"/>
    <n v="-4.6245935506489957"/>
    <x v="1"/>
    <n v="0"/>
  </r>
  <r>
    <x v="2"/>
    <d v="2024-01-31T08:00:00"/>
    <n v="380.74401497532"/>
    <n v="369.04746657051601"/>
    <n v="369.04746657051601"/>
    <n v="71.742200248502002"/>
    <s v="OK"/>
    <s v="NON-ZERO"/>
    <n v="399.99999999999898"/>
    <n v="0.92261866642629242"/>
    <x v="1"/>
    <n v="-30.952533429482969"/>
    <x v="1"/>
    <n v="0"/>
  </r>
  <r>
    <x v="2"/>
    <d v="2024-01-31T09:00:00"/>
    <n v="572.78559322828596"/>
    <n v="555.18948100258694"/>
    <n v="555.18948100258694"/>
    <n v="88.864486884627695"/>
    <s v="OK"/>
    <s v="NON-ZERO"/>
    <n v="565.68542494923804"/>
    <n v="0.98144561715092282"/>
    <x v="1"/>
    <n v="-10.495943946651096"/>
    <x v="1"/>
    <n v="0"/>
  </r>
  <r>
    <x v="2"/>
    <d v="2024-01-31T10:00:00"/>
    <n v="640.70680837588702"/>
    <n v="621.02413996167297"/>
    <n v="621.02413996167297"/>
    <n v="41.841748893370699"/>
    <s v="OK"/>
    <s v="NON-ZERO"/>
    <n v="692.82032302754999"/>
    <n v="0.89637113595032047"/>
    <x v="1"/>
    <n v="-71.796183065877017"/>
    <x v="1"/>
    <n v="0"/>
  </r>
  <r>
    <x v="2"/>
    <d v="2024-01-31T11:00:00"/>
    <n v="767.77749773556104"/>
    <n v="744.19118695148904"/>
    <n v="744.19118695148904"/>
    <n v="87.443773023617297"/>
    <s v="OK"/>
    <s v="NON-ZERO"/>
    <n v="772.74066103125404"/>
    <n v="0.96305426190248022"/>
    <x v="1"/>
    <n v="-28.549474079764991"/>
    <x v="1"/>
    <n v="0"/>
  </r>
  <r>
    <x v="2"/>
    <d v="2024-01-31T12:00:00"/>
    <n v="761.26072656627196"/>
    <n v="737.87461257171401"/>
    <n v="737.87461257171401"/>
    <n v="33.438475596899103"/>
    <s v="OK"/>
    <s v="NON-ZERO"/>
    <n v="800"/>
    <n v="0.92234326571464254"/>
    <x v="1"/>
    <n v="-62.12538742828599"/>
    <x v="1"/>
    <n v="0"/>
  </r>
  <r>
    <x v="2"/>
    <d v="2024-01-31T13:00:00"/>
    <n v="610.906061574727"/>
    <n v="592.138879323786"/>
    <n v="592.138879323786"/>
    <n v="57.148823520043102"/>
    <s v="OK"/>
    <s v="NON-ZERO"/>
    <n v="772.74066103125404"/>
    <n v="0.76628409657329588"/>
    <x v="0"/>
    <n v="-180.60178170746804"/>
    <x v="1"/>
    <n v="-9.030089085373401"/>
  </r>
  <r>
    <x v="2"/>
    <d v="2024-01-31T14:00:00"/>
    <n v="685.21680529261596"/>
    <n v="664.16677898712101"/>
    <n v="664.16677898712101"/>
    <n v="75.201302627400196"/>
    <s v="OK"/>
    <s v="NON-ZERO"/>
    <n v="692.82032302755101"/>
    <n v="0.95864217158755238"/>
    <x v="1"/>
    <n v="-28.653544040430006"/>
    <x v="1"/>
    <n v="0"/>
  </r>
  <r>
    <x v="2"/>
    <d v="2024-01-31T15:00:00"/>
    <n v="533.90069558697598"/>
    <n v="517.49913683969999"/>
    <n v="517.49913683969999"/>
    <n v="48.3476266730963"/>
    <s v="OK"/>
    <s v="NON-ZERO"/>
    <n v="565.68542494923804"/>
    <n v="0.91481787229384237"/>
    <x v="1"/>
    <n v="-48.186288109538054"/>
    <x v="1"/>
    <n v="0"/>
  </r>
  <r>
    <x v="2"/>
    <d v="2024-01-31T16:00:00"/>
    <n v="355.62261135247502"/>
    <n v="344.69779855457301"/>
    <n v="344.69779855457301"/>
    <n v="32.023177963667599"/>
    <s v="OK"/>
    <s v="NON-ZERO"/>
    <n v="399.99999999999898"/>
    <n v="0.86174449638643469"/>
    <x v="1"/>
    <n v="-55.302201445425965"/>
    <x v="1"/>
    <n v="0"/>
  </r>
  <r>
    <x v="2"/>
    <d v="2024-01-31T17:00:00"/>
    <n v="195.588530917696"/>
    <n v="189.58000385141699"/>
    <n v="189.58000385141699"/>
    <n v="25.690373091803501"/>
    <s v="OK"/>
    <s v="NON-ZERO"/>
    <n v="207.05523608201599"/>
    <n v="0.91560110934032624"/>
    <x v="1"/>
    <n v="-17.475232230599005"/>
    <x v="1"/>
    <n v="0"/>
  </r>
  <r>
    <x v="2"/>
    <d v="2024-01-31T18:00:00"/>
    <n v="9.9409043409209394E-14"/>
    <n v="9.6355173506129102E-14"/>
    <n v="9.6355173506129102E-14"/>
    <n v="74.024218735891907"/>
    <s v="OK"/>
    <s v="NON-ZERO"/>
    <n v="9.7971743931788194E-14"/>
    <n v="0.98349962590454032"/>
    <x v="1"/>
    <n v="-1.6165704256590918E-15"/>
    <x v="1"/>
    <n v="0"/>
  </r>
  <r>
    <x v="2"/>
    <d v="2024-01-31T19:00:00"/>
    <n v="0"/>
    <n v="0"/>
    <n v="0"/>
    <n v="44.175384356070701"/>
    <s v="OK"/>
    <s v="ZERO"/>
    <n v="0"/>
    <n v="0"/>
    <x v="0"/>
    <n v="0"/>
    <x v="0"/>
    <n v="0"/>
  </r>
  <r>
    <x v="2"/>
    <d v="2024-01-31T20:00:00"/>
    <n v="0"/>
    <n v="0"/>
    <n v="0"/>
    <n v="54.551373011160003"/>
    <s v="OK"/>
    <s v="ZERO"/>
    <n v="0"/>
    <n v="0"/>
    <x v="0"/>
    <n v="0"/>
    <x v="0"/>
    <n v="0"/>
  </r>
  <r>
    <x v="2"/>
    <d v="2024-01-31T21:00:00"/>
    <n v="0"/>
    <n v="0"/>
    <n v="0"/>
    <n v="94.165678410315707"/>
    <s v="OK"/>
    <s v="ZERO"/>
    <n v="0"/>
    <n v="0"/>
    <x v="0"/>
    <n v="0"/>
    <x v="0"/>
    <n v="0"/>
  </r>
  <r>
    <x v="2"/>
    <d v="2024-01-31T22:00:00"/>
    <n v="0"/>
    <n v="0"/>
    <n v="0"/>
    <n v="53.064133452688601"/>
    <s v="OK"/>
    <s v="ZERO"/>
    <n v="0"/>
    <n v="0"/>
    <x v="0"/>
    <n v="0"/>
    <x v="0"/>
    <n v="0"/>
  </r>
  <r>
    <x v="2"/>
    <d v="2024-01-31T23:00:00"/>
    <n v="0"/>
    <n v="0"/>
    <n v="0"/>
    <n v="22.5341863211186"/>
    <s v="OK"/>
    <s v="ZERO"/>
    <n v="0"/>
    <n v="0"/>
    <x v="0"/>
    <n v="0"/>
    <x v="0"/>
    <n v="0"/>
  </r>
  <r>
    <x v="3"/>
    <d v="2024-01-01T00:00:00"/>
    <n v="0"/>
    <n v="0"/>
    <n v="0"/>
    <n v="55.179525516586502"/>
    <s v="OK"/>
    <s v="ZERO"/>
    <n v="0"/>
    <n v="0"/>
    <x v="0"/>
    <n v="0"/>
    <x v="0"/>
    <n v="0"/>
  </r>
  <r>
    <x v="3"/>
    <d v="2024-01-01T01:00:00"/>
    <n v="0"/>
    <n v="0"/>
    <n v="0"/>
    <n v="30.9221553894088"/>
    <s v="OK"/>
    <s v="ZERO"/>
    <n v="0"/>
    <n v="0"/>
    <x v="0"/>
    <n v="0"/>
    <x v="0"/>
    <n v="0"/>
  </r>
  <r>
    <x v="3"/>
    <d v="2024-01-01T02:00:00"/>
    <n v="0"/>
    <n v="0"/>
    <n v="0"/>
    <n v="90.969836975231104"/>
    <s v="OK"/>
    <s v="ZERO"/>
    <n v="0"/>
    <n v="0"/>
    <x v="0"/>
    <n v="0"/>
    <x v="0"/>
    <n v="0"/>
  </r>
  <r>
    <x v="3"/>
    <d v="2024-01-01T03:00:00"/>
    <n v="0"/>
    <n v="0"/>
    <n v="0"/>
    <n v="68.395831649267194"/>
    <s v="OK"/>
    <s v="ZERO"/>
    <n v="0"/>
    <n v="0"/>
    <x v="0"/>
    <n v="0"/>
    <x v="0"/>
    <n v="0"/>
  </r>
  <r>
    <x v="3"/>
    <d v="2024-01-01T04:00:00"/>
    <n v="0"/>
    <n v="0"/>
    <n v="0"/>
    <n v="25.420378175851301"/>
    <s v="OK"/>
    <s v="ZERO"/>
    <n v="0"/>
    <n v="0"/>
    <x v="0"/>
    <n v="0"/>
    <x v="0"/>
    <n v="0"/>
  </r>
  <r>
    <x v="3"/>
    <d v="2024-01-01T05:00:00"/>
    <n v="0"/>
    <n v="0"/>
    <n v="0"/>
    <n v="48.437064798495697"/>
    <s v="OK"/>
    <s v="ZERO"/>
    <n v="0"/>
    <n v="0"/>
    <x v="0"/>
    <n v="0"/>
    <x v="0"/>
    <n v="0"/>
  </r>
  <r>
    <x v="3"/>
    <d v="2024-01-01T06:00:00"/>
    <n v="0"/>
    <n v="0"/>
    <n v="0"/>
    <n v="81.854237305769004"/>
    <s v="OK"/>
    <s v="ZERO"/>
    <n v="0"/>
    <n v="0"/>
    <x v="0"/>
    <n v="0"/>
    <x v="0"/>
    <n v="0"/>
  </r>
  <r>
    <x v="3"/>
    <d v="2024-01-01T07:00:00"/>
    <n v="209.50844598705899"/>
    <n v="201.95489957587901"/>
    <n v="201.95489957587901"/>
    <n v="24.612930234397801"/>
    <s v="OK"/>
    <s v="NON-ZERO"/>
    <n v="248.466283298419"/>
    <n v="0.81280605519148952"/>
    <x v="0"/>
    <n v="-46.511383722539989"/>
    <x v="1"/>
    <n v="-2.3255691861269994"/>
  </r>
  <r>
    <x v="3"/>
    <d v="2024-01-01T08:00:00"/>
    <n v="451.28649007919199"/>
    <n v="435.01596011801701"/>
    <n v="435.01596011801701"/>
    <n v="75.711612618864905"/>
    <s v="OK"/>
    <s v="NON-ZERO"/>
    <n v="479.99999999999898"/>
    <n v="0.90628325024587064"/>
    <x v="1"/>
    <n v="-44.984039881981971"/>
    <x v="1"/>
    <n v="0"/>
  </r>
  <r>
    <x v="3"/>
    <d v="2024-01-01T09:00:00"/>
    <n v="619.92712420741498"/>
    <n v="597.576482054596"/>
    <n v="597.576482054596"/>
    <n v="40.569638761917403"/>
    <s v="OK"/>
    <s v="NON-ZERO"/>
    <n v="678.82250993908497"/>
    <n v="0.88031329737168018"/>
    <x v="1"/>
    <n v="-81.246027884488967"/>
    <x v="1"/>
    <n v="0"/>
  </r>
  <r>
    <x v="3"/>
    <d v="2024-01-01T10:00:00"/>
    <n v="723.31965746095102"/>
    <n v="697.24133600231301"/>
    <n v="697.24133600231301"/>
    <n v="80.315218047333502"/>
    <s v="OK"/>
    <s v="NON-ZERO"/>
    <n v="831.38438763306101"/>
    <n v="0.83865098548139538"/>
    <x v="0"/>
    <n v="-134.143051630748"/>
    <x v="1"/>
    <n v="-6.7071525815374011"/>
  </r>
  <r>
    <x v="3"/>
    <d v="2024-01-01T11:00:00"/>
    <n v="890.85781813528502"/>
    <n v="858.73913268876595"/>
    <n v="858.73913268876595"/>
    <n v="46.671649944317402"/>
    <s v="OK"/>
    <s v="NON-ZERO"/>
    <n v="927.28879323750505"/>
    <n v="0.92607517631113911"/>
    <x v="1"/>
    <n v="-68.549660548739098"/>
    <x v="1"/>
    <n v="0"/>
  </r>
  <r>
    <x v="3"/>
    <d v="2024-01-01T12:00:00"/>
    <n v="915.46611481617197"/>
    <n v="882.46021019238503"/>
    <n v="882.46021019238503"/>
    <n v="49.766598366868898"/>
    <s v="OK"/>
    <s v="NON-ZERO"/>
    <n v="960"/>
    <n v="0.9192293856170678"/>
    <x v="1"/>
    <n v="-77.539789807614966"/>
    <x v="1"/>
    <n v="0"/>
  </r>
  <r>
    <x v="3"/>
    <d v="2024-01-01T13:00:00"/>
    <n v="976.32163789542301"/>
    <n v="941.12166889494699"/>
    <n v="941.12166889494699"/>
    <n v="57.331742270517204"/>
    <s v="OK"/>
    <s v="NON-ZERO"/>
    <n v="927.28879323750505"/>
    <n v="1.0149175486195043"/>
    <x v="1"/>
    <n v="13.832875657441946"/>
    <x v="0"/>
    <n v="0"/>
  </r>
  <r>
    <x v="3"/>
    <d v="2024-01-01T14:00:00"/>
    <n v="719.20078295363305"/>
    <n v="693.27096199866901"/>
    <n v="693.27096199866901"/>
    <n v="77.937338457223504"/>
    <s v="OK"/>
    <s v="NON-ZERO"/>
    <n v="831.38438763306101"/>
    <n v="0.83387536777350502"/>
    <x v="0"/>
    <n v="-138.113425634392"/>
    <x v="1"/>
    <n v="-6.9056712817196004"/>
  </r>
  <r>
    <x v="3"/>
    <d v="2024-01-01T15:00:00"/>
    <n v="609.83451306217705"/>
    <n v="587.84774648647999"/>
    <n v="587.84774648647999"/>
    <n v="69.027401967880905"/>
    <s v="OK"/>
    <s v="NON-ZERO"/>
    <n v="678.82250993908497"/>
    <n v="0.86598151634546017"/>
    <x v="1"/>
    <n v="-90.974763452604975"/>
    <x v="1"/>
    <n v="0"/>
  </r>
  <r>
    <x v="3"/>
    <d v="2024-01-01T16:00:00"/>
    <n v="477.630852799514"/>
    <n v="460.41051212525099"/>
    <n v="460.41051212525099"/>
    <n v="75.292075793736998"/>
    <s v="OK"/>
    <s v="NON-ZERO"/>
    <n v="479.99999999999898"/>
    <n v="0.95918856692760823"/>
    <x v="1"/>
    <n v="-19.589487874747988"/>
    <x v="1"/>
    <n v="0"/>
  </r>
  <r>
    <x v="3"/>
    <d v="2024-01-01T17:00:00"/>
    <n v="245.816599882807"/>
    <n v="236.95401161289101"/>
    <n v="236.95401161289101"/>
    <n v="87.755581689709402"/>
    <s v="OK"/>
    <s v="NON-ZERO"/>
    <n v="248.46628329842"/>
    <n v="0.95366666441537984"/>
    <x v="1"/>
    <n v="-11.512271685528987"/>
    <x v="1"/>
    <n v="0"/>
  </r>
  <r>
    <x v="3"/>
    <d v="2024-01-01T18:00:00"/>
    <n v="1.1515509262172901E-13"/>
    <n v="1.11003329992285E-13"/>
    <n v="1.11003329992285E-13"/>
    <n v="34.284274777253401"/>
    <s v="OK"/>
    <s v="NON-ZERO"/>
    <n v="1.1756609271814501E-13"/>
    <n v="0.94417809953424503"/>
    <x v="1"/>
    <n v="-6.5627627258600064E-15"/>
    <x v="1"/>
    <n v="0"/>
  </r>
  <r>
    <x v="3"/>
    <d v="2024-01-01T19:00:00"/>
    <n v="0"/>
    <n v="0"/>
    <n v="0"/>
    <n v="49.224306671608602"/>
    <s v="OK"/>
    <s v="ZERO"/>
    <n v="0"/>
    <n v="0"/>
    <x v="0"/>
    <n v="0"/>
    <x v="0"/>
    <n v="0"/>
  </r>
  <r>
    <x v="3"/>
    <d v="2024-01-01T20:00:00"/>
    <n v="0"/>
    <n v="0"/>
    <n v="0"/>
    <n v="85.415339674917107"/>
    <s v="OK"/>
    <s v="ZERO"/>
    <n v="0"/>
    <n v="0"/>
    <x v="0"/>
    <n v="0"/>
    <x v="0"/>
    <n v="0"/>
  </r>
  <r>
    <x v="3"/>
    <d v="2024-01-01T21:00:00"/>
    <n v="0"/>
    <n v="0"/>
    <n v="0"/>
    <n v="31.8680556361447"/>
    <s v="OK"/>
    <s v="ZERO"/>
    <n v="0"/>
    <n v="0"/>
    <x v="0"/>
    <n v="0"/>
    <x v="0"/>
    <n v="0"/>
  </r>
  <r>
    <x v="3"/>
    <d v="2024-01-01T22:00:00"/>
    <n v="0"/>
    <n v="0"/>
    <n v="0"/>
    <n v="34.918761030291797"/>
    <s v="OK"/>
    <s v="ZERO"/>
    <n v="0"/>
    <n v="0"/>
    <x v="0"/>
    <n v="0"/>
    <x v="0"/>
    <n v="0"/>
  </r>
  <r>
    <x v="3"/>
    <d v="2024-01-01T23:00:00"/>
    <n v="0"/>
    <n v="0"/>
    <n v="0"/>
    <n v="52.833295391717598"/>
    <s v="OK"/>
    <s v="ZERO"/>
    <n v="0"/>
    <n v="0"/>
    <x v="0"/>
    <n v="0"/>
    <x v="0"/>
    <n v="0"/>
  </r>
  <r>
    <x v="3"/>
    <d v="2024-01-02T00:00:00"/>
    <n v="0"/>
    <n v="0"/>
    <n v="0"/>
    <n v="29.9121333143767"/>
    <s v="OK"/>
    <s v="ZERO"/>
    <n v="0"/>
    <n v="0"/>
    <x v="0"/>
    <n v="0"/>
    <x v="0"/>
    <n v="0"/>
  </r>
  <r>
    <x v="3"/>
    <d v="2024-01-02T01:00:00"/>
    <n v="0"/>
    <n v="0"/>
    <n v="0"/>
    <n v="78.679685648334399"/>
    <s v="OK"/>
    <s v="ZERO"/>
    <n v="0"/>
    <n v="0"/>
    <x v="0"/>
    <n v="0"/>
    <x v="0"/>
    <n v="0"/>
  </r>
  <r>
    <x v="3"/>
    <d v="2024-01-02T02:00:00"/>
    <n v="0"/>
    <n v="0"/>
    <n v="0"/>
    <n v="32.142170753926798"/>
    <s v="OK"/>
    <s v="ZERO"/>
    <n v="0"/>
    <n v="0"/>
    <x v="0"/>
    <n v="0"/>
    <x v="0"/>
    <n v="0"/>
  </r>
  <r>
    <x v="3"/>
    <d v="2024-01-02T03:00:00"/>
    <n v="0"/>
    <n v="0"/>
    <n v="0"/>
    <n v="58.9586589793428"/>
    <s v="OK"/>
    <s v="ZERO"/>
    <n v="0"/>
    <n v="0"/>
    <x v="0"/>
    <n v="0"/>
    <x v="0"/>
    <n v="0"/>
  </r>
  <r>
    <x v="3"/>
    <d v="2024-01-02T04:00:00"/>
    <n v="0"/>
    <n v="0"/>
    <n v="0"/>
    <n v="81.294445174064194"/>
    <s v="OK"/>
    <s v="ZERO"/>
    <n v="0"/>
    <n v="0"/>
    <x v="0"/>
    <n v="0"/>
    <x v="0"/>
    <n v="0"/>
  </r>
  <r>
    <x v="3"/>
    <d v="2024-01-02T05:00:00"/>
    <n v="0"/>
    <n v="0"/>
    <n v="0"/>
    <n v="39.691267251500001"/>
    <s v="OK"/>
    <s v="ZERO"/>
    <n v="0"/>
    <n v="0"/>
    <x v="0"/>
    <n v="0"/>
    <x v="0"/>
    <n v="0"/>
  </r>
  <r>
    <x v="3"/>
    <d v="2024-01-02T06:00:00"/>
    <n v="0"/>
    <n v="0"/>
    <n v="0"/>
    <n v="72.355575385898604"/>
    <s v="OK"/>
    <s v="ZERO"/>
    <n v="0"/>
    <n v="0"/>
    <x v="0"/>
    <n v="0"/>
    <x v="0"/>
    <n v="0"/>
  </r>
  <r>
    <x v="3"/>
    <d v="2024-01-02T07:00:00"/>
    <n v="219.18861321636101"/>
    <n v="211.28606134103299"/>
    <n v="211.28606134103299"/>
    <n v="49.861212014217898"/>
    <s v="OK"/>
    <s v="NON-ZERO"/>
    <n v="248.466283298419"/>
    <n v="0.8503610974341701"/>
    <x v="1"/>
    <n v="-37.18022195738601"/>
    <x v="1"/>
    <n v="0"/>
  </r>
  <r>
    <x v="3"/>
    <d v="2024-01-02T08:00:00"/>
    <n v="476.28445961211997"/>
    <n v="459.11266134091198"/>
    <n v="459.11266134091198"/>
    <n v="44.668983365804301"/>
    <s v="OK"/>
    <s v="NON-ZERO"/>
    <n v="479.99999999999898"/>
    <n v="0.95648471112690203"/>
    <x v="1"/>
    <n v="-20.887338659086993"/>
    <x v="1"/>
    <n v="0"/>
  </r>
  <r>
    <x v="3"/>
    <d v="2024-01-02T09:00:00"/>
    <n v="650.00131458529904"/>
    <n v="626.56638777881005"/>
    <n v="626.56638777881005"/>
    <n v="43.476901602618597"/>
    <s v="OK"/>
    <s v="NON-ZERO"/>
    <n v="678.82250993908497"/>
    <n v="0.92301946179574368"/>
    <x v="1"/>
    <n v="-52.256122160274913"/>
    <x v="1"/>
    <n v="0"/>
  </r>
  <r>
    <x v="3"/>
    <d v="2024-01-02T10:00:00"/>
    <n v="802.54659932233403"/>
    <n v="773.61185658890497"/>
    <n v="773.61185658890497"/>
    <n v="42.353189209351697"/>
    <s v="OK"/>
    <s v="NON-ZERO"/>
    <n v="831.38438763306101"/>
    <n v="0.93051044510393854"/>
    <x v="1"/>
    <n v="-57.77253104415604"/>
    <x v="1"/>
    <n v="0"/>
  </r>
  <r>
    <x v="3"/>
    <d v="2024-01-02T11:00:00"/>
    <n v="965.12907875144901"/>
    <n v="930.33264247995498"/>
    <n v="930.33264247995498"/>
    <n v="92.540990510620105"/>
    <s v="OK"/>
    <s v="NON-ZERO"/>
    <n v="927.28879323750505"/>
    <n v="1.0032825256431954"/>
    <x v="1"/>
    <n v="3.0438492424499373"/>
    <x v="0"/>
    <n v="0"/>
  </r>
  <r>
    <x v="3"/>
    <d v="2024-01-02T12:00:00"/>
    <n v="774.04683895253095"/>
    <n v="746.13961690757196"/>
    <n v="746.13961690757196"/>
    <n v="61.401362922173803"/>
    <s v="OK"/>
    <s v="NON-ZERO"/>
    <n v="960"/>
    <n v="0.77722876761205417"/>
    <x v="0"/>
    <n v="-213.86038309242804"/>
    <x v="1"/>
    <n v="-10.693019154621402"/>
  </r>
  <r>
    <x v="3"/>
    <d v="2024-01-02T13:00:00"/>
    <n v="804.27603970208997"/>
    <n v="775.27894431212599"/>
    <n v="775.27894431212599"/>
    <n v="59.8991238703086"/>
    <s v="OK"/>
    <s v="NON-ZERO"/>
    <n v="927.28879323750505"/>
    <n v="0.83607065022897886"/>
    <x v="0"/>
    <n v="-152.00984892537906"/>
    <x v="1"/>
    <n v="-7.6004924462689534"/>
  </r>
  <r>
    <x v="3"/>
    <d v="2024-01-02T14:00:00"/>
    <n v="823.04743335570004"/>
    <n v="793.37356050935705"/>
    <n v="793.37356050935705"/>
    <n v="80.004080596352793"/>
    <s v="OK"/>
    <s v="NON-ZERO"/>
    <n v="831.38438763306101"/>
    <n v="0.95428008068335246"/>
    <x v="1"/>
    <n v="-38.010827123703962"/>
    <x v="1"/>
    <n v="0"/>
  </r>
  <r>
    <x v="3"/>
    <d v="2024-01-02T15:00:00"/>
    <n v="674.750908434503"/>
    <n v="650.42366817059201"/>
    <n v="650.42366817059201"/>
    <n v="20.197411668469101"/>
    <s v="OK"/>
    <s v="NON-ZERO"/>
    <n v="678.82250993908497"/>
    <n v="0.95816455501594755"/>
    <x v="1"/>
    <n v="-28.398841768492957"/>
    <x v="1"/>
    <n v="0"/>
  </r>
  <r>
    <x v="3"/>
    <d v="2024-01-02T16:00:00"/>
    <n v="387.093124838596"/>
    <n v="373.13700068263898"/>
    <n v="373.13700068263898"/>
    <n v="84.4749160749856"/>
    <s v="OK"/>
    <s v="NON-ZERO"/>
    <n v="479.99999999999898"/>
    <n v="0.77736875142216622"/>
    <x v="0"/>
    <n v="-106.86299931735999"/>
    <x v="1"/>
    <n v="-5.3431499658679993"/>
  </r>
  <r>
    <x v="3"/>
    <d v="2024-01-02T17:00:00"/>
    <n v="224.175778401972"/>
    <n v="216.09342096552601"/>
    <n v="216.09342096552601"/>
    <n v="56.053554236326697"/>
    <s v="OK"/>
    <s v="NON-ZERO"/>
    <n v="248.46628329842"/>
    <n v="0.86970923417398804"/>
    <x v="1"/>
    <n v="-32.372862332893988"/>
    <x v="1"/>
    <n v="0"/>
  </r>
  <r>
    <x v="3"/>
    <d v="2024-01-02T18:00:00"/>
    <n v="9.9344437626264706E-14"/>
    <n v="9.5762706986398699E-14"/>
    <n v="9.5762706986398699E-14"/>
    <n v="73.8845133742375"/>
    <s v="OK"/>
    <s v="NON-ZERO"/>
    <n v="1.1756609271814501E-13"/>
    <n v="0.81454358797125181"/>
    <x v="0"/>
    <n v="-2.1803385731746311E-14"/>
    <x v="1"/>
    <n v="-1.0901692865873156E-15"/>
  </r>
  <r>
    <x v="3"/>
    <d v="2024-01-02T19:00:00"/>
    <n v="0"/>
    <n v="0"/>
    <n v="0"/>
    <n v="73.556526701376299"/>
    <s v="OK"/>
    <s v="ZERO"/>
    <n v="0"/>
    <n v="0"/>
    <x v="0"/>
    <n v="0"/>
    <x v="0"/>
    <n v="0"/>
  </r>
  <r>
    <x v="3"/>
    <d v="2024-01-02T20:00:00"/>
    <n v="0"/>
    <n v="0"/>
    <n v="0"/>
    <n v="35.336259589686698"/>
    <s v="OK"/>
    <s v="ZERO"/>
    <n v="0"/>
    <n v="0"/>
    <x v="0"/>
    <n v="0"/>
    <x v="0"/>
    <n v="0"/>
  </r>
  <r>
    <x v="3"/>
    <d v="2024-01-02T21:00:00"/>
    <n v="0"/>
    <n v="0"/>
    <n v="0"/>
    <n v="30.378392190643801"/>
    <s v="OK"/>
    <s v="ZERO"/>
    <n v="0"/>
    <n v="0"/>
    <x v="0"/>
    <n v="0"/>
    <x v="0"/>
    <n v="0"/>
  </r>
  <r>
    <x v="3"/>
    <d v="2024-01-02T22:00:00"/>
    <n v="0"/>
    <n v="0"/>
    <n v="0"/>
    <n v="65.345953512891597"/>
    <s v="OK"/>
    <s v="ZERO"/>
    <n v="0"/>
    <n v="0"/>
    <x v="0"/>
    <n v="0"/>
    <x v="0"/>
    <n v="0"/>
  </r>
  <r>
    <x v="3"/>
    <d v="2024-01-02T23:00:00"/>
    <n v="0"/>
    <n v="0"/>
    <n v="0"/>
    <n v="43.383323510376599"/>
    <s v="OK"/>
    <s v="ZERO"/>
    <n v="0"/>
    <n v="0"/>
    <x v="0"/>
    <n v="0"/>
    <x v="0"/>
    <n v="0"/>
  </r>
  <r>
    <x v="3"/>
    <d v="2024-01-03T00:00:00"/>
    <n v="0"/>
    <n v="0"/>
    <n v="0"/>
    <n v="43.009571233257503"/>
    <s v="OK"/>
    <s v="ZERO"/>
    <n v="0"/>
    <n v="0"/>
    <x v="0"/>
    <n v="0"/>
    <x v="0"/>
    <n v="0"/>
  </r>
  <r>
    <x v="3"/>
    <d v="2024-01-03T01:00:00"/>
    <n v="0"/>
    <n v="0"/>
    <n v="0"/>
    <n v="45.888487872172199"/>
    <s v="OK"/>
    <s v="ZERO"/>
    <n v="0"/>
    <n v="0"/>
    <x v="0"/>
    <n v="0"/>
    <x v="0"/>
    <n v="0"/>
  </r>
  <r>
    <x v="3"/>
    <d v="2024-01-03T02:00:00"/>
    <n v="0"/>
    <n v="0"/>
    <n v="0"/>
    <n v="40.211753760002203"/>
    <s v="OK"/>
    <s v="ZERO"/>
    <n v="0"/>
    <n v="0"/>
    <x v="0"/>
    <n v="0"/>
    <x v="0"/>
    <n v="0"/>
  </r>
  <r>
    <x v="3"/>
    <d v="2024-01-03T03:00:00"/>
    <n v="0"/>
    <n v="0"/>
    <n v="0"/>
    <n v="34.805280029790602"/>
    <s v="OK"/>
    <s v="ZERO"/>
    <n v="0"/>
    <n v="0"/>
    <x v="0"/>
    <n v="0"/>
    <x v="0"/>
    <n v="0"/>
  </r>
  <r>
    <x v="3"/>
    <d v="2024-01-03T04:00:00"/>
    <n v="0"/>
    <n v="0"/>
    <n v="0"/>
    <n v="91.060792579671798"/>
    <s v="OK"/>
    <s v="ZERO"/>
    <n v="0"/>
    <n v="0"/>
    <x v="0"/>
    <n v="0"/>
    <x v="0"/>
    <n v="0"/>
  </r>
  <r>
    <x v="3"/>
    <d v="2024-01-03T05:00:00"/>
    <n v="0"/>
    <n v="0"/>
    <n v="0"/>
    <n v="67.554129200823695"/>
    <s v="OK"/>
    <s v="ZERO"/>
    <n v="0"/>
    <n v="0"/>
    <x v="0"/>
    <n v="0"/>
    <x v="0"/>
    <n v="0"/>
  </r>
  <r>
    <x v="3"/>
    <d v="2024-01-03T06:00:00"/>
    <n v="0"/>
    <n v="0"/>
    <n v="0"/>
    <n v="51.603270591039099"/>
    <s v="OK"/>
    <s v="ZERO"/>
    <n v="0"/>
    <n v="0"/>
    <x v="0"/>
    <n v="0"/>
    <x v="0"/>
    <n v="0"/>
  </r>
  <r>
    <x v="3"/>
    <d v="2024-01-03T07:00:00"/>
    <n v="224.56333726124501"/>
    <n v="216.46700690921199"/>
    <n v="216.46700690921199"/>
    <n v="60.314232515228603"/>
    <s v="OK"/>
    <s v="NON-ZERO"/>
    <n v="248.466283298419"/>
    <n v="0.8712128021379284"/>
    <x v="1"/>
    <n v="-31.999276389207012"/>
    <x v="1"/>
    <n v="0"/>
  </r>
  <r>
    <x v="3"/>
    <d v="2024-01-03T08:00:00"/>
    <n v="404.04506192222402"/>
    <n v="389.47775837959699"/>
    <n v="389.47775837959699"/>
    <n v="90.341523207116197"/>
    <s v="OK"/>
    <s v="NON-ZERO"/>
    <n v="479.99999999999898"/>
    <n v="0.81141199662416208"/>
    <x v="0"/>
    <n v="-90.522241620401985"/>
    <x v="1"/>
    <n v="-4.5261120810200994"/>
  </r>
  <r>
    <x v="3"/>
    <d v="2024-01-03T09:00:00"/>
    <n v="707.803456683371"/>
    <n v="682.284551061868"/>
    <n v="682.284551061868"/>
    <n v="26.690491911272201"/>
    <s v="OK"/>
    <s v="NON-ZERO"/>
    <n v="678.82250993908497"/>
    <n v="1.0051000682388886"/>
    <x v="1"/>
    <n v="3.4620411227830346"/>
    <x v="0"/>
    <n v="0"/>
  </r>
  <r>
    <x v="3"/>
    <d v="2024-01-03T10:00:00"/>
    <n v="790.45143580781996"/>
    <n v="761.95276799503404"/>
    <n v="761.95276799503404"/>
    <n v="58.8050967368724"/>
    <s v="OK"/>
    <s v="NON-ZERO"/>
    <n v="831.38438763306101"/>
    <n v="0.91648674106606964"/>
    <x v="1"/>
    <n v="-69.431619638026973"/>
    <x v="1"/>
    <n v="0"/>
  </r>
  <r>
    <x v="3"/>
    <d v="2024-01-03T11:00:00"/>
    <n v="784.76331083509899"/>
    <n v="756.469720749712"/>
    <n v="756.469720749712"/>
    <n v="58.552311460690198"/>
    <s v="OK"/>
    <s v="NON-ZERO"/>
    <n v="927.28879323750505"/>
    <n v="0.81578654488921298"/>
    <x v="0"/>
    <n v="-170.81907248779305"/>
    <x v="1"/>
    <n v="-8.5409536243896529"/>
  </r>
  <r>
    <x v="3"/>
    <d v="2024-01-03T12:00:00"/>
    <n v="962.64823005002904"/>
    <n v="927.94123745569595"/>
    <n v="927.94123745569595"/>
    <n v="89.77633828498"/>
    <s v="OK"/>
    <s v="NON-ZERO"/>
    <n v="960"/>
    <n v="0.96660545568301659"/>
    <x v="1"/>
    <n v="-32.058762544304045"/>
    <x v="1"/>
    <n v="0"/>
  </r>
  <r>
    <x v="3"/>
    <d v="2024-01-03T13:00:00"/>
    <n v="889.32981449444503"/>
    <n v="857.26621917263799"/>
    <n v="857.26621917263799"/>
    <n v="29.813177101161401"/>
    <s v="OK"/>
    <s v="NON-ZERO"/>
    <n v="927.28879323750505"/>
    <n v="0.92448676768712734"/>
    <x v="1"/>
    <n v="-70.022574064867058"/>
    <x v="1"/>
    <n v="0"/>
  </r>
  <r>
    <x v="3"/>
    <d v="2024-01-03T14:00:00"/>
    <n v="827.16066160103799"/>
    <n v="797.33849181943594"/>
    <n v="797.33849181943594"/>
    <n v="66.890865039313596"/>
    <s v="OK"/>
    <s v="NON-ZERO"/>
    <n v="831.38438763306101"/>
    <n v="0.95904915184833672"/>
    <x v="1"/>
    <n v="-34.045895813625066"/>
    <x v="1"/>
    <n v="0"/>
  </r>
  <r>
    <x v="3"/>
    <d v="2024-01-03T15:00:00"/>
    <n v="734.40455110745904"/>
    <n v="707.92657865514798"/>
    <n v="707.92657865514798"/>
    <n v="28.482931737628899"/>
    <s v="OK"/>
    <s v="NON-ZERO"/>
    <n v="678.82250993908497"/>
    <n v="1.0428743423942655"/>
    <x v="1"/>
    <n v="29.104068716063011"/>
    <x v="0"/>
    <n v="0"/>
  </r>
  <r>
    <x v="3"/>
    <d v="2024-01-03T16:00:00"/>
    <n v="438.116006000634"/>
    <n v="422.32032020278803"/>
    <n v="422.32032020278803"/>
    <n v="72.259663547325601"/>
    <s v="OK"/>
    <s v="NON-ZERO"/>
    <n v="479.99999999999898"/>
    <n v="0.87983400042247695"/>
    <x v="1"/>
    <n v="-57.679679797210952"/>
    <x v="1"/>
    <n v="0"/>
  </r>
  <r>
    <x v="3"/>
    <d v="2024-01-03T17:00:00"/>
    <n v="248.28964597479899"/>
    <n v="239.33789534035401"/>
    <n v="239.33789534035401"/>
    <n v="47.330739949655197"/>
    <s v="OK"/>
    <s v="NON-ZERO"/>
    <n v="248.46628329842"/>
    <n v="0.96326105966215803"/>
    <x v="1"/>
    <n v="-9.1283879580659857"/>
    <x v="1"/>
    <n v="0"/>
  </r>
  <r>
    <x v="3"/>
    <d v="2024-01-03T18:00:00"/>
    <n v="1.2238835123780099E-13"/>
    <n v="1.17975803156948E-13"/>
    <n v="1.17975803156948E-13"/>
    <n v="34.880757589517202"/>
    <s v="OK"/>
    <s v="NON-ZERO"/>
    <n v="1.1756609271814501E-13"/>
    <n v="1.0034849371049972"/>
    <x v="1"/>
    <n v="4.0971043880299195E-16"/>
    <x v="0"/>
    <n v="0"/>
  </r>
  <r>
    <x v="3"/>
    <d v="2024-01-03T19:00:00"/>
    <n v="0"/>
    <n v="0"/>
    <n v="0"/>
    <n v="55.677805864179199"/>
    <s v="OK"/>
    <s v="ZERO"/>
    <n v="0"/>
    <n v="0"/>
    <x v="0"/>
    <n v="0"/>
    <x v="0"/>
    <n v="0"/>
  </r>
  <r>
    <x v="3"/>
    <d v="2024-01-03T20:00:00"/>
    <n v="0"/>
    <n v="0"/>
    <n v="0"/>
    <n v="87.155953339566395"/>
    <s v="OK"/>
    <s v="ZERO"/>
    <n v="0"/>
    <n v="0"/>
    <x v="0"/>
    <n v="0"/>
    <x v="0"/>
    <n v="0"/>
  </r>
  <r>
    <x v="3"/>
    <d v="2024-01-03T21:00:00"/>
    <n v="0"/>
    <n v="0"/>
    <n v="0"/>
    <n v="28.913943385717701"/>
    <s v="OK"/>
    <s v="ZERO"/>
    <n v="0"/>
    <n v="0"/>
    <x v="0"/>
    <n v="0"/>
    <x v="0"/>
    <n v="0"/>
  </r>
  <r>
    <x v="3"/>
    <d v="2024-01-03T22:00:00"/>
    <n v="0"/>
    <n v="0"/>
    <n v="0"/>
    <n v="94.369567674812501"/>
    <s v="OK"/>
    <s v="ZERO"/>
    <n v="0"/>
    <n v="0"/>
    <x v="0"/>
    <n v="0"/>
    <x v="0"/>
    <n v="0"/>
  </r>
  <r>
    <x v="3"/>
    <d v="2024-01-03T23:00:00"/>
    <n v="0"/>
    <n v="0"/>
    <n v="0"/>
    <n v="28.654989371062101"/>
    <s v="OK"/>
    <s v="ZERO"/>
    <n v="0"/>
    <n v="0"/>
    <x v="0"/>
    <n v="0"/>
    <x v="0"/>
    <n v="0"/>
  </r>
  <r>
    <x v="3"/>
    <d v="2024-01-04T00:00:00"/>
    <n v="0"/>
    <n v="0"/>
    <n v="0"/>
    <n v="57.783008279347499"/>
    <s v="OK"/>
    <s v="ZERO"/>
    <n v="0"/>
    <n v="0"/>
    <x v="0"/>
    <n v="0"/>
    <x v="0"/>
    <n v="0"/>
  </r>
  <r>
    <x v="3"/>
    <d v="2024-01-04T01:00:00"/>
    <n v="0"/>
    <n v="0"/>
    <n v="0"/>
    <n v="24.180164487605101"/>
    <s v="OK"/>
    <s v="ZERO"/>
    <n v="0"/>
    <n v="0"/>
    <x v="0"/>
    <n v="0"/>
    <x v="0"/>
    <n v="0"/>
  </r>
  <r>
    <x v="3"/>
    <d v="2024-01-04T02:00:00"/>
    <n v="0"/>
    <n v="0"/>
    <n v="0"/>
    <n v="62.0404514312578"/>
    <s v="OK"/>
    <s v="ZERO"/>
    <n v="0"/>
    <n v="0"/>
    <x v="0"/>
    <n v="0"/>
    <x v="0"/>
    <n v="0"/>
  </r>
  <r>
    <x v="3"/>
    <d v="2024-01-04T03:00:00"/>
    <n v="0"/>
    <n v="0"/>
    <n v="0"/>
    <n v="83.677588496260398"/>
    <s v="OK"/>
    <s v="ZERO"/>
    <n v="0"/>
    <n v="0"/>
    <x v="0"/>
    <n v="0"/>
    <x v="0"/>
    <n v="0"/>
  </r>
  <r>
    <x v="3"/>
    <d v="2024-01-04T04:00:00"/>
    <n v="0"/>
    <n v="0"/>
    <n v="0"/>
    <n v="20.376912752398301"/>
    <s v="OK"/>
    <s v="ZERO"/>
    <n v="0"/>
    <n v="0"/>
    <x v="0"/>
    <n v="0"/>
    <x v="0"/>
    <n v="0"/>
  </r>
  <r>
    <x v="3"/>
    <d v="2024-01-04T05:00:00"/>
    <n v="0"/>
    <n v="0"/>
    <n v="0"/>
    <n v="88.309843328664996"/>
    <s v="OK"/>
    <s v="ZERO"/>
    <n v="0"/>
    <n v="0"/>
    <x v="0"/>
    <n v="0"/>
    <x v="0"/>
    <n v="0"/>
  </r>
  <r>
    <x v="3"/>
    <d v="2024-01-04T06:00:00"/>
    <n v="0"/>
    <n v="0"/>
    <n v="0"/>
    <n v="35.739850795933997"/>
    <s v="OK"/>
    <s v="ZERO"/>
    <n v="0"/>
    <n v="0"/>
    <x v="0"/>
    <n v="0"/>
    <x v="0"/>
    <n v="0"/>
  </r>
  <r>
    <x v="3"/>
    <d v="2024-01-04T07:00:00"/>
    <n v="221.51297898083601"/>
    <n v="213.526625211051"/>
    <n v="213.526625211051"/>
    <n v="24.362581904069302"/>
    <s v="OK"/>
    <s v="NON-ZERO"/>
    <n v="248.466283298419"/>
    <n v="0.85937867454875583"/>
    <x v="1"/>
    <n v="-34.939658087368002"/>
    <x v="1"/>
    <n v="0"/>
  </r>
  <r>
    <x v="3"/>
    <d v="2024-01-04T08:00:00"/>
    <n v="503.72476289375197"/>
    <n v="485.563641240386"/>
    <n v="485.563641240386"/>
    <n v="62.431367316843598"/>
    <s v="OK"/>
    <s v="NON-ZERO"/>
    <n v="479.99999999999898"/>
    <n v="1.0115909192508064"/>
    <x v="1"/>
    <n v="5.5636412403870281"/>
    <x v="0"/>
    <n v="0"/>
  </r>
  <r>
    <x v="3"/>
    <d v="2024-01-04T09:00:00"/>
    <n v="605.80599643483902"/>
    <n v="583.96447263047503"/>
    <n v="583.96447263047503"/>
    <n v="24.117866818307998"/>
    <s v="OK"/>
    <s v="NON-ZERO"/>
    <n v="678.82250993908497"/>
    <n v="0.86026091368549029"/>
    <x v="1"/>
    <n v="-94.858037308609937"/>
    <x v="1"/>
    <n v="0"/>
  </r>
  <r>
    <x v="3"/>
    <d v="2024-01-04T10:00:00"/>
    <n v="831.78209404056099"/>
    <n v="801.79330470214995"/>
    <n v="801.79330470214995"/>
    <n v="42.194476173521601"/>
    <s v="OK"/>
    <s v="NON-ZERO"/>
    <n v="831.38438763306101"/>
    <n v="0.96440745896713742"/>
    <x v="1"/>
    <n v="-29.591082930911057"/>
    <x v="1"/>
    <n v="0"/>
  </r>
  <r>
    <x v="3"/>
    <d v="2024-01-04T11:00:00"/>
    <n v="901.66667915822904"/>
    <n v="869.15829470456902"/>
    <n v="869.15829470456902"/>
    <n v="80.889627487443803"/>
    <s v="OK"/>
    <s v="NON-ZERO"/>
    <n v="927.28879323750505"/>
    <n v="0.93731133282654999"/>
    <x v="1"/>
    <n v="-58.130498532936031"/>
    <x v="1"/>
    <n v="0"/>
  </r>
  <r>
    <x v="3"/>
    <d v="2024-01-04T12:00:00"/>
    <n v="977.61231082422103"/>
    <n v="942.365808339983"/>
    <n v="942.365808339983"/>
    <n v="70.9863593914977"/>
    <s v="OK"/>
    <s v="NON-ZERO"/>
    <n v="960"/>
    <n v="0.98163105035414899"/>
    <x v="1"/>
    <n v="-17.634191660016995"/>
    <x v="1"/>
    <n v="0"/>
  </r>
  <r>
    <x v="3"/>
    <d v="2024-01-04T13:00:00"/>
    <n v="941.34761877371898"/>
    <n v="907.40859118959804"/>
    <n v="907.40859118959804"/>
    <n v="21.733300135084399"/>
    <s v="OK"/>
    <s v="NON-ZERO"/>
    <n v="927.28879323750505"/>
    <n v="0.97856093787298137"/>
    <x v="1"/>
    <n v="-19.880202047907005"/>
    <x v="1"/>
    <n v="0"/>
  </r>
  <r>
    <x v="3"/>
    <d v="2024-01-04T14:00:00"/>
    <n v="730.68945808026399"/>
    <n v="704.345428331172"/>
    <n v="704.345428331172"/>
    <n v="49.360979775051099"/>
    <s v="OK"/>
    <s v="NON-ZERO"/>
    <n v="831.38438763306101"/>
    <n v="0.84719588051975925"/>
    <x v="0"/>
    <n v="-127.03895930188901"/>
    <x v="1"/>
    <n v="-6.3519479650944506"/>
  </r>
  <r>
    <x v="3"/>
    <d v="2024-01-04T15:00:00"/>
    <n v="627.42552699171699"/>
    <n v="752.91063239006098"/>
    <n v="752.91063239006098"/>
    <n v="32.638598259438801"/>
    <s v="ERROR"/>
    <s v="NON-ZERO"/>
    <n v="678.82250993908497"/>
    <n v="1.1091421120634677"/>
    <x v="1"/>
    <n v="74.088122450976016"/>
    <x v="0"/>
    <n v="0"/>
  </r>
  <r>
    <x v="3"/>
    <d v="2024-01-04T16:00:00"/>
    <n v="422.40351818046298"/>
    <n v="407.17432508617202"/>
    <n v="407.17432508617202"/>
    <n v="35.902088787667097"/>
    <s v="OK"/>
    <s v="NON-ZERO"/>
    <n v="479.99999999999898"/>
    <n v="0.84827984392952682"/>
    <x v="0"/>
    <n v="-72.825674913826958"/>
    <x v="1"/>
    <n v="-3.6412837456913478"/>
  </r>
  <r>
    <x v="3"/>
    <d v="2024-01-04T17:00:00"/>
    <n v="274.19550935890197"/>
    <n v="264.30975751762497"/>
    <n v="264.30975751762497"/>
    <n v="40.837467467349001"/>
    <s v="OK"/>
    <s v="NON-ZERO"/>
    <n v="248.46628329842"/>
    <n v="1.0637650871936464"/>
    <x v="1"/>
    <n v="15.843474219204978"/>
    <x v="0"/>
    <n v="0"/>
  </r>
  <r>
    <x v="3"/>
    <d v="2024-01-04T18:00:00"/>
    <n v="1.13990009639399E-13"/>
    <n v="1.09880252516408E-13"/>
    <n v="1.09880252516408E-13"/>
    <n v="26.888775292190001"/>
    <s v="OK"/>
    <s v="NON-ZERO"/>
    <n v="1.1756609271814501E-13"/>
    <n v="0.93462536668490659"/>
    <x v="1"/>
    <n v="-7.6858402017370096E-15"/>
    <x v="1"/>
    <n v="0"/>
  </r>
  <r>
    <x v="3"/>
    <d v="2024-01-04T19:00:00"/>
    <n v="0"/>
    <n v="0"/>
    <n v="0"/>
    <n v="82.642196813451093"/>
    <s v="OK"/>
    <s v="ZERO"/>
    <n v="0"/>
    <n v="0"/>
    <x v="0"/>
    <n v="0"/>
    <x v="0"/>
    <n v="0"/>
  </r>
  <r>
    <x v="3"/>
    <d v="2024-01-04T20:00:00"/>
    <n v="0"/>
    <n v="0"/>
    <n v="0"/>
    <n v="28.1455551759869"/>
    <s v="OK"/>
    <s v="ZERO"/>
    <n v="0"/>
    <n v="0"/>
    <x v="0"/>
    <n v="0"/>
    <x v="0"/>
    <n v="0"/>
  </r>
  <r>
    <x v="3"/>
    <d v="2024-01-04T21:00:00"/>
    <n v="0"/>
    <n v="0"/>
    <n v="0"/>
    <n v="85.587897127855697"/>
    <s v="OK"/>
    <s v="ZERO"/>
    <n v="0"/>
    <n v="0"/>
    <x v="0"/>
    <n v="0"/>
    <x v="0"/>
    <n v="0"/>
  </r>
  <r>
    <x v="3"/>
    <d v="2024-01-04T22:00:00"/>
    <n v="0"/>
    <n v="0"/>
    <n v="0"/>
    <n v="40.234704341927298"/>
    <s v="OK"/>
    <s v="ZERO"/>
    <n v="0"/>
    <n v="0"/>
    <x v="0"/>
    <n v="0"/>
    <x v="0"/>
    <n v="0"/>
  </r>
  <r>
    <x v="3"/>
    <d v="2024-01-04T23:00:00"/>
    <n v="0"/>
    <n v="0"/>
    <n v="0"/>
    <n v="58.4321413532492"/>
    <s v="OK"/>
    <s v="ZERO"/>
    <n v="0"/>
    <n v="0"/>
    <x v="0"/>
    <n v="0"/>
    <x v="0"/>
    <n v="0"/>
  </r>
  <r>
    <x v="3"/>
    <d v="2024-01-05T00:00:00"/>
    <n v="0"/>
    <n v="0"/>
    <n v="0"/>
    <n v="46.210558964946898"/>
    <s v="OK"/>
    <s v="ZERO"/>
    <n v="0"/>
    <n v="0"/>
    <x v="0"/>
    <n v="0"/>
    <x v="0"/>
    <n v="0"/>
  </r>
  <r>
    <x v="3"/>
    <d v="2024-01-05T01:00:00"/>
    <n v="0"/>
    <n v="0"/>
    <n v="0"/>
    <n v="70.017904001315699"/>
    <s v="OK"/>
    <s v="ZERO"/>
    <n v="0"/>
    <n v="0"/>
    <x v="0"/>
    <n v="0"/>
    <x v="0"/>
    <n v="0"/>
  </r>
  <r>
    <x v="3"/>
    <d v="2024-01-05T02:00:00"/>
    <n v="0"/>
    <n v="0"/>
    <n v="0"/>
    <n v="61.248423978789802"/>
    <s v="OK"/>
    <s v="ZERO"/>
    <n v="0"/>
    <n v="0"/>
    <x v="0"/>
    <n v="0"/>
    <x v="0"/>
    <n v="0"/>
  </r>
  <r>
    <x v="3"/>
    <d v="2024-01-05T03:00:00"/>
    <n v="0"/>
    <n v="0"/>
    <n v="0"/>
    <n v="73.662946596584604"/>
    <s v="OK"/>
    <s v="ZERO"/>
    <n v="0"/>
    <n v="0"/>
    <x v="0"/>
    <n v="0"/>
    <x v="0"/>
    <n v="0"/>
  </r>
  <r>
    <x v="3"/>
    <d v="2024-01-05T04:00:00"/>
    <n v="0"/>
    <n v="0"/>
    <n v="0"/>
    <n v="93.205976466609997"/>
    <s v="OK"/>
    <s v="ZERO"/>
    <n v="0"/>
    <n v="0"/>
    <x v="0"/>
    <n v="0"/>
    <x v="0"/>
    <n v="0"/>
  </r>
  <r>
    <x v="3"/>
    <d v="2024-01-05T05:00:00"/>
    <n v="0"/>
    <n v="0"/>
    <n v="0"/>
    <n v="53.244008110622097"/>
    <s v="OK"/>
    <s v="ZERO"/>
    <n v="0"/>
    <n v="0"/>
    <x v="0"/>
    <n v="0"/>
    <x v="0"/>
    <n v="0"/>
  </r>
  <r>
    <x v="3"/>
    <d v="2024-01-05T06:00:00"/>
    <n v="0"/>
    <n v="0"/>
    <n v="0"/>
    <n v="67.568949008865303"/>
    <s v="OK"/>
    <s v="ZERO"/>
    <n v="0"/>
    <n v="0"/>
    <x v="0"/>
    <n v="0"/>
    <x v="0"/>
    <n v="0"/>
  </r>
  <r>
    <x v="3"/>
    <d v="2024-01-05T07:00:00"/>
    <n v="212.350804008202"/>
    <n v="204.69478018553301"/>
    <n v="204.69478018553301"/>
    <n v="43.400097958133699"/>
    <s v="OK"/>
    <s v="NON-ZERO"/>
    <n v="248.466283298419"/>
    <n v="0.82383322786571211"/>
    <x v="0"/>
    <n v="-43.771503112885995"/>
    <x v="1"/>
    <n v="-2.1885751556442998"/>
  </r>
  <r>
    <x v="3"/>
    <d v="2024-01-05T08:00:00"/>
    <n v="392.348758216889"/>
    <n v="378.20314923870399"/>
    <n v="378.20314923870399"/>
    <n v="81.1865638268971"/>
    <s v="OK"/>
    <s v="NON-ZERO"/>
    <n v="479.99999999999898"/>
    <n v="0.78792322758063493"/>
    <x v="0"/>
    <n v="-101.79685076129499"/>
    <x v="1"/>
    <n v="-5.0898425380647492"/>
  </r>
  <r>
    <x v="3"/>
    <d v="2024-01-05T09:00:00"/>
    <n v="674.80023690478095"/>
    <n v="650.47121816894298"/>
    <n v="650.47121816894298"/>
    <n v="55.333276624831498"/>
    <s v="OK"/>
    <s v="NON-ZERO"/>
    <n v="678.82250993908497"/>
    <n v="0.95823460277902961"/>
    <x v="1"/>
    <n v="-28.351291770141984"/>
    <x v="1"/>
    <n v="0"/>
  </r>
  <r>
    <x v="3"/>
    <d v="2024-01-05T10:00:00"/>
    <n v="778.87203798378005"/>
    <n v="750.79084985046597"/>
    <n v="750.79084985046597"/>
    <n v="91.003093627541602"/>
    <s v="OK"/>
    <s v="NON-ZERO"/>
    <n v="831.38438763306101"/>
    <n v="0.90306104013807187"/>
    <x v="1"/>
    <n v="-80.593537782595035"/>
    <x v="1"/>
    <n v="0"/>
  </r>
  <r>
    <x v="3"/>
    <d v="2024-01-05T11:00:00"/>
    <n v="891.28795529644799"/>
    <n v="859.15376183069498"/>
    <n v="859.15376183069498"/>
    <n v="48.0230613850023"/>
    <s v="OK"/>
    <s v="NON-ZERO"/>
    <n v="927.28879323750505"/>
    <n v="0.92652231763857973"/>
    <x v="1"/>
    <n v="-68.135031406810072"/>
    <x v="1"/>
    <n v="0"/>
  </r>
  <r>
    <x v="3"/>
    <d v="2024-01-05T12:00:00"/>
    <n v="844.82359497408402"/>
    <n v="814.36461178688205"/>
    <n v="814.36461178688205"/>
    <n v="84.927574424300204"/>
    <s v="OK"/>
    <s v="NON-ZERO"/>
    <n v="960"/>
    <n v="0.84829647061133551"/>
    <x v="0"/>
    <n v="-145.63538821311795"/>
    <x v="1"/>
    <n v="-7.2817694106558974"/>
  </r>
  <r>
    <x v="3"/>
    <d v="2024-01-05T13:00:00"/>
    <n v="847.44578408062205"/>
    <n v="816.89226137725996"/>
    <n v="816.89226137725996"/>
    <n v="77.221165888366997"/>
    <s v="OK"/>
    <s v="NON-ZERO"/>
    <n v="927.28879323750505"/>
    <n v="0.88094697933875554"/>
    <x v="1"/>
    <n v="-110.39653186024509"/>
    <x v="1"/>
    <n v="0"/>
  </r>
  <r>
    <x v="3"/>
    <d v="2024-01-05T14:00:00"/>
    <n v="815.77171691901901"/>
    <n v="786.36016028393999"/>
    <n v="786.36016028393999"/>
    <n v="44.949244986566796"/>
    <s v="OK"/>
    <s v="NON-ZERO"/>
    <n v="831.38438763306101"/>
    <n v="0.94584427129152093"/>
    <x v="1"/>
    <n v="-45.02422734912102"/>
    <x v="1"/>
    <n v="0"/>
  </r>
  <r>
    <x v="3"/>
    <d v="2024-01-05T15:00:00"/>
    <n v="659.12583433883503"/>
    <n v="635.36193519372102"/>
    <n v="635.36193519372102"/>
    <n v="20.521819047746799"/>
    <s v="OK"/>
    <s v="NON-ZERO"/>
    <n v="678.82250993908497"/>
    <n v="0.93597652684018395"/>
    <x v="1"/>
    <n v="-43.460574745363942"/>
    <x v="1"/>
    <n v="0"/>
  </r>
  <r>
    <x v="3"/>
    <d v="2024-01-05T16:00:00"/>
    <n v="443.59732362476399"/>
    <n v="427.60401626148001"/>
    <n v="427.60401626148001"/>
    <n v="22.139001862898599"/>
    <s v="OK"/>
    <s v="NON-ZERO"/>
    <n v="479.99999999999898"/>
    <n v="0.89084170054475198"/>
    <x v="1"/>
    <n v="-52.395983738518964"/>
    <x v="1"/>
    <n v="0"/>
  </r>
  <r>
    <x v="3"/>
    <d v="2024-01-05T17:00:00"/>
    <n v="231.863503778482"/>
    <n v="223.503975700279"/>
    <n v="223.503975700279"/>
    <n v="75.206160825281401"/>
    <s v="OK"/>
    <s v="NON-ZERO"/>
    <n v="248.46628329842"/>
    <n v="0.89953442669659911"/>
    <x v="1"/>
    <n v="-24.962307598140995"/>
    <x v="1"/>
    <n v="0"/>
  </r>
  <r>
    <x v="3"/>
    <d v="2024-01-05T18:00:00"/>
    <n v="1.1416284016095199E-13"/>
    <n v="1.1004685186499E-13"/>
    <n v="1.1004685186499E-13"/>
    <n v="93.865367458520097"/>
    <s v="OK"/>
    <s v="NON-ZERO"/>
    <n v="1.1756609271814501E-13"/>
    <n v="0.93604243639208307"/>
    <x v="1"/>
    <n v="-7.519240853155013E-15"/>
    <x v="1"/>
    <n v="0"/>
  </r>
  <r>
    <x v="3"/>
    <d v="2024-01-05T19:00:00"/>
    <n v="0"/>
    <n v="0"/>
    <n v="0"/>
    <n v="69.443340278815398"/>
    <s v="OK"/>
    <s v="ZERO"/>
    <n v="0"/>
    <n v="0"/>
    <x v="0"/>
    <n v="0"/>
    <x v="0"/>
    <n v="0"/>
  </r>
  <r>
    <x v="3"/>
    <d v="2024-01-05T20:00:00"/>
    <n v="0"/>
    <n v="0"/>
    <n v="0"/>
    <n v="27.479822925791101"/>
    <s v="OK"/>
    <s v="ZERO"/>
    <n v="0"/>
    <n v="0"/>
    <x v="0"/>
    <n v="0"/>
    <x v="0"/>
    <n v="0"/>
  </r>
  <r>
    <x v="3"/>
    <d v="2024-01-05T21:00:00"/>
    <n v="0"/>
    <n v="0"/>
    <n v="0"/>
    <n v="36.867260429780501"/>
    <s v="OK"/>
    <s v="ZERO"/>
    <n v="0"/>
    <n v="0"/>
    <x v="0"/>
    <n v="0"/>
    <x v="0"/>
    <n v="0"/>
  </r>
  <r>
    <x v="3"/>
    <d v="2024-01-05T22:00:00"/>
    <n v="0"/>
    <n v="0"/>
    <n v="0"/>
    <n v="20.070728189561699"/>
    <s v="OK"/>
    <s v="ZERO"/>
    <n v="0"/>
    <n v="0"/>
    <x v="0"/>
    <n v="0"/>
    <x v="0"/>
    <n v="0"/>
  </r>
  <r>
    <x v="3"/>
    <d v="2024-01-05T23:00:00"/>
    <n v="0"/>
    <n v="0"/>
    <n v="0"/>
    <n v="80.743484022956693"/>
    <s v="OK"/>
    <s v="ZERO"/>
    <n v="0"/>
    <n v="0"/>
    <x v="0"/>
    <n v="0"/>
    <x v="0"/>
    <n v="0"/>
  </r>
  <r>
    <x v="3"/>
    <d v="2024-01-06T00:00:00"/>
    <n v="0"/>
    <n v="0"/>
    <n v="0"/>
    <n v="55.784732554676197"/>
    <s v="OK"/>
    <s v="ZERO"/>
    <n v="0"/>
    <n v="0"/>
    <x v="0"/>
    <n v="0"/>
    <x v="0"/>
    <n v="0"/>
  </r>
  <r>
    <x v="3"/>
    <d v="2024-01-06T01:00:00"/>
    <n v="0"/>
    <n v="0"/>
    <n v="0"/>
    <n v="59.507668045211901"/>
    <s v="OK"/>
    <s v="ZERO"/>
    <n v="0"/>
    <n v="0"/>
    <x v="0"/>
    <n v="0"/>
    <x v="0"/>
    <n v="0"/>
  </r>
  <r>
    <x v="3"/>
    <d v="2024-01-06T02:00:00"/>
    <n v="0"/>
    <n v="0"/>
    <n v="0"/>
    <n v="37.247106155077503"/>
    <s v="OK"/>
    <s v="ZERO"/>
    <n v="0"/>
    <n v="0"/>
    <x v="0"/>
    <n v="0"/>
    <x v="0"/>
    <n v="0"/>
  </r>
  <r>
    <x v="3"/>
    <d v="2024-01-06T03:00:00"/>
    <n v="0"/>
    <n v="0"/>
    <n v="0"/>
    <n v="71.090694336616096"/>
    <s v="OK"/>
    <s v="ZERO"/>
    <n v="0"/>
    <n v="0"/>
    <x v="0"/>
    <n v="0"/>
    <x v="0"/>
    <n v="0"/>
  </r>
  <r>
    <x v="3"/>
    <d v="2024-01-06T04:00:00"/>
    <n v="0"/>
    <n v="0"/>
    <n v="0"/>
    <n v="80.552820484436694"/>
    <s v="OK"/>
    <s v="ZERO"/>
    <n v="0"/>
    <n v="0"/>
    <x v="0"/>
    <n v="0"/>
    <x v="0"/>
    <n v="0"/>
  </r>
  <r>
    <x v="3"/>
    <d v="2024-01-06T05:00:00"/>
    <n v="0"/>
    <n v="0"/>
    <n v="0"/>
    <n v="93.7208691215165"/>
    <s v="OK"/>
    <s v="ZERO"/>
    <n v="0"/>
    <n v="0"/>
    <x v="0"/>
    <n v="0"/>
    <x v="0"/>
    <n v="0"/>
  </r>
  <r>
    <x v="3"/>
    <d v="2024-01-06T06:00:00"/>
    <n v="0"/>
    <n v="0"/>
    <n v="0"/>
    <n v="93.387084850384298"/>
    <s v="OK"/>
    <s v="ZERO"/>
    <n v="0"/>
    <n v="0"/>
    <x v="0"/>
    <n v="0"/>
    <x v="0"/>
    <n v="0"/>
  </r>
  <r>
    <x v="3"/>
    <d v="2024-01-06T07:00:00"/>
    <n v="224.673799571942"/>
    <n v="216.57348664924601"/>
    <n v="216.57348664924601"/>
    <n v="69.184720992478901"/>
    <s v="OK"/>
    <s v="NON-ZERO"/>
    <n v="248.466283298419"/>
    <n v="0.87164135018324262"/>
    <x v="1"/>
    <n v="-31.892796649172993"/>
    <x v="1"/>
    <n v="0"/>
  </r>
  <r>
    <x v="3"/>
    <d v="2024-01-06T08:00:00"/>
    <n v="438.70299889681098"/>
    <n v="422.886149856293"/>
    <n v="422.886149856293"/>
    <n v="51.256179546803899"/>
    <s v="OK"/>
    <s v="NON-ZERO"/>
    <n v="479.99999999999898"/>
    <n v="0.88101281220061234"/>
    <x v="1"/>
    <n v="-57.113850143705974"/>
    <x v="1"/>
    <n v="0"/>
  </r>
  <r>
    <x v="3"/>
    <d v="2024-01-06T09:00:00"/>
    <n v="644.72579388748898"/>
    <n v="621.48106891389602"/>
    <n v="621.48106891389602"/>
    <n v="36.5957443299638"/>
    <s v="OK"/>
    <s v="NON-ZERO"/>
    <n v="678.82250993908497"/>
    <n v="0.91552807960016747"/>
    <x v="1"/>
    <n v="-57.341441025188942"/>
    <x v="1"/>
    <n v="0"/>
  </r>
  <r>
    <x v="3"/>
    <d v="2024-01-06T10:00:00"/>
    <n v="766.42079775750904"/>
    <n v="738.78852241376205"/>
    <n v="738.78852241376205"/>
    <n v="48.711815597262699"/>
    <s v="OK"/>
    <s v="NON-ZERO"/>
    <n v="831.38438763306101"/>
    <n v="0.8886244839370655"/>
    <x v="1"/>
    <n v="-92.595865219298958"/>
    <x v="1"/>
    <n v="0"/>
  </r>
  <r>
    <x v="3"/>
    <d v="2024-01-06T11:00:00"/>
    <n v="811.90642424562805"/>
    <n v="782.63422556083901"/>
    <n v="782.63422556083901"/>
    <n v="38.090508097101697"/>
    <s v="OK"/>
    <s v="NON-ZERO"/>
    <n v="927.28879323750505"/>
    <n v="0.84400267885086377"/>
    <x v="0"/>
    <n v="-144.65456767666603"/>
    <x v="1"/>
    <n v="-7.2327283838333019"/>
  </r>
  <r>
    <x v="3"/>
    <d v="2024-01-06T12:00:00"/>
    <n v="924.32939357741702"/>
    <n v="891.00393530908502"/>
    <n v="891.00393530908502"/>
    <n v="36.695272740592799"/>
    <s v="OK"/>
    <s v="NON-ZERO"/>
    <n v="960"/>
    <n v="0.92812909928029685"/>
    <x v="1"/>
    <n v="-68.996064690914977"/>
    <x v="1"/>
    <n v="0"/>
  </r>
  <r>
    <x v="3"/>
    <d v="2024-01-06T13:00:00"/>
    <n v="883.83249067589304"/>
    <n v="851.96709400142402"/>
    <n v="851.96709400142402"/>
    <n v="43.971359413105297"/>
    <s v="OK"/>
    <s v="NON-ZERO"/>
    <n v="927.28879323750505"/>
    <n v="0.91877212386757601"/>
    <x v="1"/>
    <n v="-75.321699236081031"/>
    <x v="1"/>
    <n v="0"/>
  </r>
  <r>
    <x v="3"/>
    <d v="2024-01-06T14:00:00"/>
    <n v="759.38676479872095"/>
    <n v="732.00809209214503"/>
    <n v="732.00809209214503"/>
    <n v="56.908749281439597"/>
    <s v="OK"/>
    <s v="NON-ZERO"/>
    <n v="831.38438763306101"/>
    <n v="0.88046889378830073"/>
    <x v="1"/>
    <n v="-99.376295540915976"/>
    <x v="1"/>
    <n v="0"/>
  </r>
  <r>
    <x v="3"/>
    <d v="2024-01-06T15:00:00"/>
    <n v="610.05571479715695"/>
    <n v="588.06097308917595"/>
    <n v="588.06097308917595"/>
    <n v="27.690090358448298"/>
    <s v="OK"/>
    <s v="NON-ZERO"/>
    <n v="678.82250993908497"/>
    <n v="0.86629562879690947"/>
    <x v="1"/>
    <n v="-90.761536849909021"/>
    <x v="1"/>
    <n v="0"/>
  </r>
  <r>
    <x v="3"/>
    <d v="2024-01-06T16:00:00"/>
    <n v="429.16907231082502"/>
    <n v="413.69595622392899"/>
    <n v="413.69595622392899"/>
    <n v="38.703184099691903"/>
    <s v="OK"/>
    <s v="NON-ZERO"/>
    <n v="479.99999999999898"/>
    <n v="0.86186657546652057"/>
    <x v="1"/>
    <n v="-66.304043776069989"/>
    <x v="1"/>
    <n v="0"/>
  </r>
  <r>
    <x v="3"/>
    <d v="2024-01-06T17:00:00"/>
    <n v="239.89661333940899"/>
    <n v="231.24746225527599"/>
    <n v="231.24746225527599"/>
    <n v="25.472624969426501"/>
    <s v="OK"/>
    <s v="NON-ZERO"/>
    <n v="248.46628329842"/>
    <n v="0.93069956690073974"/>
    <x v="1"/>
    <n v="-17.218821043144004"/>
    <x v="1"/>
    <n v="0"/>
  </r>
  <r>
    <x v="3"/>
    <d v="2024-01-06T18:00:00"/>
    <n v="1.1145036566118401E-13"/>
    <n v="1.0743217200031001E-13"/>
    <n v="1.0743217200031001E-13"/>
    <n v="71.137477402464398"/>
    <s v="OK"/>
    <s v="NON-ZERO"/>
    <n v="1.1756609271814501E-13"/>
    <n v="0.91380235165142176"/>
    <x v="1"/>
    <n v="-1.0133920717835004E-14"/>
    <x v="1"/>
    <n v="0"/>
  </r>
  <r>
    <x v="3"/>
    <d v="2024-01-06T19:00:00"/>
    <n v="0"/>
    <n v="0"/>
    <n v="0"/>
    <n v="66.7959181071041"/>
    <s v="OK"/>
    <s v="ZERO"/>
    <n v="0"/>
    <n v="0"/>
    <x v="0"/>
    <n v="0"/>
    <x v="0"/>
    <n v="0"/>
  </r>
  <r>
    <x v="3"/>
    <d v="2024-01-06T20:00:00"/>
    <n v="0"/>
    <n v="0"/>
    <n v="0"/>
    <n v="68.681880540391106"/>
    <s v="OK"/>
    <s v="ZERO"/>
    <n v="0"/>
    <n v="0"/>
    <x v="0"/>
    <n v="0"/>
    <x v="0"/>
    <n v="0"/>
  </r>
  <r>
    <x v="3"/>
    <d v="2024-01-06T21:00:00"/>
    <n v="0"/>
    <n v="0"/>
    <n v="0"/>
    <n v="22.389257189619499"/>
    <s v="OK"/>
    <s v="ZERO"/>
    <n v="0"/>
    <n v="0"/>
    <x v="0"/>
    <n v="0"/>
    <x v="0"/>
    <n v="0"/>
  </r>
  <r>
    <x v="3"/>
    <d v="2024-01-06T22:00:00"/>
    <n v="0"/>
    <n v="0"/>
    <n v="0"/>
    <n v="78.486400671735694"/>
    <s v="OK"/>
    <s v="ZERO"/>
    <n v="0"/>
    <n v="0"/>
    <x v="0"/>
    <n v="0"/>
    <x v="0"/>
    <n v="0"/>
  </r>
  <r>
    <x v="3"/>
    <d v="2024-01-06T23:00:00"/>
    <n v="0"/>
    <n v="0"/>
    <n v="0"/>
    <n v="84.3463959051752"/>
    <s v="OK"/>
    <s v="ZERO"/>
    <n v="0"/>
    <n v="0"/>
    <x v="0"/>
    <n v="0"/>
    <x v="0"/>
    <n v="0"/>
  </r>
  <r>
    <x v="3"/>
    <d v="2024-01-07T00:00:00"/>
    <n v="0"/>
    <n v="0"/>
    <n v="0"/>
    <n v="23.984046814925001"/>
    <s v="OK"/>
    <s v="ZERO"/>
    <n v="0"/>
    <n v="0"/>
    <x v="0"/>
    <n v="0"/>
    <x v="0"/>
    <n v="0"/>
  </r>
  <r>
    <x v="3"/>
    <d v="2024-01-07T01:00:00"/>
    <n v="0"/>
    <n v="0"/>
    <n v="0"/>
    <n v="37.183746043354901"/>
    <s v="OK"/>
    <s v="ZERO"/>
    <n v="0"/>
    <n v="0"/>
    <x v="0"/>
    <n v="0"/>
    <x v="0"/>
    <n v="0"/>
  </r>
  <r>
    <x v="3"/>
    <d v="2024-01-07T02:00:00"/>
    <n v="0"/>
    <n v="0"/>
    <n v="0"/>
    <n v="66.208310031178996"/>
    <s v="OK"/>
    <s v="ZERO"/>
    <n v="0"/>
    <n v="0"/>
    <x v="0"/>
    <n v="0"/>
    <x v="0"/>
    <n v="0"/>
  </r>
  <r>
    <x v="3"/>
    <d v="2024-01-07T03:00:00"/>
    <n v="0"/>
    <n v="0"/>
    <n v="0"/>
    <n v="88.660766091374796"/>
    <s v="OK"/>
    <s v="ZERO"/>
    <n v="0"/>
    <n v="0"/>
    <x v="0"/>
    <n v="0"/>
    <x v="0"/>
    <n v="0"/>
  </r>
  <r>
    <x v="3"/>
    <d v="2024-01-07T04:00:00"/>
    <n v="0"/>
    <n v="0"/>
    <n v="0"/>
    <n v="54.322390590888098"/>
    <s v="OK"/>
    <s v="ZERO"/>
    <n v="0"/>
    <n v="0"/>
    <x v="0"/>
    <n v="0"/>
    <x v="0"/>
    <n v="0"/>
  </r>
  <r>
    <x v="3"/>
    <d v="2024-01-07T05:00:00"/>
    <n v="0"/>
    <n v="0"/>
    <n v="0"/>
    <n v="58.485612613495697"/>
    <s v="OK"/>
    <s v="ZERO"/>
    <n v="0"/>
    <n v="0"/>
    <x v="0"/>
    <n v="0"/>
    <x v="0"/>
    <n v="0"/>
  </r>
  <r>
    <x v="3"/>
    <d v="2024-01-07T06:00:00"/>
    <n v="0"/>
    <n v="0"/>
    <n v="0"/>
    <n v="52.058144064242001"/>
    <s v="OK"/>
    <s v="ZERO"/>
    <n v="0"/>
    <n v="0"/>
    <x v="0"/>
    <n v="0"/>
    <x v="0"/>
    <n v="0"/>
  </r>
  <r>
    <x v="3"/>
    <d v="2024-01-07T07:00:00"/>
    <n v="226.09173663562899"/>
    <n v="217.940301891242"/>
    <n v="217.940301891242"/>
    <n v="70.948749898516496"/>
    <s v="OK"/>
    <s v="NON-ZERO"/>
    <n v="248.466283298419"/>
    <n v="0.87714235910828209"/>
    <x v="1"/>
    <n v="-30.525981407176999"/>
    <x v="1"/>
    <n v="0"/>
  </r>
  <r>
    <x v="3"/>
    <d v="2024-01-07T08:00:00"/>
    <n v="377.42881247183101"/>
    <n v="363.821122154188"/>
    <n v="363.821122154188"/>
    <n v="57.109576620640503"/>
    <s v="OK"/>
    <s v="NON-ZERO"/>
    <n v="479.99999999999898"/>
    <n v="0.75796067115456001"/>
    <x v="0"/>
    <n v="-116.17887784581097"/>
    <x v="1"/>
    <n v="-5.8089438922905483"/>
  </r>
  <r>
    <x v="3"/>
    <d v="2024-01-07T09:00:00"/>
    <n v="615.641312767964"/>
    <n v="593.44518980631597"/>
    <n v="593.44518980631597"/>
    <n v="32.792028350488799"/>
    <s v="OK"/>
    <s v="NON-ZERO"/>
    <n v="678.82250993908497"/>
    <n v="0.87422732911371714"/>
    <x v="1"/>
    <n v="-85.377320132769"/>
    <x v="1"/>
    <n v="0"/>
  </r>
  <r>
    <x v="3"/>
    <d v="2024-01-07T10:00:00"/>
    <n v="809.75178931787605"/>
    <n v="780.55727310955797"/>
    <n v="780.55727310955797"/>
    <n v="86.648200202221602"/>
    <s v="OK"/>
    <s v="NON-ZERO"/>
    <n v="831.38438763306101"/>
    <n v="0.93886448280775747"/>
    <x v="1"/>
    <n v="-50.827114523503042"/>
    <x v="1"/>
    <n v="0"/>
  </r>
  <r>
    <x v="3"/>
    <d v="2024-01-07T11:00:00"/>
    <n v="818.89367304165296"/>
    <n v="789.36955846002002"/>
    <n v="789.36955846002002"/>
    <n v="73.807583815868995"/>
    <s v="OK"/>
    <s v="NON-ZERO"/>
    <n v="927.28879323750505"/>
    <n v="0.85126614730675387"/>
    <x v="1"/>
    <n v="-137.91923477748503"/>
    <x v="1"/>
    <n v="0"/>
  </r>
  <r>
    <x v="3"/>
    <d v="2024-01-07T12:00:00"/>
    <n v="863.70423063319504"/>
    <n v="832.56453141541999"/>
    <n v="832.56453141541999"/>
    <n v="32.907488948739598"/>
    <s v="OK"/>
    <s v="NON-ZERO"/>
    <n v="960"/>
    <n v="0.86725472022439587"/>
    <x v="1"/>
    <n v="-127.43546858458001"/>
    <x v="1"/>
    <n v="0"/>
  </r>
  <r>
    <x v="3"/>
    <d v="2024-01-07T13:00:00"/>
    <n v="921.96703155997898"/>
    <n v="888.72674509011301"/>
    <n v="888.72674509011301"/>
    <n v="31.9722449939573"/>
    <s v="OK"/>
    <s v="NON-ZERO"/>
    <n v="927.28879323750505"/>
    <n v="0.95841419800539396"/>
    <x v="1"/>
    <n v="-38.562048147392034"/>
    <x v="1"/>
    <n v="0"/>
  </r>
  <r>
    <x v="3"/>
    <d v="2024-01-07T14:00:00"/>
    <n v="825.51733758056696"/>
    <n v="795.75441564550704"/>
    <n v="795.75441564550704"/>
    <n v="67.201620697170299"/>
    <s v="OK"/>
    <s v="NON-ZERO"/>
    <n v="831.38438763306101"/>
    <n v="0.95714380433701429"/>
    <x v="1"/>
    <n v="-35.629971987553972"/>
    <x v="1"/>
    <n v="0"/>
  </r>
  <r>
    <x v="3"/>
    <d v="2024-01-07T15:00:00"/>
    <n v="615.09773627816003"/>
    <n v="592.92121123880304"/>
    <n v="592.92121123880304"/>
    <n v="28.899177739718901"/>
    <s v="OK"/>
    <s v="NON-ZERO"/>
    <n v="678.82250993908497"/>
    <n v="0.87345543578395712"/>
    <x v="1"/>
    <n v="-85.901298700281927"/>
    <x v="1"/>
    <n v="0"/>
  </r>
  <r>
    <x v="3"/>
    <d v="2024-01-07T16:00:00"/>
    <n v="485.05893390284302"/>
    <n v="467.57078371333301"/>
    <n v="467.57078371333301"/>
    <n v="43.629237245569897"/>
    <s v="OK"/>
    <s v="NON-ZERO"/>
    <n v="479.99999999999898"/>
    <n v="0.97410579940277919"/>
    <x v="1"/>
    <n v="-12.429216286665962"/>
    <x v="1"/>
    <n v="0"/>
  </r>
  <r>
    <x v="3"/>
    <d v="2024-01-07T17:00:00"/>
    <n v="238.64849627452099"/>
    <n v="230.04434437947401"/>
    <n v="230.04434437947401"/>
    <n v="70.920906821050195"/>
    <s v="OK"/>
    <s v="NON-ZERO"/>
    <n v="248.46628329842"/>
    <n v="0.92585738928279315"/>
    <x v="1"/>
    <n v="-18.421938918945983"/>
    <x v="1"/>
    <n v="0"/>
  </r>
  <r>
    <x v="3"/>
    <d v="2024-01-07T18:00:00"/>
    <n v="1.2658590239693399E-13"/>
    <n v="1.2202201723110401E-13"/>
    <n v="1.2202201723110401E-13"/>
    <n v="39.631465177776697"/>
    <s v="OK"/>
    <s v="NON-ZERO"/>
    <n v="1.1756609271814501E-13"/>
    <n v="1.0379014425838045"/>
    <x v="1"/>
    <n v="4.4559245129590023E-15"/>
    <x v="0"/>
    <n v="0"/>
  </r>
  <r>
    <x v="3"/>
    <d v="2024-01-07T19:00:00"/>
    <n v="0"/>
    <n v="0"/>
    <n v="0"/>
    <n v="84.538361494058293"/>
    <s v="OK"/>
    <s v="ZERO"/>
    <n v="0"/>
    <n v="0"/>
    <x v="0"/>
    <n v="0"/>
    <x v="0"/>
    <n v="0"/>
  </r>
  <r>
    <x v="3"/>
    <d v="2024-01-07T20:00:00"/>
    <n v="0"/>
    <n v="0"/>
    <n v="0"/>
    <n v="44.950473989774203"/>
    <s v="OK"/>
    <s v="ZERO"/>
    <n v="0"/>
    <n v="0"/>
    <x v="0"/>
    <n v="0"/>
    <x v="0"/>
    <n v="0"/>
  </r>
  <r>
    <x v="3"/>
    <d v="2024-01-07T21:00:00"/>
    <n v="0"/>
    <n v="0"/>
    <n v="0"/>
    <n v="60.957410600246803"/>
    <s v="OK"/>
    <s v="ZERO"/>
    <n v="0"/>
    <n v="0"/>
    <x v="0"/>
    <n v="0"/>
    <x v="0"/>
    <n v="0"/>
  </r>
  <r>
    <x v="3"/>
    <d v="2024-01-07T22:00:00"/>
    <n v="0"/>
    <n v="0"/>
    <n v="0"/>
    <n v="92.523876352102803"/>
    <s v="OK"/>
    <s v="ZERO"/>
    <n v="0"/>
    <n v="0"/>
    <x v="0"/>
    <n v="0"/>
    <x v="0"/>
    <n v="0"/>
  </r>
  <r>
    <x v="3"/>
    <d v="2024-01-07T23:00:00"/>
    <n v="0"/>
    <n v="0"/>
    <n v="0"/>
    <n v="93.812371961241098"/>
    <s v="OK"/>
    <s v="ZERO"/>
    <n v="0"/>
    <n v="0"/>
    <x v="0"/>
    <n v="0"/>
    <x v="0"/>
    <n v="0"/>
  </r>
  <r>
    <x v="3"/>
    <d v="2024-01-08T00:00:00"/>
    <n v="0"/>
    <n v="0"/>
    <n v="0"/>
    <n v="57.604735894649302"/>
    <s v="OK"/>
    <s v="ZERO"/>
    <n v="0"/>
    <n v="0"/>
    <x v="0"/>
    <n v="0"/>
    <x v="0"/>
    <n v="0"/>
  </r>
  <r>
    <x v="3"/>
    <d v="2024-01-08T01:00:00"/>
    <n v="0"/>
    <n v="0"/>
    <n v="0"/>
    <n v="71.114452241498697"/>
    <s v="OK"/>
    <s v="ZERO"/>
    <n v="0"/>
    <n v="0"/>
    <x v="0"/>
    <n v="0"/>
    <x v="0"/>
    <n v="0"/>
  </r>
  <r>
    <x v="3"/>
    <d v="2024-01-08T02:00:00"/>
    <n v="0"/>
    <n v="0"/>
    <n v="0"/>
    <n v="23.147954468262899"/>
    <s v="OK"/>
    <s v="ZERO"/>
    <n v="0"/>
    <n v="0"/>
    <x v="0"/>
    <n v="0"/>
    <x v="0"/>
    <n v="0"/>
  </r>
  <r>
    <x v="3"/>
    <d v="2024-01-08T03:00:00"/>
    <n v="0"/>
    <n v="0"/>
    <n v="0"/>
    <n v="43.261041581810098"/>
    <s v="OK"/>
    <s v="ZERO"/>
    <n v="0"/>
    <n v="0"/>
    <x v="0"/>
    <n v="0"/>
    <x v="0"/>
    <n v="0"/>
  </r>
  <r>
    <x v="3"/>
    <d v="2024-01-08T04:00:00"/>
    <n v="0"/>
    <n v="0"/>
    <n v="0"/>
    <n v="26.647473106218499"/>
    <s v="OK"/>
    <s v="ZERO"/>
    <n v="0"/>
    <n v="0"/>
    <x v="0"/>
    <n v="0"/>
    <x v="0"/>
    <n v="0"/>
  </r>
  <r>
    <x v="3"/>
    <d v="2024-01-08T05:00:00"/>
    <n v="0"/>
    <n v="0"/>
    <n v="0"/>
    <n v="66.780668412465502"/>
    <s v="OK"/>
    <s v="ZERO"/>
    <n v="0"/>
    <n v="0"/>
    <x v="0"/>
    <n v="0"/>
    <x v="0"/>
    <n v="0"/>
  </r>
  <r>
    <x v="3"/>
    <d v="2024-01-08T06:00:00"/>
    <n v="0"/>
    <n v="0"/>
    <n v="0"/>
    <n v="48.104826690181902"/>
    <s v="OK"/>
    <s v="ZERO"/>
    <n v="0"/>
    <n v="0"/>
    <x v="0"/>
    <n v="0"/>
    <x v="0"/>
    <n v="0"/>
  </r>
  <r>
    <x v="3"/>
    <d v="2024-01-08T07:00:00"/>
    <n v="254.527338001321"/>
    <n v="245.35069573542501"/>
    <n v="245.35069573542501"/>
    <n v="28.174999239723199"/>
    <s v="OK"/>
    <s v="NON-ZERO"/>
    <n v="248.466283298419"/>
    <n v="0.98746072295349607"/>
    <x v="1"/>
    <n v="-3.1155875629939942"/>
    <x v="1"/>
    <n v="0"/>
  </r>
  <r>
    <x v="3"/>
    <d v="2024-01-08T08:00:00"/>
    <n v="450.20413324424499"/>
    <n v="433.97262620907998"/>
    <n v="433.97262620907998"/>
    <n v="30.77687054463"/>
    <s v="OK"/>
    <s v="NON-ZERO"/>
    <n v="479.99999999999898"/>
    <n v="0.90410963793558519"/>
    <x v="1"/>
    <n v="-46.027373790919"/>
    <x v="1"/>
    <n v="0"/>
  </r>
  <r>
    <x v="3"/>
    <d v="2024-01-08T09:00:00"/>
    <n v="600.35023336139204"/>
    <n v="578.70540978736699"/>
    <n v="578.70540978736699"/>
    <n v="43.7447261309485"/>
    <s v="OK"/>
    <s v="NON-ZERO"/>
    <n v="678.82250993908497"/>
    <n v="0.85251358243747377"/>
    <x v="1"/>
    <n v="-100.11710015171798"/>
    <x v="1"/>
    <n v="0"/>
  </r>
  <r>
    <x v="3"/>
    <d v="2024-01-08T10:00:00"/>
    <n v="779.20022771512595"/>
    <n v="751.10720714061597"/>
    <n v="751.10720714061597"/>
    <n v="46.930308428236302"/>
    <s v="OK"/>
    <s v="NON-ZERO"/>
    <n v="831.38438763306101"/>
    <n v="0.90344155881854726"/>
    <x v="1"/>
    <n v="-80.277180492445041"/>
    <x v="1"/>
    <n v="0"/>
  </r>
  <r>
    <x v="3"/>
    <d v="2024-01-08T11:00:00"/>
    <n v="1012.35903291638"/>
    <n v="975.85978390575804"/>
    <n v="975.85978390575804"/>
    <n v="88.342573273600294"/>
    <s v="OK"/>
    <s v="NON-ZERO"/>
    <n v="927.28879323750505"/>
    <n v="1.0523795726018361"/>
    <x v="1"/>
    <n v="48.570990668252989"/>
    <x v="0"/>
    <n v="0"/>
  </r>
  <r>
    <x v="3"/>
    <d v="2024-01-08T12:00:00"/>
    <n v="898.39045457007705"/>
    <n v="866.00019000587304"/>
    <n v="866.00019000587304"/>
    <n v="74.315368460627695"/>
    <s v="OK"/>
    <s v="NON-ZERO"/>
    <n v="960"/>
    <n v="0.90208353125611773"/>
    <x v="1"/>
    <n v="-93.999809994126963"/>
    <x v="1"/>
    <n v="0"/>
  </r>
  <r>
    <x v="3"/>
    <d v="2024-01-08T13:00:00"/>
    <n v="892.25322490743599"/>
    <n v="860.08422993871"/>
    <n v="860.08422993871"/>
    <n v="88.119391600779906"/>
    <s v="OK"/>
    <s v="NON-ZERO"/>
    <n v="927.28879323750505"/>
    <n v="0.92752574625197481"/>
    <x v="1"/>
    <n v="-67.204563298795051"/>
    <x v="1"/>
    <n v="0"/>
  </r>
  <r>
    <x v="3"/>
    <d v="2024-01-08T14:00:00"/>
    <n v="795.65171991867601"/>
    <n v="766.96556282736697"/>
    <n v="766.96556282736697"/>
    <n v="36.762073569187997"/>
    <s v="OK"/>
    <s v="NON-ZERO"/>
    <n v="831.38438763306101"/>
    <n v="0.92251619616156921"/>
    <x v="1"/>
    <n v="-64.418824805694044"/>
    <x v="1"/>
    <n v="0"/>
  </r>
  <r>
    <x v="3"/>
    <d v="2024-01-08T15:00:00"/>
    <n v="634.71474114019804"/>
    <n v="611.83095126492594"/>
    <n v="611.83095126492594"/>
    <n v="61.463134698857601"/>
    <s v="OK"/>
    <s v="NON-ZERO"/>
    <n v="678.82250993908497"/>
    <n v="0.90131211370676168"/>
    <x v="1"/>
    <n v="-66.991558674159023"/>
    <x v="1"/>
    <n v="0"/>
  </r>
  <r>
    <x v="3"/>
    <d v="2024-01-08T16:00:00"/>
    <n v="439.39482794813301"/>
    <n v="423.553035937782"/>
    <n v="423.553035937782"/>
    <n v="85.434914244390399"/>
    <s v="OK"/>
    <s v="NON-ZERO"/>
    <n v="479.99999999999898"/>
    <n v="0.88240215820371437"/>
    <x v="1"/>
    <n v="-56.446964062216978"/>
    <x v="1"/>
    <n v="0"/>
  </r>
  <r>
    <x v="3"/>
    <d v="2024-01-08T17:00:00"/>
    <n v="210.267276204192"/>
    <n v="202.686371185887"/>
    <n v="202.686371185887"/>
    <n v="26.675238348700901"/>
    <s v="OK"/>
    <s v="NON-ZERO"/>
    <n v="248.46628329842"/>
    <n v="0.81575000235525275"/>
    <x v="0"/>
    <n v="-45.779912112532998"/>
    <x v="1"/>
    <n v="-2.2889956056266501"/>
  </r>
  <r>
    <x v="3"/>
    <d v="2024-01-08T18:00:00"/>
    <n v="1.04446010140341E-13"/>
    <n v="1.00680349136362E-13"/>
    <n v="1.00680349136362E-13"/>
    <n v="51.278654624067499"/>
    <s v="OK"/>
    <s v="NON-ZERO"/>
    <n v="1.1756609271814501E-13"/>
    <n v="0.85637233328605056"/>
    <x v="1"/>
    <n v="-1.6885743581783006E-14"/>
    <x v="1"/>
    <n v="0"/>
  </r>
  <r>
    <x v="3"/>
    <d v="2024-01-08T19:00:00"/>
    <n v="0"/>
    <n v="0"/>
    <n v="0"/>
    <n v="29.490834403505598"/>
    <s v="OK"/>
    <s v="ZERO"/>
    <n v="0"/>
    <n v="0"/>
    <x v="0"/>
    <n v="0"/>
    <x v="0"/>
    <n v="0"/>
  </r>
  <r>
    <x v="3"/>
    <d v="2024-01-08T20:00:00"/>
    <n v="0"/>
    <n v="0"/>
    <n v="0"/>
    <n v="52.595574040043999"/>
    <s v="OK"/>
    <s v="ZERO"/>
    <n v="0"/>
    <n v="0"/>
    <x v="0"/>
    <n v="0"/>
    <x v="0"/>
    <n v="0"/>
  </r>
  <r>
    <x v="3"/>
    <d v="2024-01-08T21:00:00"/>
    <n v="0"/>
    <n v="0"/>
    <n v="0"/>
    <n v="59.074354148701701"/>
    <s v="OK"/>
    <s v="ZERO"/>
    <n v="0"/>
    <n v="0"/>
    <x v="0"/>
    <n v="0"/>
    <x v="0"/>
    <n v="0"/>
  </r>
  <r>
    <x v="3"/>
    <d v="2024-01-08T22:00:00"/>
    <n v="0"/>
    <n v="0"/>
    <n v="0"/>
    <n v="81.583289580613695"/>
    <s v="OK"/>
    <s v="ZERO"/>
    <n v="0"/>
    <n v="0"/>
    <x v="0"/>
    <n v="0"/>
    <x v="0"/>
    <n v="0"/>
  </r>
  <r>
    <x v="3"/>
    <d v="2024-01-08T23:00:00"/>
    <n v="0"/>
    <n v="0"/>
    <n v="0"/>
    <n v="78.963700189865904"/>
    <s v="OK"/>
    <s v="ZERO"/>
    <n v="0"/>
    <n v="0"/>
    <x v="0"/>
    <n v="0"/>
    <x v="0"/>
    <n v="0"/>
  </r>
  <r>
    <x v="3"/>
    <d v="2024-01-09T00:00:00"/>
    <n v="0"/>
    <n v="0"/>
    <n v="0"/>
    <n v="86.581513206048896"/>
    <s v="OK"/>
    <s v="ZERO"/>
    <n v="0"/>
    <n v="0"/>
    <x v="0"/>
    <n v="0"/>
    <x v="0"/>
    <n v="0"/>
  </r>
  <r>
    <x v="3"/>
    <d v="2024-01-09T01:00:00"/>
    <n v="0"/>
    <n v="0"/>
    <n v="0"/>
    <n v="20.160568950910601"/>
    <s v="OK"/>
    <s v="ZERO"/>
    <n v="0"/>
    <n v="0"/>
    <x v="0"/>
    <n v="0"/>
    <x v="0"/>
    <n v="0"/>
  </r>
  <r>
    <x v="3"/>
    <d v="2024-01-09T02:00:00"/>
    <n v="0"/>
    <n v="0"/>
    <n v="0"/>
    <n v="65.473771053089905"/>
    <s v="OK"/>
    <s v="ZERO"/>
    <n v="0"/>
    <n v="0"/>
    <x v="0"/>
    <n v="0"/>
    <x v="0"/>
    <n v="0"/>
  </r>
  <r>
    <x v="3"/>
    <d v="2024-01-09T03:00:00"/>
    <n v="0"/>
    <n v="0"/>
    <n v="0"/>
    <n v="57.742125903958801"/>
    <s v="OK"/>
    <s v="ZERO"/>
    <n v="0"/>
    <n v="0"/>
    <x v="0"/>
    <n v="0"/>
    <x v="0"/>
    <n v="0"/>
  </r>
  <r>
    <x v="3"/>
    <d v="2024-01-09T04:00:00"/>
    <n v="0"/>
    <n v="0"/>
    <n v="0"/>
    <n v="58.480206714757799"/>
    <s v="OK"/>
    <s v="ZERO"/>
    <n v="0"/>
    <n v="0"/>
    <x v="0"/>
    <n v="0"/>
    <x v="0"/>
    <n v="0"/>
  </r>
  <r>
    <x v="3"/>
    <d v="2024-01-09T05:00:00"/>
    <n v="0"/>
    <n v="0"/>
    <n v="0"/>
    <n v="79.143632383135298"/>
    <s v="OK"/>
    <s v="ZERO"/>
    <n v="0"/>
    <n v="0"/>
    <x v="0"/>
    <n v="0"/>
    <x v="0"/>
    <n v="0"/>
  </r>
  <r>
    <x v="3"/>
    <d v="2024-01-09T06:00:00"/>
    <n v="0"/>
    <n v="0"/>
    <n v="0"/>
    <n v="34.561452246391099"/>
    <s v="OK"/>
    <s v="ZERO"/>
    <n v="0"/>
    <n v="0"/>
    <x v="0"/>
    <n v="0"/>
    <x v="0"/>
    <n v="0"/>
  </r>
  <r>
    <x v="3"/>
    <d v="2024-01-09T07:00:00"/>
    <n v="250.950728281804"/>
    <n v="241.90303588894901"/>
    <n v="241.90303588894901"/>
    <n v="85.124297273777501"/>
    <s v="OK"/>
    <s v="NON-ZERO"/>
    <n v="248.466283298419"/>
    <n v="0.97358495759528374"/>
    <x v="1"/>
    <n v="-6.5632474094699944"/>
    <x v="1"/>
    <n v="0"/>
  </r>
  <r>
    <x v="3"/>
    <d v="2024-01-09T08:00:00"/>
    <n v="526.48255835057796"/>
    <n v="507.50093486307702"/>
    <n v="507.50093486307702"/>
    <n v="75.912731401457904"/>
    <s v="OK"/>
    <s v="NON-ZERO"/>
    <n v="479.99999999999898"/>
    <n v="1.0572936142980793"/>
    <x v="1"/>
    <n v="27.500934863078044"/>
    <x v="0"/>
    <n v="0"/>
  </r>
  <r>
    <x v="3"/>
    <d v="2024-01-09T09:00:00"/>
    <n v="673.26379238886602"/>
    <n v="648.99016810218404"/>
    <n v="648.99016810218404"/>
    <n v="57.697985373165103"/>
    <s v="OK"/>
    <s v="NON-ZERO"/>
    <n v="678.82250993908497"/>
    <n v="0.95605280997594211"/>
    <x v="1"/>
    <n v="-29.832341836900923"/>
    <x v="1"/>
    <n v="0"/>
  </r>
  <r>
    <x v="3"/>
    <d v="2024-01-09T10:00:00"/>
    <n v="714.34933588162505"/>
    <n v="688.59442735296898"/>
    <n v="688.59442735296898"/>
    <n v="34.674972171900599"/>
    <s v="OK"/>
    <s v="NON-ZERO"/>
    <n v="831.38438763306101"/>
    <n v="0.82825037082231856"/>
    <x v="0"/>
    <n v="-142.78996028009203"/>
    <x v="1"/>
    <n v="-7.1394980140046016"/>
  </r>
  <r>
    <x v="3"/>
    <d v="2024-01-09T11:00:00"/>
    <n v="878.82432936198495"/>
    <n v="847.13949523591896"/>
    <n v="847.13949523591896"/>
    <n v="40.1952818228905"/>
    <s v="OK"/>
    <s v="NON-ZERO"/>
    <n v="927.28879323750505"/>
    <n v="0.9135659801066337"/>
    <x v="1"/>
    <n v="-80.149298001586089"/>
    <x v="1"/>
    <n v="0"/>
  </r>
  <r>
    <x v="3"/>
    <d v="2024-01-09T12:00:00"/>
    <n v="1028.26754529503"/>
    <n v="991.19473617794495"/>
    <n v="991.19473617794495"/>
    <n v="78.890215093461805"/>
    <s v="OK"/>
    <s v="NON-ZERO"/>
    <n v="960"/>
    <n v="1.0324945168520261"/>
    <x v="1"/>
    <n v="31.194736177944947"/>
    <x v="0"/>
    <n v="0"/>
  </r>
  <r>
    <x v="3"/>
    <d v="2024-01-09T13:00:00"/>
    <n v="973.26305112042405"/>
    <n v="938.17335536954795"/>
    <n v="938.17335536954795"/>
    <n v="90.349089909462194"/>
    <s v="OK"/>
    <s v="NON-ZERO"/>
    <n v="927.28879323750505"/>
    <n v="1.0117380499057267"/>
    <x v="1"/>
    <n v="10.884562132042902"/>
    <x v="0"/>
    <n v="0"/>
  </r>
  <r>
    <x v="3"/>
    <d v="2024-01-09T14:00:00"/>
    <n v="821.31092743901104"/>
    <n v="791.69966198767497"/>
    <n v="791.69966198767497"/>
    <n v="61.947640405762002"/>
    <s v="OK"/>
    <s v="NON-ZERO"/>
    <n v="831.38438763306101"/>
    <n v="0.95226669367899985"/>
    <x v="1"/>
    <n v="-39.684725645386038"/>
    <x v="1"/>
    <n v="0"/>
  </r>
  <r>
    <x v="3"/>
    <d v="2024-01-09T15:00:00"/>
    <n v="687.22289632008597"/>
    <n v="662.44599523753902"/>
    <n v="662.44599523753902"/>
    <n v="65.076940811651696"/>
    <s v="OK"/>
    <s v="NON-ZERO"/>
    <n v="678.82250993908497"/>
    <n v="0.9758751154215326"/>
    <x v="1"/>
    <n v="-16.376514701545943"/>
    <x v="1"/>
    <n v="0"/>
  </r>
  <r>
    <x v="3"/>
    <d v="2024-01-09T16:00:00"/>
    <n v="492.94216112274398"/>
    <n v="475.16979173436101"/>
    <n v="475.16979173436101"/>
    <n v="82.899286586934295"/>
    <s v="OK"/>
    <s v="NON-ZERO"/>
    <n v="479.99999999999898"/>
    <n v="0.98993706611325427"/>
    <x v="1"/>
    <n v="-4.8302082656379639"/>
    <x v="1"/>
    <n v="0"/>
  </r>
  <r>
    <x v="3"/>
    <d v="2024-01-09T17:00:00"/>
    <n v="224.293264168441"/>
    <n v="216.20667094004199"/>
    <n v="216.20667094004199"/>
    <n v="31.456282375071201"/>
    <s v="OK"/>
    <s v="NON-ZERO"/>
    <n v="248.46628329842"/>
    <n v="0.87016503032070291"/>
    <x v="1"/>
    <n v="-32.259612358378007"/>
    <x v="1"/>
    <n v="0"/>
  </r>
  <r>
    <x v="3"/>
    <d v="2024-01-09T18:00:00"/>
    <n v="1.13573152356745E-13"/>
    <n v="1.09478424464755E-13"/>
    <n v="1.09478424464755E-13"/>
    <n v="47.239189706813598"/>
    <s v="OK"/>
    <s v="NON-ZERO"/>
    <n v="1.1756609271814501E-13"/>
    <n v="0.93120747601283704"/>
    <x v="1"/>
    <n v="-8.0876682533900085E-15"/>
    <x v="1"/>
    <n v="0"/>
  </r>
  <r>
    <x v="3"/>
    <d v="2024-01-09T19:00:00"/>
    <n v="0"/>
    <n v="0"/>
    <n v="0"/>
    <n v="54.195963932649597"/>
    <s v="OK"/>
    <s v="ZERO"/>
    <n v="0"/>
    <n v="0"/>
    <x v="0"/>
    <n v="0"/>
    <x v="0"/>
    <n v="0"/>
  </r>
  <r>
    <x v="3"/>
    <d v="2024-01-09T20:00:00"/>
    <n v="0"/>
    <n v="0"/>
    <n v="0"/>
    <n v="92.9642453532757"/>
    <s v="OK"/>
    <s v="ZERO"/>
    <n v="0"/>
    <n v="0"/>
    <x v="0"/>
    <n v="0"/>
    <x v="0"/>
    <n v="0"/>
  </r>
  <r>
    <x v="3"/>
    <d v="2024-01-09T21:00:00"/>
    <n v="0"/>
    <n v="0"/>
    <n v="0"/>
    <n v="49.569367662180802"/>
    <s v="OK"/>
    <s v="ZERO"/>
    <n v="0"/>
    <n v="0"/>
    <x v="0"/>
    <n v="0"/>
    <x v="0"/>
    <n v="0"/>
  </r>
  <r>
    <x v="3"/>
    <d v="2024-01-09T22:00:00"/>
    <n v="0"/>
    <n v="0"/>
    <n v="0"/>
    <n v="91.436847532574305"/>
    <s v="OK"/>
    <s v="ZERO"/>
    <n v="0"/>
    <n v="0"/>
    <x v="0"/>
    <n v="0"/>
    <x v="0"/>
    <n v="0"/>
  </r>
  <r>
    <x v="3"/>
    <d v="2024-01-09T23:00:00"/>
    <n v="0"/>
    <n v="0"/>
    <n v="0"/>
    <n v="81.081439791100607"/>
    <s v="OK"/>
    <s v="ZERO"/>
    <n v="0"/>
    <n v="0"/>
    <x v="0"/>
    <n v="0"/>
    <x v="0"/>
    <n v="0"/>
  </r>
  <r>
    <x v="3"/>
    <d v="2024-01-10T00:00:00"/>
    <n v="0"/>
    <n v="0"/>
    <n v="0"/>
    <n v="59.29948755985"/>
    <s v="OK"/>
    <s v="ZERO"/>
    <n v="0"/>
    <n v="0"/>
    <x v="0"/>
    <n v="0"/>
    <x v="0"/>
    <n v="0"/>
  </r>
  <r>
    <x v="3"/>
    <d v="2024-01-10T01:00:00"/>
    <n v="0"/>
    <n v="0"/>
    <n v="0"/>
    <n v="93.052341872904705"/>
    <s v="OK"/>
    <s v="ZERO"/>
    <n v="0"/>
    <n v="0"/>
    <x v="0"/>
    <n v="0"/>
    <x v="0"/>
    <n v="0"/>
  </r>
  <r>
    <x v="3"/>
    <d v="2024-01-10T02:00:00"/>
    <n v="0"/>
    <n v="0"/>
    <n v="0"/>
    <n v="59.302825240068998"/>
    <s v="OK"/>
    <s v="ZERO"/>
    <n v="0"/>
    <n v="0"/>
    <x v="0"/>
    <n v="0"/>
    <x v="0"/>
    <n v="0"/>
  </r>
  <r>
    <x v="3"/>
    <d v="2024-01-10T03:00:00"/>
    <n v="0"/>
    <n v="0"/>
    <n v="0"/>
    <n v="80.444611506151801"/>
    <s v="OK"/>
    <s v="ZERO"/>
    <n v="0"/>
    <n v="0"/>
    <x v="0"/>
    <n v="0"/>
    <x v="0"/>
    <n v="0"/>
  </r>
  <r>
    <x v="3"/>
    <d v="2024-01-10T04:00:00"/>
    <n v="0"/>
    <n v="0"/>
    <n v="0"/>
    <n v="23.751411567663901"/>
    <s v="OK"/>
    <s v="ZERO"/>
    <n v="0"/>
    <n v="0"/>
    <x v="0"/>
    <n v="0"/>
    <x v="0"/>
    <n v="0"/>
  </r>
  <r>
    <x v="3"/>
    <d v="2024-01-10T05:00:00"/>
    <n v="0"/>
    <n v="0"/>
    <n v="0"/>
    <n v="38.86347797573"/>
    <s v="OK"/>
    <s v="ZERO"/>
    <n v="0"/>
    <n v="0"/>
    <x v="0"/>
    <n v="0"/>
    <x v="0"/>
    <n v="0"/>
  </r>
  <r>
    <x v="3"/>
    <d v="2024-01-10T06:00:00"/>
    <n v="0"/>
    <n v="0"/>
    <n v="0"/>
    <n v="83.6564525423926"/>
    <s v="OK"/>
    <s v="ZERO"/>
    <n v="0"/>
    <n v="0"/>
    <x v="0"/>
    <n v="0"/>
    <x v="0"/>
    <n v="0"/>
  </r>
  <r>
    <x v="3"/>
    <d v="2024-01-10T07:00:00"/>
    <n v="0"/>
    <n v="0"/>
    <n v="0"/>
    <n v="67.071490548702897"/>
    <s v="OK"/>
    <s v="ZERO"/>
    <n v="248.466283298419"/>
    <n v="0"/>
    <x v="0"/>
    <n v="-248.466283298419"/>
    <x v="1"/>
    <n v="-12.423314164920949"/>
  </r>
  <r>
    <x v="3"/>
    <d v="2024-01-10T08:00:00"/>
    <n v="0"/>
    <n v="0"/>
    <n v="0"/>
    <n v="30.329622613785499"/>
    <s v="OK"/>
    <s v="ZERO"/>
    <n v="479.99999999999898"/>
    <n v="0"/>
    <x v="0"/>
    <n v="-479.99999999999898"/>
    <x v="1"/>
    <n v="-23.99999999999995"/>
  </r>
  <r>
    <x v="3"/>
    <d v="2024-01-10T09:00:00"/>
    <n v="607.08472668965703"/>
    <n v="585.19709997864595"/>
    <n v="585.19709997864595"/>
    <n v="59.647237815246399"/>
    <s v="OK"/>
    <s v="NON-ZERO"/>
    <n v="678.82250993908497"/>
    <n v="0.86207674526167288"/>
    <x v="1"/>
    <n v="-93.625409960439015"/>
    <x v="1"/>
    <n v="0"/>
  </r>
  <r>
    <x v="3"/>
    <d v="2024-01-10T10:00:00"/>
    <n v="693.81279778959595"/>
    <n v="668.79830663586904"/>
    <n v="668.79830663586904"/>
    <n v="21.9760499145438"/>
    <s v="OK"/>
    <s v="NON-ZERO"/>
    <n v="831.38438763306101"/>
    <n v="0.80443933827038527"/>
    <x v="0"/>
    <n v="-162.58608099719197"/>
    <x v="1"/>
    <n v="-8.1293040498595985"/>
  </r>
  <r>
    <x v="3"/>
    <d v="2024-01-10T11:00:00"/>
    <n v="928.70338427507295"/>
    <n v="895.22022763051996"/>
    <n v="895.22022763051996"/>
    <n v="79.722513947574697"/>
    <s v="OK"/>
    <s v="NON-ZERO"/>
    <n v="927.28879323750505"/>
    <n v="0.9654168519658024"/>
    <x v="1"/>
    <n v="-32.068565606985089"/>
    <x v="1"/>
    <n v="0"/>
  </r>
  <r>
    <x v="3"/>
    <d v="2024-01-10T12:00:00"/>
    <n v="809.82491445795597"/>
    <n v="780.62776182065397"/>
    <n v="780.62776182065397"/>
    <n v="40.512714937227997"/>
    <s v="OK"/>
    <s v="NON-ZERO"/>
    <n v="960"/>
    <n v="0.8131539185631812"/>
    <x v="0"/>
    <n v="-179.37223817934603"/>
    <x v="1"/>
    <n v="-8.9686119089673006"/>
  </r>
  <r>
    <x v="3"/>
    <d v="2024-01-10T13:00:00"/>
    <n v="737.578438823797"/>
    <n v="710.98603610087605"/>
    <n v="710.98603610087605"/>
    <n v="44.5233217432054"/>
    <s v="OK"/>
    <s v="NON-ZERO"/>
    <n v="927.28879323750505"/>
    <n v="0.76673636227023001"/>
    <x v="0"/>
    <n v="-216.302757136629"/>
    <x v="1"/>
    <n v="-10.81513785683145"/>
  </r>
  <r>
    <x v="3"/>
    <d v="2024-01-10T14:00:00"/>
    <n v="906.21524985468602"/>
    <n v="873.54287277677497"/>
    <n v="873.54287277677497"/>
    <n v="60.815000158521997"/>
    <s v="OK"/>
    <s v="NON-ZERO"/>
    <n v="831.38438763306101"/>
    <n v="1.0507087765548961"/>
    <x v="1"/>
    <n v="42.15848514371396"/>
    <x v="0"/>
    <n v="0"/>
  </r>
  <r>
    <x v="3"/>
    <d v="2024-01-10T15:00:00"/>
    <n v="607.68666902133702"/>
    <n v="585.77734008577897"/>
    <n v="585.77734008577897"/>
    <n v="60.064241885646403"/>
    <s v="OK"/>
    <s v="NON-ZERO"/>
    <n v="678.82250993908497"/>
    <n v="0.86293151966681902"/>
    <x v="1"/>
    <n v="-93.045169853305993"/>
    <x v="1"/>
    <n v="0"/>
  </r>
  <r>
    <x v="3"/>
    <d v="2024-01-10T16:00:00"/>
    <n v="482.29885233702203"/>
    <n v="464.910213191602"/>
    <n v="464.910213191602"/>
    <n v="77.318421563928496"/>
    <s v="OK"/>
    <s v="NON-ZERO"/>
    <n v="479.99999999999898"/>
    <n v="0.96856294414917288"/>
    <x v="1"/>
    <n v="-15.08978680839698"/>
    <x v="1"/>
    <n v="0"/>
  </r>
  <r>
    <x v="3"/>
    <d v="2024-01-10T17:00:00"/>
    <n v="242.562566751242"/>
    <n v="233.81729828753799"/>
    <n v="233.81729828753799"/>
    <n v="86.908401176831106"/>
    <s v="OK"/>
    <s v="NON-ZERO"/>
    <n v="248.46628329842"/>
    <n v="0.94104236270444841"/>
    <x v="1"/>
    <n v="-14.648985010882001"/>
    <x v="1"/>
    <n v="0"/>
  </r>
  <r>
    <x v="3"/>
    <d v="2024-01-10T18:00:00"/>
    <n v="1.12744892387952E-13"/>
    <n v="1.08680026299792E-13"/>
    <n v="1.08680026299792E-13"/>
    <n v="26.773892022430399"/>
    <s v="OK"/>
    <s v="NON-ZERO"/>
    <n v="1.1756609271814501E-13"/>
    <n v="0.92441641792368978"/>
    <x v="1"/>
    <n v="-8.8860664183530086E-15"/>
    <x v="1"/>
    <n v="0"/>
  </r>
  <r>
    <x v="3"/>
    <d v="2024-01-10T19:00:00"/>
    <n v="0"/>
    <n v="0"/>
    <n v="0"/>
    <n v="27.841584361326799"/>
    <s v="OK"/>
    <s v="ZERO"/>
    <n v="0"/>
    <n v="0"/>
    <x v="0"/>
    <n v="0"/>
    <x v="0"/>
    <n v="0"/>
  </r>
  <r>
    <x v="3"/>
    <d v="2024-01-10T20:00:00"/>
    <n v="0"/>
    <n v="0"/>
    <n v="0"/>
    <n v="50.710305641658202"/>
    <s v="OK"/>
    <s v="ZERO"/>
    <n v="0"/>
    <n v="0"/>
    <x v="0"/>
    <n v="0"/>
    <x v="0"/>
    <n v="0"/>
  </r>
  <r>
    <x v="3"/>
    <d v="2024-01-10T21:00:00"/>
    <n v="0"/>
    <n v="0"/>
    <n v="0"/>
    <n v="42.2376178267954"/>
    <s v="OK"/>
    <s v="ZERO"/>
    <n v="0"/>
    <n v="0"/>
    <x v="0"/>
    <n v="0"/>
    <x v="0"/>
    <n v="0"/>
  </r>
  <r>
    <x v="3"/>
    <d v="2024-01-10T22:00:00"/>
    <n v="0"/>
    <n v="0"/>
    <n v="0"/>
    <n v="63.753967424581099"/>
    <s v="OK"/>
    <s v="ZERO"/>
    <n v="0"/>
    <n v="0"/>
    <x v="0"/>
    <n v="0"/>
    <x v="0"/>
    <n v="0"/>
  </r>
  <r>
    <x v="3"/>
    <d v="2024-01-10T23:00:00"/>
    <n v="0"/>
    <n v="0"/>
    <n v="0"/>
    <n v="27.861698070557399"/>
    <s v="OK"/>
    <s v="ZERO"/>
    <n v="0"/>
    <n v="0"/>
    <x v="0"/>
    <n v="0"/>
    <x v="0"/>
    <n v="0"/>
  </r>
  <r>
    <x v="3"/>
    <d v="2024-01-11T00:00:00"/>
    <n v="0"/>
    <n v="0"/>
    <n v="0"/>
    <n v="91.868837917437702"/>
    <s v="OK"/>
    <s v="ZERO"/>
    <n v="0"/>
    <n v="0"/>
    <x v="0"/>
    <n v="0"/>
    <x v="0"/>
    <n v="0"/>
  </r>
  <r>
    <x v="3"/>
    <d v="2024-01-11T01:00:00"/>
    <n v="0"/>
    <n v="0"/>
    <n v="0"/>
    <n v="23.493495656490602"/>
    <s v="OK"/>
    <s v="ZERO"/>
    <n v="0"/>
    <n v="0"/>
    <x v="0"/>
    <n v="0"/>
    <x v="0"/>
    <n v="0"/>
  </r>
  <r>
    <x v="3"/>
    <d v="2024-01-11T02:00:00"/>
    <n v="0"/>
    <n v="0"/>
    <n v="0"/>
    <n v="64.272430381669906"/>
    <s v="OK"/>
    <s v="ZERO"/>
    <n v="0"/>
    <n v="0"/>
    <x v="0"/>
    <n v="0"/>
    <x v="0"/>
    <n v="0"/>
  </r>
  <r>
    <x v="3"/>
    <d v="2024-01-11T03:00:00"/>
    <n v="0"/>
    <n v="0"/>
    <n v="0"/>
    <n v="42.2600153788879"/>
    <s v="OK"/>
    <s v="ZERO"/>
    <n v="0"/>
    <n v="0"/>
    <x v="0"/>
    <n v="0"/>
    <x v="0"/>
    <n v="0"/>
  </r>
  <r>
    <x v="3"/>
    <d v="2024-01-11T04:00:00"/>
    <n v="0"/>
    <n v="0"/>
    <n v="0"/>
    <n v="87.637873733125303"/>
    <s v="OK"/>
    <s v="ZERO"/>
    <n v="0"/>
    <n v="0"/>
    <x v="0"/>
    <n v="0"/>
    <x v="0"/>
    <n v="0"/>
  </r>
  <r>
    <x v="3"/>
    <d v="2024-01-11T05:00:00"/>
    <n v="0"/>
    <n v="0"/>
    <n v="0"/>
    <n v="50.737885858219499"/>
    <s v="OK"/>
    <s v="ZERO"/>
    <n v="0"/>
    <n v="0"/>
    <x v="0"/>
    <n v="0"/>
    <x v="0"/>
    <n v="0"/>
  </r>
  <r>
    <x v="3"/>
    <d v="2024-01-11T06:00:00"/>
    <n v="0"/>
    <n v="0"/>
    <n v="0"/>
    <n v="44.130277239370798"/>
    <s v="OK"/>
    <s v="ZERO"/>
    <n v="0"/>
    <n v="0"/>
    <x v="0"/>
    <n v="0"/>
    <x v="0"/>
    <n v="0"/>
  </r>
  <r>
    <x v="3"/>
    <d v="2024-01-11T07:00:00"/>
    <n v="240.56804511624199"/>
    <n v="231.89468645868899"/>
    <n v="231.89468645868899"/>
    <n v="80.200685939471498"/>
    <s v="OK"/>
    <s v="NON-ZERO"/>
    <n v="248.466283298419"/>
    <n v="0.93330444429022674"/>
    <x v="1"/>
    <n v="-16.571596839730006"/>
    <x v="1"/>
    <n v="0"/>
  </r>
  <r>
    <x v="3"/>
    <d v="2024-01-11T08:00:00"/>
    <n v="468.645524257359"/>
    <n v="451.74913756902299"/>
    <n v="451.74913756902299"/>
    <n v="39.051586182167199"/>
    <s v="OK"/>
    <s v="NON-ZERO"/>
    <n v="479.99999999999898"/>
    <n v="0.94114403660213319"/>
    <x v="1"/>
    <n v="-28.250862430975985"/>
    <x v="1"/>
    <n v="0"/>
  </r>
  <r>
    <x v="3"/>
    <d v="2024-01-11T09:00:00"/>
    <n v="621.58929007730796"/>
    <n v="599.17872076030096"/>
    <n v="599.17872076030096"/>
    <n v="61.080493210185203"/>
    <s v="OK"/>
    <s v="NON-ZERO"/>
    <n v="678.82250993908497"/>
    <n v="0.88267361790060417"/>
    <x v="1"/>
    <n v="-79.643789178784004"/>
    <x v="1"/>
    <n v="0"/>
  </r>
  <r>
    <x v="3"/>
    <d v="2024-01-11T10:00:00"/>
    <n v="743.95474728368902"/>
    <n v="717.13245529946903"/>
    <n v="717.13245529946903"/>
    <n v="35.628775925661898"/>
    <s v="OK"/>
    <s v="NON-ZERO"/>
    <n v="831.38438763306101"/>
    <n v="0.86257628356617866"/>
    <x v="1"/>
    <n v="-114.25193233359198"/>
    <x v="1"/>
    <n v="0"/>
  </r>
  <r>
    <x v="3"/>
    <d v="2024-01-11T11:00:00"/>
    <n v="894.62951031279295"/>
    <n v="862.37484155649702"/>
    <n v="862.37484155649702"/>
    <n v="50.281745785875898"/>
    <s v="OK"/>
    <s v="NON-ZERO"/>
    <n v="927.28879323750505"/>
    <n v="0.92999597088370967"/>
    <x v="1"/>
    <n v="-64.913951681008029"/>
    <x v="1"/>
    <n v="0"/>
  </r>
  <r>
    <x v="3"/>
    <d v="2024-01-11T12:00:00"/>
    <n v="951.59424888602996"/>
    <n v="917.28579277721701"/>
    <n v="917.28579277721701"/>
    <n v="85.156792290243999"/>
    <s v="OK"/>
    <s v="NON-ZERO"/>
    <n v="960"/>
    <n v="0.95550603414293434"/>
    <x v="1"/>
    <n v="-42.714207222782989"/>
    <x v="1"/>
    <n v="0"/>
  </r>
  <r>
    <x v="3"/>
    <d v="2024-01-11T13:00:00"/>
    <n v="805.78223166608802"/>
    <n v="776.73083254220705"/>
    <n v="776.73083254220705"/>
    <n v="30.504841951920199"/>
    <s v="OK"/>
    <s v="NON-ZERO"/>
    <n v="927.28879323750505"/>
    <n v="0.83763638491775039"/>
    <x v="0"/>
    <n v="-150.55796069529799"/>
    <x v="1"/>
    <n v="-7.5278980347648998"/>
  </r>
  <r>
    <x v="3"/>
    <d v="2024-01-11T14:00:00"/>
    <n v="722.00411535289402"/>
    <n v="695.97322400296798"/>
    <n v="695.97322400296798"/>
    <n v="85.572242016662997"/>
    <s v="OK"/>
    <s v="NON-ZERO"/>
    <n v="831.38438763306101"/>
    <n v="0.83712568380601105"/>
    <x v="0"/>
    <n v="-135.41116363009303"/>
    <x v="1"/>
    <n v="-6.7705581815046516"/>
  </r>
  <r>
    <x v="3"/>
    <d v="2024-01-11T15:00:00"/>
    <n v="568.82352477811298"/>
    <n v="548.31535445619795"/>
    <n v="548.31535445619795"/>
    <n v="46.823041219168303"/>
    <s v="OK"/>
    <s v="NON-ZERO"/>
    <n v="678.82250993908497"/>
    <n v="0.80774480284309036"/>
    <x v="0"/>
    <n v="-130.50715548288701"/>
    <x v="1"/>
    <n v="-6.5253577741443509"/>
  </r>
  <r>
    <x v="3"/>
    <d v="2024-01-11T16:00:00"/>
    <n v="483.790640027248"/>
    <n v="466.34821647471"/>
    <n v="466.34821647471"/>
    <n v="69.020221440141995"/>
    <s v="OK"/>
    <s v="NON-ZERO"/>
    <n v="479.99999999999898"/>
    <n v="0.97155878432231457"/>
    <x v="1"/>
    <n v="-13.651783525288977"/>
    <x v="1"/>
    <n v="0"/>
  </r>
  <r>
    <x v="3"/>
    <d v="2024-01-11T17:00:00"/>
    <n v="209.81461829049101"/>
    <n v="202.25003324698801"/>
    <n v="202.25003324698801"/>
    <n v="35.624521014502903"/>
    <s v="OK"/>
    <s v="NON-ZERO"/>
    <n v="248.46628329842"/>
    <n v="0.81399387700453485"/>
    <x v="0"/>
    <n v="-46.216250051431985"/>
    <x v="1"/>
    <n v="-2.3108125025715989"/>
  </r>
  <r>
    <x v="3"/>
    <d v="2024-01-11T18:00:00"/>
    <n v="1.33526952614442E-13"/>
    <n v="1.2871281717963999E-13"/>
    <n v="1.2871281717963999E-13"/>
    <n v="47.623278656504802"/>
    <s v="OK"/>
    <s v="NON-ZERO"/>
    <n v="1.1756609271814501E-13"/>
    <n v="1.0948124089504134"/>
    <x v="1"/>
    <n v="1.1146724461494981E-14"/>
    <x v="0"/>
    <n v="0"/>
  </r>
  <r>
    <x v="3"/>
    <d v="2024-01-11T19:00:00"/>
    <n v="0"/>
    <n v="0"/>
    <n v="0"/>
    <n v="53.2958720245039"/>
    <s v="OK"/>
    <s v="ZERO"/>
    <n v="0"/>
    <n v="0"/>
    <x v="0"/>
    <n v="0"/>
    <x v="0"/>
    <n v="0"/>
  </r>
  <r>
    <x v="3"/>
    <d v="2024-01-11T20:00:00"/>
    <n v="0"/>
    <n v="0"/>
    <n v="0"/>
    <n v="87.072716998898599"/>
    <s v="OK"/>
    <s v="ZERO"/>
    <n v="0"/>
    <n v="0"/>
    <x v="0"/>
    <n v="0"/>
    <x v="0"/>
    <n v="0"/>
  </r>
  <r>
    <x v="3"/>
    <d v="2024-01-11T21:00:00"/>
    <n v="0"/>
    <n v="0"/>
    <n v="0"/>
    <n v="36.084367199312098"/>
    <s v="OK"/>
    <s v="ZERO"/>
    <n v="0"/>
    <n v="0"/>
    <x v="0"/>
    <n v="0"/>
    <x v="0"/>
    <n v="0"/>
  </r>
  <r>
    <x v="3"/>
    <d v="2024-01-11T22:00:00"/>
    <n v="0"/>
    <n v="0"/>
    <n v="0"/>
    <n v="62.685617784070097"/>
    <s v="OK"/>
    <s v="ZERO"/>
    <n v="0"/>
    <n v="0"/>
    <x v="0"/>
    <n v="0"/>
    <x v="0"/>
    <n v="0"/>
  </r>
  <r>
    <x v="3"/>
    <d v="2024-01-11T23:00:00"/>
    <n v="0"/>
    <n v="0"/>
    <n v="0"/>
    <n v="52.408788171192001"/>
    <s v="OK"/>
    <s v="ZERO"/>
    <n v="0"/>
    <n v="0"/>
    <x v="0"/>
    <n v="0"/>
    <x v="0"/>
    <n v="0"/>
  </r>
  <r>
    <x v="3"/>
    <d v="2024-01-12T00:00:00"/>
    <n v="0"/>
    <n v="0"/>
    <n v="0"/>
    <n v="23.597566893460598"/>
    <s v="OK"/>
    <s v="ZERO"/>
    <n v="0"/>
    <n v="0"/>
    <x v="0"/>
    <n v="0"/>
    <x v="0"/>
    <n v="0"/>
  </r>
  <r>
    <x v="3"/>
    <d v="2024-01-12T01:00:00"/>
    <n v="0"/>
    <n v="0"/>
    <n v="0"/>
    <n v="64.170773638051102"/>
    <s v="OK"/>
    <s v="ZERO"/>
    <n v="0"/>
    <n v="0"/>
    <x v="0"/>
    <n v="0"/>
    <x v="0"/>
    <n v="0"/>
  </r>
  <r>
    <x v="3"/>
    <d v="2024-01-12T02:00:00"/>
    <n v="0"/>
    <n v="0"/>
    <n v="0"/>
    <n v="36.1266927017138"/>
    <s v="OK"/>
    <s v="ZERO"/>
    <n v="0"/>
    <n v="0"/>
    <x v="0"/>
    <n v="0"/>
    <x v="0"/>
    <n v="0"/>
  </r>
  <r>
    <x v="3"/>
    <d v="2024-01-12T03:00:00"/>
    <n v="0"/>
    <n v="0"/>
    <n v="0"/>
    <n v="21.0486284728523"/>
    <s v="OK"/>
    <s v="ZERO"/>
    <n v="0"/>
    <n v="0"/>
    <x v="0"/>
    <n v="0"/>
    <x v="0"/>
    <n v="0"/>
  </r>
  <r>
    <x v="3"/>
    <d v="2024-01-12T04:00:00"/>
    <n v="0"/>
    <n v="0"/>
    <n v="0"/>
    <n v="41.395849770565903"/>
    <s v="OK"/>
    <s v="ZERO"/>
    <n v="0"/>
    <n v="0"/>
    <x v="0"/>
    <n v="0"/>
    <x v="0"/>
    <n v="0"/>
  </r>
  <r>
    <x v="3"/>
    <d v="2024-01-12T05:00:00"/>
    <n v="0"/>
    <n v="0"/>
    <n v="0"/>
    <n v="38.551352886330697"/>
    <s v="OK"/>
    <s v="ZERO"/>
    <n v="0"/>
    <n v="0"/>
    <x v="0"/>
    <n v="0"/>
    <x v="0"/>
    <n v="0"/>
  </r>
  <r>
    <x v="3"/>
    <d v="2024-01-12T06:00:00"/>
    <n v="0"/>
    <n v="0"/>
    <n v="0"/>
    <n v="25.340503815592399"/>
    <s v="OK"/>
    <s v="ZERO"/>
    <n v="0"/>
    <n v="0"/>
    <x v="0"/>
    <n v="0"/>
    <x v="0"/>
    <n v="0"/>
  </r>
  <r>
    <x v="3"/>
    <d v="2024-01-12T07:00:00"/>
    <n v="264.92217536184501"/>
    <n v="255.37076115742701"/>
    <n v="255.37076115742701"/>
    <n v="74.405909239472706"/>
    <s v="OK"/>
    <s v="NON-ZERO"/>
    <n v="248.466283298419"/>
    <n v="1.0277883895044038"/>
    <x v="1"/>
    <n v="6.9044778590080114"/>
    <x v="0"/>
    <n v="0"/>
  </r>
  <r>
    <x v="3"/>
    <d v="2024-01-12T08:00:00"/>
    <n v="463.20481206185798"/>
    <n v="446.504582964615"/>
    <n v="446.504582964615"/>
    <n v="55.841799570931201"/>
    <s v="OK"/>
    <s v="NON-ZERO"/>
    <n v="479.99999999999898"/>
    <n v="0.93021788117628323"/>
    <x v="1"/>
    <n v="-33.49541703538398"/>
    <x v="1"/>
    <n v="0"/>
  </r>
  <r>
    <x v="3"/>
    <d v="2024-01-12T09:00:00"/>
    <n v="636.70900312792799"/>
    <n v="613.75331280774003"/>
    <n v="613.75331280774003"/>
    <n v="33.827617851477001"/>
    <s v="OK"/>
    <s v="NON-ZERO"/>
    <n v="678.82250993908497"/>
    <n v="0.90414401971262859"/>
    <x v="1"/>
    <n v="-65.069197131344936"/>
    <x v="1"/>
    <n v="0"/>
  </r>
  <r>
    <x v="3"/>
    <d v="2024-01-12T10:00:00"/>
    <n v="718.30419681630599"/>
    <n v="692.40670107366395"/>
    <n v="692.40670107366395"/>
    <n v="64.190879258946495"/>
    <s v="OK"/>
    <s v="NON-ZERO"/>
    <n v="831.38438763306101"/>
    <n v="0.83283582344495977"/>
    <x v="0"/>
    <n v="-138.97768655939706"/>
    <x v="1"/>
    <n v="-6.9488843279698527"/>
  </r>
  <r>
    <x v="3"/>
    <d v="2024-01-12T11:00:00"/>
    <n v="867.34093603937595"/>
    <n v="836.07012027906796"/>
    <n v="836.07012027906796"/>
    <n v="69.663941428387503"/>
    <s v="OK"/>
    <s v="NON-ZERO"/>
    <n v="927.28879323750505"/>
    <n v="0.90162862570574231"/>
    <x v="1"/>
    <n v="-91.218672958437082"/>
    <x v="1"/>
    <n v="0"/>
  </r>
  <r>
    <x v="3"/>
    <d v="2024-01-12T12:00:00"/>
    <n v="921.61633395361605"/>
    <n v="888.38869141623502"/>
    <n v="888.38869141623502"/>
    <n v="77.155374007979404"/>
    <s v="OK"/>
    <s v="NON-ZERO"/>
    <n v="960"/>
    <n v="0.92540488689191147"/>
    <x v="1"/>
    <n v="-71.611308583764981"/>
    <x v="1"/>
    <n v="0"/>
  </r>
  <r>
    <x v="3"/>
    <d v="2024-01-12T13:00:00"/>
    <n v="816.12493600127505"/>
    <n v="786.70064452527595"/>
    <n v="786.70064452527595"/>
    <n v="41.384988138553098"/>
    <s v="OK"/>
    <s v="NON-ZERO"/>
    <n v="927.28879323750505"/>
    <n v="0.84838795665654021"/>
    <x v="0"/>
    <n v="-140.5881487122291"/>
    <x v="1"/>
    <n v="-7.0294074356114553"/>
  </r>
  <r>
    <x v="3"/>
    <d v="2024-01-12T14:00:00"/>
    <n v="835.12887268372299"/>
    <n v="805.0194197239"/>
    <n v="805.0194197239"/>
    <n v="86.586358622374902"/>
    <s v="OK"/>
    <s v="NON-ZERO"/>
    <n v="831.38438763306101"/>
    <n v="0.96828787225097923"/>
    <x v="1"/>
    <n v="-26.36496790916101"/>
    <x v="1"/>
    <n v="0"/>
  </r>
  <r>
    <x v="3"/>
    <d v="2024-01-12T15:00:00"/>
    <n v="591.55454853742299"/>
    <n v="570.22684159906805"/>
    <n v="570.22684159906805"/>
    <n v="47.935170418408099"/>
    <s v="OK"/>
    <s v="NON-ZERO"/>
    <n v="678.82250993908497"/>
    <n v="0.84002347189435145"/>
    <x v="0"/>
    <n v="-108.59566834001691"/>
    <x v="1"/>
    <n v="-5.4297834170008459"/>
  </r>
  <r>
    <x v="3"/>
    <d v="2024-01-12T16:00:00"/>
    <n v="412.455071306234"/>
    <n v="397.58455613936297"/>
    <n v="397.58455613936297"/>
    <n v="83.9274011946532"/>
    <s v="OK"/>
    <s v="NON-ZERO"/>
    <n v="479.99999999999898"/>
    <n v="0.82830115862367459"/>
    <x v="0"/>
    <n v="-82.415443860636003"/>
    <x v="1"/>
    <n v="-4.1207721930318"/>
  </r>
  <r>
    <x v="3"/>
    <d v="2024-01-12T17:00:00"/>
    <n v="232.95360220283899"/>
    <n v="224.55477208598799"/>
    <n v="224.55477208598799"/>
    <n v="47.315166698713703"/>
    <s v="OK"/>
    <s v="NON-ZERO"/>
    <n v="248.46628329842"/>
    <n v="0.90376355739296377"/>
    <x v="1"/>
    <n v="-23.911511212432004"/>
    <x v="1"/>
    <n v="0"/>
  </r>
  <r>
    <x v="3"/>
    <d v="2024-01-12T18:00:00"/>
    <n v="1.17033831138803E-13"/>
    <n v="1.12814333108448E-13"/>
    <n v="1.12814333108448E-13"/>
    <n v="34.638096128000399"/>
    <s v="OK"/>
    <s v="NON-ZERO"/>
    <n v="1.1756609271814501E-13"/>
    <n v="0.95958222732562048"/>
    <x v="1"/>
    <n v="-4.7517596096970102E-15"/>
    <x v="1"/>
    <n v="0"/>
  </r>
  <r>
    <x v="3"/>
    <d v="2024-01-12T19:00:00"/>
    <n v="0"/>
    <n v="0"/>
    <n v="0"/>
    <n v="37.174038897523303"/>
    <s v="OK"/>
    <s v="ZERO"/>
    <n v="0"/>
    <n v="0"/>
    <x v="0"/>
    <n v="0"/>
    <x v="0"/>
    <n v="0"/>
  </r>
  <r>
    <x v="3"/>
    <d v="2024-01-12T20:00:00"/>
    <n v="0"/>
    <n v="0"/>
    <n v="0"/>
    <n v="85.081054256129804"/>
    <s v="OK"/>
    <s v="ZERO"/>
    <n v="0"/>
    <n v="0"/>
    <x v="0"/>
    <n v="0"/>
    <x v="0"/>
    <n v="0"/>
  </r>
  <r>
    <x v="3"/>
    <d v="2024-01-12T21:00:00"/>
    <n v="0"/>
    <n v="0"/>
    <n v="0"/>
    <n v="51.9832854285727"/>
    <s v="OK"/>
    <s v="ZERO"/>
    <n v="0"/>
    <n v="0"/>
    <x v="0"/>
    <n v="0"/>
    <x v="0"/>
    <n v="0"/>
  </r>
  <r>
    <x v="3"/>
    <d v="2024-01-12T22:00:00"/>
    <n v="0"/>
    <n v="0"/>
    <n v="0"/>
    <n v="68.490132408554899"/>
    <s v="OK"/>
    <s v="ZERO"/>
    <n v="0"/>
    <n v="0"/>
    <x v="0"/>
    <n v="0"/>
    <x v="0"/>
    <n v="0"/>
  </r>
  <r>
    <x v="3"/>
    <d v="2024-01-12T23:00:00"/>
    <n v="0"/>
    <n v="0"/>
    <n v="0"/>
    <n v="45.431570994700998"/>
    <s v="OK"/>
    <s v="ZERO"/>
    <n v="0"/>
    <n v="0"/>
    <x v="0"/>
    <n v="0"/>
    <x v="0"/>
    <n v="0"/>
  </r>
  <r>
    <x v="3"/>
    <d v="2024-01-13T00:00:00"/>
    <n v="0"/>
    <n v="0"/>
    <n v="0"/>
    <n v="37.015288724862003"/>
    <s v="OK"/>
    <s v="ZERO"/>
    <n v="0"/>
    <n v="0"/>
    <x v="0"/>
    <n v="0"/>
    <x v="0"/>
    <n v="0"/>
  </r>
  <r>
    <x v="3"/>
    <d v="2024-01-13T01:00:00"/>
    <n v="0"/>
    <n v="0"/>
    <n v="0"/>
    <n v="64.067132911234793"/>
    <s v="OK"/>
    <s v="ZERO"/>
    <n v="0"/>
    <n v="0"/>
    <x v="0"/>
    <n v="0"/>
    <x v="0"/>
    <n v="0"/>
  </r>
  <r>
    <x v="3"/>
    <d v="2024-01-13T02:00:00"/>
    <n v="0"/>
    <n v="0"/>
    <n v="0"/>
    <n v="72.373499295542004"/>
    <s v="OK"/>
    <s v="ZERO"/>
    <n v="0"/>
    <n v="0"/>
    <x v="0"/>
    <n v="0"/>
    <x v="0"/>
    <n v="0"/>
  </r>
  <r>
    <x v="3"/>
    <d v="2024-01-13T03:00:00"/>
    <n v="0"/>
    <n v="0"/>
    <n v="0"/>
    <n v="36.045033710078499"/>
    <s v="OK"/>
    <s v="ZERO"/>
    <n v="0"/>
    <n v="0"/>
    <x v="0"/>
    <n v="0"/>
    <x v="0"/>
    <n v="0"/>
  </r>
  <r>
    <x v="3"/>
    <d v="2024-01-13T04:00:00"/>
    <n v="0"/>
    <n v="0"/>
    <n v="0"/>
    <n v="57.680209511009501"/>
    <s v="OK"/>
    <s v="ZERO"/>
    <n v="0"/>
    <n v="0"/>
    <x v="0"/>
    <n v="0"/>
    <x v="0"/>
    <n v="0"/>
  </r>
  <r>
    <x v="3"/>
    <d v="2024-01-13T05:00:00"/>
    <n v="0"/>
    <n v="0"/>
    <n v="0"/>
    <n v="74.182506726680899"/>
    <s v="OK"/>
    <s v="ZERO"/>
    <n v="0"/>
    <n v="0"/>
    <x v="0"/>
    <n v="0"/>
    <x v="0"/>
    <n v="0"/>
  </r>
  <r>
    <x v="3"/>
    <d v="2024-01-13T06:00:00"/>
    <n v="0"/>
    <n v="0"/>
    <n v="0"/>
    <n v="29.802369031123401"/>
    <s v="OK"/>
    <s v="ZERO"/>
    <n v="0"/>
    <n v="0"/>
    <x v="0"/>
    <n v="0"/>
    <x v="0"/>
    <n v="0"/>
  </r>
  <r>
    <x v="3"/>
    <d v="2024-01-13T07:00:00"/>
    <n v="225.19763107139099"/>
    <n v="217.07843210558599"/>
    <n v="217.07843210558599"/>
    <n v="50.636554166170498"/>
    <s v="OK"/>
    <s v="NON-ZERO"/>
    <n v="248.466283298419"/>
    <n v="0.87367359958801805"/>
    <x v="1"/>
    <n v="-31.387851192833011"/>
    <x v="1"/>
    <n v="0"/>
  </r>
  <r>
    <x v="3"/>
    <d v="2024-01-13T08:00:00"/>
    <n v="497.117127828158"/>
    <n v="479.19423560702802"/>
    <n v="479.19423560702802"/>
    <n v="82.792999963659398"/>
    <s v="OK"/>
    <s v="NON-ZERO"/>
    <n v="479.99999999999898"/>
    <n v="0.99832132418131048"/>
    <x v="1"/>
    <n v="-0.80576439297095703"/>
    <x v="1"/>
    <n v="0"/>
  </r>
  <r>
    <x v="3"/>
    <d v="2024-01-13T09:00:00"/>
    <n v="611.51218865559395"/>
    <n v="589.46493573340103"/>
    <n v="589.46493573340103"/>
    <n v="93.9737631704009"/>
    <s v="OK"/>
    <s v="NON-ZERO"/>
    <n v="678.82250993908497"/>
    <n v="0.86836386110162644"/>
    <x v="1"/>
    <n v="-89.357574205683932"/>
    <x v="1"/>
    <n v="0"/>
  </r>
  <r>
    <x v="3"/>
    <d v="2024-01-13T10:00:00"/>
    <n v="774.87866801334303"/>
    <n v="746.94145548572203"/>
    <n v="746.94145548572203"/>
    <n v="64.694510908755007"/>
    <s v="OK"/>
    <s v="NON-ZERO"/>
    <n v="831.38438763306101"/>
    <n v="0.89843093831994281"/>
    <x v="1"/>
    <n v="-84.442932147338979"/>
    <x v="1"/>
    <n v="0"/>
  </r>
  <r>
    <x v="3"/>
    <d v="2024-01-13T11:00:00"/>
    <n v="848.08608467920806"/>
    <n v="817.50947679536102"/>
    <n v="817.50947679536102"/>
    <n v="28.848424957776899"/>
    <s v="OK"/>
    <s v="NON-ZERO"/>
    <n v="927.28879323750505"/>
    <n v="0.8816125922768201"/>
    <x v="1"/>
    <n v="-109.77931644214402"/>
    <x v="1"/>
    <n v="0"/>
  </r>
  <r>
    <x v="3"/>
    <d v="2024-01-13T12:00:00"/>
    <n v="946.90007334892698"/>
    <n v="912.76085945187697"/>
    <n v="912.76085945187697"/>
    <n v="72.522976541285502"/>
    <s v="OK"/>
    <s v="NON-ZERO"/>
    <n v="960"/>
    <n v="0.95079256192903849"/>
    <x v="1"/>
    <n v="-47.239140548123032"/>
    <x v="1"/>
    <n v="0"/>
  </r>
  <r>
    <x v="3"/>
    <d v="2024-01-13T13:00:00"/>
    <n v="935.55325856034699"/>
    <n v="901.82313887294004"/>
    <n v="901.82313887294004"/>
    <n v="57.053215020179998"/>
    <s v="OK"/>
    <s v="NON-ZERO"/>
    <n v="927.28879323750505"/>
    <n v="0.97253751522688514"/>
    <x v="1"/>
    <n v="-25.465654364565012"/>
    <x v="1"/>
    <n v="0"/>
  </r>
  <r>
    <x v="3"/>
    <d v="2024-01-13T14:00:00"/>
    <n v="812.52816853736397"/>
    <n v="783.23355369488104"/>
    <n v="783.23355369488104"/>
    <n v="89.356060689827103"/>
    <s v="OK"/>
    <s v="NON-ZERO"/>
    <n v="831.38438763306101"/>
    <n v="0.94208354805018091"/>
    <x v="1"/>
    <n v="-48.150833938179971"/>
    <x v="1"/>
    <n v="0"/>
  </r>
  <r>
    <x v="3"/>
    <d v="2024-01-13T15:00:00"/>
    <n v="609.99825451339302"/>
    <n v="588.00558445898298"/>
    <n v="588.00558445898298"/>
    <n v="37.170675210458398"/>
    <s v="OK"/>
    <s v="NON-ZERO"/>
    <n v="678.82250993908497"/>
    <n v="0.86621403363855509"/>
    <x v="1"/>
    <n v="-90.816925480101986"/>
    <x v="1"/>
    <n v="0"/>
  </r>
  <r>
    <x v="3"/>
    <d v="2024-01-13T16:00:00"/>
    <n v="445.35862987238397"/>
    <n v="429.30182097137998"/>
    <n v="429.30182097137998"/>
    <n v="92.480697209257102"/>
    <s v="OK"/>
    <s v="NON-ZERO"/>
    <n v="479.99999999999898"/>
    <n v="0.89437879369037687"/>
    <x v="1"/>
    <n v="-50.698179028618995"/>
    <x v="1"/>
    <n v="0"/>
  </r>
  <r>
    <x v="3"/>
    <d v="2024-01-13T17:00:00"/>
    <n v="220.78579786650999"/>
    <n v="212.825661637839"/>
    <n v="212.825661637839"/>
    <n v="68.8159128121832"/>
    <s v="OK"/>
    <s v="NON-ZERO"/>
    <n v="248.46628329842"/>
    <n v="0.85655751280436354"/>
    <x v="1"/>
    <n v="-35.64062166058099"/>
    <x v="1"/>
    <n v="0"/>
  </r>
  <r>
    <x v="3"/>
    <d v="2024-01-13T18:00:00"/>
    <n v="1.21278202920189E-13"/>
    <n v="1.1690567975003101E-13"/>
    <n v="1.1690567975003101E-13"/>
    <n v="41.868257718182299"/>
    <s v="OK"/>
    <s v="NON-ZERO"/>
    <n v="1.1756609271814501E-13"/>
    <n v="0.99438262382592502"/>
    <x v="1"/>
    <n v="-6.6041296811400424E-16"/>
    <x v="1"/>
    <n v="0"/>
  </r>
  <r>
    <x v="3"/>
    <d v="2024-01-13T19:00:00"/>
    <n v="0"/>
    <n v="0"/>
    <n v="0"/>
    <n v="64.056137284450003"/>
    <s v="OK"/>
    <s v="ZERO"/>
    <n v="0"/>
    <n v="0"/>
    <x v="0"/>
    <n v="0"/>
    <x v="0"/>
    <n v="0"/>
  </r>
  <r>
    <x v="3"/>
    <d v="2024-01-13T20:00:00"/>
    <n v="0"/>
    <n v="0"/>
    <n v="0"/>
    <n v="79.5193397901742"/>
    <s v="OK"/>
    <s v="ZERO"/>
    <n v="0"/>
    <n v="0"/>
    <x v="0"/>
    <n v="0"/>
    <x v="0"/>
    <n v="0"/>
  </r>
  <r>
    <x v="3"/>
    <d v="2024-01-13T21:00:00"/>
    <n v="0"/>
    <n v="0"/>
    <n v="0"/>
    <n v="73.154643492867393"/>
    <s v="OK"/>
    <s v="ZERO"/>
    <n v="0"/>
    <n v="0"/>
    <x v="0"/>
    <n v="0"/>
    <x v="0"/>
    <n v="0"/>
  </r>
  <r>
    <x v="3"/>
    <d v="2024-01-13T22:00:00"/>
    <n v="0"/>
    <n v="0"/>
    <n v="0"/>
    <n v="45.4646689348019"/>
    <s v="OK"/>
    <s v="ZERO"/>
    <n v="0"/>
    <n v="0"/>
    <x v="0"/>
    <n v="0"/>
    <x v="0"/>
    <n v="0"/>
  </r>
  <r>
    <x v="3"/>
    <d v="2024-01-13T23:00:00"/>
    <n v="0"/>
    <n v="0"/>
    <n v="0"/>
    <n v="26.4358078782079"/>
    <s v="OK"/>
    <s v="ZERO"/>
    <n v="0"/>
    <n v="0"/>
    <x v="0"/>
    <n v="0"/>
    <x v="0"/>
    <n v="0"/>
  </r>
  <r>
    <x v="3"/>
    <d v="2024-01-14T00:00:00"/>
    <n v="0"/>
    <n v="0"/>
    <n v="0"/>
    <n v="66.662519313020496"/>
    <s v="OK"/>
    <s v="ZERO"/>
    <n v="0"/>
    <n v="0"/>
    <x v="0"/>
    <n v="0"/>
    <x v="0"/>
    <n v="0"/>
  </r>
  <r>
    <x v="3"/>
    <d v="2024-01-14T01:00:00"/>
    <n v="0"/>
    <n v="0"/>
    <n v="0"/>
    <n v="88.266627605773394"/>
    <s v="OK"/>
    <s v="ZERO"/>
    <n v="0"/>
    <n v="0"/>
    <x v="0"/>
    <n v="0"/>
    <x v="0"/>
    <n v="0"/>
  </r>
  <r>
    <x v="3"/>
    <d v="2024-01-14T02:00:00"/>
    <n v="0"/>
    <n v="0"/>
    <n v="0"/>
    <n v="89.912128941022402"/>
    <s v="OK"/>
    <s v="ZERO"/>
    <n v="0"/>
    <n v="0"/>
    <x v="0"/>
    <n v="0"/>
    <x v="0"/>
    <n v="0"/>
  </r>
  <r>
    <x v="3"/>
    <d v="2024-01-14T03:00:00"/>
    <n v="0"/>
    <n v="0"/>
    <n v="0"/>
    <n v="49.046838025649699"/>
    <s v="OK"/>
    <s v="ZERO"/>
    <n v="0"/>
    <n v="0"/>
    <x v="0"/>
    <n v="0"/>
    <x v="0"/>
    <n v="0"/>
  </r>
  <r>
    <x v="3"/>
    <d v="2024-01-14T04:00:00"/>
    <n v="0"/>
    <n v="0"/>
    <n v="0"/>
    <n v="41.340545770404198"/>
    <s v="OK"/>
    <s v="ZERO"/>
    <n v="0"/>
    <n v="0"/>
    <x v="0"/>
    <n v="0"/>
    <x v="0"/>
    <n v="0"/>
  </r>
  <r>
    <x v="3"/>
    <d v="2024-01-14T05:00:00"/>
    <n v="0"/>
    <n v="0"/>
    <n v="0"/>
    <n v="84.161446602196804"/>
    <s v="OK"/>
    <s v="ZERO"/>
    <n v="0"/>
    <n v="0"/>
    <x v="0"/>
    <n v="0"/>
    <x v="0"/>
    <n v="0"/>
  </r>
  <r>
    <x v="3"/>
    <d v="2024-01-14T06:00:00"/>
    <n v="0"/>
    <n v="0"/>
    <n v="0"/>
    <n v="36.195365301510101"/>
    <s v="OK"/>
    <s v="ZERO"/>
    <n v="0"/>
    <n v="0"/>
    <x v="0"/>
    <n v="0"/>
    <x v="0"/>
    <n v="0"/>
  </r>
  <r>
    <x v="3"/>
    <d v="2024-01-14T07:00:00"/>
    <n v="208.57929320229701"/>
    <n v="201.059246150294"/>
    <n v="201.059246150294"/>
    <n v="58.578743488326502"/>
    <s v="OK"/>
    <s v="NON-ZERO"/>
    <n v="248.466283298419"/>
    <n v="0.80920132696158598"/>
    <x v="0"/>
    <n v="-47.407037148124999"/>
    <x v="1"/>
    <n v="-2.3703518574062499"/>
  </r>
  <r>
    <x v="3"/>
    <d v="2024-01-14T08:00:00"/>
    <n v="501.45206046061202"/>
    <n v="483.37287804948897"/>
    <n v="483.37287804948897"/>
    <n v="50.883652061433096"/>
    <s v="OK"/>
    <s v="NON-ZERO"/>
    <n v="479.99999999999898"/>
    <n v="1.0070268292697708"/>
    <x v="1"/>
    <n v="3.3728780494899979"/>
    <x v="0"/>
    <n v="0"/>
  </r>
  <r>
    <x v="3"/>
    <d v="2024-01-14T09:00:00"/>
    <n v="664.56399988953694"/>
    <n v="640.60403496919696"/>
    <n v="640.60403496919696"/>
    <n v="83.162452254603707"/>
    <s v="OK"/>
    <s v="NON-ZERO"/>
    <n v="678.82250993908497"/>
    <n v="0.9436988691295497"/>
    <x v="1"/>
    <n v="-38.218474969888007"/>
    <x v="1"/>
    <n v="0"/>
  </r>
  <r>
    <x v="3"/>
    <d v="2024-01-14T10:00:00"/>
    <n v="723.86826652961099"/>
    <n v="697.77016570579201"/>
    <n v="697.77016570579201"/>
    <n v="25.754552894615401"/>
    <s v="OK"/>
    <s v="NON-ZERO"/>
    <n v="831.38438763306101"/>
    <n v="0.83928706875568504"/>
    <x v="0"/>
    <n v="-133.614221927269"/>
    <x v="1"/>
    <n v="-6.6807110963634493"/>
  </r>
  <r>
    <x v="3"/>
    <d v="2024-01-14T11:00:00"/>
    <n v="918.332088262409"/>
    <n v="885.22285480461096"/>
    <n v="885.22285480461096"/>
    <n v="65.691699707701602"/>
    <s v="OK"/>
    <s v="NON-ZERO"/>
    <n v="927.28879323750505"/>
    <n v="0.95463555826440383"/>
    <x v="1"/>
    <n v="-42.065938432894086"/>
    <x v="1"/>
    <n v="0"/>
  </r>
  <r>
    <x v="3"/>
    <d v="2024-01-14T12:00:00"/>
    <n v="975.91501585071501"/>
    <n v="940.72970706344495"/>
    <n v="940.72970706344495"/>
    <n v="21.902861603173601"/>
    <s v="OK"/>
    <s v="NON-ZERO"/>
    <n v="960"/>
    <n v="0.97992677819108853"/>
    <x v="1"/>
    <n v="-19.270292936555052"/>
    <x v="1"/>
    <n v="0"/>
  </r>
  <r>
    <x v="3"/>
    <d v="2024-01-14T13:00:00"/>
    <n v="816.825334418382"/>
    <n v="787.37579101554502"/>
    <n v="787.37579101554502"/>
    <n v="82.585530759697093"/>
    <s v="OK"/>
    <s v="NON-ZERO"/>
    <n v="927.28879323750505"/>
    <n v="0.84911604319785594"/>
    <x v="0"/>
    <n v="-139.91300222196003"/>
    <x v="1"/>
    <n v="-6.9956501110980014"/>
  </r>
  <r>
    <x v="3"/>
    <d v="2024-01-14T14:00:00"/>
    <n v="889.11185487133605"/>
    <n v="857.05611779181095"/>
    <n v="857.05611779181095"/>
    <n v="47.863968143267897"/>
    <s v="OK"/>
    <s v="NON-ZERO"/>
    <n v="831.38438763306101"/>
    <n v="1.0308782923285786"/>
    <x v="1"/>
    <n v="25.671730158749938"/>
    <x v="0"/>
    <n v="0"/>
  </r>
  <r>
    <x v="3"/>
    <d v="2024-01-14T15:00:00"/>
    <n v="561.03714626216799"/>
    <n v="540.809703388819"/>
    <n v="540.809703388819"/>
    <n v="52.481015270159801"/>
    <s v="OK"/>
    <s v="NON-ZERO"/>
    <n v="678.82250993908497"/>
    <n v="0.79668793457858267"/>
    <x v="0"/>
    <n v="-138.01280655026596"/>
    <x v="1"/>
    <n v="-6.9006403275132984"/>
  </r>
  <r>
    <x v="3"/>
    <d v="2024-01-14T16:00:00"/>
    <n v="457.65305071044099"/>
    <n v="441.15298293287299"/>
    <n v="441.15298293287299"/>
    <n v="44.000824193529702"/>
    <s v="OK"/>
    <s v="NON-ZERO"/>
    <n v="479.99999999999898"/>
    <n v="0.91906871444348737"/>
    <x v="1"/>
    <n v="-38.847017067125989"/>
    <x v="1"/>
    <n v="0"/>
  </r>
  <r>
    <x v="3"/>
    <d v="2024-01-14T17:00:00"/>
    <n v="232.68698988845699"/>
    <n v="224.29777212150901"/>
    <n v="224.29777212150901"/>
    <n v="24.360034327012102"/>
    <s v="OK"/>
    <s v="NON-ZERO"/>
    <n v="248.46628329842"/>
    <n v="0.902729211963607"/>
    <x v="1"/>
    <n v="-24.168511176910982"/>
    <x v="1"/>
    <n v="0"/>
  </r>
  <r>
    <x v="3"/>
    <d v="2024-01-14T18:00:00"/>
    <n v="1.05761283463187E-13"/>
    <n v="1.01948202041188E-13"/>
    <n v="1.01948202041188E-13"/>
    <n v="84.406344439316896"/>
    <s v="OK"/>
    <s v="NON-ZERO"/>
    <n v="1.1756609271814501E-13"/>
    <n v="0.86715650477217432"/>
    <x v="1"/>
    <n v="-1.5617890676957012E-14"/>
    <x v="1"/>
    <n v="0"/>
  </r>
  <r>
    <x v="3"/>
    <d v="2024-01-14T19:00:00"/>
    <n v="0"/>
    <n v="0"/>
    <n v="0"/>
    <n v="61.7799449512937"/>
    <s v="OK"/>
    <s v="ZERO"/>
    <n v="0"/>
    <n v="0"/>
    <x v="0"/>
    <n v="0"/>
    <x v="0"/>
    <n v="0"/>
  </r>
  <r>
    <x v="3"/>
    <d v="2024-01-14T20:00:00"/>
    <n v="0"/>
    <n v="0"/>
    <n v="0"/>
    <n v="46.542936969264403"/>
    <s v="OK"/>
    <s v="ZERO"/>
    <n v="0"/>
    <n v="0"/>
    <x v="0"/>
    <n v="0"/>
    <x v="0"/>
    <n v="0"/>
  </r>
  <r>
    <x v="3"/>
    <d v="2024-01-14T21:00:00"/>
    <n v="0"/>
    <n v="0"/>
    <n v="0"/>
    <n v="31.213147964052201"/>
    <s v="OK"/>
    <s v="ZERO"/>
    <n v="0"/>
    <n v="0"/>
    <x v="0"/>
    <n v="0"/>
    <x v="0"/>
    <n v="0"/>
  </r>
  <r>
    <x v="3"/>
    <d v="2024-01-14T22:00:00"/>
    <n v="0"/>
    <n v="0"/>
    <n v="0"/>
    <n v="90.992288223405694"/>
    <s v="OK"/>
    <s v="ZERO"/>
    <n v="0"/>
    <n v="0"/>
    <x v="0"/>
    <n v="0"/>
    <x v="0"/>
    <n v="0"/>
  </r>
  <r>
    <x v="3"/>
    <d v="2024-01-14T23:00:00"/>
    <n v="0"/>
    <n v="0"/>
    <n v="0"/>
    <n v="75.511204527319293"/>
    <s v="OK"/>
    <s v="ZERO"/>
    <n v="0"/>
    <n v="0"/>
    <x v="0"/>
    <n v="0"/>
    <x v="0"/>
    <n v="0"/>
  </r>
  <r>
    <x v="3"/>
    <d v="2024-01-15T00:00:00"/>
    <n v="0"/>
    <n v="0"/>
    <n v="0"/>
    <n v="62.700140133207"/>
    <s v="OK"/>
    <s v="ZERO"/>
    <n v="0"/>
    <n v="0"/>
    <x v="0"/>
    <n v="0"/>
    <x v="0"/>
    <n v="0"/>
  </r>
  <r>
    <x v="3"/>
    <d v="2024-01-15T01:00:00"/>
    <n v="0"/>
    <n v="0"/>
    <n v="0"/>
    <n v="85.902318786955604"/>
    <s v="OK"/>
    <s v="ZERO"/>
    <n v="0"/>
    <n v="0"/>
    <x v="0"/>
    <n v="0"/>
    <x v="0"/>
    <n v="0"/>
  </r>
  <r>
    <x v="3"/>
    <d v="2024-01-15T02:00:00"/>
    <n v="0"/>
    <n v="0"/>
    <n v="0"/>
    <n v="23.226047328504102"/>
    <s v="OK"/>
    <s v="ZERO"/>
    <n v="0"/>
    <n v="0"/>
    <x v="0"/>
    <n v="0"/>
    <x v="0"/>
    <n v="0"/>
  </r>
  <r>
    <x v="3"/>
    <d v="2024-01-15T03:00:00"/>
    <n v="0"/>
    <n v="0"/>
    <n v="0"/>
    <n v="69.539931157736405"/>
    <s v="OK"/>
    <s v="ZERO"/>
    <n v="0"/>
    <n v="0"/>
    <x v="0"/>
    <n v="0"/>
    <x v="0"/>
    <n v="0"/>
  </r>
  <r>
    <x v="3"/>
    <d v="2024-01-15T04:00:00"/>
    <n v="0"/>
    <n v="0"/>
    <n v="0"/>
    <n v="46.958376963667902"/>
    <s v="OK"/>
    <s v="ZERO"/>
    <n v="0"/>
    <n v="0"/>
    <x v="0"/>
    <n v="0"/>
    <x v="0"/>
    <n v="0"/>
  </r>
  <r>
    <x v="3"/>
    <d v="2024-01-15T05:00:00"/>
    <n v="0"/>
    <n v="0"/>
    <n v="0"/>
    <n v="39.288285201831997"/>
    <s v="OK"/>
    <s v="ZERO"/>
    <n v="0"/>
    <n v="0"/>
    <x v="0"/>
    <n v="0"/>
    <x v="0"/>
    <n v="0"/>
  </r>
  <r>
    <x v="3"/>
    <d v="2024-01-15T06:00:00"/>
    <n v="0"/>
    <n v="0"/>
    <n v="0"/>
    <n v="43.608921778771801"/>
    <s v="OK"/>
    <s v="ZERO"/>
    <n v="0"/>
    <n v="0"/>
    <x v="0"/>
    <n v="0"/>
    <x v="0"/>
    <n v="0"/>
  </r>
  <r>
    <x v="3"/>
    <d v="2024-01-15T07:00:00"/>
    <n v="279.07164315775299"/>
    <n v="269.01008884329502"/>
    <n v="269.01008884329502"/>
    <n v="68.1117776798215"/>
    <s v="OK"/>
    <s v="NON-ZERO"/>
    <n v="248.466283298419"/>
    <n v="1.0826824681085683"/>
    <x v="1"/>
    <n v="20.543805544876022"/>
    <x v="0"/>
    <n v="0"/>
  </r>
  <r>
    <x v="3"/>
    <d v="2024-01-15T08:00:00"/>
    <n v="468.195768224527"/>
    <n v="451.31559688756602"/>
    <n v="451.31559688756602"/>
    <n v="70.681007026038202"/>
    <s v="OK"/>
    <s v="NON-ZERO"/>
    <n v="479.99999999999898"/>
    <n v="0.94024082684909782"/>
    <x v="1"/>
    <n v="-28.68440311243296"/>
    <x v="1"/>
    <n v="0"/>
  </r>
  <r>
    <x v="3"/>
    <d v="2024-01-15T09:00:00"/>
    <n v="681.80644948056704"/>
    <n v="657.22483113420503"/>
    <n v="657.22483113420503"/>
    <n v="85.623279396808798"/>
    <s v="OK"/>
    <s v="NON-ZERO"/>
    <n v="678.82250993908497"/>
    <n v="0.96818361428995925"/>
    <x v="1"/>
    <n v="-21.597678804879934"/>
    <x v="1"/>
    <n v="0"/>
  </r>
  <r>
    <x v="3"/>
    <d v="2024-01-15T10:00:00"/>
    <n v="802.82367408088999"/>
    <n v="773.87894178814702"/>
    <n v="773.87894178814702"/>
    <n v="91.476213203033197"/>
    <s v="OK"/>
    <s v="NON-ZERO"/>
    <n v="831.38438763306101"/>
    <n v="0.93083169866993631"/>
    <x v="1"/>
    <n v="-57.505445844913993"/>
    <x v="1"/>
    <n v="0"/>
  </r>
  <r>
    <x v="3"/>
    <d v="2024-01-15T11:00:00"/>
    <n v="917.03015385313097"/>
    <n v="883.96785989669104"/>
    <n v="883.96785989669104"/>
    <n v="88.015462386428894"/>
    <s v="OK"/>
    <s v="NON-ZERO"/>
    <n v="927.28879323750505"/>
    <n v="0.95328215583241904"/>
    <x v="1"/>
    <n v="-43.320933340814008"/>
    <x v="1"/>
    <n v="0"/>
  </r>
  <r>
    <x v="3"/>
    <d v="2024-01-15T12:00:00"/>
    <n v="715.593968703369"/>
    <n v="689.79418660534702"/>
    <n v="689.79418660534702"/>
    <n v="55.1874536425549"/>
    <s v="OK"/>
    <s v="NON-ZERO"/>
    <n v="960"/>
    <n v="0.71853561104723651"/>
    <x v="0"/>
    <n v="-270.20581339465298"/>
    <x v="1"/>
    <n v="-13.510290669732649"/>
  </r>
  <r>
    <x v="3"/>
    <d v="2024-01-15T13:00:00"/>
    <n v="806.67438337943895"/>
    <n v="777.59081892045299"/>
    <n v="777.59081892045299"/>
    <n v="40.468787024327803"/>
    <s v="OK"/>
    <s v="NON-ZERO"/>
    <n v="927.28879323750505"/>
    <n v="0.83856380513949536"/>
    <x v="0"/>
    <n v="-149.69797431705206"/>
    <x v="1"/>
    <n v="-7.4848987158526032"/>
  </r>
  <r>
    <x v="3"/>
    <d v="2024-01-15T14:00:00"/>
    <n v="839.18349861462104"/>
    <n v="808.92786154749501"/>
    <n v="808.92786154749501"/>
    <n v="39.097014998967097"/>
    <s v="OK"/>
    <s v="NON-ZERO"/>
    <n v="831.38438763306101"/>
    <n v="0.97298899712382214"/>
    <x v="1"/>
    <n v="-22.456526085565997"/>
    <x v="1"/>
    <n v="0"/>
  </r>
  <r>
    <x v="3"/>
    <d v="2024-01-15T15:00:00"/>
    <n v="675.68477910905699"/>
    <n v="651.32386938877096"/>
    <n v="651.32386938877096"/>
    <n v="63.0821362252358"/>
    <s v="OK"/>
    <s v="NON-ZERO"/>
    <n v="678.82250993908497"/>
    <n v="0.95949067665304499"/>
    <x v="1"/>
    <n v="-27.498640550314008"/>
    <x v="1"/>
    <n v="0"/>
  </r>
  <r>
    <x v="3"/>
    <d v="2024-01-15T16:00:00"/>
    <n v="471.88436550878299"/>
    <n v="454.87120673712701"/>
    <n v="454.87120673712701"/>
    <n v="73.4771151716822"/>
    <s v="OK"/>
    <s v="NON-ZERO"/>
    <n v="479.99999999999898"/>
    <n v="0.9476483473690166"/>
    <x v="1"/>
    <n v="-25.128793262871966"/>
    <x v="1"/>
    <n v="0"/>
  </r>
  <r>
    <x v="3"/>
    <d v="2024-01-15T17:00:00"/>
    <n v="239.83406231786699"/>
    <n v="231.187166427036"/>
    <n v="231.187166427036"/>
    <n v="50.474227388418399"/>
    <s v="OK"/>
    <s v="NON-ZERO"/>
    <n v="248.46628329842"/>
    <n v="0.93045689482692939"/>
    <x v="1"/>
    <n v="-17.279116871383991"/>
    <x v="1"/>
    <n v="0"/>
  </r>
  <r>
    <x v="3"/>
    <d v="2024-01-15T18:00:00"/>
    <n v="1.1474477080291001E-13"/>
    <n v="1.10607801777072E-13"/>
    <n v="1.10607801777072E-13"/>
    <n v="45.977262733137003"/>
    <s v="OK"/>
    <s v="NON-ZERO"/>
    <n v="1.1756609271814501E-13"/>
    <n v="0.94081379435008583"/>
    <x v="1"/>
    <n v="-6.9582909410730129E-15"/>
    <x v="1"/>
    <n v="0"/>
  </r>
  <r>
    <x v="3"/>
    <d v="2024-01-15T19:00:00"/>
    <n v="0"/>
    <n v="0"/>
    <n v="0"/>
    <n v="32.5281336003614"/>
    <s v="OK"/>
    <s v="ZERO"/>
    <n v="0"/>
    <n v="0"/>
    <x v="0"/>
    <n v="0"/>
    <x v="0"/>
    <n v="0"/>
  </r>
  <r>
    <x v="3"/>
    <d v="2024-01-15T20:00:00"/>
    <n v="0"/>
    <n v="0"/>
    <n v="0"/>
    <n v="80.982878533313198"/>
    <s v="OK"/>
    <s v="ZERO"/>
    <n v="0"/>
    <n v="0"/>
    <x v="0"/>
    <n v="0"/>
    <x v="0"/>
    <n v="0"/>
  </r>
  <r>
    <x v="3"/>
    <d v="2024-01-15T21:00:00"/>
    <n v="0"/>
    <n v="0"/>
    <n v="0"/>
    <n v="23.684517041888899"/>
    <s v="OK"/>
    <s v="ZERO"/>
    <n v="0"/>
    <n v="0"/>
    <x v="0"/>
    <n v="0"/>
    <x v="0"/>
    <n v="0"/>
  </r>
  <r>
    <x v="3"/>
    <d v="2024-01-15T22:00:00"/>
    <n v="0"/>
    <n v="0"/>
    <n v="0"/>
    <n v="88.369766492020503"/>
    <s v="OK"/>
    <s v="ZERO"/>
    <n v="0"/>
    <n v="0"/>
    <x v="0"/>
    <n v="0"/>
    <x v="0"/>
    <n v="0"/>
  </r>
  <r>
    <x v="3"/>
    <d v="2024-01-15T23:00:00"/>
    <n v="0"/>
    <n v="0"/>
    <n v="0"/>
    <n v="42.517033365603901"/>
    <s v="OK"/>
    <s v="ZERO"/>
    <n v="0"/>
    <n v="0"/>
    <x v="0"/>
    <n v="0"/>
    <x v="0"/>
    <n v="0"/>
  </r>
  <r>
    <x v="3"/>
    <d v="2024-01-16T00:00:00"/>
    <n v="0"/>
    <n v="0"/>
    <n v="0"/>
    <n v="81.437337507217194"/>
    <s v="OK"/>
    <s v="ZERO"/>
    <n v="0"/>
    <n v="0"/>
    <x v="0"/>
    <n v="0"/>
    <x v="0"/>
    <n v="0"/>
  </r>
  <r>
    <x v="3"/>
    <d v="2024-01-16T01:00:00"/>
    <n v="0"/>
    <n v="0"/>
    <n v="0"/>
    <n v="48.621578313245202"/>
    <s v="OK"/>
    <s v="ZERO"/>
    <n v="0"/>
    <n v="0"/>
    <x v="0"/>
    <n v="0"/>
    <x v="0"/>
    <n v="0"/>
  </r>
  <r>
    <x v="3"/>
    <d v="2024-01-16T02:00:00"/>
    <n v="0"/>
    <n v="0"/>
    <n v="0"/>
    <n v="62.000299192168796"/>
    <s v="OK"/>
    <s v="ZERO"/>
    <n v="0"/>
    <n v="0"/>
    <x v="0"/>
    <n v="0"/>
    <x v="0"/>
    <n v="0"/>
  </r>
  <r>
    <x v="3"/>
    <d v="2024-01-16T03:00:00"/>
    <n v="0"/>
    <n v="0"/>
    <n v="0"/>
    <n v="91.460288618687898"/>
    <s v="OK"/>
    <s v="ZERO"/>
    <n v="0"/>
    <n v="0"/>
    <x v="0"/>
    <n v="0"/>
    <x v="0"/>
    <n v="0"/>
  </r>
  <r>
    <x v="3"/>
    <d v="2024-01-16T04:00:00"/>
    <n v="0"/>
    <n v="0"/>
    <n v="0"/>
    <n v="81.970186239693504"/>
    <s v="OK"/>
    <s v="ZERO"/>
    <n v="0"/>
    <n v="0"/>
    <x v="0"/>
    <n v="0"/>
    <x v="0"/>
    <n v="0"/>
  </r>
  <r>
    <x v="3"/>
    <d v="2024-01-16T05:00:00"/>
    <n v="0"/>
    <n v="0"/>
    <n v="0"/>
    <n v="40.441073591977101"/>
    <s v="OK"/>
    <s v="ZERO"/>
    <n v="0"/>
    <n v="0"/>
    <x v="0"/>
    <n v="0"/>
    <x v="0"/>
    <n v="0"/>
  </r>
  <r>
    <x v="3"/>
    <d v="2024-01-16T06:00:00"/>
    <n v="0"/>
    <n v="0"/>
    <n v="0"/>
    <n v="27.805696731368499"/>
    <s v="OK"/>
    <s v="ZERO"/>
    <n v="0"/>
    <n v="0"/>
    <x v="0"/>
    <n v="0"/>
    <x v="0"/>
    <n v="0"/>
  </r>
  <r>
    <x v="3"/>
    <d v="2024-01-16T07:00:00"/>
    <n v="244.217049650539"/>
    <n v="235.412131021861"/>
    <n v="235.412131021861"/>
    <n v="41.921762953193898"/>
    <s v="OK"/>
    <s v="NON-ZERO"/>
    <n v="248.466283298419"/>
    <n v="0.94746107156567638"/>
    <x v="1"/>
    <n v="-13.054152276558"/>
    <x v="1"/>
    <n v="0"/>
  </r>
  <r>
    <x v="3"/>
    <d v="2024-01-16T08:00:00"/>
    <n v="498.042020043229"/>
    <n v="480.085782072055"/>
    <n v="480.085782072055"/>
    <n v="52.521694017625499"/>
    <s v="OK"/>
    <s v="NON-ZERO"/>
    <n v="479.99999999999898"/>
    <n v="1.0001787126501167"/>
    <x v="1"/>
    <n v="8.5782072056019842E-2"/>
    <x v="0"/>
    <n v="0"/>
  </r>
  <r>
    <x v="3"/>
    <d v="2024-01-16T09:00:00"/>
    <n v="710.28144700970199"/>
    <n v="684.67320076592398"/>
    <n v="684.67320076592398"/>
    <n v="89.616259673569502"/>
    <s v="OK"/>
    <s v="NON-ZERO"/>
    <n v="678.82250993908497"/>
    <n v="1.0086188815797579"/>
    <x v="1"/>
    <n v="5.8506908268390134"/>
    <x v="0"/>
    <n v="0"/>
  </r>
  <r>
    <x v="3"/>
    <d v="2024-01-16T10:00:00"/>
    <n v="884.59626314137404"/>
    <n v="852.70332967363504"/>
    <n v="852.70332967363504"/>
    <n v="35.3601143704375"/>
    <s v="OK"/>
    <s v="NON-ZERO"/>
    <n v="831.38438763306101"/>
    <n v="1.0256427019290906"/>
    <x v="1"/>
    <n v="21.318942040574029"/>
    <x v="0"/>
    <n v="0"/>
  </r>
  <r>
    <x v="3"/>
    <d v="2024-01-16T11:00:00"/>
    <n v="892.92234251815296"/>
    <n v="860.72922341016704"/>
    <n v="860.72922341016704"/>
    <n v="21.3618474205309"/>
    <s v="OK"/>
    <s v="NON-ZERO"/>
    <n v="927.28879323750505"/>
    <n v="0.92822131539522423"/>
    <x v="1"/>
    <n v="-66.559569827338009"/>
    <x v="1"/>
    <n v="0"/>
  </r>
  <r>
    <x v="3"/>
    <d v="2024-01-16T12:00:00"/>
    <n v="964.145692462493"/>
    <n v="929.38471086653203"/>
    <n v="929.38471086653203"/>
    <n v="83.846165916239798"/>
    <s v="OK"/>
    <s v="NON-ZERO"/>
    <n v="960"/>
    <n v="0.96810907381930422"/>
    <x v="1"/>
    <n v="-30.615289133467968"/>
    <x v="1"/>
    <n v="0"/>
  </r>
  <r>
    <x v="3"/>
    <d v="2024-01-16T13:00:00"/>
    <n v="914.31910619713699"/>
    <n v="881.35455543284297"/>
    <n v="881.35455543284297"/>
    <n v="44.298207992115401"/>
    <s v="OK"/>
    <s v="NON-ZERO"/>
    <n v="927.28879323750505"/>
    <n v="0.95046393514118854"/>
    <x v="1"/>
    <n v="-45.934237804662075"/>
    <x v="1"/>
    <n v="0"/>
  </r>
  <r>
    <x v="3"/>
    <d v="2024-01-16T14:00:00"/>
    <n v="827.98466776553403"/>
    <n v="798.13278954531802"/>
    <n v="798.13278954531802"/>
    <n v="87.498745765899002"/>
    <s v="OK"/>
    <s v="NON-ZERO"/>
    <n v="831.38438763306101"/>
    <n v="0.96000454352720066"/>
    <x v="1"/>
    <n v="-33.251598087742991"/>
    <x v="1"/>
    <n v="0"/>
  </r>
  <r>
    <x v="3"/>
    <d v="2024-01-16T15:00:00"/>
    <n v="733.09271252337101"/>
    <n v="706.66203665417402"/>
    <n v="706.66203665417402"/>
    <n v="77.525939748557704"/>
    <s v="OK"/>
    <s v="NON-ZERO"/>
    <n v="678.82250993908497"/>
    <n v="1.0410114960942991"/>
    <x v="1"/>
    <n v="27.83952671508905"/>
    <x v="0"/>
    <n v="0"/>
  </r>
  <r>
    <x v="3"/>
    <d v="2024-01-16T16:00:00"/>
    <n v="443.75985277801402"/>
    <n v="427.76068564379699"/>
    <n v="427.76068564379699"/>
    <n v="84.070076949314796"/>
    <s v="OK"/>
    <s v="NON-ZERO"/>
    <n v="479.99999999999898"/>
    <n v="0.89116809509124562"/>
    <x v="1"/>
    <n v="-52.239314356201987"/>
    <x v="1"/>
    <n v="0"/>
  </r>
  <r>
    <x v="3"/>
    <d v="2024-01-16T17:00:00"/>
    <n v="271.26464897341998"/>
    <n v="261.48456537784102"/>
    <n v="261.48456537784102"/>
    <n v="47.587416824071703"/>
    <s v="OK"/>
    <s v="NON-ZERO"/>
    <n v="248.46628329842"/>
    <n v="1.0523945619767872"/>
    <x v="1"/>
    <n v="13.018282079421027"/>
    <x v="0"/>
    <n v="0"/>
  </r>
  <r>
    <x v="3"/>
    <d v="2024-01-16T18:00:00"/>
    <n v="1.21496936958374E-13"/>
    <n v="1.1711652762543501E-13"/>
    <n v="1.1711652762543501E-13"/>
    <n v="33.472536977910501"/>
    <s v="OK"/>
    <s v="NON-ZERO"/>
    <n v="1.1756609271814501E-13"/>
    <n v="0.99617606503443312"/>
    <x v="1"/>
    <n v="-4.4956509270999756E-16"/>
    <x v="1"/>
    <n v="0"/>
  </r>
  <r>
    <x v="3"/>
    <d v="2024-01-16T19:00:00"/>
    <n v="0"/>
    <n v="0"/>
    <n v="0"/>
    <n v="38.914637107093803"/>
    <s v="OK"/>
    <s v="ZERO"/>
    <n v="0"/>
    <n v="0"/>
    <x v="0"/>
    <n v="0"/>
    <x v="0"/>
    <n v="0"/>
  </r>
  <r>
    <x v="3"/>
    <d v="2024-01-16T20:00:00"/>
    <n v="0"/>
    <n v="0"/>
    <n v="0"/>
    <n v="60.046741020120002"/>
    <s v="OK"/>
    <s v="ZERO"/>
    <n v="0"/>
    <n v="0"/>
    <x v="0"/>
    <n v="0"/>
    <x v="0"/>
    <n v="0"/>
  </r>
  <r>
    <x v="3"/>
    <d v="2024-01-16T21:00:00"/>
    <n v="0"/>
    <n v="0"/>
    <n v="0"/>
    <n v="56.436541914529897"/>
    <s v="OK"/>
    <s v="ZERO"/>
    <n v="0"/>
    <n v="0"/>
    <x v="0"/>
    <n v="0"/>
    <x v="0"/>
    <n v="0"/>
  </r>
  <r>
    <x v="3"/>
    <d v="2024-01-16T22:00:00"/>
    <n v="0"/>
    <n v="0"/>
    <n v="0"/>
    <n v="61.588441676822299"/>
    <s v="OK"/>
    <s v="ZERO"/>
    <n v="0"/>
    <n v="0"/>
    <x v="0"/>
    <n v="0"/>
    <x v="0"/>
    <n v="0"/>
  </r>
  <r>
    <x v="3"/>
    <d v="2024-01-16T23:00:00"/>
    <n v="0"/>
    <n v="0"/>
    <n v="0"/>
    <n v="68.159686014819499"/>
    <s v="OK"/>
    <s v="ZERO"/>
    <n v="0"/>
    <n v="0"/>
    <x v="0"/>
    <n v="0"/>
    <x v="0"/>
    <n v="0"/>
  </r>
  <r>
    <x v="3"/>
    <d v="2024-01-17T00:00:00"/>
    <n v="0"/>
    <n v="0"/>
    <n v="0"/>
    <n v="70.0433621474929"/>
    <s v="OK"/>
    <s v="ZERO"/>
    <n v="0"/>
    <n v="0"/>
    <x v="0"/>
    <n v="0"/>
    <x v="0"/>
    <n v="0"/>
  </r>
  <r>
    <x v="3"/>
    <d v="2024-01-17T01:00:00"/>
    <n v="0"/>
    <n v="0"/>
    <n v="0"/>
    <n v="65.571768191295405"/>
    <s v="OK"/>
    <s v="ZERO"/>
    <n v="0"/>
    <n v="0"/>
    <x v="0"/>
    <n v="0"/>
    <x v="0"/>
    <n v="0"/>
  </r>
  <r>
    <x v="3"/>
    <d v="2024-01-17T02:00:00"/>
    <n v="0"/>
    <n v="0"/>
    <n v="0"/>
    <n v="39.888565634774203"/>
    <s v="OK"/>
    <s v="ZERO"/>
    <n v="0"/>
    <n v="0"/>
    <x v="0"/>
    <n v="0"/>
    <x v="0"/>
    <n v="0"/>
  </r>
  <r>
    <x v="3"/>
    <d v="2024-01-17T03:00:00"/>
    <n v="0"/>
    <n v="0"/>
    <n v="0"/>
    <n v="56.6045117202247"/>
    <s v="OK"/>
    <s v="ZERO"/>
    <n v="0"/>
    <n v="0"/>
    <x v="0"/>
    <n v="0"/>
    <x v="0"/>
    <n v="0"/>
  </r>
  <r>
    <x v="3"/>
    <d v="2024-01-17T04:00:00"/>
    <n v="0"/>
    <n v="0"/>
    <n v="0"/>
    <n v="88.660474068013599"/>
    <s v="OK"/>
    <s v="ZERO"/>
    <n v="0"/>
    <n v="0"/>
    <x v="0"/>
    <n v="0"/>
    <x v="0"/>
    <n v="0"/>
  </r>
  <r>
    <x v="3"/>
    <d v="2024-01-17T05:00:00"/>
    <n v="0"/>
    <n v="0"/>
    <n v="0"/>
    <n v="21.860699753192399"/>
    <s v="OK"/>
    <s v="ZERO"/>
    <n v="0"/>
    <n v="0"/>
    <x v="0"/>
    <n v="0"/>
    <x v="0"/>
    <n v="0"/>
  </r>
  <r>
    <x v="3"/>
    <d v="2024-01-17T06:00:00"/>
    <n v="0"/>
    <n v="0"/>
    <n v="0"/>
    <n v="23.297873121609101"/>
    <s v="OK"/>
    <s v="ZERO"/>
    <n v="0"/>
    <n v="0"/>
    <x v="0"/>
    <n v="0"/>
    <x v="0"/>
    <n v="0"/>
  </r>
  <r>
    <x v="3"/>
    <d v="2024-01-17T07:00:00"/>
    <n v="230.33704919589599"/>
    <n v="222.032555393184"/>
    <n v="222.032555393184"/>
    <n v="52.4170306618281"/>
    <s v="OK"/>
    <s v="NON-ZERO"/>
    <n v="248.466283298419"/>
    <n v="0.89361241471348074"/>
    <x v="1"/>
    <n v="-26.433727905235003"/>
    <x v="1"/>
    <n v="0"/>
  </r>
  <r>
    <x v="3"/>
    <d v="2024-01-17T08:00:00"/>
    <n v="429.83655859641902"/>
    <n v="414.33937718550601"/>
    <n v="414.33937718550601"/>
    <n v="50.108266194500203"/>
    <s v="OK"/>
    <s v="NON-ZERO"/>
    <n v="479.99999999999898"/>
    <n v="0.8632070358031394"/>
    <x v="1"/>
    <n v="-65.660622814492967"/>
    <x v="1"/>
    <n v="0"/>
  </r>
  <r>
    <x v="3"/>
    <d v="2024-01-17T09:00:00"/>
    <n v="732.91705888807303"/>
    <n v="706.49271597543202"/>
    <n v="706.49271597543202"/>
    <n v="51.012285279752803"/>
    <s v="OK"/>
    <s v="NON-ZERO"/>
    <n v="678.82250993908497"/>
    <n v="1.040762063177354"/>
    <x v="1"/>
    <n v="27.670206036347054"/>
    <x v="0"/>
    <n v="0"/>
  </r>
  <r>
    <x v="3"/>
    <d v="2024-01-17T10:00:00"/>
    <n v="889.43703355290302"/>
    <n v="857.36957259154894"/>
    <n v="857.36957259154894"/>
    <n v="53.010815490345202"/>
    <s v="OK"/>
    <s v="NON-ZERO"/>
    <n v="831.38438763306101"/>
    <n v="1.0312553198556775"/>
    <x v="1"/>
    <n v="25.985184958487935"/>
    <x v="0"/>
    <n v="0"/>
  </r>
  <r>
    <x v="3"/>
    <d v="2024-01-17T11:00:00"/>
    <n v="839.02144290466401"/>
    <n v="808.77164853910904"/>
    <n v="808.77164853910904"/>
    <n v="28.2939757972966"/>
    <s v="OK"/>
    <s v="NON-ZERO"/>
    <n v="927.28879323750505"/>
    <n v="0.87218960742034934"/>
    <x v="1"/>
    <n v="-118.51714469839601"/>
    <x v="1"/>
    <n v="0"/>
  </r>
  <r>
    <x v="3"/>
    <d v="2024-01-17T12:00:00"/>
    <n v="834.21142651795003"/>
    <n v="804.13505085083602"/>
    <n v="804.13505085083602"/>
    <n v="85.715252166873796"/>
    <s v="OK"/>
    <s v="NON-ZERO"/>
    <n v="960"/>
    <n v="0.83764067796962083"/>
    <x v="0"/>
    <n v="-155.86494914916398"/>
    <x v="1"/>
    <n v="-7.7932474574581994"/>
  </r>
  <r>
    <x v="3"/>
    <d v="2024-01-17T13:00:00"/>
    <n v="911.562717322916"/>
    <n v="878.69754446766399"/>
    <n v="878.69754446766399"/>
    <n v="37.322476116202303"/>
    <s v="OK"/>
    <s v="NON-ZERO"/>
    <n v="927.28879323750505"/>
    <n v="0.94759858080437787"/>
    <x v="1"/>
    <n v="-48.591248769841059"/>
    <x v="1"/>
    <n v="0"/>
  </r>
  <r>
    <x v="3"/>
    <d v="2024-01-17T14:00:00"/>
    <n v="785.32441699439698"/>
    <n v="757.01059697796495"/>
    <n v="757.01059697796495"/>
    <n v="77.997803008578103"/>
    <s v="OK"/>
    <s v="NON-ZERO"/>
    <n v="831.38438763306101"/>
    <n v="0.91054223321797378"/>
    <x v="1"/>
    <n v="-74.373790655096059"/>
    <x v="1"/>
    <n v="0"/>
  </r>
  <r>
    <x v="3"/>
    <d v="2024-01-17T15:00:00"/>
    <n v="649.05253425065803"/>
    <n v="625.65181444836799"/>
    <n v="625.65181444836799"/>
    <n v="47.082473046985001"/>
    <s v="OK"/>
    <s v="NON-ZERO"/>
    <n v="678.82250993908497"/>
    <n v="0.92167216803772711"/>
    <x v="1"/>
    <n v="-53.17069549071698"/>
    <x v="1"/>
    <n v="0"/>
  </r>
  <r>
    <x v="3"/>
    <d v="2024-01-17T16:00:00"/>
    <n v="461.90382047151297"/>
    <n v="445.25049688355398"/>
    <n v="445.25049688355398"/>
    <n v="87.630625703048096"/>
    <s v="OK"/>
    <s v="NON-ZERO"/>
    <n v="479.99999999999898"/>
    <n v="0.92760520184073947"/>
    <x v="1"/>
    <n v="-34.749503116444998"/>
    <x v="1"/>
    <n v="0"/>
  </r>
  <r>
    <x v="3"/>
    <d v="2024-01-17T17:00:00"/>
    <n v="256.05975137453402"/>
    <n v="246.82785999693201"/>
    <n v="246.82785999693201"/>
    <n v="21.865691151095401"/>
    <s v="OK"/>
    <s v="NON-ZERO"/>
    <n v="248.46628329842"/>
    <n v="0.99340585257791225"/>
    <x v="1"/>
    <n v="-1.6384233014879896"/>
    <x v="1"/>
    <n v="0"/>
  </r>
  <r>
    <x v="3"/>
    <d v="2024-01-17T18:00:00"/>
    <n v="1.18492777510161E-13"/>
    <n v="1.1422067912245199E-13"/>
    <n v="1.1422067912245199E-13"/>
    <n v="42.696671381141599"/>
    <s v="OK"/>
    <s v="NON-ZERO"/>
    <n v="1.1756609271814501E-13"/>
    <n v="0.97154440095484529"/>
    <x v="1"/>
    <n v="-3.34541359569302E-15"/>
    <x v="1"/>
    <n v="0"/>
  </r>
  <r>
    <x v="3"/>
    <d v="2024-01-17T19:00:00"/>
    <n v="0"/>
    <n v="0"/>
    <n v="0"/>
    <n v="74.505112726500698"/>
    <s v="OK"/>
    <s v="ZERO"/>
    <n v="0"/>
    <n v="0"/>
    <x v="0"/>
    <n v="0"/>
    <x v="0"/>
    <n v="0"/>
  </r>
  <r>
    <x v="3"/>
    <d v="2024-01-17T20:00:00"/>
    <n v="0"/>
    <n v="0"/>
    <n v="0"/>
    <n v="39.836965501060803"/>
    <s v="OK"/>
    <s v="ZERO"/>
    <n v="0"/>
    <n v="0"/>
    <x v="0"/>
    <n v="0"/>
    <x v="0"/>
    <n v="0"/>
  </r>
  <r>
    <x v="3"/>
    <d v="2024-01-17T21:00:00"/>
    <n v="0"/>
    <n v="0"/>
    <n v="0"/>
    <n v="62.2537805499624"/>
    <s v="OK"/>
    <s v="ZERO"/>
    <n v="0"/>
    <n v="0"/>
    <x v="0"/>
    <n v="0"/>
    <x v="0"/>
    <n v="0"/>
  </r>
  <r>
    <x v="3"/>
    <d v="2024-01-17T22:00:00"/>
    <n v="0"/>
    <n v="0"/>
    <n v="0"/>
    <n v="77.101224215216902"/>
    <s v="OK"/>
    <s v="ZERO"/>
    <n v="0"/>
    <n v="0"/>
    <x v="0"/>
    <n v="0"/>
    <x v="0"/>
    <n v="0"/>
  </r>
  <r>
    <x v="3"/>
    <d v="2024-01-17T23:00:00"/>
    <n v="0"/>
    <n v="0"/>
    <n v="0"/>
    <n v="92.434364758022497"/>
    <s v="OK"/>
    <s v="ZERO"/>
    <n v="0"/>
    <n v="0"/>
    <x v="0"/>
    <n v="0"/>
    <x v="0"/>
    <n v="0"/>
  </r>
  <r>
    <x v="3"/>
    <d v="2024-01-18T00:00:00"/>
    <n v="0"/>
    <n v="0"/>
    <n v="0"/>
    <n v="43.845449728011701"/>
    <s v="OK"/>
    <s v="ZERO"/>
    <n v="0"/>
    <n v="0"/>
    <x v="0"/>
    <n v="0"/>
    <x v="0"/>
    <n v="0"/>
  </r>
  <r>
    <x v="3"/>
    <d v="2024-01-18T01:00:00"/>
    <n v="0"/>
    <n v="0"/>
    <n v="0"/>
    <n v="23.175120942686899"/>
    <s v="OK"/>
    <s v="ZERO"/>
    <n v="0"/>
    <n v="0"/>
    <x v="0"/>
    <n v="0"/>
    <x v="0"/>
    <n v="0"/>
  </r>
  <r>
    <x v="3"/>
    <d v="2024-01-18T02:00:00"/>
    <n v="0"/>
    <n v="0"/>
    <n v="0"/>
    <n v="36.053934217057503"/>
    <s v="OK"/>
    <s v="ZERO"/>
    <n v="0"/>
    <n v="0"/>
    <x v="0"/>
    <n v="0"/>
    <x v="0"/>
    <n v="0"/>
  </r>
  <r>
    <x v="3"/>
    <d v="2024-01-18T03:00:00"/>
    <n v="0"/>
    <n v="0"/>
    <n v="0"/>
    <n v="61.136268931184297"/>
    <s v="OK"/>
    <s v="ZERO"/>
    <n v="0"/>
    <n v="0"/>
    <x v="0"/>
    <n v="0"/>
    <x v="0"/>
    <n v="0"/>
  </r>
  <r>
    <x v="3"/>
    <d v="2024-01-18T04:00:00"/>
    <n v="0"/>
    <n v="0"/>
    <n v="0"/>
    <n v="58.165718855700099"/>
    <s v="OK"/>
    <s v="ZERO"/>
    <n v="0"/>
    <n v="0"/>
    <x v="0"/>
    <n v="0"/>
    <x v="0"/>
    <n v="0"/>
  </r>
  <r>
    <x v="3"/>
    <d v="2024-01-18T05:00:00"/>
    <n v="0"/>
    <n v="0"/>
    <n v="0"/>
    <n v="90.862658976555295"/>
    <s v="OK"/>
    <s v="ZERO"/>
    <n v="0"/>
    <n v="0"/>
    <x v="0"/>
    <n v="0"/>
    <x v="0"/>
    <n v="0"/>
  </r>
  <r>
    <x v="3"/>
    <d v="2024-01-18T06:00:00"/>
    <n v="0"/>
    <n v="0"/>
    <n v="0"/>
    <n v="91.031566023166604"/>
    <s v="OK"/>
    <s v="ZERO"/>
    <n v="0"/>
    <n v="0"/>
    <x v="0"/>
    <n v="0"/>
    <x v="0"/>
    <n v="0"/>
  </r>
  <r>
    <x v="3"/>
    <d v="2024-01-18T07:00:00"/>
    <n v="259.57420288243998"/>
    <n v="250.215602662864"/>
    <n v="250.215602662864"/>
    <n v="37.392584132668603"/>
    <s v="OK"/>
    <s v="NON-ZERO"/>
    <n v="248.466283298419"/>
    <n v="1.0070404698022708"/>
    <x v="1"/>
    <n v="1.7493193644450002"/>
    <x v="0"/>
    <n v="0"/>
  </r>
  <r>
    <x v="3"/>
    <d v="2024-01-18T08:00:00"/>
    <n v="436.78829587072403"/>
    <n v="421.040478883319"/>
    <n v="421.040478883319"/>
    <n v="22.072387464194701"/>
    <s v="OK"/>
    <s v="NON-ZERO"/>
    <n v="479.99999999999898"/>
    <n v="0.87716766434024973"/>
    <x v="1"/>
    <n v="-58.95952111667998"/>
    <x v="1"/>
    <n v="0"/>
  </r>
  <r>
    <x v="3"/>
    <d v="2024-01-18T09:00:00"/>
    <n v="556.73254362835496"/>
    <n v="536.66029743752199"/>
    <n v="536.66029743752199"/>
    <n v="86.492308447336399"/>
    <s v="OK"/>
    <s v="NON-ZERO"/>
    <n v="678.82250993908497"/>
    <n v="0.79057528231596197"/>
    <x v="0"/>
    <n v="-142.16221250156298"/>
    <x v="1"/>
    <n v="-7.1081106250781483"/>
  </r>
  <r>
    <x v="3"/>
    <d v="2024-01-18T10:00:00"/>
    <n v="746.12785656046697"/>
    <n v="719.22721603186596"/>
    <n v="719.22721603186596"/>
    <n v="33.367482418368702"/>
    <s v="OK"/>
    <s v="NON-ZERO"/>
    <n v="831.38438763306101"/>
    <n v="0.86509588913438118"/>
    <x v="1"/>
    <n v="-112.15717160119505"/>
    <x v="1"/>
    <n v="0"/>
  </r>
  <r>
    <x v="3"/>
    <d v="2024-01-18T11:00:00"/>
    <n v="914.31268437520396"/>
    <n v="881.34836514109895"/>
    <n v="881.34836514109895"/>
    <n v="49.890778577403601"/>
    <s v="OK"/>
    <s v="NON-ZERO"/>
    <n v="927.28879323750505"/>
    <n v="0.95045725945202986"/>
    <x v="1"/>
    <n v="-45.940428096406094"/>
    <x v="1"/>
    <n v="0"/>
  </r>
  <r>
    <x v="3"/>
    <d v="2024-01-18T12:00:00"/>
    <n v="885.22203344710499"/>
    <n v="853.30653866912905"/>
    <n v="853.30653866912905"/>
    <n v="91.370267187484103"/>
    <s v="OK"/>
    <s v="NON-ZERO"/>
    <n v="960"/>
    <n v="0.88886097778034279"/>
    <x v="1"/>
    <n v="-106.69346133087095"/>
    <x v="1"/>
    <n v="0"/>
  </r>
  <r>
    <x v="3"/>
    <d v="2024-01-18T13:00:00"/>
    <n v="807.90425430054904"/>
    <n v="778.77634849275205"/>
    <n v="778.77634849275205"/>
    <n v="33.2983440141983"/>
    <s v="OK"/>
    <s v="NON-ZERO"/>
    <n v="927.28879323750505"/>
    <n v="0.83984229527217558"/>
    <x v="0"/>
    <n v="-148.512444744753"/>
    <x v="1"/>
    <n v="-7.4256222372376497"/>
  </r>
  <r>
    <x v="3"/>
    <d v="2024-01-18T14:00:00"/>
    <n v="0"/>
    <n v="0"/>
    <n v="0"/>
    <n v="64.822174489666907"/>
    <s v="OK"/>
    <s v="ZERO"/>
    <n v="831.38438763306101"/>
    <n v="0"/>
    <x v="0"/>
    <n v="-831.38438763306101"/>
    <x v="1"/>
    <n v="-41.569219381653049"/>
  </r>
  <r>
    <x v="3"/>
    <d v="2024-01-18T15:00:00"/>
    <n v="693.03578740696696"/>
    <n v="668.04931032188301"/>
    <n v="668.04931032188301"/>
    <n v="28.290602331255101"/>
    <s v="OK"/>
    <s v="NON-ZERO"/>
    <n v="678.82250993908497"/>
    <n v="0.98412957811583368"/>
    <x v="1"/>
    <n v="-10.773199617201954"/>
    <x v="1"/>
    <n v="0"/>
  </r>
  <r>
    <x v="3"/>
    <d v="2024-01-18T16:00:00"/>
    <n v="460.58947498458502"/>
    <n v="443.98353836276601"/>
    <n v="443.98353836276601"/>
    <n v="52.164077097997797"/>
    <s v="OK"/>
    <s v="NON-ZERO"/>
    <n v="479.99999999999898"/>
    <n v="0.92496570492243113"/>
    <x v="1"/>
    <n v="-36.016461637232965"/>
    <x v="1"/>
    <n v="0"/>
  </r>
  <r>
    <x v="3"/>
    <d v="2024-01-18T17:00:00"/>
    <n v="240.035669012326"/>
    <n v="231.38150446215201"/>
    <n v="231.38150446215201"/>
    <n v="38.307092936945097"/>
    <s v="OK"/>
    <s v="NON-ZERO"/>
    <n v="248.46628329842"/>
    <n v="0.93123904535671609"/>
    <x v="1"/>
    <n v="-17.084778836267986"/>
    <x v="1"/>
    <n v="0"/>
  </r>
  <r>
    <x v="3"/>
    <d v="2024-01-18T18:00:00"/>
    <n v="1.07056179552278E-13"/>
    <n v="1.03196412386129E-13"/>
    <n v="1.03196412386129E-13"/>
    <n v="89.129556539829906"/>
    <s v="OK"/>
    <s v="NON-ZERO"/>
    <n v="1.1756609271814501E-13"/>
    <n v="0.87777359951507339"/>
    <x v="1"/>
    <n v="-1.4369680332016005E-14"/>
    <x v="1"/>
    <n v="0"/>
  </r>
  <r>
    <x v="3"/>
    <d v="2024-01-18T19:00:00"/>
    <n v="0"/>
    <n v="0"/>
    <n v="0"/>
    <n v="79.866588619100995"/>
    <s v="OK"/>
    <s v="ZERO"/>
    <n v="0"/>
    <n v="0"/>
    <x v="0"/>
    <n v="0"/>
    <x v="0"/>
    <n v="0"/>
  </r>
  <r>
    <x v="3"/>
    <d v="2024-01-18T20:00:00"/>
    <n v="0"/>
    <n v="0"/>
    <n v="0"/>
    <n v="55.0225556872848"/>
    <s v="OK"/>
    <s v="ZERO"/>
    <n v="0"/>
    <n v="0"/>
    <x v="0"/>
    <n v="0"/>
    <x v="0"/>
    <n v="0"/>
  </r>
  <r>
    <x v="3"/>
    <d v="2024-01-18T21:00:00"/>
    <n v="0"/>
    <n v="0"/>
    <n v="0"/>
    <n v="51.907339569225897"/>
    <s v="OK"/>
    <s v="ZERO"/>
    <n v="0"/>
    <n v="0"/>
    <x v="0"/>
    <n v="0"/>
    <x v="0"/>
    <n v="0"/>
  </r>
  <r>
    <x v="3"/>
    <d v="2024-01-18T22:00:00"/>
    <n v="0"/>
    <n v="0"/>
    <n v="0"/>
    <n v="56.107650946820399"/>
    <s v="OK"/>
    <s v="ZERO"/>
    <n v="0"/>
    <n v="0"/>
    <x v="0"/>
    <n v="0"/>
    <x v="0"/>
    <n v="0"/>
  </r>
  <r>
    <x v="3"/>
    <d v="2024-01-18T23:00:00"/>
    <n v="0"/>
    <n v="0"/>
    <n v="0"/>
    <n v="94.241912167990506"/>
    <s v="OK"/>
    <s v="ZERO"/>
    <n v="0"/>
    <n v="0"/>
    <x v="0"/>
    <n v="0"/>
    <x v="0"/>
    <n v="0"/>
  </r>
  <r>
    <x v="3"/>
    <d v="2024-01-19T00:00:00"/>
    <n v="0"/>
    <n v="0"/>
    <n v="0"/>
    <n v="65.905948865289403"/>
    <s v="OK"/>
    <s v="ZERO"/>
    <n v="0"/>
    <n v="0"/>
    <x v="0"/>
    <n v="0"/>
    <x v="0"/>
    <n v="0"/>
  </r>
  <r>
    <x v="3"/>
    <d v="2024-01-19T01:00:00"/>
    <n v="0"/>
    <n v="0"/>
    <n v="0"/>
    <n v="77.272393666035001"/>
    <s v="OK"/>
    <s v="ZERO"/>
    <n v="0"/>
    <n v="0"/>
    <x v="0"/>
    <n v="0"/>
    <x v="0"/>
    <n v="0"/>
  </r>
  <r>
    <x v="3"/>
    <d v="2024-01-19T02:00:00"/>
    <n v="0"/>
    <n v="0"/>
    <n v="0"/>
    <n v="53.942337757668597"/>
    <s v="OK"/>
    <s v="ZERO"/>
    <n v="0"/>
    <n v="0"/>
    <x v="0"/>
    <n v="0"/>
    <x v="0"/>
    <n v="0"/>
  </r>
  <r>
    <x v="3"/>
    <d v="2024-01-19T03:00:00"/>
    <n v="0"/>
    <n v="0"/>
    <n v="0"/>
    <n v="82.967502985656594"/>
    <s v="OK"/>
    <s v="ZERO"/>
    <n v="0"/>
    <n v="0"/>
    <x v="0"/>
    <n v="0"/>
    <x v="0"/>
    <n v="0"/>
  </r>
  <r>
    <x v="3"/>
    <d v="2024-01-19T04:00:00"/>
    <n v="0"/>
    <n v="0"/>
    <n v="0"/>
    <n v="49.898100139728797"/>
    <s v="OK"/>
    <s v="ZERO"/>
    <n v="0"/>
    <n v="0"/>
    <x v="0"/>
    <n v="0"/>
    <x v="0"/>
    <n v="0"/>
  </r>
  <r>
    <x v="3"/>
    <d v="2024-01-19T05:00:00"/>
    <n v="0"/>
    <n v="0"/>
    <n v="0"/>
    <n v="25.457178217972"/>
    <s v="OK"/>
    <s v="ZERO"/>
    <n v="0"/>
    <n v="0"/>
    <x v="0"/>
    <n v="0"/>
    <x v="0"/>
    <n v="0"/>
  </r>
  <r>
    <x v="3"/>
    <d v="2024-01-19T06:00:00"/>
    <n v="0"/>
    <n v="0"/>
    <n v="0"/>
    <n v="48.177935403520202"/>
    <s v="OK"/>
    <s v="ZERO"/>
    <n v="0"/>
    <n v="0"/>
    <x v="0"/>
    <n v="0"/>
    <x v="0"/>
    <n v="0"/>
  </r>
  <r>
    <x v="3"/>
    <d v="2024-01-19T07:00:00"/>
    <n v="220.87137250385101"/>
    <n v="212.908150996247"/>
    <n v="212.908150996247"/>
    <n v="72.806425148175094"/>
    <s v="OK"/>
    <s v="NON-ZERO"/>
    <n v="248.466283298419"/>
    <n v="0.8568895069780349"/>
    <x v="1"/>
    <n v="-35.558132302171998"/>
    <x v="1"/>
    <n v="0"/>
  </r>
  <r>
    <x v="3"/>
    <d v="2024-01-19T08:00:00"/>
    <n v="498.71680357005903"/>
    <n v="480.73623718260899"/>
    <n v="480.73623718260899"/>
    <n v="70.528373579063597"/>
    <s v="OK"/>
    <s v="NON-ZERO"/>
    <n v="479.99999999999898"/>
    <n v="1.0015338274637708"/>
    <x v="1"/>
    <n v="0.73623718261001159"/>
    <x v="0"/>
    <n v="0"/>
  </r>
  <r>
    <x v="3"/>
    <d v="2024-01-19T09:00:00"/>
    <n v="0"/>
    <n v="0"/>
    <n v="0"/>
    <n v="34.460142699984402"/>
    <s v="OK"/>
    <s v="ZERO"/>
    <n v="678.82250993908497"/>
    <n v="0"/>
    <x v="0"/>
    <n v="-678.82250993908497"/>
    <x v="1"/>
    <n v="-33.94112549695425"/>
  </r>
  <r>
    <x v="3"/>
    <d v="2024-01-19T10:00:00"/>
    <n v="799.83044138212904"/>
    <n v="770.99362608529998"/>
    <n v="770.99362608529998"/>
    <n v="58.083814021334"/>
    <s v="OK"/>
    <s v="NON-ZERO"/>
    <n v="831.38438763306101"/>
    <n v="0.92736120325798677"/>
    <x v="1"/>
    <n v="-60.390761547761031"/>
    <x v="1"/>
    <n v="0"/>
  </r>
  <r>
    <x v="3"/>
    <d v="2024-01-19T11:00:00"/>
    <n v="883.89223009805198"/>
    <n v="852.02467959873002"/>
    <n v="852.02467959873002"/>
    <n v="86.747440156001105"/>
    <s v="OK"/>
    <s v="NON-ZERO"/>
    <n v="927.28879323750505"/>
    <n v="0.91883422490635258"/>
    <x v="1"/>
    <n v="-75.264113638775029"/>
    <x v="1"/>
    <n v="0"/>
  </r>
  <r>
    <x v="3"/>
    <d v="2024-01-19T12:00:00"/>
    <n v="865.59110601231998"/>
    <n v="834.38337802997205"/>
    <n v="834.38337802997205"/>
    <n v="53.293752353490397"/>
    <s v="OK"/>
    <s v="NON-ZERO"/>
    <n v="960"/>
    <n v="0.86914935211455424"/>
    <x v="1"/>
    <n v="-125.61662197002795"/>
    <x v="1"/>
    <n v="0"/>
  </r>
  <r>
    <x v="3"/>
    <d v="2024-01-19T13:00:00"/>
    <n v="943.80580737763398"/>
    <n v="909.77815309581797"/>
    <n v="909.77815309581797"/>
    <n v="87.202127399374405"/>
    <s v="OK"/>
    <s v="NON-ZERO"/>
    <n v="927.28879323750505"/>
    <n v="0.9811163034974778"/>
    <x v="1"/>
    <n v="-17.510640141687077"/>
    <x v="1"/>
    <n v="0"/>
  </r>
  <r>
    <x v="3"/>
    <d v="2024-01-19T14:00:00"/>
    <n v="773.35650123326104"/>
    <n v="745.47416839015398"/>
    <n v="745.47416839015398"/>
    <n v="66.641147291779504"/>
    <s v="OK"/>
    <s v="NON-ZERO"/>
    <n v="831.38438763306101"/>
    <n v="0.89666606623743306"/>
    <x v="1"/>
    <n v="-85.910219242907033"/>
    <x v="1"/>
    <n v="0"/>
  </r>
  <r>
    <x v="3"/>
    <d v="2024-01-19T15:00:00"/>
    <n v="642.50239999267899"/>
    <n v="619.33783650802104"/>
    <n v="619.33783650802104"/>
    <n v="93.947022658651207"/>
    <s v="OK"/>
    <s v="NON-ZERO"/>
    <n v="678.82250993908497"/>
    <n v="0.91237080008380711"/>
    <x v="1"/>
    <n v="-59.484673431063925"/>
    <x v="1"/>
    <n v="0"/>
  </r>
  <r>
    <x v="3"/>
    <d v="2024-01-19T16:00:00"/>
    <n v="450.26193203801"/>
    <n v="434.02834114474899"/>
    <n v="434.02834114474899"/>
    <n v="85.200508093051596"/>
    <s v="OK"/>
    <s v="NON-ZERO"/>
    <n v="479.99999999999898"/>
    <n v="0.90422571071822899"/>
    <x v="1"/>
    <n v="-45.971658855249984"/>
    <x v="1"/>
    <n v="0"/>
  </r>
  <r>
    <x v="3"/>
    <d v="2024-01-19T17:00:00"/>
    <n v="220.49997549531699"/>
    <n v="212.55014420941899"/>
    <n v="212.55014420941899"/>
    <n v="67.035379554583798"/>
    <s v="OK"/>
    <s v="NON-ZERO"/>
    <n v="248.46628329842"/>
    <n v="0.85544864030559842"/>
    <x v="1"/>
    <n v="-35.916139089001007"/>
    <x v="1"/>
    <n v="0"/>
  </r>
  <r>
    <x v="3"/>
    <d v="2024-01-19T18:00:00"/>
    <n v="1.21980241580448E-13"/>
    <n v="1.17582407346683E-13"/>
    <n v="1.17582407346683E-13"/>
    <n v="71.477917457948195"/>
    <s v="OK"/>
    <s v="NON-ZERO"/>
    <n v="1.1756609271814501E-13"/>
    <n v="1.0001387698456314"/>
    <x v="1"/>
    <n v="1.6314628537993452E-17"/>
    <x v="0"/>
    <n v="0"/>
  </r>
  <r>
    <x v="3"/>
    <d v="2024-01-19T19:00:00"/>
    <n v="0"/>
    <n v="0"/>
    <n v="0"/>
    <n v="24.394316578260099"/>
    <s v="OK"/>
    <s v="ZERO"/>
    <n v="0"/>
    <n v="0"/>
    <x v="0"/>
    <n v="0"/>
    <x v="0"/>
    <n v="0"/>
  </r>
  <r>
    <x v="3"/>
    <d v="2024-01-19T20:00:00"/>
    <n v="0"/>
    <n v="0"/>
    <n v="0"/>
    <n v="74.457955127706299"/>
    <s v="OK"/>
    <s v="ZERO"/>
    <n v="0"/>
    <n v="0"/>
    <x v="0"/>
    <n v="0"/>
    <x v="0"/>
    <n v="0"/>
  </r>
  <r>
    <x v="3"/>
    <d v="2024-01-19T21:00:00"/>
    <n v="0"/>
    <n v="0"/>
    <n v="0"/>
    <n v="65.256318385421196"/>
    <s v="OK"/>
    <s v="ZERO"/>
    <n v="0"/>
    <n v="0"/>
    <x v="0"/>
    <n v="0"/>
    <x v="0"/>
    <n v="0"/>
  </r>
  <r>
    <x v="3"/>
    <d v="2024-01-19T22:00:00"/>
    <n v="0"/>
    <n v="0"/>
    <n v="0"/>
    <n v="50.204927740022399"/>
    <s v="OK"/>
    <s v="ZERO"/>
    <n v="0"/>
    <n v="0"/>
    <x v="0"/>
    <n v="0"/>
    <x v="0"/>
    <n v="0"/>
  </r>
  <r>
    <x v="3"/>
    <d v="2024-01-19T23:00:00"/>
    <n v="0"/>
    <n v="0"/>
    <n v="0"/>
    <n v="77.083294136394301"/>
    <s v="OK"/>
    <s v="ZERO"/>
    <n v="0"/>
    <n v="0"/>
    <x v="0"/>
    <n v="0"/>
    <x v="0"/>
    <n v="0"/>
  </r>
  <r>
    <x v="3"/>
    <d v="2024-01-20T00:00:00"/>
    <n v="0"/>
    <n v="0"/>
    <n v="0"/>
    <n v="79.021760785928095"/>
    <s v="OK"/>
    <s v="ZERO"/>
    <n v="0"/>
    <n v="0"/>
    <x v="0"/>
    <n v="0"/>
    <x v="0"/>
    <n v="0"/>
  </r>
  <r>
    <x v="3"/>
    <d v="2024-01-20T01:00:00"/>
    <n v="0"/>
    <n v="0"/>
    <n v="0"/>
    <n v="24.0005122253887"/>
    <s v="OK"/>
    <s v="ZERO"/>
    <n v="0"/>
    <n v="0"/>
    <x v="0"/>
    <n v="0"/>
    <x v="0"/>
    <n v="0"/>
  </r>
  <r>
    <x v="3"/>
    <d v="2024-01-20T02:00:00"/>
    <n v="0"/>
    <n v="0"/>
    <n v="0"/>
    <n v="86.337240109539707"/>
    <s v="OK"/>
    <s v="ZERO"/>
    <n v="0"/>
    <n v="0"/>
    <x v="0"/>
    <n v="0"/>
    <x v="0"/>
    <n v="0"/>
  </r>
  <r>
    <x v="3"/>
    <d v="2024-01-20T03:00:00"/>
    <n v="0"/>
    <n v="0"/>
    <n v="0"/>
    <n v="60.765078378059201"/>
    <s v="OK"/>
    <s v="ZERO"/>
    <n v="0"/>
    <n v="0"/>
    <x v="0"/>
    <n v="0"/>
    <x v="0"/>
    <n v="0"/>
  </r>
  <r>
    <x v="3"/>
    <d v="2024-01-20T04:00:00"/>
    <n v="0"/>
    <n v="0"/>
    <n v="0"/>
    <n v="64.867831988892206"/>
    <s v="OK"/>
    <s v="ZERO"/>
    <n v="0"/>
    <n v="0"/>
    <x v="0"/>
    <n v="0"/>
    <x v="0"/>
    <n v="0"/>
  </r>
  <r>
    <x v="3"/>
    <d v="2024-01-20T05:00:00"/>
    <n v="0"/>
    <n v="0"/>
    <n v="0"/>
    <n v="75.502695873813195"/>
    <s v="OK"/>
    <s v="ZERO"/>
    <n v="0"/>
    <n v="0"/>
    <x v="0"/>
    <n v="0"/>
    <x v="0"/>
    <n v="0"/>
  </r>
  <r>
    <x v="3"/>
    <d v="2024-01-20T06:00:00"/>
    <n v="0"/>
    <n v="0"/>
    <n v="0"/>
    <n v="84.092387670592998"/>
    <s v="OK"/>
    <s v="ZERO"/>
    <n v="0"/>
    <n v="0"/>
    <x v="0"/>
    <n v="0"/>
    <x v="0"/>
    <n v="0"/>
  </r>
  <r>
    <x v="3"/>
    <d v="2024-01-20T07:00:00"/>
    <n v="261.35348025184101"/>
    <n v="251.930730569818"/>
    <n v="251.930730569818"/>
    <n v="36.217467079324301"/>
    <s v="OK"/>
    <s v="NON-ZERO"/>
    <n v="248.466283298419"/>
    <n v="1.0139433295552542"/>
    <x v="1"/>
    <n v="3.4644472713989956"/>
    <x v="0"/>
    <n v="0"/>
  </r>
  <r>
    <x v="3"/>
    <d v="2024-01-20T08:00:00"/>
    <n v="460.00481131705499"/>
    <n v="443.41995396068802"/>
    <n v="443.41995396068802"/>
    <n v="82.875336544503895"/>
    <s v="OK"/>
    <s v="NON-ZERO"/>
    <n v="479.99999999999898"/>
    <n v="0.92379157075143536"/>
    <x v="1"/>
    <n v="-36.580046039310957"/>
    <x v="1"/>
    <n v="0"/>
  </r>
  <r>
    <x v="3"/>
    <d v="2024-01-20T09:00:00"/>
    <n v="610.23934078843104"/>
    <n v="588.23797869127702"/>
    <n v="588.23797869127702"/>
    <n v="92.855138645648395"/>
    <s v="OK"/>
    <s v="NON-ZERO"/>
    <n v="678.82250993908497"/>
    <n v="0.86655638267514634"/>
    <x v="1"/>
    <n v="-90.584531247807945"/>
    <x v="1"/>
    <n v="0"/>
  </r>
  <r>
    <x v="3"/>
    <d v="2024-01-20T10:00:00"/>
    <n v="773.75804724283796"/>
    <n v="745.86123719617399"/>
    <n v="745.86123719617399"/>
    <n v="57.977875515885898"/>
    <s v="OK"/>
    <s v="NON-ZERO"/>
    <n v="831.38438763306101"/>
    <n v="0.89713163765274673"/>
    <x v="1"/>
    <n v="-85.523150436887022"/>
    <x v="1"/>
    <n v="0"/>
  </r>
  <r>
    <x v="3"/>
    <d v="2024-01-20T11:00:00"/>
    <n v="818.366445419005"/>
    <n v="788.86133932315499"/>
    <n v="788.86133932315499"/>
    <n v="82.456900133953496"/>
    <s v="OK"/>
    <s v="NON-ZERO"/>
    <n v="927.28879323750505"/>
    <n v="0.85071807734131122"/>
    <x v="1"/>
    <n v="-138.42745391435005"/>
    <x v="1"/>
    <n v="0"/>
  </r>
  <r>
    <x v="3"/>
    <d v="2024-01-20T12:00:00"/>
    <n v="924.53780227129096"/>
    <n v="891.20483010663702"/>
    <n v="891.20483010663702"/>
    <n v="51.7924813997748"/>
    <s v="OK"/>
    <s v="NON-ZERO"/>
    <n v="960"/>
    <n v="0.92833836469441355"/>
    <x v="1"/>
    <n v="-68.795169893362981"/>
    <x v="1"/>
    <n v="0"/>
  </r>
  <r>
    <x v="3"/>
    <d v="2024-01-20T13:00:00"/>
    <n v="866.14145892825297"/>
    <n v="834.91388870864603"/>
    <n v="834.91388870864603"/>
    <n v="61.115282959411303"/>
    <s v="OK"/>
    <s v="NON-ZERO"/>
    <n v="927.28879323750505"/>
    <n v="0.90038173091001739"/>
    <x v="1"/>
    <n v="-92.37490452885902"/>
    <x v="1"/>
    <n v="0"/>
  </r>
  <r>
    <x v="3"/>
    <d v="2024-01-20T14:00:00"/>
    <n v="838.30940654798599"/>
    <n v="808.08528369959197"/>
    <n v="808.08528369959197"/>
    <n v="62.360958581463599"/>
    <s v="OK"/>
    <s v="NON-ZERO"/>
    <n v="831.38438763306101"/>
    <n v="0.97197553348361365"/>
    <x v="1"/>
    <n v="-23.299103933469041"/>
    <x v="1"/>
    <n v="0"/>
  </r>
  <r>
    <x v="3"/>
    <d v="2024-01-20T15:00:00"/>
    <n v="673.30427169133702"/>
    <n v="649.02918797762197"/>
    <n v="649.02918797762197"/>
    <n v="29.171654088544901"/>
    <s v="OK"/>
    <s v="NON-ZERO"/>
    <n v="678.82250993908497"/>
    <n v="0.95611029168119877"/>
    <x v="1"/>
    <n v="-29.793321961462993"/>
    <x v="1"/>
    <n v="0"/>
  </r>
  <r>
    <x v="3"/>
    <d v="2024-01-20T16:00:00"/>
    <n v="446.74326210372902"/>
    <n v="430.63653214215498"/>
    <n v="430.63653214215498"/>
    <n v="52.401859972530602"/>
    <s v="OK"/>
    <s v="NON-ZERO"/>
    <n v="479.99999999999898"/>
    <n v="0.89715944196282482"/>
    <x v="1"/>
    <n v="-49.363467857844"/>
    <x v="1"/>
    <n v="0"/>
  </r>
  <r>
    <x v="3"/>
    <d v="2024-01-20T17:00:00"/>
    <n v="255.48064829138801"/>
    <n v="246.269635699817"/>
    <n v="246.269635699817"/>
    <n v="20.2946991066663"/>
    <s v="OK"/>
    <s v="NON-ZERO"/>
    <n v="248.46628329842"/>
    <n v="0.99115917230522299"/>
    <x v="1"/>
    <n v="-2.1966475986029934"/>
    <x v="1"/>
    <n v="0"/>
  </r>
  <r>
    <x v="3"/>
    <d v="2024-01-20T18:00:00"/>
    <n v="1.03904440689967E-13"/>
    <n v="1.00158305247161E-13"/>
    <n v="1.00158305247161E-13"/>
    <n v="53.2734234952609"/>
    <s v="OK"/>
    <s v="NON-ZERO"/>
    <n v="1.1756609271814501E-13"/>
    <n v="0.85193190427177212"/>
    <x v="1"/>
    <n v="-1.7407787470984013E-14"/>
    <x v="1"/>
    <n v="0"/>
  </r>
  <r>
    <x v="3"/>
    <d v="2024-01-20T19:00:00"/>
    <n v="0"/>
    <n v="0"/>
    <n v="0"/>
    <n v="78.611768244392806"/>
    <s v="OK"/>
    <s v="ZERO"/>
    <n v="0"/>
    <n v="0"/>
    <x v="0"/>
    <n v="0"/>
    <x v="0"/>
    <n v="0"/>
  </r>
  <r>
    <x v="3"/>
    <d v="2024-01-20T20:00:00"/>
    <n v="0"/>
    <n v="0"/>
    <n v="0"/>
    <n v="80.826626696917003"/>
    <s v="OK"/>
    <s v="ZERO"/>
    <n v="0"/>
    <n v="0"/>
    <x v="0"/>
    <n v="0"/>
    <x v="0"/>
    <n v="0"/>
  </r>
  <r>
    <x v="3"/>
    <d v="2024-01-20T21:00:00"/>
    <n v="0"/>
    <n v="0"/>
    <n v="0"/>
    <n v="87.090413918044305"/>
    <s v="OK"/>
    <s v="ZERO"/>
    <n v="0"/>
    <n v="0"/>
    <x v="0"/>
    <n v="0"/>
    <x v="0"/>
    <n v="0"/>
  </r>
  <r>
    <x v="3"/>
    <d v="2024-01-20T22:00:00"/>
    <n v="0"/>
    <n v="0"/>
    <n v="0"/>
    <n v="23.341747371323901"/>
    <s v="OK"/>
    <s v="ZERO"/>
    <n v="0"/>
    <n v="0"/>
    <x v="0"/>
    <n v="0"/>
    <x v="0"/>
    <n v="0"/>
  </r>
  <r>
    <x v="3"/>
    <d v="2024-01-20T23:00:00"/>
    <n v="0"/>
    <n v="0"/>
    <n v="0"/>
    <n v="55.460334808454299"/>
    <s v="OK"/>
    <s v="ZERO"/>
    <n v="0"/>
    <n v="0"/>
    <x v="0"/>
    <n v="0"/>
    <x v="0"/>
    <n v="0"/>
  </r>
  <r>
    <x v="3"/>
    <d v="2024-01-21T00:00:00"/>
    <n v="0"/>
    <n v="0"/>
    <n v="0"/>
    <n v="79.774074106923905"/>
    <s v="OK"/>
    <s v="ZERO"/>
    <n v="0"/>
    <n v="0"/>
    <x v="0"/>
    <n v="0"/>
    <x v="0"/>
    <n v="0"/>
  </r>
  <r>
    <x v="3"/>
    <d v="2024-01-21T01:00:00"/>
    <n v="0"/>
    <n v="0"/>
    <n v="0"/>
    <n v="36.1303603598789"/>
    <s v="OK"/>
    <s v="ZERO"/>
    <n v="0"/>
    <n v="0"/>
    <x v="0"/>
    <n v="0"/>
    <x v="0"/>
    <n v="0"/>
  </r>
  <r>
    <x v="3"/>
    <d v="2024-01-21T02:00:00"/>
    <n v="0"/>
    <n v="0"/>
    <n v="0"/>
    <n v="80.422769395618801"/>
    <s v="OK"/>
    <s v="ZERO"/>
    <n v="0"/>
    <n v="0"/>
    <x v="0"/>
    <n v="0"/>
    <x v="0"/>
    <n v="0"/>
  </r>
  <r>
    <x v="3"/>
    <d v="2024-01-21T03:00:00"/>
    <n v="0"/>
    <n v="0"/>
    <n v="0"/>
    <n v="46.3581255103012"/>
    <s v="OK"/>
    <s v="ZERO"/>
    <n v="0"/>
    <n v="0"/>
    <x v="0"/>
    <n v="0"/>
    <x v="0"/>
    <n v="0"/>
  </r>
  <r>
    <x v="3"/>
    <d v="2024-01-21T04:00:00"/>
    <n v="0"/>
    <n v="0"/>
    <n v="0"/>
    <n v="92.736558893077998"/>
    <s v="OK"/>
    <s v="ZERO"/>
    <n v="0"/>
    <n v="0"/>
    <x v="0"/>
    <n v="0"/>
    <x v="0"/>
    <n v="0"/>
  </r>
  <r>
    <x v="3"/>
    <d v="2024-01-21T05:00:00"/>
    <n v="0"/>
    <n v="0"/>
    <n v="0"/>
    <n v="44.102746680565197"/>
    <s v="OK"/>
    <s v="ZERO"/>
    <n v="0"/>
    <n v="0"/>
    <x v="0"/>
    <n v="0"/>
    <x v="0"/>
    <n v="0"/>
  </r>
  <r>
    <x v="3"/>
    <d v="2024-01-21T06:00:00"/>
    <n v="0"/>
    <n v="0"/>
    <n v="0"/>
    <n v="23.744186424753401"/>
    <s v="OK"/>
    <s v="ZERO"/>
    <n v="0"/>
    <n v="0"/>
    <x v="0"/>
    <n v="0"/>
    <x v="0"/>
    <n v="0"/>
  </r>
  <r>
    <x v="3"/>
    <d v="2024-01-21T07:00:00"/>
    <n v="216.64804629752899"/>
    <n v="208.837091159707"/>
    <n v="208.837091159707"/>
    <n v="77.041858663994205"/>
    <s v="OK"/>
    <s v="NON-ZERO"/>
    <n v="248.466283298419"/>
    <n v="0.84050474932602592"/>
    <x v="0"/>
    <n v="-39.629192138712"/>
    <x v="1"/>
    <n v="-1.9814596069356001"/>
  </r>
  <r>
    <x v="3"/>
    <d v="2024-01-21T08:00:00"/>
    <n v="384.12997317457803"/>
    <n v="370.28068148311701"/>
    <n v="370.28068148311701"/>
    <n v="88.306385955360994"/>
    <s v="OK"/>
    <s v="NON-ZERO"/>
    <n v="479.99999999999898"/>
    <n v="0.77141808642316212"/>
    <x v="0"/>
    <n v="-109.71931851688197"/>
    <x v="1"/>
    <n v="-5.4859659258440985"/>
  </r>
  <r>
    <x v="3"/>
    <d v="2024-01-21T09:00:00"/>
    <n v="635.543567155696"/>
    <n v="612.62989506853796"/>
    <n v="612.62989506853796"/>
    <n v="43.973602069071802"/>
    <s v="OK"/>
    <s v="NON-ZERO"/>
    <n v="678.82250993908497"/>
    <n v="0.90248906908451387"/>
    <x v="1"/>
    <n v="-66.192614870547004"/>
    <x v="1"/>
    <n v="0"/>
  </r>
  <r>
    <x v="3"/>
    <d v="2024-01-21T10:00:00"/>
    <n v="874.63624658204003"/>
    <n v="843.10240817122201"/>
    <n v="843.10240817122201"/>
    <n v="50.049338632846499"/>
    <s v="OK"/>
    <s v="NON-ZERO"/>
    <n v="831.38438763306101"/>
    <n v="1.01409458815016"/>
    <x v="1"/>
    <n v="11.718020538160999"/>
    <x v="0"/>
    <n v="0"/>
  </r>
  <r>
    <x v="3"/>
    <d v="2024-01-21T11:00:00"/>
    <n v="782.01036098680902"/>
    <n v="753.81602482099004"/>
    <n v="753.81602482099004"/>
    <n v="52.623514841603303"/>
    <s v="OK"/>
    <s v="NON-ZERO"/>
    <n v="927.28879323750505"/>
    <n v="0.81292476552977844"/>
    <x v="0"/>
    <n v="-173.47276841651501"/>
    <x v="1"/>
    <n v="-8.6736384208257515"/>
  </r>
  <r>
    <x v="3"/>
    <d v="2024-01-21T12:00:00"/>
    <n v="848.899657213399"/>
    <n v="818.29371706150596"/>
    <n v="818.29371706150596"/>
    <n v="50.2229600092545"/>
    <s v="OK"/>
    <s v="NON-ZERO"/>
    <n v="960"/>
    <n v="0.85238928860573537"/>
    <x v="1"/>
    <n v="-141.70628293849404"/>
    <x v="1"/>
    <n v="0"/>
  </r>
  <r>
    <x v="3"/>
    <d v="2024-01-21T13:00:00"/>
    <n v="941.042541718032"/>
    <n v="907.114513278544"/>
    <n v="907.114513278544"/>
    <n v="46.9395051791886"/>
    <s v="OK"/>
    <s v="NON-ZERO"/>
    <n v="927.28879323750505"/>
    <n v="0.97824380052246152"/>
    <x v="1"/>
    <n v="-20.174279958961051"/>
    <x v="1"/>
    <n v="0"/>
  </r>
  <r>
    <x v="3"/>
    <d v="2024-01-21T14:00:00"/>
    <n v="746.62816909333503"/>
    <n v="719.70949046646399"/>
    <n v="719.70949046646399"/>
    <n v="65.651564591210004"/>
    <s v="OK"/>
    <s v="NON-ZERO"/>
    <n v="831.38438763306101"/>
    <n v="0.86567597512321126"/>
    <x v="1"/>
    <n v="-111.67489716659702"/>
    <x v="1"/>
    <n v="0"/>
  </r>
  <r>
    <x v="3"/>
    <d v="2024-01-21T15:00:00"/>
    <n v="651.53740163313103"/>
    <n v="628.04709326551699"/>
    <n v="628.04709326551699"/>
    <n v="47.889508649981998"/>
    <s v="OK"/>
    <s v="NON-ZERO"/>
    <n v="678.82250993908497"/>
    <n v="0.92520074698447408"/>
    <x v="1"/>
    <n v="-50.775416673567975"/>
    <x v="1"/>
    <n v="0"/>
  </r>
  <r>
    <x v="3"/>
    <d v="2024-01-21T16:00:00"/>
    <n v="481.94692576503797"/>
    <n v="464.57097486081301"/>
    <n v="464.57097486081301"/>
    <n v="79.635554188364097"/>
    <s v="OK"/>
    <s v="NON-ZERO"/>
    <n v="479.99999999999898"/>
    <n v="0.96785619762669584"/>
    <x v="1"/>
    <n v="-15.429025139185967"/>
    <x v="1"/>
    <n v="0"/>
  </r>
  <r>
    <x v="3"/>
    <d v="2024-01-21T17:00:00"/>
    <n v="228.50214606801401"/>
    <n v="220.26380723996701"/>
    <n v="220.26380723996701"/>
    <n v="63.070278519281501"/>
    <s v="OK"/>
    <s v="NON-ZERO"/>
    <n v="248.46628329842"/>
    <n v="0.88649375004100472"/>
    <x v="1"/>
    <n v="-28.202476058452987"/>
    <x v="1"/>
    <n v="0"/>
  </r>
  <r>
    <x v="3"/>
    <d v="2024-01-21T18:00:00"/>
    <n v="1.1587704766984001E-13"/>
    <n v="1.116992559181E-13"/>
    <n v="1.116992559181E-13"/>
    <n v="30.835677244595399"/>
    <s v="OK"/>
    <s v="NON-ZERO"/>
    <n v="1.1756609271814501E-13"/>
    <n v="0.95009754373558819"/>
    <x v="1"/>
    <n v="-5.866836800045015E-15"/>
    <x v="1"/>
    <n v="0"/>
  </r>
  <r>
    <x v="3"/>
    <d v="2024-01-21T19:00:00"/>
    <n v="0"/>
    <n v="0"/>
    <n v="0"/>
    <n v="22.766996668307598"/>
    <s v="OK"/>
    <s v="ZERO"/>
    <n v="0"/>
    <n v="0"/>
    <x v="0"/>
    <n v="0"/>
    <x v="0"/>
    <n v="0"/>
  </r>
  <r>
    <x v="3"/>
    <d v="2024-01-21T20:00:00"/>
    <n v="0"/>
    <n v="0"/>
    <n v="0"/>
    <n v="36.370211214003902"/>
    <s v="OK"/>
    <s v="ZERO"/>
    <n v="0"/>
    <n v="0"/>
    <x v="0"/>
    <n v="0"/>
    <x v="0"/>
    <n v="0"/>
  </r>
  <r>
    <x v="3"/>
    <d v="2024-01-21T21:00:00"/>
    <n v="0"/>
    <n v="0"/>
    <n v="0"/>
    <n v="57.689722002624102"/>
    <s v="OK"/>
    <s v="ZERO"/>
    <n v="0"/>
    <n v="0"/>
    <x v="0"/>
    <n v="0"/>
    <x v="0"/>
    <n v="0"/>
  </r>
  <r>
    <x v="3"/>
    <d v="2024-01-21T22:00:00"/>
    <n v="0"/>
    <n v="0"/>
    <n v="0"/>
    <n v="69.011669904368503"/>
    <s v="OK"/>
    <s v="ZERO"/>
    <n v="0"/>
    <n v="0"/>
    <x v="0"/>
    <n v="0"/>
    <x v="0"/>
    <n v="0"/>
  </r>
  <r>
    <x v="3"/>
    <d v="2024-01-21T23:00:00"/>
    <n v="0"/>
    <n v="0"/>
    <n v="0"/>
    <n v="77.911437860559801"/>
    <s v="OK"/>
    <s v="ZERO"/>
    <n v="0"/>
    <n v="0"/>
    <x v="0"/>
    <n v="0"/>
    <x v="0"/>
    <n v="0"/>
  </r>
  <r>
    <x v="3"/>
    <d v="2024-01-22T00:00:00"/>
    <n v="0"/>
    <n v="0"/>
    <n v="0"/>
    <n v="89.538112830199097"/>
    <s v="OK"/>
    <s v="ZERO"/>
    <n v="0"/>
    <n v="0"/>
    <x v="0"/>
    <n v="0"/>
    <x v="0"/>
    <n v="0"/>
  </r>
  <r>
    <x v="3"/>
    <d v="2024-01-22T01:00:00"/>
    <n v="0"/>
    <n v="0"/>
    <n v="0"/>
    <n v="29.8947369315358"/>
    <s v="OK"/>
    <s v="ZERO"/>
    <n v="0"/>
    <n v="0"/>
    <x v="0"/>
    <n v="0"/>
    <x v="0"/>
    <n v="0"/>
  </r>
  <r>
    <x v="3"/>
    <d v="2024-01-22T02:00:00"/>
    <n v="0"/>
    <n v="0"/>
    <n v="0"/>
    <n v="67.703026634891401"/>
    <s v="OK"/>
    <s v="ZERO"/>
    <n v="0"/>
    <n v="0"/>
    <x v="0"/>
    <n v="0"/>
    <x v="0"/>
    <n v="0"/>
  </r>
  <r>
    <x v="3"/>
    <d v="2024-01-22T03:00:00"/>
    <n v="0"/>
    <n v="0"/>
    <n v="0"/>
    <n v="48.143084937268597"/>
    <s v="OK"/>
    <s v="ZERO"/>
    <n v="0"/>
    <n v="0"/>
    <x v="0"/>
    <n v="0"/>
    <x v="0"/>
    <n v="0"/>
  </r>
  <r>
    <x v="3"/>
    <d v="2024-01-22T04:00:00"/>
    <n v="0"/>
    <n v="0"/>
    <n v="0"/>
    <n v="50.663274629380098"/>
    <s v="OK"/>
    <s v="ZERO"/>
    <n v="0"/>
    <n v="0"/>
    <x v="0"/>
    <n v="0"/>
    <x v="0"/>
    <n v="0"/>
  </r>
  <r>
    <x v="3"/>
    <d v="2024-01-22T05:00:00"/>
    <n v="0"/>
    <n v="0"/>
    <n v="0"/>
    <n v="25.697021522368701"/>
    <s v="OK"/>
    <s v="ZERO"/>
    <n v="0"/>
    <n v="0"/>
    <x v="0"/>
    <n v="0"/>
    <x v="0"/>
    <n v="0"/>
  </r>
  <r>
    <x v="3"/>
    <d v="2024-01-22T06:00:00"/>
    <n v="0"/>
    <n v="0"/>
    <n v="0"/>
    <n v="84.849433541741803"/>
    <s v="OK"/>
    <s v="ZERO"/>
    <n v="0"/>
    <n v="0"/>
    <x v="0"/>
    <n v="0"/>
    <x v="0"/>
    <n v="0"/>
  </r>
  <r>
    <x v="3"/>
    <d v="2024-01-22T07:00:00"/>
    <n v="250.69607230181001"/>
    <n v="241.657561189235"/>
    <n v="241.657561189235"/>
    <n v="62.707451232114003"/>
    <s v="OK"/>
    <s v="NON-ZERO"/>
    <n v="248.466283298419"/>
    <n v="0.97259699779464071"/>
    <x v="1"/>
    <n v="-6.8087221091840036"/>
    <x v="1"/>
    <n v="0"/>
  </r>
  <r>
    <x v="3"/>
    <d v="2024-01-22T08:00:00"/>
    <n v="412.93166715619202"/>
    <n v="398.04396896428801"/>
    <n v="398.04396896428801"/>
    <n v="27.790534270910701"/>
    <s v="OK"/>
    <s v="NON-ZERO"/>
    <n v="479.99999999999898"/>
    <n v="0.82925826867560182"/>
    <x v="0"/>
    <n v="-81.956031035710964"/>
    <x v="1"/>
    <n v="-4.0978015517855484"/>
  </r>
  <r>
    <x v="3"/>
    <d v="2024-01-22T09:00:00"/>
    <n v="627.15065361891698"/>
    <n v="604.53957678812901"/>
    <n v="604.53957678812901"/>
    <n v="43.007956351462397"/>
    <s v="OK"/>
    <s v="NON-ZERO"/>
    <n v="678.82250993908497"/>
    <n v="0.89057090467194167"/>
    <x v="1"/>
    <n v="-74.282933150955955"/>
    <x v="1"/>
    <n v="0"/>
  </r>
  <r>
    <x v="3"/>
    <d v="2024-01-22T10:00:00"/>
    <n v="635.35112869873706"/>
    <n v="612.44439472239901"/>
    <n v="612.44439472239901"/>
    <n v="68.329712171139903"/>
    <s v="OK"/>
    <s v="NON-ZERO"/>
    <n v="831.38438763306101"/>
    <n v="0.73665611699303024"/>
    <x v="0"/>
    <n v="-218.939992910662"/>
    <x v="1"/>
    <n v="-10.946999645533101"/>
  </r>
  <r>
    <x v="3"/>
    <d v="2024-01-22T11:00:00"/>
    <n v="796.66021391499896"/>
    <n v="767.93769692339595"/>
    <n v="767.93769692339595"/>
    <n v="44.174998385035501"/>
    <s v="OK"/>
    <s v="NON-ZERO"/>
    <n v="927.28879323750505"/>
    <n v="0.82815375589976015"/>
    <x v="0"/>
    <n v="-159.3510963141091"/>
    <x v="1"/>
    <n v="-7.9675548157054541"/>
  </r>
  <r>
    <x v="3"/>
    <d v="2024-01-22T12:00:00"/>
    <n v="790.29924479833005"/>
    <n v="761.80606402855096"/>
    <n v="761.80606402855096"/>
    <n v="32.349101619202202"/>
    <s v="OK"/>
    <s v="NON-ZERO"/>
    <n v="960"/>
    <n v="0.79354798336307397"/>
    <x v="0"/>
    <n v="-198.19393597144904"/>
    <x v="1"/>
    <n v="-9.9096967985724511"/>
  </r>
  <r>
    <x v="3"/>
    <d v="2024-01-22T13:00:00"/>
    <n v="0"/>
    <n v="0"/>
    <n v="0"/>
    <n v="38.304758828219299"/>
    <s v="OK"/>
    <s v="ZERO"/>
    <n v="927.28879323750505"/>
    <n v="0"/>
    <x v="0"/>
    <n v="-927.28879323750505"/>
    <x v="1"/>
    <n v="-46.364439661875252"/>
  </r>
  <r>
    <x v="3"/>
    <d v="2024-01-22T14:00:00"/>
    <n v="794.88448080717797"/>
    <n v="766.22598549441898"/>
    <n v="766.22598549441898"/>
    <n v="36.170679731164199"/>
    <s v="OK"/>
    <s v="NON-ZERO"/>
    <n v="831.38438763306101"/>
    <n v="0.92162662288601904"/>
    <x v="1"/>
    <n v="-65.158402138642032"/>
    <x v="1"/>
    <n v="0"/>
  </r>
  <r>
    <x v="3"/>
    <d v="2024-01-22T15:00:00"/>
    <n v="596.99391901630997"/>
    <n v="575.47010286065802"/>
    <n v="575.47010286065802"/>
    <n v="80.765438712750097"/>
    <s v="OK"/>
    <s v="NON-ZERO"/>
    <n v="678.82250993908497"/>
    <n v="0.8477475252143577"/>
    <x v="0"/>
    <n v="-103.35240707842695"/>
    <x v="1"/>
    <n v="-5.1676203539213477"/>
  </r>
  <r>
    <x v="3"/>
    <d v="2024-01-22T16:00:00"/>
    <n v="521.22452187773399"/>
    <n v="502.43246985281598"/>
    <n v="502.43246985281598"/>
    <n v="38.651885710335101"/>
    <s v="OK"/>
    <s v="NON-ZERO"/>
    <n v="479.99999999999898"/>
    <n v="1.0467343121933688"/>
    <x v="1"/>
    <n v="22.432469852817007"/>
    <x v="0"/>
    <n v="0"/>
  </r>
  <r>
    <x v="3"/>
    <d v="2024-01-22T17:00:00"/>
    <n v="237.649686406759"/>
    <n v="229.08154526371999"/>
    <n v="229.08154526371999"/>
    <n v="39.273945339033503"/>
    <s v="OK"/>
    <s v="NON-ZERO"/>
    <n v="248.46628329842"/>
    <n v="0.92198242040181366"/>
    <x v="1"/>
    <n v="-19.384738034700007"/>
    <x v="1"/>
    <n v="0"/>
  </r>
  <r>
    <x v="3"/>
    <d v="2024-01-22T18:00:00"/>
    <n v="1.0936223238682799E-13"/>
    <n v="1.05419323574383E-13"/>
    <n v="1.05419323574383E-13"/>
    <n v="42.950457890670698"/>
    <s v="OK"/>
    <s v="NON-ZERO"/>
    <n v="1.1756609271814501E-13"/>
    <n v="0.89668135715896513"/>
    <x v="1"/>
    <n v="-1.214676914376201E-14"/>
    <x v="1"/>
    <n v="0"/>
  </r>
  <r>
    <x v="3"/>
    <d v="2024-01-22T19:00:00"/>
    <n v="0"/>
    <n v="0"/>
    <n v="0"/>
    <n v="84.346809154813101"/>
    <s v="OK"/>
    <s v="ZERO"/>
    <n v="0"/>
    <n v="0"/>
    <x v="0"/>
    <n v="0"/>
    <x v="0"/>
    <n v="0"/>
  </r>
  <r>
    <x v="3"/>
    <d v="2024-01-22T20:00:00"/>
    <n v="0"/>
    <n v="0"/>
    <n v="0"/>
    <n v="74.607836927580607"/>
    <s v="OK"/>
    <s v="ZERO"/>
    <n v="0"/>
    <n v="0"/>
    <x v="0"/>
    <n v="0"/>
    <x v="0"/>
    <n v="0"/>
  </r>
  <r>
    <x v="3"/>
    <d v="2024-01-22T21:00:00"/>
    <n v="0"/>
    <n v="0"/>
    <n v="0"/>
    <n v="85.257909375807799"/>
    <s v="OK"/>
    <s v="ZERO"/>
    <n v="0"/>
    <n v="0"/>
    <x v="0"/>
    <n v="0"/>
    <x v="0"/>
    <n v="0"/>
  </r>
  <r>
    <x v="3"/>
    <d v="2024-01-22T22:00:00"/>
    <n v="0"/>
    <n v="0"/>
    <n v="0"/>
    <n v="20.4239078630888"/>
    <s v="OK"/>
    <s v="ZERO"/>
    <n v="0"/>
    <n v="0"/>
    <x v="0"/>
    <n v="0"/>
    <x v="0"/>
    <n v="0"/>
  </r>
  <r>
    <x v="3"/>
    <d v="2024-01-22T23:00:00"/>
    <n v="0"/>
    <n v="0"/>
    <n v="0"/>
    <n v="55.268673924498202"/>
    <s v="OK"/>
    <s v="ZERO"/>
    <n v="0"/>
    <n v="0"/>
    <x v="0"/>
    <n v="0"/>
    <x v="0"/>
    <n v="0"/>
  </r>
  <r>
    <x v="3"/>
    <d v="2024-01-23T00:00:00"/>
    <n v="0"/>
    <n v="0"/>
    <n v="0"/>
    <n v="49.630724404114403"/>
    <s v="OK"/>
    <s v="ZERO"/>
    <n v="0"/>
    <n v="0"/>
    <x v="0"/>
    <n v="0"/>
    <x v="0"/>
    <n v="0"/>
  </r>
  <r>
    <x v="3"/>
    <d v="2024-01-23T01:00:00"/>
    <n v="0"/>
    <n v="0"/>
    <n v="0"/>
    <n v="48.009816259454098"/>
    <s v="OK"/>
    <s v="ZERO"/>
    <n v="0"/>
    <n v="0"/>
    <x v="0"/>
    <n v="0"/>
    <x v="0"/>
    <n v="0"/>
  </r>
  <r>
    <x v="3"/>
    <d v="2024-01-23T02:00:00"/>
    <n v="0"/>
    <n v="0"/>
    <n v="0"/>
    <n v="27.900042068372301"/>
    <s v="OK"/>
    <s v="ZERO"/>
    <n v="0"/>
    <n v="0"/>
    <x v="0"/>
    <n v="0"/>
    <x v="0"/>
    <n v="0"/>
  </r>
  <r>
    <x v="3"/>
    <d v="2024-01-23T03:00:00"/>
    <n v="0"/>
    <n v="0"/>
    <n v="0"/>
    <n v="34.544586521051002"/>
    <s v="OK"/>
    <s v="ZERO"/>
    <n v="0"/>
    <n v="0"/>
    <x v="0"/>
    <n v="0"/>
    <x v="0"/>
    <n v="0"/>
  </r>
  <r>
    <x v="3"/>
    <d v="2024-01-23T04:00:00"/>
    <n v="0"/>
    <n v="0"/>
    <n v="0"/>
    <n v="36.619507282958502"/>
    <s v="OK"/>
    <s v="ZERO"/>
    <n v="0"/>
    <n v="0"/>
    <x v="0"/>
    <n v="0"/>
    <x v="0"/>
    <n v="0"/>
  </r>
  <r>
    <x v="3"/>
    <d v="2024-01-23T05:00:00"/>
    <n v="0"/>
    <n v="0"/>
    <n v="0"/>
    <n v="89.159849414705704"/>
    <s v="OK"/>
    <s v="ZERO"/>
    <n v="0"/>
    <n v="0"/>
    <x v="0"/>
    <n v="0"/>
    <x v="0"/>
    <n v="0"/>
  </r>
  <r>
    <x v="3"/>
    <d v="2024-01-23T06:00:00"/>
    <n v="0"/>
    <n v="0"/>
    <n v="0"/>
    <n v="41.786120420670699"/>
    <s v="OK"/>
    <s v="ZERO"/>
    <n v="0"/>
    <n v="0"/>
    <x v="0"/>
    <n v="0"/>
    <x v="0"/>
    <n v="0"/>
  </r>
  <r>
    <x v="3"/>
    <d v="2024-01-23T07:00:00"/>
    <n v="269.59496107575899"/>
    <n v="259.87507584100399"/>
    <n v="259.87507584100399"/>
    <n v="32.355577877245302"/>
    <s v="OK"/>
    <s v="NON-ZERO"/>
    <n v="248.466283298419"/>
    <n v="1.0459168640152374"/>
    <x v="1"/>
    <n v="11.40879254258499"/>
    <x v="0"/>
    <n v="0"/>
  </r>
  <r>
    <x v="3"/>
    <d v="2024-01-23T08:00:00"/>
    <n v="454.06627059999698"/>
    <n v="437.69551937529297"/>
    <n v="437.69551937529297"/>
    <n v="88.964797168462397"/>
    <s v="OK"/>
    <s v="NON-ZERO"/>
    <n v="479.99999999999898"/>
    <n v="0.91186566536519564"/>
    <x v="1"/>
    <n v="-42.304480624706002"/>
    <x v="1"/>
    <n v="0"/>
  </r>
  <r>
    <x v="3"/>
    <d v="2024-01-23T09:00:00"/>
    <n v="617.62938855948596"/>
    <n v="595.36158818793899"/>
    <n v="595.36158818793899"/>
    <n v="64.151673075201202"/>
    <s v="OK"/>
    <s v="NON-ZERO"/>
    <n v="678.82250993908497"/>
    <n v="0.87705045055351005"/>
    <x v="1"/>
    <n v="-83.460921751145975"/>
    <x v="1"/>
    <n v="0"/>
  </r>
  <r>
    <x v="3"/>
    <d v="2024-01-23T10:00:00"/>
    <n v="778.27619297570197"/>
    <n v="750.21648723609906"/>
    <n v="750.21648723609906"/>
    <n v="64.523943458510701"/>
    <s v="OK"/>
    <s v="NON-ZERO"/>
    <n v="831.38438763306101"/>
    <n v="0.90237018928386936"/>
    <x v="1"/>
    <n v="-81.167900396961954"/>
    <x v="1"/>
    <n v="0"/>
  </r>
  <r>
    <x v="3"/>
    <d v="2024-01-23T11:00:00"/>
    <n v="889.734814624043"/>
    <n v="857.65661756500697"/>
    <n v="857.65661756500697"/>
    <n v="93.653006569323594"/>
    <s v="OK"/>
    <s v="NON-ZERO"/>
    <n v="927.28879323750505"/>
    <n v="0.92490777826680437"/>
    <x v="1"/>
    <n v="-69.632175672498079"/>
    <x v="1"/>
    <n v="0"/>
  </r>
  <r>
    <x v="3"/>
    <d v="2024-01-23T12:00:00"/>
    <n v="873.59851936723396"/>
    <n v="842.10209482124606"/>
    <n v="842.10209482124606"/>
    <n v="86.6978542871163"/>
    <s v="OK"/>
    <s v="NON-ZERO"/>
    <n v="960"/>
    <n v="0.87718968210546466"/>
    <x v="1"/>
    <n v="-117.89790517875394"/>
    <x v="1"/>
    <n v="0"/>
  </r>
  <r>
    <x v="3"/>
    <d v="2024-01-23T13:00:00"/>
    <n v="943.63874128033297"/>
    <n v="909.61711034289203"/>
    <n v="909.61711034289203"/>
    <n v="62.260285535963803"/>
    <s v="OK"/>
    <s v="NON-ZERO"/>
    <n v="927.28879323750505"/>
    <n v="0.98094263294942374"/>
    <x v="1"/>
    <n v="-17.671682894613014"/>
    <x v="1"/>
    <n v="0"/>
  </r>
  <r>
    <x v="3"/>
    <d v="2024-01-23T14:00:00"/>
    <n v="794.89444700693798"/>
    <n v="766.23559237619395"/>
    <n v="766.23559237619395"/>
    <n v="76.859690487263293"/>
    <s v="OK"/>
    <s v="NON-ZERO"/>
    <n v="831.38438763306101"/>
    <n v="0.9216381781688916"/>
    <x v="1"/>
    <n v="-65.148795256867061"/>
    <x v="1"/>
    <n v="0"/>
  </r>
  <r>
    <x v="3"/>
    <d v="2024-01-23T15:00:00"/>
    <n v="595.59003876421798"/>
    <n v="574.116837630742"/>
    <n v="574.116837630742"/>
    <n v="80.682741261728395"/>
    <s v="OK"/>
    <s v="NON-ZERO"/>
    <n v="678.82250993908497"/>
    <n v="0.84575397725432111"/>
    <x v="0"/>
    <n v="-104.70567230834297"/>
    <x v="1"/>
    <n v="-5.2352836154171483"/>
  </r>
  <r>
    <x v="3"/>
    <d v="2024-01-23T16:00:00"/>
    <n v="457.53314548759198"/>
    <n v="441.03740073223599"/>
    <n v="441.03740073223599"/>
    <n v="49.853238057807097"/>
    <s v="OK"/>
    <s v="NON-ZERO"/>
    <n v="479.99999999999898"/>
    <n v="0.91882791819216025"/>
    <x v="1"/>
    <n v="-38.962599267762982"/>
    <x v="1"/>
    <n v="0"/>
  </r>
  <r>
    <x v="3"/>
    <d v="2024-01-23T17:00:00"/>
    <n v="233.08935152132901"/>
    <n v="224.685627144618"/>
    <n v="224.685627144618"/>
    <n v="81.920650438069501"/>
    <s v="OK"/>
    <s v="NON-ZERO"/>
    <n v="248.46628329842"/>
    <n v="0.90429020856226083"/>
    <x v="1"/>
    <n v="-23.780656153801999"/>
    <x v="1"/>
    <n v="0"/>
  </r>
  <r>
    <x v="3"/>
    <d v="2024-01-23T18:00:00"/>
    <n v="1.27400589667868E-13"/>
    <n v="1.22807332043651E-13"/>
    <n v="1.22807332043651E-13"/>
    <n v="36.251498277904403"/>
    <s v="OK"/>
    <s v="NON-ZERO"/>
    <n v="1.1756609271814501E-13"/>
    <n v="1.0445812155896976"/>
    <x v="1"/>
    <n v="5.2412393255059928E-15"/>
    <x v="0"/>
    <n v="0"/>
  </r>
  <r>
    <x v="3"/>
    <d v="2024-01-23T19:00:00"/>
    <n v="0"/>
    <n v="0"/>
    <n v="0"/>
    <n v="73.8678496235963"/>
    <s v="OK"/>
    <s v="ZERO"/>
    <n v="0"/>
    <n v="0"/>
    <x v="0"/>
    <n v="0"/>
    <x v="0"/>
    <n v="0"/>
  </r>
  <r>
    <x v="3"/>
    <d v="2024-01-23T20:00:00"/>
    <n v="0"/>
    <n v="0"/>
    <n v="0"/>
    <n v="49.846795797182601"/>
    <s v="OK"/>
    <s v="ZERO"/>
    <n v="0"/>
    <n v="0"/>
    <x v="0"/>
    <n v="0"/>
    <x v="0"/>
    <n v="0"/>
  </r>
  <r>
    <x v="3"/>
    <d v="2024-01-23T21:00:00"/>
    <n v="0"/>
    <n v="0"/>
    <n v="0"/>
    <n v="29.295439569832901"/>
    <s v="OK"/>
    <s v="ZERO"/>
    <n v="0"/>
    <n v="0"/>
    <x v="0"/>
    <n v="0"/>
    <x v="0"/>
    <n v="0"/>
  </r>
  <r>
    <x v="3"/>
    <d v="2024-01-23T22:00:00"/>
    <n v="0"/>
    <n v="0"/>
    <n v="0"/>
    <n v="87.178938106100105"/>
    <s v="OK"/>
    <s v="ZERO"/>
    <n v="0"/>
    <n v="0"/>
    <x v="0"/>
    <n v="0"/>
    <x v="0"/>
    <n v="0"/>
  </r>
  <r>
    <x v="3"/>
    <d v="2024-01-23T23:00:00"/>
    <n v="0"/>
    <n v="0"/>
    <n v="0"/>
    <n v="24.878446830285501"/>
    <s v="OK"/>
    <s v="ZERO"/>
    <n v="0"/>
    <n v="0"/>
    <x v="0"/>
    <n v="0"/>
    <x v="0"/>
    <n v="0"/>
  </r>
  <r>
    <x v="3"/>
    <d v="2024-01-24T00:00:00"/>
    <n v="0"/>
    <n v="0"/>
    <n v="0"/>
    <n v="55.840797923979302"/>
    <s v="OK"/>
    <s v="ZERO"/>
    <n v="0"/>
    <n v="0"/>
    <x v="0"/>
    <n v="0"/>
    <x v="0"/>
    <n v="0"/>
  </r>
  <r>
    <x v="3"/>
    <d v="2024-01-24T01:00:00"/>
    <n v="0"/>
    <n v="0"/>
    <n v="0"/>
    <n v="89.491783635637802"/>
    <s v="OK"/>
    <s v="ZERO"/>
    <n v="0"/>
    <n v="0"/>
    <x v="0"/>
    <n v="0"/>
    <x v="0"/>
    <n v="0"/>
  </r>
  <r>
    <x v="3"/>
    <d v="2024-01-24T02:00:00"/>
    <n v="0"/>
    <n v="0"/>
    <n v="0"/>
    <n v="94.1888123274572"/>
    <s v="OK"/>
    <s v="ZERO"/>
    <n v="0"/>
    <n v="0"/>
    <x v="0"/>
    <n v="0"/>
    <x v="0"/>
    <n v="0"/>
  </r>
  <r>
    <x v="3"/>
    <d v="2024-01-24T03:00:00"/>
    <n v="0"/>
    <n v="0"/>
    <n v="0"/>
    <n v="38.351464109245399"/>
    <s v="OK"/>
    <s v="ZERO"/>
    <n v="0"/>
    <n v="0"/>
    <x v="0"/>
    <n v="0"/>
    <x v="0"/>
    <n v="0"/>
  </r>
  <r>
    <x v="3"/>
    <d v="2024-01-24T04:00:00"/>
    <n v="0"/>
    <n v="0"/>
    <n v="0"/>
    <n v="93.456538525819894"/>
    <s v="OK"/>
    <s v="ZERO"/>
    <n v="0"/>
    <n v="0"/>
    <x v="0"/>
    <n v="0"/>
    <x v="0"/>
    <n v="0"/>
  </r>
  <r>
    <x v="3"/>
    <d v="2024-01-24T05:00:00"/>
    <n v="0"/>
    <n v="0"/>
    <n v="0"/>
    <n v="20.309536600595202"/>
    <s v="OK"/>
    <s v="ZERO"/>
    <n v="0"/>
    <n v="0"/>
    <x v="0"/>
    <n v="0"/>
    <x v="0"/>
    <n v="0"/>
  </r>
  <r>
    <x v="3"/>
    <d v="2024-01-24T06:00:00"/>
    <n v="0"/>
    <n v="0"/>
    <n v="0"/>
    <n v="62.417324417596497"/>
    <s v="OK"/>
    <s v="ZERO"/>
    <n v="0"/>
    <n v="0"/>
    <x v="0"/>
    <n v="0"/>
    <x v="0"/>
    <n v="0"/>
  </r>
  <r>
    <x v="3"/>
    <d v="2024-01-24T07:00:00"/>
    <n v="229.06655047503199"/>
    <n v="220.807862802036"/>
    <n v="220.807862802036"/>
    <n v="49.103695254381002"/>
    <s v="OK"/>
    <s v="NON-ZERO"/>
    <n v="248.466283298419"/>
    <n v="0.88868340553408598"/>
    <x v="1"/>
    <n v="-27.658420496383002"/>
    <x v="1"/>
    <n v="0"/>
  </r>
  <r>
    <x v="3"/>
    <d v="2024-01-24T08:00:00"/>
    <n v="473.87269079799302"/>
    <n v="456.78784562113299"/>
    <n v="456.78784562113299"/>
    <n v="56.325717670409297"/>
    <s v="OK"/>
    <s v="NON-ZERO"/>
    <n v="479.99999999999898"/>
    <n v="0.95164134504402909"/>
    <x v="1"/>
    <n v="-23.212154378865989"/>
    <x v="1"/>
    <n v="0"/>
  </r>
  <r>
    <x v="3"/>
    <d v="2024-01-24T09:00:00"/>
    <n v="617.68767589516699"/>
    <n v="595.41777405180096"/>
    <n v="595.41777405180096"/>
    <n v="37.970737402115397"/>
    <s v="OK"/>
    <s v="NON-ZERO"/>
    <n v="678.82250993908497"/>
    <n v="0.8771332201479759"/>
    <x v="1"/>
    <n v="-83.404735887284005"/>
    <x v="1"/>
    <n v="0"/>
  </r>
  <r>
    <x v="3"/>
    <d v="2024-01-24T10:00:00"/>
    <n v="760.34812093379105"/>
    <n v="732.93478781937495"/>
    <n v="732.93478781937495"/>
    <n v="74.138987039983405"/>
    <s v="OK"/>
    <s v="NON-ZERO"/>
    <n v="831.38438763306101"/>
    <n v="0.88158353551241131"/>
    <x v="1"/>
    <n v="-98.449599813686063"/>
    <x v="1"/>
    <n v="0"/>
  </r>
  <r>
    <x v="3"/>
    <d v="2024-01-24T11:00:00"/>
    <n v="945.54994845408498"/>
    <n v="911.45941150180397"/>
    <n v="911.45941150180397"/>
    <n v="23.696899926785299"/>
    <s v="OK"/>
    <s v="NON-ZERO"/>
    <n v="927.28879323750505"/>
    <n v="0.98292939389417733"/>
    <x v="1"/>
    <n v="-15.829381735701077"/>
    <x v="1"/>
    <n v="0"/>
  </r>
  <r>
    <x v="3"/>
    <d v="2024-01-24T12:00:00"/>
    <n v="971.336673007032"/>
    <n v="936.31643023890501"/>
    <n v="936.31643023890501"/>
    <n v="91.551185308938997"/>
    <s v="OK"/>
    <s v="NON-ZERO"/>
    <n v="960"/>
    <n v="0.97532961483219272"/>
    <x v="1"/>
    <n v="-23.683569761094986"/>
    <x v="1"/>
    <n v="0"/>
  </r>
  <r>
    <x v="3"/>
    <d v="2024-01-24T13:00:00"/>
    <n v="914.45418268538401"/>
    <n v="881.48476191922396"/>
    <n v="881.48476191922396"/>
    <n v="92.585910274364196"/>
    <s v="OK"/>
    <s v="NON-ZERO"/>
    <n v="927.28879323750505"/>
    <n v="0.95060435146815214"/>
    <x v="1"/>
    <n v="-45.804031318281091"/>
    <x v="1"/>
    <n v="0"/>
  </r>
  <r>
    <x v="3"/>
    <d v="2024-01-24T14:00:00"/>
    <n v="762.78433790109295"/>
    <n v="735.28317024691205"/>
    <n v="735.28317024691205"/>
    <n v="53.976106278514102"/>
    <s v="OK"/>
    <s v="NON-ZERO"/>
    <n v="831.38438763306101"/>
    <n v="0.8844082005680336"/>
    <x v="1"/>
    <n v="-96.10121738614896"/>
    <x v="1"/>
    <n v="0"/>
  </r>
  <r>
    <x v="3"/>
    <d v="2024-01-24T15:00:00"/>
    <n v="685.156346370851"/>
    <n v="660.45395197885398"/>
    <n v="660.45395197885398"/>
    <n v="39.330504598363802"/>
    <s v="OK"/>
    <s v="NON-ZERO"/>
    <n v="678.82250993908497"/>
    <n v="0.97294055855354689"/>
    <x v="1"/>
    <n v="-18.368557960230987"/>
    <x v="1"/>
    <n v="0"/>
  </r>
  <r>
    <x v="3"/>
    <d v="2024-01-24T16:00:00"/>
    <n v="443.58938240401"/>
    <n v="427.59636135080501"/>
    <n v="427.59636135080501"/>
    <n v="66.694534742201697"/>
    <s v="OK"/>
    <s v="NON-ZERO"/>
    <n v="479.99999999999898"/>
    <n v="0.89082575281417897"/>
    <x v="1"/>
    <n v="-52.403638649193965"/>
    <x v="1"/>
    <n v="0"/>
  </r>
  <r>
    <x v="3"/>
    <d v="2024-01-24T17:00:00"/>
    <n v="240.036933461031"/>
    <n v="231.382723322852"/>
    <n v="231.382723322852"/>
    <n v="53.565667659970501"/>
    <s v="OK"/>
    <s v="NON-ZERO"/>
    <n v="248.46628329842"/>
    <n v="0.93124395089433598"/>
    <x v="1"/>
    <n v="-17.083559975567994"/>
    <x v="1"/>
    <n v="0"/>
  </r>
  <r>
    <x v="3"/>
    <d v="2024-01-24T18:00:00"/>
    <n v="1.11153580537284E-13"/>
    <n v="1.07146087066548E-13"/>
    <n v="1.07146087066548E-13"/>
    <n v="20.2808821033463"/>
    <s v="OK"/>
    <s v="NON-ZERO"/>
    <n v="1.1756609271814501E-13"/>
    <n v="0.91136895502193715"/>
    <x v="1"/>
    <n v="-1.0420005651597013E-14"/>
    <x v="1"/>
    <n v="0"/>
  </r>
  <r>
    <x v="3"/>
    <d v="2024-01-24T19:00:00"/>
    <n v="0"/>
    <n v="0"/>
    <n v="0"/>
    <n v="49.379582272338297"/>
    <s v="OK"/>
    <s v="ZERO"/>
    <n v="0"/>
    <n v="0"/>
    <x v="0"/>
    <n v="0"/>
    <x v="0"/>
    <n v="0"/>
  </r>
  <r>
    <x v="3"/>
    <d v="2024-01-24T20:00:00"/>
    <n v="0"/>
    <n v="0"/>
    <n v="0"/>
    <n v="91.009337921121499"/>
    <s v="OK"/>
    <s v="ZERO"/>
    <n v="0"/>
    <n v="0"/>
    <x v="0"/>
    <n v="0"/>
    <x v="0"/>
    <n v="0"/>
  </r>
  <r>
    <x v="3"/>
    <d v="2024-01-24T21:00:00"/>
    <n v="0"/>
    <n v="0"/>
    <n v="0"/>
    <n v="92.000949293953894"/>
    <s v="OK"/>
    <s v="ZERO"/>
    <n v="0"/>
    <n v="0"/>
    <x v="0"/>
    <n v="0"/>
    <x v="0"/>
    <n v="0"/>
  </r>
  <r>
    <x v="3"/>
    <d v="2024-01-24T22:00:00"/>
    <n v="0"/>
    <n v="0"/>
    <n v="0"/>
    <n v="26.0024427324452"/>
    <s v="OK"/>
    <s v="ZERO"/>
    <n v="0"/>
    <n v="0"/>
    <x v="0"/>
    <n v="0"/>
    <x v="0"/>
    <n v="0"/>
  </r>
  <r>
    <x v="3"/>
    <d v="2024-01-24T23:00:00"/>
    <n v="0"/>
    <n v="0"/>
    <n v="0"/>
    <n v="59.651439025911401"/>
    <s v="OK"/>
    <s v="ZERO"/>
    <n v="0"/>
    <n v="0"/>
    <x v="0"/>
    <n v="0"/>
    <x v="0"/>
    <n v="0"/>
  </r>
  <r>
    <x v="3"/>
    <d v="2024-01-25T00:00:00"/>
    <n v="0"/>
    <n v="0"/>
    <n v="0"/>
    <n v="93.443620902648902"/>
    <s v="OK"/>
    <s v="ZERO"/>
    <n v="0"/>
    <n v="0"/>
    <x v="0"/>
    <n v="0"/>
    <x v="0"/>
    <n v="0"/>
  </r>
  <r>
    <x v="3"/>
    <d v="2024-01-25T01:00:00"/>
    <n v="0"/>
    <n v="0"/>
    <n v="0"/>
    <n v="86.444275281260204"/>
    <s v="OK"/>
    <s v="ZERO"/>
    <n v="0"/>
    <n v="0"/>
    <x v="0"/>
    <n v="0"/>
    <x v="0"/>
    <n v="0"/>
  </r>
  <r>
    <x v="3"/>
    <d v="2024-01-25T02:00:00"/>
    <n v="0"/>
    <n v="0"/>
    <n v="0"/>
    <n v="82.753304043759599"/>
    <s v="OK"/>
    <s v="ZERO"/>
    <n v="0"/>
    <n v="0"/>
    <x v="0"/>
    <n v="0"/>
    <x v="0"/>
    <n v="0"/>
  </r>
  <r>
    <x v="3"/>
    <d v="2024-01-25T03:00:00"/>
    <n v="0"/>
    <n v="0"/>
    <n v="0"/>
    <n v="50.016432165410798"/>
    <s v="OK"/>
    <s v="ZERO"/>
    <n v="0"/>
    <n v="0"/>
    <x v="0"/>
    <n v="0"/>
    <x v="0"/>
    <n v="0"/>
  </r>
  <r>
    <x v="3"/>
    <d v="2024-01-25T04:00:00"/>
    <n v="0"/>
    <n v="0"/>
    <n v="0"/>
    <n v="24.533519223895201"/>
    <s v="OK"/>
    <s v="ZERO"/>
    <n v="0"/>
    <n v="0"/>
    <x v="0"/>
    <n v="0"/>
    <x v="0"/>
    <n v="0"/>
  </r>
  <r>
    <x v="3"/>
    <d v="2024-01-25T05:00:00"/>
    <n v="0"/>
    <n v="0"/>
    <n v="0"/>
    <n v="53.591850863334699"/>
    <s v="OK"/>
    <s v="ZERO"/>
    <n v="0"/>
    <n v="0"/>
    <x v="0"/>
    <n v="0"/>
    <x v="0"/>
    <n v="0"/>
  </r>
  <r>
    <x v="3"/>
    <d v="2024-01-25T06:00:00"/>
    <n v="0"/>
    <n v="0"/>
    <n v="0"/>
    <n v="60.792027236948002"/>
    <s v="OK"/>
    <s v="ZERO"/>
    <n v="0"/>
    <n v="0"/>
    <x v="0"/>
    <n v="0"/>
    <x v="0"/>
    <n v="0"/>
  </r>
  <r>
    <x v="3"/>
    <d v="2024-01-25T07:00:00"/>
    <n v="201.898209786173"/>
    <n v="194.61904024831"/>
    <n v="194.61904024831"/>
    <n v="37.869681000494701"/>
    <s v="OK"/>
    <s v="NON-ZERO"/>
    <n v="248.466283298419"/>
    <n v="0.78328148859764579"/>
    <x v="0"/>
    <n v="-53.847243050109"/>
    <x v="1"/>
    <n v="-2.6923621525054502"/>
  </r>
  <r>
    <x v="3"/>
    <d v="2024-01-25T08:00:00"/>
    <n v="462.30703745709798"/>
    <n v="445.63917642077899"/>
    <n v="445.63917642077899"/>
    <n v="46.828757370681998"/>
    <s v="OK"/>
    <s v="NON-ZERO"/>
    <n v="479.99999999999898"/>
    <n v="0.92841495087662484"/>
    <x v="1"/>
    <n v="-34.360823579219982"/>
    <x v="1"/>
    <n v="0"/>
  </r>
  <r>
    <x v="3"/>
    <d v="2024-01-25T09:00:00"/>
    <n v="699.61077242291105"/>
    <n v="674.38724305940104"/>
    <n v="674.38724305940104"/>
    <n v="74.483101858056202"/>
    <s v="OK"/>
    <s v="NON-ZERO"/>
    <n v="678.82250993908497"/>
    <n v="0.99346623481875707"/>
    <x v="1"/>
    <n v="-4.4352668796839225"/>
    <x v="1"/>
    <n v="0"/>
  </r>
  <r>
    <x v="3"/>
    <d v="2024-01-25T10:00:00"/>
    <n v="777.51866472362997"/>
    <n v="749.486270650547"/>
    <n v="749.486270650547"/>
    <n v="31.9955601775196"/>
    <s v="OK"/>
    <s v="NON-ZERO"/>
    <n v="831.38438763306101"/>
    <n v="0.90149187523754593"/>
    <x v="1"/>
    <n v="-81.898116982514011"/>
    <x v="1"/>
    <n v="0"/>
  </r>
  <r>
    <x v="3"/>
    <d v="2024-01-25T11:00:00"/>
    <n v="827.57332764255204"/>
    <n v="797.73627973953398"/>
    <n v="797.73627973953398"/>
    <n v="68.777417037158401"/>
    <s v="OK"/>
    <s v="NON-ZERO"/>
    <n v="927.28879323750505"/>
    <n v="0.86028892569093196"/>
    <x v="1"/>
    <n v="-129.55251349797106"/>
    <x v="1"/>
    <n v="0"/>
  </r>
  <r>
    <x v="3"/>
    <d v="2024-01-25T12:00:00"/>
    <n v="966.06775152156899"/>
    <n v="931.23747266057603"/>
    <n v="931.23747266057603"/>
    <n v="52.780856206810597"/>
    <s v="OK"/>
    <s v="NON-ZERO"/>
    <n v="960"/>
    <n v="0.97003903402143332"/>
    <x v="1"/>
    <n v="-28.762527339423968"/>
    <x v="1"/>
    <n v="0"/>
  </r>
  <r>
    <x v="3"/>
    <d v="2024-01-25T13:00:00"/>
    <n v="934.71286066166499"/>
    <n v="901.01304039489298"/>
    <n v="901.01304039489298"/>
    <n v="91.422603845083003"/>
    <s v="OK"/>
    <s v="NON-ZERO"/>
    <n v="927.28879323750505"/>
    <n v="0.97166389474968873"/>
    <x v="1"/>
    <n v="-26.275752842612064"/>
    <x v="1"/>
    <n v="0"/>
  </r>
  <r>
    <x v="3"/>
    <d v="2024-01-25T14:00:00"/>
    <n v="811.15758918894096"/>
    <n v="781.91238874915598"/>
    <n v="781.91238874915598"/>
    <n v="52.125709582622001"/>
    <s v="OK"/>
    <s v="NON-ZERO"/>
    <n v="831.38438763306101"/>
    <n v="0.94049443359797613"/>
    <x v="1"/>
    <n v="-49.47199888390503"/>
    <x v="1"/>
    <n v="0"/>
  </r>
  <r>
    <x v="3"/>
    <d v="2024-01-25T15:00:00"/>
    <n v="709.75647175068798"/>
    <n v="684.16715278673905"/>
    <n v="684.16715278673905"/>
    <n v="84.758235013274998"/>
    <s v="OK"/>
    <s v="NON-ZERO"/>
    <n v="678.82250993908497"/>
    <n v="1.0078734025012426"/>
    <x v="1"/>
    <n v="5.3446428476540859"/>
    <x v="0"/>
    <n v="0"/>
  </r>
  <r>
    <x v="3"/>
    <d v="2024-01-25T16:00:00"/>
    <n v="442.40291602867501"/>
    <n v="426.45267143151699"/>
    <n v="426.45267143151699"/>
    <n v="91.836449285994405"/>
    <s v="OK"/>
    <s v="NON-ZERO"/>
    <n v="479.99999999999898"/>
    <n v="0.88844306548232899"/>
    <x v="1"/>
    <n v="-53.547328568481987"/>
    <x v="1"/>
    <n v="0"/>
  </r>
  <r>
    <x v="3"/>
    <d v="2024-01-25T17:00:00"/>
    <n v="201.65575169834301"/>
    <n v="194.385323662096"/>
    <n v="194.385323662096"/>
    <n v="34.201717076049803"/>
    <s v="OK"/>
    <s v="NON-ZERO"/>
    <n v="248.46628329842"/>
    <n v="0.7823408515699084"/>
    <x v="0"/>
    <n v="-54.080959636323996"/>
    <x v="1"/>
    <n v="-2.7040479818162"/>
  </r>
  <r>
    <x v="3"/>
    <d v="2024-01-25T18:00:00"/>
    <n v="1.08249536964742E-13"/>
    <n v="1.04346744895431E-13"/>
    <n v="1.04346744895431E-13"/>
    <n v="66.919218760231402"/>
    <s v="OK"/>
    <s v="NON-ZERO"/>
    <n v="1.1756609271814501E-13"/>
    <n v="0.88755815969485097"/>
    <x v="1"/>
    <n v="-1.321934782271401E-14"/>
    <x v="1"/>
    <n v="0"/>
  </r>
  <r>
    <x v="3"/>
    <d v="2024-01-25T19:00:00"/>
    <n v="0"/>
    <n v="0"/>
    <n v="0"/>
    <n v="25.574815426518501"/>
    <s v="OK"/>
    <s v="ZERO"/>
    <n v="0"/>
    <n v="0"/>
    <x v="0"/>
    <n v="0"/>
    <x v="0"/>
    <n v="0"/>
  </r>
  <r>
    <x v="3"/>
    <d v="2024-01-25T20:00:00"/>
    <n v="0"/>
    <n v="0"/>
    <n v="0"/>
    <n v="61.193845353341999"/>
    <s v="OK"/>
    <s v="ZERO"/>
    <n v="0"/>
    <n v="0"/>
    <x v="0"/>
    <n v="0"/>
    <x v="0"/>
    <n v="0"/>
  </r>
  <r>
    <x v="3"/>
    <d v="2024-01-25T21:00:00"/>
    <n v="0"/>
    <n v="0"/>
    <n v="0"/>
    <n v="30.279476265243499"/>
    <s v="OK"/>
    <s v="ZERO"/>
    <n v="0"/>
    <n v="0"/>
    <x v="0"/>
    <n v="0"/>
    <x v="0"/>
    <n v="0"/>
  </r>
  <r>
    <x v="3"/>
    <d v="2024-01-25T22:00:00"/>
    <n v="0"/>
    <n v="0"/>
    <n v="0"/>
    <n v="85.477670114460196"/>
    <s v="OK"/>
    <s v="ZERO"/>
    <n v="0"/>
    <n v="0"/>
    <x v="0"/>
    <n v="0"/>
    <x v="0"/>
    <n v="0"/>
  </r>
  <r>
    <x v="3"/>
    <d v="2024-01-25T23:00:00"/>
    <n v="0"/>
    <n v="0"/>
    <n v="0"/>
    <n v="50.514808065447397"/>
    <s v="OK"/>
    <s v="ZERO"/>
    <n v="0"/>
    <n v="0"/>
    <x v="0"/>
    <n v="0"/>
    <x v="0"/>
    <n v="0"/>
  </r>
  <r>
    <x v="3"/>
    <d v="2024-01-26T00:00:00"/>
    <n v="0"/>
    <n v="0"/>
    <n v="0"/>
    <n v="42.281041240849802"/>
    <s v="OK"/>
    <s v="ZERO"/>
    <n v="0"/>
    <n v="0"/>
    <x v="0"/>
    <n v="0"/>
    <x v="0"/>
    <n v="0"/>
  </r>
  <r>
    <x v="3"/>
    <d v="2024-01-26T01:00:00"/>
    <n v="0"/>
    <n v="0"/>
    <n v="0"/>
    <n v="28.3289333283582"/>
    <s v="OK"/>
    <s v="ZERO"/>
    <n v="0"/>
    <n v="0"/>
    <x v="0"/>
    <n v="0"/>
    <x v="0"/>
    <n v="0"/>
  </r>
  <r>
    <x v="3"/>
    <d v="2024-01-26T02:00:00"/>
    <n v="0"/>
    <n v="0"/>
    <n v="0"/>
    <n v="25.7464860447236"/>
    <s v="OK"/>
    <s v="ZERO"/>
    <n v="0"/>
    <n v="0"/>
    <x v="0"/>
    <n v="0"/>
    <x v="0"/>
    <n v="0"/>
  </r>
  <r>
    <x v="3"/>
    <d v="2024-01-26T03:00:00"/>
    <n v="0"/>
    <n v="0"/>
    <n v="0"/>
    <n v="79.171317240592501"/>
    <s v="OK"/>
    <s v="ZERO"/>
    <n v="0"/>
    <n v="0"/>
    <x v="0"/>
    <n v="0"/>
    <x v="0"/>
    <n v="0"/>
  </r>
  <r>
    <x v="3"/>
    <d v="2024-01-26T04:00:00"/>
    <n v="0"/>
    <n v="0"/>
    <n v="0"/>
    <n v="93.045543767994204"/>
    <s v="OK"/>
    <s v="ZERO"/>
    <n v="0"/>
    <n v="0"/>
    <x v="0"/>
    <n v="0"/>
    <x v="0"/>
    <n v="0"/>
  </r>
  <r>
    <x v="3"/>
    <d v="2024-01-26T05:00:00"/>
    <n v="0"/>
    <n v="0"/>
    <n v="0"/>
    <n v="40.201768863536998"/>
    <s v="OK"/>
    <s v="ZERO"/>
    <n v="0"/>
    <n v="0"/>
    <x v="0"/>
    <n v="0"/>
    <x v="0"/>
    <n v="0"/>
  </r>
  <r>
    <x v="3"/>
    <d v="2024-01-26T06:00:00"/>
    <n v="0"/>
    <n v="0"/>
    <n v="0"/>
    <n v="28.516590788262"/>
    <s v="OK"/>
    <s v="ZERO"/>
    <n v="0"/>
    <n v="0"/>
    <x v="0"/>
    <n v="0"/>
    <x v="0"/>
    <n v="0"/>
  </r>
  <r>
    <x v="3"/>
    <d v="2024-01-26T07:00:00"/>
    <n v="223.280645137541"/>
    <n v="215.230560532032"/>
    <n v="215.230560532032"/>
    <n v="77.214160842227798"/>
    <s v="OK"/>
    <s v="NON-ZERO"/>
    <n v="248.466283298419"/>
    <n v="0.86623648760234628"/>
    <x v="1"/>
    <n v="-33.235722766386999"/>
    <x v="1"/>
    <n v="0"/>
  </r>
  <r>
    <x v="3"/>
    <d v="2024-01-26T08:00:00"/>
    <n v="427.43549078868699"/>
    <n v="412.024876661669"/>
    <n v="412.024876661669"/>
    <n v="92.064168258858402"/>
    <s v="OK"/>
    <s v="NON-ZERO"/>
    <n v="479.99999999999898"/>
    <n v="0.85838515971181228"/>
    <x v="1"/>
    <n v="-67.975123338329979"/>
    <x v="1"/>
    <n v="0"/>
  </r>
  <r>
    <x v="3"/>
    <d v="2024-01-26T09:00:00"/>
    <n v="655.85639196664499"/>
    <n v="632.21036818727396"/>
    <n v="632.21036818727396"/>
    <n v="55.533752173086597"/>
    <s v="OK"/>
    <s v="NON-ZERO"/>
    <n v="678.82250993908497"/>
    <n v="0.93133383017013704"/>
    <x v="1"/>
    <n v="-46.612141751811009"/>
    <x v="1"/>
    <n v="0"/>
  </r>
  <r>
    <x v="3"/>
    <d v="2024-01-26T10:00:00"/>
    <n v="778.19879367028295"/>
    <n v="750.14187845897095"/>
    <n v="750.14187845897095"/>
    <n v="38.874832628410303"/>
    <s v="OK"/>
    <s v="NON-ZERO"/>
    <n v="831.38438763306101"/>
    <n v="0.90228044887228842"/>
    <x v="1"/>
    <n v="-81.24250917409006"/>
    <x v="1"/>
    <n v="0"/>
  </r>
  <r>
    <x v="3"/>
    <d v="2024-01-26T11:00:00"/>
    <n v="885.00289433613204"/>
    <n v="853.09530032529403"/>
    <n v="853.09530032529403"/>
    <n v="30.352070670342201"/>
    <s v="OK"/>
    <s v="NON-ZERO"/>
    <n v="927.28879323750505"/>
    <n v="0.91998879588183702"/>
    <x v="1"/>
    <n v="-74.193492912211013"/>
    <x v="1"/>
    <n v="0"/>
  </r>
  <r>
    <x v="3"/>
    <d v="2024-01-26T12:00:00"/>
    <n v="974.68100804483299"/>
    <n v="939.54018975621295"/>
    <n v="939.54018975621295"/>
    <n v="25.8235936514968"/>
    <s v="OK"/>
    <s v="NON-ZERO"/>
    <n v="960"/>
    <n v="0.97868769766272179"/>
    <x v="1"/>
    <n v="-20.459810243787047"/>
    <x v="1"/>
    <n v="0"/>
  </r>
  <r>
    <x v="3"/>
    <d v="2024-01-26T13:00:00"/>
    <n v="990.12177683200196"/>
    <n v="954.42426230563103"/>
    <n v="954.42426230563103"/>
    <n v="48.261470461097801"/>
    <s v="OK"/>
    <s v="NON-ZERO"/>
    <n v="927.28879323750505"/>
    <n v="1.0292632341359222"/>
    <x v="1"/>
    <n v="27.135469068125985"/>
    <x v="0"/>
    <n v="0"/>
  </r>
  <r>
    <x v="3"/>
    <d v="2024-01-26T14:00:00"/>
    <n v="835.65952236457895"/>
    <n v="805.53093754124802"/>
    <n v="805.53093754124802"/>
    <n v="66.052339883648798"/>
    <s v="OK"/>
    <s v="NON-ZERO"/>
    <n v="831.38438763306101"/>
    <n v="0.96890313256252336"/>
    <x v="1"/>
    <n v="-25.853450091812988"/>
    <x v="1"/>
    <n v="0"/>
  </r>
  <r>
    <x v="3"/>
    <d v="2024-01-26T15:00:00"/>
    <n v="746.45550684924399"/>
    <n v="719.54305332832496"/>
    <n v="719.54305332832496"/>
    <n v="61.505002012506097"/>
    <s v="OK"/>
    <s v="NON-ZERO"/>
    <n v="678.82250993908497"/>
    <n v="1.0599870257586097"/>
    <x v="1"/>
    <n v="40.720543389239992"/>
    <x v="0"/>
    <n v="0"/>
  </r>
  <r>
    <x v="3"/>
    <d v="2024-01-26T16:00:00"/>
    <n v="410.08605962665098"/>
    <n v="395.300956002909"/>
    <n v="395.300956002909"/>
    <n v="94.0986983315195"/>
    <s v="OK"/>
    <s v="NON-ZERO"/>
    <n v="479.99999999999898"/>
    <n v="0.82354365833939547"/>
    <x v="0"/>
    <n v="-84.699043997089973"/>
    <x v="1"/>
    <n v="-4.234952199854499"/>
  </r>
  <r>
    <x v="3"/>
    <d v="2024-01-26T17:00:00"/>
    <n v="211.79038403972501"/>
    <n v="204.15456540841001"/>
    <n v="204.15456540841001"/>
    <n v="22.849837797855599"/>
    <s v="OK"/>
    <s v="NON-ZERO"/>
    <n v="248.46628329842"/>
    <n v="0.82165903034501675"/>
    <x v="0"/>
    <n v="-44.311717890009987"/>
    <x v="1"/>
    <n v="-2.2155858945004994"/>
  </r>
  <r>
    <x v="3"/>
    <d v="2024-01-26T18:00:00"/>
    <n v="1.08766696423594E-13"/>
    <n v="1.04845258862661E-13"/>
    <n v="1.04845258862661E-13"/>
    <n v="86.773584216023806"/>
    <s v="OK"/>
    <s v="NON-ZERO"/>
    <n v="1.1756609271814501E-13"/>
    <n v="0.89179844663221763"/>
    <x v="1"/>
    <n v="-1.2720833855484011E-14"/>
    <x v="1"/>
    <n v="0"/>
  </r>
  <r>
    <x v="3"/>
    <d v="2024-01-26T19:00:00"/>
    <n v="0"/>
    <n v="0"/>
    <n v="0"/>
    <n v="25.4511616880608"/>
    <s v="OK"/>
    <s v="ZERO"/>
    <n v="0"/>
    <n v="0"/>
    <x v="0"/>
    <n v="0"/>
    <x v="0"/>
    <n v="0"/>
  </r>
  <r>
    <x v="3"/>
    <d v="2024-01-26T20:00:00"/>
    <n v="0"/>
    <n v="0"/>
    <n v="0"/>
    <n v="52.533830165552899"/>
    <s v="OK"/>
    <s v="ZERO"/>
    <n v="0"/>
    <n v="0"/>
    <x v="0"/>
    <n v="0"/>
    <x v="0"/>
    <n v="0"/>
  </r>
  <r>
    <x v="3"/>
    <d v="2024-01-26T21:00:00"/>
    <n v="0"/>
    <n v="0"/>
    <n v="0"/>
    <n v="90.594429813323501"/>
    <s v="OK"/>
    <s v="ZERO"/>
    <n v="0"/>
    <n v="0"/>
    <x v="0"/>
    <n v="0"/>
    <x v="0"/>
    <n v="0"/>
  </r>
  <r>
    <x v="3"/>
    <d v="2024-01-26T22:00:00"/>
    <n v="0"/>
    <n v="0"/>
    <n v="0"/>
    <n v="32.121204554772298"/>
    <s v="OK"/>
    <s v="ZERO"/>
    <n v="0"/>
    <n v="0"/>
    <x v="0"/>
    <n v="0"/>
    <x v="0"/>
    <n v="0"/>
  </r>
  <r>
    <x v="3"/>
    <d v="2024-01-26T23:00:00"/>
    <n v="0"/>
    <n v="0"/>
    <n v="0"/>
    <n v="43.661690486166698"/>
    <s v="OK"/>
    <s v="ZERO"/>
    <n v="0"/>
    <n v="0"/>
    <x v="0"/>
    <n v="0"/>
    <x v="0"/>
    <n v="0"/>
  </r>
  <r>
    <x v="3"/>
    <d v="2024-01-27T00:00:00"/>
    <n v="0"/>
    <n v="0"/>
    <n v="0"/>
    <n v="20.9444459500621"/>
    <s v="OK"/>
    <s v="ZERO"/>
    <n v="0"/>
    <n v="0"/>
    <x v="0"/>
    <n v="0"/>
    <x v="0"/>
    <n v="0"/>
  </r>
  <r>
    <x v="3"/>
    <d v="2024-01-27T01:00:00"/>
    <n v="0"/>
    <n v="0"/>
    <n v="0"/>
    <n v="46.387017281510801"/>
    <s v="OK"/>
    <s v="ZERO"/>
    <n v="0"/>
    <n v="0"/>
    <x v="0"/>
    <n v="0"/>
    <x v="0"/>
    <n v="0"/>
  </r>
  <r>
    <x v="3"/>
    <d v="2024-01-27T02:00:00"/>
    <n v="0"/>
    <n v="0"/>
    <n v="0"/>
    <n v="93.7411989990309"/>
    <s v="OK"/>
    <s v="ZERO"/>
    <n v="0"/>
    <n v="0"/>
    <x v="0"/>
    <n v="0"/>
    <x v="0"/>
    <n v="0"/>
  </r>
  <r>
    <x v="3"/>
    <d v="2024-01-27T03:00:00"/>
    <n v="0"/>
    <n v="0"/>
    <n v="0"/>
    <n v="56.835572685099599"/>
    <s v="OK"/>
    <s v="ZERO"/>
    <n v="0"/>
    <n v="0"/>
    <x v="0"/>
    <n v="0"/>
    <x v="0"/>
    <n v="0"/>
  </r>
  <r>
    <x v="3"/>
    <d v="2024-01-27T04:00:00"/>
    <n v="0"/>
    <n v="0"/>
    <n v="0"/>
    <n v="25.502056963768901"/>
    <s v="OK"/>
    <s v="ZERO"/>
    <n v="0"/>
    <n v="0"/>
    <x v="0"/>
    <n v="0"/>
    <x v="0"/>
    <n v="0"/>
  </r>
  <r>
    <x v="3"/>
    <d v="2024-01-27T05:00:00"/>
    <n v="0"/>
    <n v="0"/>
    <n v="0"/>
    <n v="78.858074087209204"/>
    <s v="OK"/>
    <s v="ZERO"/>
    <n v="0"/>
    <n v="0"/>
    <x v="0"/>
    <n v="0"/>
    <x v="0"/>
    <n v="0"/>
  </r>
  <r>
    <x v="3"/>
    <d v="2024-01-27T06:00:00"/>
    <n v="0"/>
    <n v="0"/>
    <n v="0"/>
    <n v="40.345143986238199"/>
    <s v="OK"/>
    <s v="ZERO"/>
    <n v="0"/>
    <n v="0"/>
    <x v="0"/>
    <n v="0"/>
    <x v="0"/>
    <n v="0"/>
  </r>
  <r>
    <x v="3"/>
    <d v="2024-01-27T07:00:00"/>
    <n v="232.82793338809401"/>
    <n v="224.43363409204201"/>
    <n v="224.43363409204201"/>
    <n v="28.348574110816202"/>
    <s v="OK"/>
    <s v="NON-ZERO"/>
    <n v="248.466283298419"/>
    <n v="0.90327601440589544"/>
    <x v="1"/>
    <n v="-24.032649206376988"/>
    <x v="1"/>
    <n v="0"/>
  </r>
  <r>
    <x v="3"/>
    <d v="2024-01-27T08:00:00"/>
    <n v="451.37189907166498"/>
    <n v="435.09828980366001"/>
    <n v="435.09828980366001"/>
    <n v="87.367189487212201"/>
    <s v="OK"/>
    <s v="NON-ZERO"/>
    <n v="479.99999999999898"/>
    <n v="0.90645477042429357"/>
    <x v="1"/>
    <n v="-44.901710196338968"/>
    <x v="1"/>
    <n v="0"/>
  </r>
  <r>
    <x v="3"/>
    <d v="2024-01-27T09:00:00"/>
    <n v="574.85193429028095"/>
    <n v="554.12641773766302"/>
    <n v="554.12641773766302"/>
    <n v="27.712461204811799"/>
    <s v="OK"/>
    <s v="NON-ZERO"/>
    <n v="678.82250993908497"/>
    <n v="0.81630530753523223"/>
    <x v="0"/>
    <n v="-124.69609220142195"/>
    <x v="1"/>
    <n v="-6.2348046100710972"/>
  </r>
  <r>
    <x v="3"/>
    <d v="2024-01-27T10:00:00"/>
    <n v="780.40589654182304"/>
    <n v="752.26940719260006"/>
    <n v="752.26940719260006"/>
    <n v="78.3914769138906"/>
    <s v="OK"/>
    <s v="NON-ZERO"/>
    <n v="831.38438763306101"/>
    <n v="0.90483946822034977"/>
    <x v="1"/>
    <n v="-79.114980440460954"/>
    <x v="1"/>
    <n v="0"/>
  </r>
  <r>
    <x v="3"/>
    <d v="2024-01-27T11:00:00"/>
    <n v="866.64063298474298"/>
    <n v="835.39506571310699"/>
    <n v="835.39506571310699"/>
    <n v="79.811673328476203"/>
    <s v="OK"/>
    <s v="NON-ZERO"/>
    <n v="927.28879323750505"/>
    <n v="0.90090063829676692"/>
    <x v="1"/>
    <n v="-91.893727524398059"/>
    <x v="1"/>
    <n v="0"/>
  </r>
  <r>
    <x v="3"/>
    <d v="2024-01-27T12:00:00"/>
    <n v="800.39931392860603"/>
    <n v="771.54198869404399"/>
    <n v="771.54198869404399"/>
    <n v="81.758979031948996"/>
    <s v="OK"/>
    <s v="NON-ZERO"/>
    <n v="960"/>
    <n v="0.80368957155629583"/>
    <x v="0"/>
    <n v="-188.45801130595601"/>
    <x v="1"/>
    <n v="-9.4229005652978017"/>
  </r>
  <r>
    <x v="3"/>
    <d v="2024-01-27T13:00:00"/>
    <n v="936.61398208801199"/>
    <n v="902.84561943451399"/>
    <n v="902.84561943451399"/>
    <n v="77.254300883101905"/>
    <s v="OK"/>
    <s v="NON-ZERO"/>
    <n v="927.28879323750505"/>
    <n v="0.97364017123764546"/>
    <x v="1"/>
    <n v="-24.443173802991055"/>
    <x v="1"/>
    <n v="0"/>
  </r>
  <r>
    <x v="3"/>
    <d v="2024-01-27T14:00:00"/>
    <n v="800.70869971618799"/>
    <n v="771.84021999143499"/>
    <n v="771.84021999143499"/>
    <n v="47.2434633921632"/>
    <s v="OK"/>
    <s v="NON-ZERO"/>
    <n v="831.38438763306101"/>
    <n v="0.92837949746548964"/>
    <x v="1"/>
    <n v="-59.544167641626018"/>
    <x v="1"/>
    <n v="0"/>
  </r>
  <r>
    <x v="3"/>
    <d v="2024-01-27T15:00:00"/>
    <n v="632.02185752811295"/>
    <n v="609.23515596471395"/>
    <n v="609.23515596471395"/>
    <n v="89.302586932269094"/>
    <s v="OK"/>
    <s v="NON-ZERO"/>
    <n v="678.82250993908497"/>
    <n v="0.89748814608311156"/>
    <x v="1"/>
    <n v="-69.587353974371013"/>
    <x v="1"/>
    <n v="0"/>
  </r>
  <r>
    <x v="3"/>
    <d v="2024-01-27T16:00:00"/>
    <n v="422.314466751711"/>
    <n v="407.08848428741101"/>
    <n v="407.08848428741101"/>
    <n v="65.110332566090506"/>
    <s v="OK"/>
    <s v="NON-ZERO"/>
    <n v="479.99999999999898"/>
    <n v="0.84810100893210805"/>
    <x v="0"/>
    <n v="-72.91151571258797"/>
    <x v="1"/>
    <n v="-3.6455757856293984"/>
  </r>
  <r>
    <x v="3"/>
    <d v="2024-01-27T17:00:00"/>
    <n v="257.253172051283"/>
    <n v="247.97825348961001"/>
    <n v="247.97825348961001"/>
    <n v="56.586011135569898"/>
    <s v="OK"/>
    <s v="NON-ZERO"/>
    <n v="248.46628329842"/>
    <n v="0.99803583084863134"/>
    <x v="1"/>
    <n v="-0.48802980880998348"/>
    <x v="1"/>
    <n v="0"/>
  </r>
  <r>
    <x v="3"/>
    <d v="2024-01-27T18:00:00"/>
    <n v="9.7960646469738905E-14"/>
    <n v="9.4428806566616001E-14"/>
    <n v="9.4428806566616001E-14"/>
    <n v="41.9334095748046"/>
    <s v="OK"/>
    <s v="NON-ZERO"/>
    <n v="1.1756609271814501E-13"/>
    <n v="0.80319762597708555"/>
    <x v="0"/>
    <n v="-2.3137286151529009E-14"/>
    <x v="1"/>
    <n v="-1.1568643075764503E-15"/>
  </r>
  <r>
    <x v="3"/>
    <d v="2024-01-27T19:00:00"/>
    <n v="0"/>
    <n v="0"/>
    <n v="0"/>
    <n v="52.058789993186402"/>
    <s v="OK"/>
    <s v="ZERO"/>
    <n v="0"/>
    <n v="0"/>
    <x v="0"/>
    <n v="0"/>
    <x v="0"/>
    <n v="0"/>
  </r>
  <r>
    <x v="3"/>
    <d v="2024-01-27T20:00:00"/>
    <n v="0"/>
    <n v="0"/>
    <n v="0"/>
    <n v="86.842208077359999"/>
    <s v="OK"/>
    <s v="ZERO"/>
    <n v="0"/>
    <n v="0"/>
    <x v="0"/>
    <n v="0"/>
    <x v="0"/>
    <n v="0"/>
  </r>
  <r>
    <x v="3"/>
    <d v="2024-01-27T21:00:00"/>
    <n v="0"/>
    <n v="0"/>
    <n v="0"/>
    <n v="27.1751532821159"/>
    <s v="OK"/>
    <s v="ZERO"/>
    <n v="0"/>
    <n v="0"/>
    <x v="0"/>
    <n v="0"/>
    <x v="0"/>
    <n v="0"/>
  </r>
  <r>
    <x v="3"/>
    <d v="2024-01-27T22:00:00"/>
    <n v="0"/>
    <n v="0"/>
    <n v="0"/>
    <n v="66.925038547369397"/>
    <s v="OK"/>
    <s v="ZERO"/>
    <n v="0"/>
    <n v="0"/>
    <x v="0"/>
    <n v="0"/>
    <x v="0"/>
    <n v="0"/>
  </r>
  <r>
    <x v="3"/>
    <d v="2024-01-27T23:00:00"/>
    <n v="0"/>
    <n v="0"/>
    <n v="0"/>
    <n v="57.8837538853005"/>
    <s v="OK"/>
    <s v="ZERO"/>
    <n v="0"/>
    <n v="0"/>
    <x v="0"/>
    <n v="0"/>
    <x v="0"/>
    <n v="0"/>
  </r>
  <r>
    <x v="3"/>
    <d v="2024-01-28T00:00:00"/>
    <n v="0"/>
    <n v="0"/>
    <n v="0"/>
    <n v="43.540953011282298"/>
    <s v="OK"/>
    <s v="ZERO"/>
    <n v="0"/>
    <n v="0"/>
    <x v="0"/>
    <n v="0"/>
    <x v="0"/>
    <n v="0"/>
  </r>
  <r>
    <x v="3"/>
    <d v="2024-01-28T01:00:00"/>
    <n v="0"/>
    <n v="0"/>
    <n v="0"/>
    <n v="51.474105864425297"/>
    <s v="OK"/>
    <s v="ZERO"/>
    <n v="0"/>
    <n v="0"/>
    <x v="0"/>
    <n v="0"/>
    <x v="0"/>
    <n v="0"/>
  </r>
  <r>
    <x v="3"/>
    <d v="2024-01-28T02:00:00"/>
    <n v="0"/>
    <n v="0"/>
    <n v="0"/>
    <n v="64.052508459311397"/>
    <s v="OK"/>
    <s v="ZERO"/>
    <n v="0"/>
    <n v="0"/>
    <x v="0"/>
    <n v="0"/>
    <x v="0"/>
    <n v="0"/>
  </r>
  <r>
    <x v="3"/>
    <d v="2024-01-28T03:00:00"/>
    <n v="0"/>
    <n v="0"/>
    <n v="0"/>
    <n v="78.777724157073095"/>
    <s v="OK"/>
    <s v="ZERO"/>
    <n v="0"/>
    <n v="0"/>
    <x v="0"/>
    <n v="0"/>
    <x v="0"/>
    <n v="0"/>
  </r>
  <r>
    <x v="3"/>
    <d v="2024-01-28T04:00:00"/>
    <n v="0"/>
    <n v="0"/>
    <n v="0"/>
    <n v="91.7422946420876"/>
    <s v="OK"/>
    <s v="ZERO"/>
    <n v="0"/>
    <n v="0"/>
    <x v="0"/>
    <n v="0"/>
    <x v="0"/>
    <n v="0"/>
  </r>
  <r>
    <x v="3"/>
    <d v="2024-01-28T05:00:00"/>
    <n v="0"/>
    <n v="0"/>
    <n v="0"/>
    <n v="34.126015496708703"/>
    <s v="OK"/>
    <s v="ZERO"/>
    <n v="0"/>
    <n v="0"/>
    <x v="0"/>
    <n v="0"/>
    <x v="0"/>
    <n v="0"/>
  </r>
  <r>
    <x v="3"/>
    <d v="2024-01-28T06:00:00"/>
    <n v="0"/>
    <n v="0"/>
    <n v="0"/>
    <n v="44.268320302963303"/>
    <s v="OK"/>
    <s v="ZERO"/>
    <n v="0"/>
    <n v="0"/>
    <x v="0"/>
    <n v="0"/>
    <x v="0"/>
    <n v="0"/>
  </r>
  <r>
    <x v="3"/>
    <d v="2024-01-28T07:00:00"/>
    <n v="236.08585641765899"/>
    <n v="227.57409707033401"/>
    <n v="227.57409707033401"/>
    <n v="55.024956464991497"/>
    <s v="OK"/>
    <s v="NON-ZERO"/>
    <n v="248.466283298419"/>
    <n v="0.91591540731104926"/>
    <x v="1"/>
    <n v="-20.892186228084995"/>
    <x v="1"/>
    <n v="0"/>
  </r>
  <r>
    <x v="3"/>
    <d v="2024-01-28T08:00:00"/>
    <n v="442.49023768282001"/>
    <n v="426.53684482037897"/>
    <n v="426.53684482037897"/>
    <n v="34.5540410184203"/>
    <s v="OK"/>
    <s v="NON-ZERO"/>
    <n v="479.99999999999898"/>
    <n v="0.88861842670912472"/>
    <x v="1"/>
    <n v="-53.463155179620003"/>
    <x v="1"/>
    <n v="0"/>
  </r>
  <r>
    <x v="3"/>
    <d v="2024-01-28T09:00:00"/>
    <n v="662.20754481623203"/>
    <n v="638.33253872739999"/>
    <n v="638.33253872739999"/>
    <n v="38.950972080451102"/>
    <s v="OK"/>
    <s v="NON-ZERO"/>
    <n v="678.82250993908497"/>
    <n v="0.94035263913785294"/>
    <x v="1"/>
    <n v="-40.489971211684974"/>
    <x v="1"/>
    <n v="0"/>
  </r>
  <r>
    <x v="3"/>
    <d v="2024-01-28T10:00:00"/>
    <n v="814.74249899690597"/>
    <n v="785.36804943550806"/>
    <n v="785.36804943550806"/>
    <n v="78.022748375432002"/>
    <s v="OK"/>
    <s v="NON-ZERO"/>
    <n v="831.38438763306101"/>
    <n v="0.94465094740525402"/>
    <x v="1"/>
    <n v="-46.016338197552955"/>
    <x v="1"/>
    <n v="0"/>
  </r>
  <r>
    <x v="3"/>
    <d v="2024-01-28T11:00:00"/>
    <n v="751.49373259894696"/>
    <n v="724.39963259666104"/>
    <n v="724.39963259666104"/>
    <n v="78.112082499096601"/>
    <s v="OK"/>
    <s v="NON-ZERO"/>
    <n v="927.28879323750505"/>
    <n v="0.78120175492201993"/>
    <x v="0"/>
    <n v="-202.88916064084401"/>
    <x v="1"/>
    <n v="-10.1444580320422"/>
  </r>
  <r>
    <x v="3"/>
    <d v="2024-01-28T12:00:00"/>
    <n v="991.23217448423804"/>
    <n v="955.49462605774602"/>
    <n v="955.49462605774602"/>
    <n v="31.448973500045501"/>
    <s v="OK"/>
    <s v="NON-ZERO"/>
    <n v="960"/>
    <n v="0.99530690214348538"/>
    <x v="1"/>
    <n v="-4.505373942253982"/>
    <x v="1"/>
    <n v="0"/>
  </r>
  <r>
    <x v="3"/>
    <d v="2024-01-28T13:00:00"/>
    <n v="787.39374615519705"/>
    <n v="759.00531924746497"/>
    <n v="759.00531924746497"/>
    <n v="41.116539704614603"/>
    <s v="OK"/>
    <s v="NON-ZERO"/>
    <n v="927.28879323750505"/>
    <n v="0.81852096648067885"/>
    <x v="0"/>
    <n v="-168.28347399004008"/>
    <x v="1"/>
    <n v="-8.4141736995020029"/>
  </r>
  <r>
    <x v="3"/>
    <d v="2024-01-28T14:00:00"/>
    <n v="694.18594760398901"/>
    <n v="669.15800303348897"/>
    <n v="669.15800303348897"/>
    <n v="76.319629513754094"/>
    <s v="OK"/>
    <s v="NON-ZERO"/>
    <n v="831.38438763306101"/>
    <n v="0.80487198579536945"/>
    <x v="0"/>
    <n v="-162.22638459957204"/>
    <x v="1"/>
    <n v="-8.1113192299786032"/>
  </r>
  <r>
    <x v="3"/>
    <d v="2024-01-28T15:00:00"/>
    <n v="582.78060636870998"/>
    <n v="561.76923216371199"/>
    <n v="561.76923216371199"/>
    <n v="59.547434984659503"/>
    <s v="OK"/>
    <s v="NON-ZERO"/>
    <n v="678.82250993908497"/>
    <n v="0.82756423651025224"/>
    <x v="0"/>
    <n v="-117.05327777537298"/>
    <x v="1"/>
    <n v="-5.8526638887686486"/>
  </r>
  <r>
    <x v="3"/>
    <d v="2024-01-28T16:00:00"/>
    <n v="446.05534774806699"/>
    <n v="429.97341961721702"/>
    <n v="429.97341961721702"/>
    <n v="56.717067967070399"/>
    <s v="OK"/>
    <s v="NON-ZERO"/>
    <n v="479.99999999999898"/>
    <n v="0.89577795753587075"/>
    <x v="1"/>
    <n v="-50.026580382781958"/>
    <x v="1"/>
    <n v="0"/>
  </r>
  <r>
    <x v="3"/>
    <d v="2024-01-28T17:00:00"/>
    <n v="247.07484113385701"/>
    <n v="238.16688866088299"/>
    <n v="238.16688866088299"/>
    <n v="76.678244186929405"/>
    <s v="OK"/>
    <s v="NON-ZERO"/>
    <n v="248.46628329842"/>
    <n v="0.95854811968524944"/>
    <x v="1"/>
    <n v="-10.299394637537006"/>
    <x v="1"/>
    <n v="0"/>
  </r>
  <r>
    <x v="3"/>
    <d v="2024-01-28T18:00:00"/>
    <n v="1.1634634556566499E-13"/>
    <n v="1.12151633906853E-13"/>
    <n v="1.12151633906853E-13"/>
    <n v="90.553780972933097"/>
    <s v="OK"/>
    <s v="NON-ZERO"/>
    <n v="1.1756609271814501E-13"/>
    <n v="0.95394540478373535"/>
    <x v="1"/>
    <n v="-5.4144588112920116E-15"/>
    <x v="1"/>
    <n v="0"/>
  </r>
  <r>
    <x v="3"/>
    <d v="2024-01-28T19:00:00"/>
    <n v="0"/>
    <n v="0"/>
    <n v="0"/>
    <n v="82.061071981775399"/>
    <s v="OK"/>
    <s v="ZERO"/>
    <n v="0"/>
    <n v="0"/>
    <x v="0"/>
    <n v="0"/>
    <x v="0"/>
    <n v="0"/>
  </r>
  <r>
    <x v="3"/>
    <d v="2024-01-28T20:00:00"/>
    <n v="0"/>
    <n v="0"/>
    <n v="0"/>
    <n v="37.281647886075199"/>
    <s v="OK"/>
    <s v="ZERO"/>
    <n v="0"/>
    <n v="0"/>
    <x v="0"/>
    <n v="0"/>
    <x v="0"/>
    <n v="0"/>
  </r>
  <r>
    <x v="3"/>
    <d v="2024-01-28T21:00:00"/>
    <n v="0"/>
    <n v="0"/>
    <n v="0"/>
    <n v="50.8420521973745"/>
    <s v="OK"/>
    <s v="ZERO"/>
    <n v="0"/>
    <n v="0"/>
    <x v="0"/>
    <n v="0"/>
    <x v="0"/>
    <n v="0"/>
  </r>
  <r>
    <x v="3"/>
    <d v="2024-01-28T22:00:00"/>
    <n v="0"/>
    <n v="0"/>
    <n v="0"/>
    <n v="27.584389113624301"/>
    <s v="OK"/>
    <s v="ZERO"/>
    <n v="0"/>
    <n v="0"/>
    <x v="0"/>
    <n v="0"/>
    <x v="0"/>
    <n v="0"/>
  </r>
  <r>
    <x v="3"/>
    <d v="2024-01-28T23:00:00"/>
    <n v="0"/>
    <n v="0"/>
    <n v="0"/>
    <n v="78.5730800538539"/>
    <s v="OK"/>
    <s v="ZERO"/>
    <n v="0"/>
    <n v="0"/>
    <x v="0"/>
    <n v="0"/>
    <x v="0"/>
    <n v="0"/>
  </r>
  <r>
    <x v="3"/>
    <d v="2024-01-29T00:00:00"/>
    <n v="0"/>
    <n v="0"/>
    <n v="0"/>
    <n v="54.947506113960202"/>
    <s v="OK"/>
    <s v="ZERO"/>
    <n v="0"/>
    <n v="0"/>
    <x v="0"/>
    <n v="0"/>
    <x v="0"/>
    <n v="0"/>
  </r>
  <r>
    <x v="3"/>
    <d v="2024-01-29T01:00:00"/>
    <n v="0"/>
    <n v="0"/>
    <n v="0"/>
    <n v="54.407621746744397"/>
    <s v="OK"/>
    <s v="ZERO"/>
    <n v="0"/>
    <n v="0"/>
    <x v="0"/>
    <n v="0"/>
    <x v="0"/>
    <n v="0"/>
  </r>
  <r>
    <x v="3"/>
    <d v="2024-01-29T02:00:00"/>
    <n v="0"/>
    <n v="0"/>
    <n v="0"/>
    <n v="23.679017944084499"/>
    <s v="OK"/>
    <s v="ZERO"/>
    <n v="0"/>
    <n v="0"/>
    <x v="0"/>
    <n v="0"/>
    <x v="0"/>
    <n v="0"/>
  </r>
  <r>
    <x v="3"/>
    <d v="2024-01-29T03:00:00"/>
    <n v="0"/>
    <n v="0"/>
    <n v="0"/>
    <n v="38.907399467172397"/>
    <s v="OK"/>
    <s v="ZERO"/>
    <n v="0"/>
    <n v="0"/>
    <x v="0"/>
    <n v="0"/>
    <x v="0"/>
    <n v="0"/>
  </r>
  <r>
    <x v="3"/>
    <d v="2024-01-29T04:00:00"/>
    <n v="0"/>
    <n v="0"/>
    <n v="0"/>
    <n v="38.3339157692496"/>
    <s v="OK"/>
    <s v="ZERO"/>
    <n v="0"/>
    <n v="0"/>
    <x v="0"/>
    <n v="0"/>
    <x v="0"/>
    <n v="0"/>
  </r>
  <r>
    <x v="3"/>
    <d v="2024-01-29T05:00:00"/>
    <n v="0"/>
    <n v="0"/>
    <n v="0"/>
    <n v="88.493421461623697"/>
    <s v="OK"/>
    <s v="ZERO"/>
    <n v="0"/>
    <n v="0"/>
    <x v="0"/>
    <n v="0"/>
    <x v="0"/>
    <n v="0"/>
  </r>
  <r>
    <x v="3"/>
    <d v="2024-01-29T06:00:00"/>
    <n v="0"/>
    <n v="0"/>
    <n v="0"/>
    <n v="94.873019778649095"/>
    <s v="OK"/>
    <s v="ZERO"/>
    <n v="0"/>
    <n v="0"/>
    <x v="0"/>
    <n v="0"/>
    <x v="0"/>
    <n v="0"/>
  </r>
  <r>
    <x v="3"/>
    <d v="2024-01-29T07:00:00"/>
    <n v="230.55812749584501"/>
    <n v="222.24566301113299"/>
    <n v="222.24566301113299"/>
    <n v="85.764393726962794"/>
    <s v="OK"/>
    <s v="NON-ZERO"/>
    <n v="248.466283298419"/>
    <n v="0.89447010701329688"/>
    <x v="1"/>
    <n v="-26.22062028728601"/>
    <x v="1"/>
    <n v="0"/>
  </r>
  <r>
    <x v="3"/>
    <d v="2024-01-29T08:00:00"/>
    <n v="436.74616087926898"/>
    <n v="420.999863012547"/>
    <n v="420.999863012547"/>
    <n v="55.143485328135398"/>
    <s v="OK"/>
    <s v="NON-ZERO"/>
    <n v="479.99999999999898"/>
    <n v="0.87708304794280811"/>
    <x v="1"/>
    <n v="-59.000136987451981"/>
    <x v="1"/>
    <n v="0"/>
  </r>
  <r>
    <x v="3"/>
    <d v="2024-01-29T09:00:00"/>
    <n v="688.13433762154"/>
    <n v="663.32457574362502"/>
    <n v="663.32457574362502"/>
    <n v="32.916374165527401"/>
    <s v="OK"/>
    <s v="NON-ZERO"/>
    <n v="678.82250993908497"/>
    <n v="0.97716938674168208"/>
    <x v="1"/>
    <n v="-15.497934195459948"/>
    <x v="1"/>
    <n v="0"/>
  </r>
  <r>
    <x v="3"/>
    <d v="2024-01-29T10:00:00"/>
    <n v="747.78889932321101"/>
    <n v="720.82837212254697"/>
    <n v="720.82837212254697"/>
    <n v="30.252130586677701"/>
    <s v="OK"/>
    <s v="NON-ZERO"/>
    <n v="831.38438763306101"/>
    <n v="0.86702178059265056"/>
    <x v="1"/>
    <n v="-110.55601551051404"/>
    <x v="1"/>
    <n v="0"/>
  </r>
  <r>
    <x v="3"/>
    <d v="2024-01-29T11:00:00"/>
    <n v="944.73435059986195"/>
    <n v="910.67321893582903"/>
    <n v="910.67321893582903"/>
    <n v="72.912699549735294"/>
    <s v="OK"/>
    <s v="NON-ZERO"/>
    <n v="927.28879323750505"/>
    <n v="0.98208155385587592"/>
    <x v="1"/>
    <n v="-16.61557430167602"/>
    <x v="1"/>
    <n v="0"/>
  </r>
  <r>
    <x v="3"/>
    <d v="2024-01-29T12:00:00"/>
    <n v="833.50455681835194"/>
    <n v="803.45366639149904"/>
    <n v="803.45366639149904"/>
    <n v="46.208573058772103"/>
    <s v="OK"/>
    <s v="NON-ZERO"/>
    <n v="960"/>
    <n v="0.83693090249114488"/>
    <x v="0"/>
    <n v="-156.54633360850096"/>
    <x v="1"/>
    <n v="-7.8273166804250476"/>
  </r>
  <r>
    <x v="3"/>
    <d v="2024-01-29T13:00:00"/>
    <n v="946.72170259149198"/>
    <n v="912.58891961319705"/>
    <n v="912.58891961319705"/>
    <n v="40.4063118183483"/>
    <s v="OK"/>
    <s v="NON-ZERO"/>
    <n v="927.28879323750505"/>
    <n v="0.98414746977262024"/>
    <x v="1"/>
    <n v="-14.699873624307997"/>
    <x v="1"/>
    <n v="0"/>
  </r>
  <r>
    <x v="3"/>
    <d v="2024-01-29T14:00:00"/>
    <n v="766.52915495237505"/>
    <n v="738.89297293509696"/>
    <n v="738.89297293509696"/>
    <n v="35.864646939756"/>
    <s v="OK"/>
    <s v="NON-ZERO"/>
    <n v="831.38438763306101"/>
    <n v="0.88875011838833573"/>
    <x v="1"/>
    <n v="-92.491414697964046"/>
    <x v="1"/>
    <n v="0"/>
  </r>
  <r>
    <x v="3"/>
    <d v="2024-01-29T15:00:00"/>
    <n v="668.83748243602201"/>
    <n v="644.72344282623305"/>
    <n v="644.72344282623305"/>
    <n v="36.970218856882603"/>
    <s v="OK"/>
    <s v="NON-ZERO"/>
    <n v="678.82250993908497"/>
    <n v="0.94976733002576497"/>
    <x v="1"/>
    <n v="-34.099067112851912"/>
    <x v="1"/>
    <n v="0"/>
  </r>
  <r>
    <x v="3"/>
    <d v="2024-01-29T16:00:00"/>
    <n v="475.881715619874"/>
    <n v="458.72443774388501"/>
    <n v="458.72443774388501"/>
    <n v="30.067881432030699"/>
    <s v="OK"/>
    <s v="NON-ZERO"/>
    <n v="479.99999999999898"/>
    <n v="0.95567591196642909"/>
    <x v="1"/>
    <n v="-21.275562256113972"/>
    <x v="1"/>
    <n v="0"/>
  </r>
  <r>
    <x v="3"/>
    <d v="2024-01-29T17:00:00"/>
    <n v="245.94588877215"/>
    <n v="237.07863916449401"/>
    <n v="237.07863916449401"/>
    <n v="69.169546343362896"/>
    <s v="OK"/>
    <s v="NON-ZERO"/>
    <n v="248.46628329842"/>
    <n v="0.95416825179354869"/>
    <x v="1"/>
    <n v="-11.387644133925988"/>
    <x v="1"/>
    <n v="0"/>
  </r>
  <r>
    <x v="3"/>
    <d v="2024-01-29T18:00:00"/>
    <n v="1.2449394638293799E-13"/>
    <n v="1.20005483889294E-13"/>
    <n v="1.20005483889294E-13"/>
    <n v="21.240458696740699"/>
    <s v="OK"/>
    <s v="NON-ZERO"/>
    <n v="1.1756609271814501E-13"/>
    <n v="1.020749104735472"/>
    <x v="1"/>
    <n v="2.4393911711489926E-15"/>
    <x v="0"/>
    <n v="0"/>
  </r>
  <r>
    <x v="3"/>
    <d v="2024-01-29T19:00:00"/>
    <n v="0"/>
    <n v="0"/>
    <n v="0"/>
    <n v="48.1819510852972"/>
    <s v="OK"/>
    <s v="ZERO"/>
    <n v="0"/>
    <n v="0"/>
    <x v="0"/>
    <n v="0"/>
    <x v="0"/>
    <n v="0"/>
  </r>
  <r>
    <x v="3"/>
    <d v="2024-01-29T20:00:00"/>
    <n v="0"/>
    <n v="0"/>
    <n v="0"/>
    <n v="58.725486412874403"/>
    <s v="OK"/>
    <s v="ZERO"/>
    <n v="0"/>
    <n v="0"/>
    <x v="0"/>
    <n v="0"/>
    <x v="0"/>
    <n v="0"/>
  </r>
  <r>
    <x v="3"/>
    <d v="2024-01-29T21:00:00"/>
    <n v="0"/>
    <n v="0"/>
    <n v="0"/>
    <n v="55.1063045140735"/>
    <s v="OK"/>
    <s v="ZERO"/>
    <n v="0"/>
    <n v="0"/>
    <x v="0"/>
    <n v="0"/>
    <x v="0"/>
    <n v="0"/>
  </r>
  <r>
    <x v="3"/>
    <d v="2024-01-29T22:00:00"/>
    <n v="0"/>
    <n v="0"/>
    <n v="0"/>
    <n v="83.165756015769503"/>
    <s v="OK"/>
    <s v="ZERO"/>
    <n v="0"/>
    <n v="0"/>
    <x v="0"/>
    <n v="0"/>
    <x v="0"/>
    <n v="0"/>
  </r>
  <r>
    <x v="3"/>
    <d v="2024-01-29T23:00:00"/>
    <n v="0"/>
    <n v="0"/>
    <n v="0"/>
    <n v="21.212715496588899"/>
    <s v="OK"/>
    <s v="ZERO"/>
    <n v="0"/>
    <n v="0"/>
    <x v="0"/>
    <n v="0"/>
    <x v="0"/>
    <n v="0"/>
  </r>
  <r>
    <x v="3"/>
    <d v="2024-01-30T00:00:00"/>
    <n v="0"/>
    <n v="0"/>
    <n v="0"/>
    <n v="34.176280050091499"/>
    <s v="OK"/>
    <s v="ZERO"/>
    <n v="0"/>
    <n v="0"/>
    <x v="0"/>
    <n v="0"/>
    <x v="0"/>
    <n v="0"/>
  </r>
  <r>
    <x v="3"/>
    <d v="2024-01-30T01:00:00"/>
    <n v="0"/>
    <n v="0"/>
    <n v="0"/>
    <n v="24.027289095453"/>
    <s v="OK"/>
    <s v="ZERO"/>
    <n v="0"/>
    <n v="0"/>
    <x v="0"/>
    <n v="0"/>
    <x v="0"/>
    <n v="0"/>
  </r>
  <r>
    <x v="3"/>
    <d v="2024-01-30T02:00:00"/>
    <n v="0"/>
    <n v="0"/>
    <n v="0"/>
    <n v="74.085189019928194"/>
    <s v="OK"/>
    <s v="ZERO"/>
    <n v="0"/>
    <n v="0"/>
    <x v="0"/>
    <n v="0"/>
    <x v="0"/>
    <n v="0"/>
  </r>
  <r>
    <x v="3"/>
    <d v="2024-01-30T03:00:00"/>
    <n v="0"/>
    <n v="0"/>
    <n v="0"/>
    <n v="25.9012742706423"/>
    <s v="OK"/>
    <s v="ZERO"/>
    <n v="0"/>
    <n v="0"/>
    <x v="0"/>
    <n v="0"/>
    <x v="0"/>
    <n v="0"/>
  </r>
  <r>
    <x v="3"/>
    <d v="2024-01-30T04:00:00"/>
    <n v="0"/>
    <n v="0"/>
    <n v="0"/>
    <n v="27.566660157939399"/>
    <s v="OK"/>
    <s v="ZERO"/>
    <n v="0"/>
    <n v="0"/>
    <x v="0"/>
    <n v="0"/>
    <x v="0"/>
    <n v="0"/>
  </r>
  <r>
    <x v="3"/>
    <d v="2024-01-30T05:00:00"/>
    <n v="0"/>
    <n v="0"/>
    <n v="0"/>
    <n v="68.219840612056998"/>
    <s v="OK"/>
    <s v="ZERO"/>
    <n v="0"/>
    <n v="0"/>
    <x v="0"/>
    <n v="0"/>
    <x v="0"/>
    <n v="0"/>
  </r>
  <r>
    <x v="3"/>
    <d v="2024-01-30T06:00:00"/>
    <n v="0"/>
    <n v="0"/>
    <n v="0"/>
    <n v="69.682248006601299"/>
    <s v="OK"/>
    <s v="ZERO"/>
    <n v="0"/>
    <n v="0"/>
    <x v="0"/>
    <n v="0"/>
    <x v="0"/>
    <n v="0"/>
  </r>
  <r>
    <x v="3"/>
    <d v="2024-01-30T07:00:00"/>
    <n v="255.84937364158799"/>
    <n v="246.625067151374"/>
    <n v="246.625067151374"/>
    <n v="71.222331401651502"/>
    <s v="OK"/>
    <s v="NON-ZERO"/>
    <n v="248.466283298419"/>
    <n v="0.99258967404911991"/>
    <x v="1"/>
    <n v="-1.841216147045003"/>
    <x v="1"/>
    <n v="0"/>
  </r>
  <r>
    <x v="3"/>
    <d v="2024-01-30T08:00:00"/>
    <n v="484.96690927837102"/>
    <n v="467.48207691344101"/>
    <n v="467.48207691344101"/>
    <n v="38.653036697485"/>
    <s v="OK"/>
    <s v="NON-ZERO"/>
    <n v="479.99999999999898"/>
    <n v="0.97392099356967088"/>
    <x v="1"/>
    <n v="-12.517923086557971"/>
    <x v="1"/>
    <n v="0"/>
  </r>
  <r>
    <x v="3"/>
    <d v="2024-01-30T09:00:00"/>
    <n v="659.64116210817099"/>
    <n v="635.85868351054603"/>
    <n v="635.85868351054603"/>
    <n v="48.929924592487403"/>
    <s v="OK"/>
    <s v="NON-ZERO"/>
    <n v="678.82250993908497"/>
    <n v="0.9367083062222048"/>
    <x v="1"/>
    <n v="-42.963826428538937"/>
    <x v="1"/>
    <n v="0"/>
  </r>
  <r>
    <x v="3"/>
    <d v="2024-01-30T10:00:00"/>
    <n v="831.94814280578703"/>
    <n v="801.95336680154605"/>
    <n v="801.95336680154605"/>
    <n v="29.764201190060099"/>
    <s v="OK"/>
    <s v="NON-ZERO"/>
    <n v="831.38438763306101"/>
    <n v="0.964599983750832"/>
    <x v="1"/>
    <n v="-29.431020831514957"/>
    <x v="1"/>
    <n v="0"/>
  </r>
  <r>
    <x v="3"/>
    <d v="2024-01-30T11:00:00"/>
    <n v="939.27235466580896"/>
    <n v="905.40814794955702"/>
    <n v="905.40814794955702"/>
    <n v="28.229285093533999"/>
    <s v="OK"/>
    <s v="NON-ZERO"/>
    <n v="927.28879323750505"/>
    <n v="0.97640363450144296"/>
    <x v="1"/>
    <n v="-21.880645287948028"/>
    <x v="1"/>
    <n v="0"/>
  </r>
  <r>
    <x v="3"/>
    <d v="2024-01-30T12:00:00"/>
    <n v="928.24498233338898"/>
    <n v="894.77835275687403"/>
    <n v="894.77835275687403"/>
    <n v="60.623113087478899"/>
    <s v="OK"/>
    <s v="NON-ZERO"/>
    <n v="960"/>
    <n v="0.93206078412174376"/>
    <x v="1"/>
    <n v="-65.221647243125972"/>
    <x v="1"/>
    <n v="0"/>
  </r>
  <r>
    <x v="3"/>
    <d v="2024-01-30T13:00:00"/>
    <n v="818.10000011574903"/>
    <n v="788.60450034843996"/>
    <n v="788.60450034843996"/>
    <n v="80.144029419198702"/>
    <s v="OK"/>
    <s v="NON-ZERO"/>
    <n v="927.28879323750505"/>
    <n v="0.8504410989322243"/>
    <x v="1"/>
    <n v="-138.68429288906509"/>
    <x v="1"/>
    <n v="0"/>
  </r>
  <r>
    <x v="3"/>
    <d v="2024-01-30T14:00:00"/>
    <n v="799.36038964856698"/>
    <n v="770.54052143742001"/>
    <n v="770.54052143742001"/>
    <n v="39.767971318895"/>
    <s v="OK"/>
    <s v="NON-ZERO"/>
    <n v="831.38438763306101"/>
    <n v="0.92681620306960233"/>
    <x v="1"/>
    <n v="-60.843866195640999"/>
    <x v="1"/>
    <n v="0"/>
  </r>
  <r>
    <x v="3"/>
    <d v="2024-01-30T15:00:00"/>
    <n v="657.48869395216104"/>
    <n v="633.78381971095496"/>
    <n v="633.78381971095496"/>
    <n v="91.093780920087198"/>
    <s v="OK"/>
    <s v="NON-ZERO"/>
    <n v="678.82250993908497"/>
    <n v="0.933651743174852"/>
    <x v="1"/>
    <n v="-45.038690228130008"/>
    <x v="1"/>
    <n v="0"/>
  </r>
  <r>
    <x v="3"/>
    <d v="2024-01-30T16:00:00"/>
    <n v="477.11188953692402"/>
    <n v="459.91025938801101"/>
    <n v="459.91025938801101"/>
    <n v="51.932121119772802"/>
    <s v="OK"/>
    <s v="NON-ZERO"/>
    <n v="479.99999999999898"/>
    <n v="0.95814637372502498"/>
    <x v="1"/>
    <n v="-20.089740611987963"/>
    <x v="1"/>
    <n v="0"/>
  </r>
  <r>
    <x v="3"/>
    <d v="2024-01-30T17:00:00"/>
    <n v="242.254954571627"/>
    <n v="233.52077665305299"/>
    <n v="233.52077665305299"/>
    <n v="72.160670314180805"/>
    <s v="OK"/>
    <s v="NON-ZERO"/>
    <n v="248.46628329842"/>
    <n v="0.93984895476777131"/>
    <x v="1"/>
    <n v="-14.945506645367004"/>
    <x v="1"/>
    <n v="0"/>
  </r>
  <r>
    <x v="3"/>
    <d v="2024-01-30T18:00:00"/>
    <n v="1.26063195831887E-13"/>
    <n v="1.21518156151164E-13"/>
    <n v="1.21518156151164E-13"/>
    <n v="55.691938312211803"/>
    <s v="OK"/>
    <s v="NON-ZERO"/>
    <n v="1.1756609271814501E-13"/>
    <n v="1.033615673887315"/>
    <x v="1"/>
    <n v="3.9520634330189903E-15"/>
    <x v="0"/>
    <n v="0"/>
  </r>
  <r>
    <x v="3"/>
    <d v="2024-01-30T19:00:00"/>
    <n v="0"/>
    <n v="0"/>
    <n v="0"/>
    <n v="81.550653755080205"/>
    <s v="OK"/>
    <s v="ZERO"/>
    <n v="0"/>
    <n v="0"/>
    <x v="0"/>
    <n v="0"/>
    <x v="0"/>
    <n v="0"/>
  </r>
  <r>
    <x v="3"/>
    <d v="2024-01-30T20:00:00"/>
    <n v="0"/>
    <n v="0"/>
    <n v="0"/>
    <n v="86.781665283437306"/>
    <s v="OK"/>
    <s v="ZERO"/>
    <n v="0"/>
    <n v="0"/>
    <x v="0"/>
    <n v="0"/>
    <x v="0"/>
    <n v="0"/>
  </r>
  <r>
    <x v="3"/>
    <d v="2024-01-30T21:00:00"/>
    <n v="0"/>
    <n v="0"/>
    <n v="0"/>
    <n v="39.580009992149598"/>
    <s v="OK"/>
    <s v="ZERO"/>
    <n v="0"/>
    <n v="0"/>
    <x v="0"/>
    <n v="0"/>
    <x v="0"/>
    <n v="0"/>
  </r>
  <r>
    <x v="3"/>
    <d v="2024-01-30T22:00:00"/>
    <n v="0"/>
    <n v="0"/>
    <n v="0"/>
    <n v="30.1533947008325"/>
    <s v="OK"/>
    <s v="ZERO"/>
    <n v="0"/>
    <n v="0"/>
    <x v="0"/>
    <n v="0"/>
    <x v="0"/>
    <n v="0"/>
  </r>
  <r>
    <x v="3"/>
    <d v="2024-01-30T23:00:00"/>
    <n v="0"/>
    <n v="0"/>
    <n v="0"/>
    <n v="75.156051913025195"/>
    <s v="OK"/>
    <s v="ZERO"/>
    <n v="0"/>
    <n v="0"/>
    <x v="0"/>
    <n v="0"/>
    <x v="0"/>
    <n v="0"/>
  </r>
  <r>
    <x v="3"/>
    <d v="2024-01-31T00:00:00"/>
    <n v="0"/>
    <n v="0"/>
    <n v="0"/>
    <n v="88.599883056781195"/>
    <s v="OK"/>
    <s v="ZERO"/>
    <n v="0"/>
    <n v="0"/>
    <x v="0"/>
    <n v="0"/>
    <x v="0"/>
    <n v="0"/>
  </r>
  <r>
    <x v="3"/>
    <d v="2024-01-31T01:00:00"/>
    <n v="0"/>
    <n v="0"/>
    <n v="0"/>
    <n v="56.758942709508602"/>
    <s v="OK"/>
    <s v="ZERO"/>
    <n v="0"/>
    <n v="0"/>
    <x v="0"/>
    <n v="0"/>
    <x v="0"/>
    <n v="0"/>
  </r>
  <r>
    <x v="3"/>
    <d v="2024-01-31T02:00:00"/>
    <n v="0"/>
    <n v="0"/>
    <n v="0"/>
    <n v="80.799933011263406"/>
    <s v="OK"/>
    <s v="ZERO"/>
    <n v="0"/>
    <n v="0"/>
    <x v="0"/>
    <n v="0"/>
    <x v="0"/>
    <n v="0"/>
  </r>
  <r>
    <x v="3"/>
    <d v="2024-01-31T03:00:00"/>
    <n v="0"/>
    <n v="0"/>
    <n v="0"/>
    <n v="50.302246274634399"/>
    <s v="OK"/>
    <s v="ZERO"/>
    <n v="0"/>
    <n v="0"/>
    <x v="0"/>
    <n v="0"/>
    <x v="0"/>
    <n v="0"/>
  </r>
  <r>
    <x v="3"/>
    <d v="2024-01-31T04:00:00"/>
    <n v="0"/>
    <n v="0"/>
    <n v="0"/>
    <n v="50.8280585430958"/>
    <s v="OK"/>
    <s v="ZERO"/>
    <n v="0"/>
    <n v="0"/>
    <x v="0"/>
    <n v="0"/>
    <x v="0"/>
    <n v="0"/>
  </r>
  <r>
    <x v="3"/>
    <d v="2024-01-31T05:00:00"/>
    <n v="0"/>
    <n v="0"/>
    <n v="0"/>
    <n v="72.004625194878301"/>
    <s v="OK"/>
    <s v="ZERO"/>
    <n v="0"/>
    <n v="0"/>
    <x v="0"/>
    <n v="0"/>
    <x v="0"/>
    <n v="0"/>
  </r>
  <r>
    <x v="3"/>
    <d v="2024-01-31T06:00:00"/>
    <n v="0"/>
    <n v="0"/>
    <n v="0"/>
    <n v="54.128877860610302"/>
    <s v="OK"/>
    <s v="ZERO"/>
    <n v="0"/>
    <n v="0"/>
    <x v="0"/>
    <n v="0"/>
    <x v="0"/>
    <n v="0"/>
  </r>
  <r>
    <x v="3"/>
    <d v="2024-01-31T07:00:00"/>
    <n v="249.12451183734001"/>
    <n v="240.14266123241501"/>
    <n v="240.14266123241501"/>
    <n v="75.198836656780898"/>
    <s v="OK"/>
    <s v="NON-ZERO"/>
    <n v="248.466283298419"/>
    <n v="0.96649999365907147"/>
    <x v="1"/>
    <n v="-8.3236220660039919"/>
    <x v="1"/>
    <n v="0"/>
  </r>
  <r>
    <x v="3"/>
    <d v="2024-01-31T08:00:00"/>
    <n v="456.60050277731398"/>
    <n v="440.13838320572597"/>
    <n v="440.13838320572597"/>
    <n v="65.246863295901306"/>
    <s v="OK"/>
    <s v="NON-ZERO"/>
    <n v="479.99999999999898"/>
    <n v="0.91695496501193108"/>
    <x v="1"/>
    <n v="-39.861616794273004"/>
    <x v="1"/>
    <n v="0"/>
  </r>
  <r>
    <x v="3"/>
    <d v="2024-01-31T09:00:00"/>
    <n v="634.22750339797005"/>
    <n v="611.361280226904"/>
    <n v="611.361280226904"/>
    <n v="53.438722564903799"/>
    <s v="OK"/>
    <s v="NON-ZERO"/>
    <n v="678.82250993908497"/>
    <n v="0.90062022292361121"/>
    <x v="1"/>
    <n v="-67.461229712180966"/>
    <x v="1"/>
    <n v="0"/>
  </r>
  <r>
    <x v="3"/>
    <d v="2024-01-31T10:00:00"/>
    <n v="848.09372042209895"/>
    <n v="817.51683724176996"/>
    <n v="817.51683724176996"/>
    <n v="27.726439583165401"/>
    <s v="OK"/>
    <s v="NON-ZERO"/>
    <n v="831.38438763306101"/>
    <n v="0.98331992926789047"/>
    <x v="1"/>
    <n v="-13.867550391291047"/>
    <x v="1"/>
    <n v="0"/>
  </r>
  <r>
    <x v="3"/>
    <d v="2024-01-31T11:00:00"/>
    <n v="851.23720765653195"/>
    <n v="820.546990254251"/>
    <n v="820.546990254251"/>
    <n v="63.715202089403199"/>
    <s v="OK"/>
    <s v="NON-ZERO"/>
    <n v="927.28879323750505"/>
    <n v="0.88488828533063657"/>
    <x v="1"/>
    <n v="-106.74180298325405"/>
    <x v="1"/>
    <n v="0"/>
  </r>
  <r>
    <x v="3"/>
    <d v="2024-01-31T12:00:00"/>
    <n v="902.04707657948904"/>
    <n v="869.52497740629701"/>
    <n v="869.52497740629701"/>
    <n v="77.248105788509704"/>
    <s v="OK"/>
    <s v="NON-ZERO"/>
    <n v="960"/>
    <n v="0.90575518479822603"/>
    <x v="1"/>
    <n v="-90.475022593702988"/>
    <x v="1"/>
    <n v="0"/>
  </r>
  <r>
    <x v="3"/>
    <d v="2024-01-31T13:00:00"/>
    <n v="854.49312036519495"/>
    <n v="823.68551539106795"/>
    <n v="823.68551539106795"/>
    <n v="74.661663506955904"/>
    <s v="OK"/>
    <s v="NON-ZERO"/>
    <n v="927.28879323750505"/>
    <n v="0.88827291065955827"/>
    <x v="1"/>
    <n v="-103.60327784643709"/>
    <x v="1"/>
    <n v="0"/>
  </r>
  <r>
    <x v="3"/>
    <d v="2024-01-31T14:00:00"/>
    <n v="754.68243615646998"/>
    <n v="727.47337171826405"/>
    <n v="727.47337171826405"/>
    <n v="89.104819100014694"/>
    <s v="OK"/>
    <s v="NON-ZERO"/>
    <n v="831.38438763306101"/>
    <n v="0.87501447289546763"/>
    <x v="1"/>
    <n v="-103.91101591479696"/>
    <x v="1"/>
    <n v="0"/>
  </r>
  <r>
    <x v="3"/>
    <d v="2024-01-31T15:00:00"/>
    <n v="714.193253702476"/>
    <n v="688.44397250773795"/>
    <n v="688.44397250773795"/>
    <n v="71.206769355013904"/>
    <s v="OK"/>
    <s v="NON-ZERO"/>
    <n v="678.82250993908497"/>
    <n v="1.0141737529733896"/>
    <x v="1"/>
    <n v="9.6214625686529871"/>
    <x v="0"/>
    <n v="0"/>
  </r>
  <r>
    <x v="3"/>
    <d v="2024-01-31T16:00:00"/>
    <n v="519.39384439105299"/>
    <n v="500.66779499096702"/>
    <n v="500.66779499096702"/>
    <n v="81.048798092998098"/>
    <s v="OK"/>
    <s v="NON-ZERO"/>
    <n v="479.99999999999898"/>
    <n v="1.0430579062311836"/>
    <x v="1"/>
    <n v="20.667794990968048"/>
    <x v="0"/>
    <n v="0"/>
  </r>
  <r>
    <x v="3"/>
    <d v="2024-01-31T17:00:00"/>
    <n v="209.94366794773401"/>
    <n v="202.37443019168401"/>
    <n v="202.37443019168401"/>
    <n v="31.309461187426301"/>
    <s v="OK"/>
    <s v="NON-ZERO"/>
    <n v="248.46628329842"/>
    <n v="0.81449453626117374"/>
    <x v="0"/>
    <n v="-46.091853106735982"/>
    <x v="1"/>
    <n v="-2.304592655336799"/>
  </r>
  <r>
    <x v="3"/>
    <d v="2024-01-31T18:00:00"/>
    <n v="1.11386561839709E-13"/>
    <n v="1.07370668540162E-13"/>
    <n v="1.07370668540162E-13"/>
    <n v="74.122222700352495"/>
    <s v="OK"/>
    <s v="NON-ZERO"/>
    <n v="1.1756609271814501E-13"/>
    <n v="0.91327921220937658"/>
    <x v="1"/>
    <n v="-1.0195424177983012E-14"/>
    <x v="1"/>
    <n v="0"/>
  </r>
  <r>
    <x v="3"/>
    <d v="2024-01-31T19:00:00"/>
    <n v="0"/>
    <n v="0"/>
    <n v="0"/>
    <n v="33.572979798350097"/>
    <s v="OK"/>
    <s v="ZERO"/>
    <n v="0"/>
    <n v="0"/>
    <x v="0"/>
    <n v="0"/>
    <x v="0"/>
    <n v="0"/>
  </r>
  <r>
    <x v="3"/>
    <d v="2024-01-31T20:00:00"/>
    <n v="0"/>
    <n v="0"/>
    <n v="0"/>
    <n v="32.571069210997202"/>
    <s v="OK"/>
    <s v="ZERO"/>
    <n v="0"/>
    <n v="0"/>
    <x v="0"/>
    <n v="0"/>
    <x v="0"/>
    <n v="0"/>
  </r>
  <r>
    <x v="3"/>
    <d v="2024-01-31T21:00:00"/>
    <n v="0"/>
    <n v="0"/>
    <n v="0"/>
    <n v="29.1564066238424"/>
    <s v="OK"/>
    <s v="ZERO"/>
    <n v="0"/>
    <n v="0"/>
    <x v="0"/>
    <n v="0"/>
    <x v="0"/>
    <n v="0"/>
  </r>
  <r>
    <x v="3"/>
    <d v="2024-01-31T22:00:00"/>
    <n v="0"/>
    <n v="0"/>
    <n v="0"/>
    <n v="26.350711643201699"/>
    <s v="OK"/>
    <s v="ZERO"/>
    <n v="0"/>
    <n v="0"/>
    <x v="0"/>
    <n v="0"/>
    <x v="0"/>
    <n v="0"/>
  </r>
  <r>
    <x v="3"/>
    <d v="2024-01-31T23:00:00"/>
    <n v="0"/>
    <n v="0"/>
    <n v="0"/>
    <n v="72.367474235984702"/>
    <s v="OK"/>
    <s v="ZERO"/>
    <n v="0"/>
    <n v="0"/>
    <x v="0"/>
    <n v="0"/>
    <x v="0"/>
    <n v="0"/>
  </r>
  <r>
    <x v="4"/>
    <d v="2024-01-01T00:00:00"/>
    <n v="0"/>
    <n v="0"/>
    <n v="0"/>
    <n v="44.540001652919599"/>
    <s v="OK"/>
    <s v="ZERO"/>
    <n v="0"/>
    <n v="0"/>
    <x v="0"/>
    <n v="0"/>
    <x v="0"/>
    <n v="0"/>
  </r>
  <r>
    <x v="4"/>
    <d v="2024-01-01T01:00:00"/>
    <n v="0"/>
    <n v="0"/>
    <n v="0"/>
    <n v="39.398017747799102"/>
    <s v="OK"/>
    <s v="ZERO"/>
    <n v="0"/>
    <n v="0"/>
    <x v="0"/>
    <n v="0"/>
    <x v="0"/>
    <n v="0"/>
  </r>
  <r>
    <x v="4"/>
    <d v="2024-01-01T02:00:00"/>
    <n v="0"/>
    <n v="0"/>
    <n v="0"/>
    <n v="76.106702427734405"/>
    <s v="OK"/>
    <s v="ZERO"/>
    <n v="0"/>
    <n v="0"/>
    <x v="0"/>
    <n v="0"/>
    <x v="0"/>
    <n v="0"/>
  </r>
  <r>
    <x v="4"/>
    <d v="2024-01-01T03:00:00"/>
    <n v="0"/>
    <n v="0"/>
    <n v="0"/>
    <n v="56.596093194279803"/>
    <s v="OK"/>
    <s v="ZERO"/>
    <n v="0"/>
    <n v="0"/>
    <x v="0"/>
    <n v="0"/>
    <x v="0"/>
    <n v="0"/>
  </r>
  <r>
    <x v="4"/>
    <d v="2024-01-01T04:00:00"/>
    <n v="0"/>
    <n v="0"/>
    <n v="0"/>
    <n v="47.892199965588198"/>
    <s v="OK"/>
    <s v="ZERO"/>
    <n v="0"/>
    <n v="0"/>
    <x v="0"/>
    <n v="0"/>
    <x v="0"/>
    <n v="0"/>
  </r>
  <r>
    <x v="4"/>
    <d v="2024-01-01T05:00:00"/>
    <n v="0"/>
    <n v="0"/>
    <n v="0"/>
    <n v="32.990272306993397"/>
    <s v="OK"/>
    <s v="ZERO"/>
    <n v="0"/>
    <n v="0"/>
    <x v="0"/>
    <n v="0"/>
    <x v="0"/>
    <n v="0"/>
  </r>
  <r>
    <x v="4"/>
    <d v="2024-01-01T06:00:00"/>
    <n v="0"/>
    <n v="0"/>
    <n v="0"/>
    <n v="85.593235753865002"/>
    <s v="OK"/>
    <s v="ZERO"/>
    <n v="0"/>
    <n v="0"/>
    <x v="0"/>
    <n v="0"/>
    <x v="0"/>
    <n v="0"/>
  </r>
  <r>
    <x v="4"/>
    <d v="2024-01-01T07:00:00"/>
    <n v="285.26549129018599"/>
    <n v="269.929831177425"/>
    <n v="269.929831177425"/>
    <n v="31.305274477337601"/>
    <s v="OK"/>
    <s v="NON-ZERO"/>
    <n v="310.58285412302399"/>
    <n v="0.86910731740041247"/>
    <x v="1"/>
    <n v="-40.653022945598991"/>
    <x v="1"/>
    <n v="0"/>
  </r>
  <r>
    <x v="4"/>
    <d v="2024-01-01T08:00:00"/>
    <n v="518.23245637539105"/>
    <n v="490.37266592394099"/>
    <n v="490.37266592394099"/>
    <n v="60.927726202471099"/>
    <s v="OK"/>
    <s v="NON-ZERO"/>
    <n v="600"/>
    <n v="0.81728777653990159"/>
    <x v="0"/>
    <n v="-109.62733407605901"/>
    <x v="1"/>
    <n v="-5.4813667038029505"/>
  </r>
  <r>
    <x v="4"/>
    <d v="2024-01-01T09:00:00"/>
    <n v="916.24945685575699"/>
    <n v="866.99256922700101"/>
    <n v="866.99256922700101"/>
    <n v="42.429823220663202"/>
    <s v="OK"/>
    <s v="NON-ZERO"/>
    <n v="848.52813742385695"/>
    <n v="1.0217605415645996"/>
    <x v="1"/>
    <n v="18.464431803144066"/>
    <x v="0"/>
    <n v="0"/>
  </r>
  <r>
    <x v="4"/>
    <d v="2024-01-01T10:00:00"/>
    <n v="1086.2609067635799"/>
    <n v="1027.86433035133"/>
    <n v="1027.86433035133"/>
    <n v="48.211048250786703"/>
    <s v="OK"/>
    <s v="NON-ZERO"/>
    <n v="1039.23048454132"/>
    <n v="0.98906291303126403"/>
    <x v="1"/>
    <n v="-11.366154189990084"/>
    <x v="1"/>
    <n v="0"/>
  </r>
  <r>
    <x v="4"/>
    <d v="2024-01-01T11:00:00"/>
    <n v="1029.72855115536"/>
    <n v="974.37111202907897"/>
    <n v="974.37111202907897"/>
    <n v="33.370610624153002"/>
    <s v="OK"/>
    <s v="NON-ZERO"/>
    <n v="1159.1109915468801"/>
    <n v="0.84061933596949301"/>
    <x v="0"/>
    <n v="-184.73987951780111"/>
    <x v="1"/>
    <n v="-9.2369939758900568"/>
  </r>
  <r>
    <x v="4"/>
    <d v="2024-01-01T12:00:00"/>
    <n v="1144.04785539882"/>
    <n v="1082.5446957149099"/>
    <n v="1082.5446957149099"/>
    <n v="87.296200410164104"/>
    <s v="OK"/>
    <s v="NON-ZERO"/>
    <n v="1200"/>
    <n v="0.90212057976242499"/>
    <x v="1"/>
    <n v="-117.45530428509005"/>
    <x v="1"/>
    <n v="0"/>
  </r>
  <r>
    <x v="4"/>
    <d v="2024-01-01T13:00:00"/>
    <n v="1107.48168077627"/>
    <n v="1047.94429137567"/>
    <n v="1047.94429137567"/>
    <n v="60.702593544248302"/>
    <s v="OK"/>
    <s v="NON-ZERO"/>
    <n v="1159.1109915468801"/>
    <n v="0.90409313604829711"/>
    <x v="1"/>
    <n v="-111.1667001712101"/>
    <x v="1"/>
    <n v="0"/>
  </r>
  <r>
    <x v="4"/>
    <d v="2024-01-01T14:00:00"/>
    <n v="985.003970274371"/>
    <n v="932.05089126881296"/>
    <n v="932.05089126881296"/>
    <n v="33.076753073815297"/>
    <s v="OK"/>
    <s v="NON-ZERO"/>
    <n v="1039.23048454132"/>
    <n v="0.89686638828747178"/>
    <x v="1"/>
    <n v="-107.17959327250708"/>
    <x v="1"/>
    <n v="0"/>
  </r>
  <r>
    <x v="4"/>
    <d v="2024-01-01T15:00:00"/>
    <n v="825.95213502716297"/>
    <n v="781.54956409263195"/>
    <n v="781.54956409263195"/>
    <n v="51.0233566134048"/>
    <s v="OK"/>
    <s v="NON-ZERO"/>
    <n v="848.52813742385695"/>
    <n v="0.92106499433881728"/>
    <x v="1"/>
    <n v="-66.978573331224993"/>
    <x v="1"/>
    <n v="0"/>
  </r>
  <r>
    <x v="4"/>
    <d v="2024-01-01T16:00:00"/>
    <n v="655.54863121542405"/>
    <n v="620.30682558994397"/>
    <n v="620.30682558994397"/>
    <n v="24.353475276387702"/>
    <s v="OK"/>
    <s v="NON-ZERO"/>
    <n v="600"/>
    <n v="1.0338447093165732"/>
    <x v="1"/>
    <n v="20.306825589943969"/>
    <x v="0"/>
    <n v="0"/>
  </r>
  <r>
    <x v="4"/>
    <d v="2024-01-01T17:00:00"/>
    <n v="290.23192376415102"/>
    <n v="274.62927194464902"/>
    <n v="274.62927194464902"/>
    <n v="81.281371018973701"/>
    <s v="OK"/>
    <s v="NON-ZERO"/>
    <n v="310.58285412302502"/>
    <n v="0.88423835475433421"/>
    <x v="1"/>
    <n v="-35.953582178375996"/>
    <x v="1"/>
    <n v="0"/>
  </r>
  <r>
    <x v="4"/>
    <d v="2024-01-01T18:00:00"/>
    <n v="1.3413231190245801E-13"/>
    <n v="1.2692145882600801E-13"/>
    <n v="1.2692145882600801E-13"/>
    <n v="64.749718019936097"/>
    <s v="OK"/>
    <s v="NON-ZERO"/>
    <n v="1.46957615897682E-13"/>
    <n v="0.86366030131011384"/>
    <x v="1"/>
    <n v="-2.0036157071673996E-14"/>
    <x v="1"/>
    <n v="0"/>
  </r>
  <r>
    <x v="4"/>
    <d v="2024-01-01T19:00:00"/>
    <n v="0"/>
    <n v="0"/>
    <n v="0"/>
    <n v="42.3340304921974"/>
    <s v="OK"/>
    <s v="ZERO"/>
    <n v="0"/>
    <n v="0"/>
    <x v="0"/>
    <n v="0"/>
    <x v="0"/>
    <n v="0"/>
  </r>
  <r>
    <x v="4"/>
    <d v="2024-01-01T20:00:00"/>
    <n v="0"/>
    <n v="0"/>
    <n v="0"/>
    <n v="58.451296508745699"/>
    <s v="OK"/>
    <s v="ZERO"/>
    <n v="0"/>
    <n v="0"/>
    <x v="0"/>
    <n v="0"/>
    <x v="0"/>
    <n v="0"/>
  </r>
  <r>
    <x v="4"/>
    <d v="2024-01-01T21:00:00"/>
    <n v="0"/>
    <n v="0"/>
    <n v="0"/>
    <n v="30.849117650523201"/>
    <s v="OK"/>
    <s v="ZERO"/>
    <n v="0"/>
    <n v="0"/>
    <x v="0"/>
    <n v="0"/>
    <x v="0"/>
    <n v="0"/>
  </r>
  <r>
    <x v="4"/>
    <d v="2024-01-01T22:00:00"/>
    <n v="0"/>
    <n v="0"/>
    <n v="0"/>
    <n v="21.762681711374299"/>
    <s v="OK"/>
    <s v="ZERO"/>
    <n v="0"/>
    <n v="0"/>
    <x v="0"/>
    <n v="0"/>
    <x v="0"/>
    <n v="0"/>
  </r>
  <r>
    <x v="4"/>
    <d v="2024-01-01T23:00:00"/>
    <n v="0"/>
    <n v="0"/>
    <n v="0"/>
    <n v="46.435658119677399"/>
    <s v="OK"/>
    <s v="ZERO"/>
    <n v="0"/>
    <n v="0"/>
    <x v="0"/>
    <n v="0"/>
    <x v="0"/>
    <n v="0"/>
  </r>
  <r>
    <x v="4"/>
    <d v="2024-01-02T00:00:00"/>
    <n v="0"/>
    <n v="0"/>
    <n v="0"/>
    <n v="69.246646210484599"/>
    <s v="OK"/>
    <s v="ZERO"/>
    <n v="0"/>
    <n v="0"/>
    <x v="0"/>
    <n v="0"/>
    <x v="0"/>
    <n v="0"/>
  </r>
  <r>
    <x v="4"/>
    <d v="2024-01-02T01:00:00"/>
    <n v="0"/>
    <n v="0"/>
    <n v="0"/>
    <n v="34.4257367356266"/>
    <s v="OK"/>
    <s v="ZERO"/>
    <n v="0"/>
    <n v="0"/>
    <x v="0"/>
    <n v="0"/>
    <x v="0"/>
    <n v="0"/>
  </r>
  <r>
    <x v="4"/>
    <d v="2024-01-02T02:00:00"/>
    <n v="0"/>
    <n v="0"/>
    <n v="0"/>
    <n v="31.222754113169501"/>
    <s v="OK"/>
    <s v="ZERO"/>
    <n v="0"/>
    <n v="0"/>
    <x v="0"/>
    <n v="0"/>
    <x v="0"/>
    <n v="0"/>
  </r>
  <r>
    <x v="4"/>
    <d v="2024-01-02T03:00:00"/>
    <n v="0"/>
    <n v="0"/>
    <n v="0"/>
    <n v="90.737234589001105"/>
    <s v="OK"/>
    <s v="ZERO"/>
    <n v="0"/>
    <n v="0"/>
    <x v="0"/>
    <n v="0"/>
    <x v="0"/>
    <n v="0"/>
  </r>
  <r>
    <x v="4"/>
    <d v="2024-01-02T04:00:00"/>
    <n v="0"/>
    <n v="0"/>
    <n v="0"/>
    <n v="59.563588991640799"/>
    <s v="OK"/>
    <s v="ZERO"/>
    <n v="0"/>
    <n v="0"/>
    <x v="0"/>
    <n v="0"/>
    <x v="0"/>
    <n v="0"/>
  </r>
  <r>
    <x v="4"/>
    <d v="2024-01-02T05:00:00"/>
    <n v="0"/>
    <n v="0"/>
    <n v="0"/>
    <n v="80.024364455486605"/>
    <s v="OK"/>
    <s v="ZERO"/>
    <n v="0"/>
    <n v="0"/>
    <x v="0"/>
    <n v="0"/>
    <x v="0"/>
    <n v="0"/>
  </r>
  <r>
    <x v="4"/>
    <d v="2024-01-02T06:00:00"/>
    <n v="0"/>
    <n v="0"/>
    <n v="0"/>
    <n v="91.988257005388803"/>
    <s v="OK"/>
    <s v="ZERO"/>
    <n v="0"/>
    <n v="0"/>
    <x v="0"/>
    <n v="0"/>
    <x v="0"/>
    <n v="0"/>
  </r>
  <r>
    <x v="4"/>
    <d v="2024-01-02T07:00:00"/>
    <n v="344.14131319222997"/>
    <n v="325.64053279286998"/>
    <n v="325.64053279286998"/>
    <n v="59.106653176124198"/>
    <s v="OK"/>
    <s v="NON-ZERO"/>
    <n v="310.58285412302399"/>
    <n v="1.0484820023705543"/>
    <x v="1"/>
    <n v="15.057678669845984"/>
    <x v="0"/>
    <n v="0"/>
  </r>
  <r>
    <x v="4"/>
    <d v="2024-01-02T08:00:00"/>
    <n v="542.24927675266304"/>
    <n v="513.09835994509695"/>
    <n v="513.09835994509695"/>
    <n v="69.890307761079995"/>
    <s v="OK"/>
    <s v="NON-ZERO"/>
    <n v="600"/>
    <n v="0.85516393324182827"/>
    <x v="1"/>
    <n v="-86.901640054903055"/>
    <x v="1"/>
    <n v="0"/>
  </r>
  <r>
    <x v="4"/>
    <d v="2024-01-02T09:00:00"/>
    <n v="874.57978674405604"/>
    <n v="827.56302951086298"/>
    <n v="827.56302951086298"/>
    <n v="47.838059051683402"/>
    <s v="OK"/>
    <s v="NON-ZERO"/>
    <n v="848.52813742385695"/>
    <n v="0.97529238337735702"/>
    <x v="1"/>
    <n v="-20.965107912993972"/>
    <x v="1"/>
    <n v="0"/>
  </r>
  <r>
    <x v="4"/>
    <d v="2024-01-02T10:00:00"/>
    <n v="1132.7434658689599"/>
    <n v="1071.8480217374199"/>
    <n v="1071.8480217374199"/>
    <n v="35.394314730220202"/>
    <s v="OK"/>
    <s v="NON-ZERO"/>
    <n v="1039.23048454132"/>
    <n v="1.0313862398007849"/>
    <x v="1"/>
    <n v="32.617537196099875"/>
    <x v="0"/>
    <n v="0"/>
  </r>
  <r>
    <x v="4"/>
    <d v="2024-01-02T11:00:00"/>
    <n v="1015.60538481905"/>
    <n v="961.00719658453204"/>
    <n v="961.00719658453204"/>
    <n v="61.473168951307898"/>
    <s v="OK"/>
    <s v="NON-ZERO"/>
    <n v="1159.1109915468801"/>
    <n v="0.82908988318886478"/>
    <x v="0"/>
    <n v="-198.10379496234805"/>
    <x v="1"/>
    <n v="-9.9051897481174027"/>
  </r>
  <r>
    <x v="4"/>
    <d v="2024-01-02T12:00:00"/>
    <n v="1054.6756167783701"/>
    <n v="997.97704200517001"/>
    <n v="997.97704200517001"/>
    <n v="43.313461663804397"/>
    <s v="OK"/>
    <s v="NON-ZERO"/>
    <n v="1200"/>
    <n v="0.83164753500430832"/>
    <x v="0"/>
    <n v="-202.02295799482999"/>
    <x v="1"/>
    <n v="-10.1011478997415"/>
  </r>
  <r>
    <x v="4"/>
    <d v="2024-01-02T13:00:00"/>
    <n v="1098.71346227345"/>
    <n v="1039.6474457618301"/>
    <n v="1039.6474457618301"/>
    <n v="69.494322144429503"/>
    <s v="OK"/>
    <s v="NON-ZERO"/>
    <n v="1159.1109915468801"/>
    <n v="0.89693519718450687"/>
    <x v="1"/>
    <n v="-119.46354578504997"/>
    <x v="1"/>
    <n v="0"/>
  </r>
  <r>
    <x v="4"/>
    <d v="2024-01-02T14:00:00"/>
    <n v="894.67546809314899"/>
    <n v="846.57838201432401"/>
    <n v="846.57838201432401"/>
    <n v="28.0194201835433"/>
    <s v="OK"/>
    <s v="NON-ZERO"/>
    <n v="1039.23048454132"/>
    <n v="0.81462042791015132"/>
    <x v="0"/>
    <n v="-192.65210252699603"/>
    <x v="1"/>
    <n v="-9.6326051263498016"/>
  </r>
  <r>
    <x v="4"/>
    <d v="2024-01-02T15:00:00"/>
    <n v="810.11287110829699"/>
    <n v="766.56180719200802"/>
    <n v="766.56180719200802"/>
    <n v="86.546825133299706"/>
    <s v="OK"/>
    <s v="NON-ZERO"/>
    <n v="848.52813742385695"/>
    <n v="0.90340175344013951"/>
    <x v="1"/>
    <n v="-81.966330231848929"/>
    <x v="1"/>
    <n v="0"/>
  </r>
  <r>
    <x v="4"/>
    <d v="2024-01-02T16:00:00"/>
    <n v="631.09948048556396"/>
    <n v="597.17204297360195"/>
    <n v="597.17204297360195"/>
    <n v="86.757910508202798"/>
    <s v="OK"/>
    <s v="NON-ZERO"/>
    <n v="600"/>
    <n v="0.99528673828933656"/>
    <x v="1"/>
    <n v="-2.8279570263980531"/>
    <x v="1"/>
    <n v="0"/>
  </r>
  <r>
    <x v="4"/>
    <d v="2024-01-02T17:00:00"/>
    <n v="335.94296294666498"/>
    <n v="317.88291974367098"/>
    <n v="317.88291974367098"/>
    <n v="94.711012320000293"/>
    <s v="OK"/>
    <s v="NON-ZERO"/>
    <n v="310.58285412302502"/>
    <n v="1.0235044063886229"/>
    <x v="1"/>
    <n v="7.3000656206459666"/>
    <x v="0"/>
    <n v="0"/>
  </r>
  <r>
    <x v="4"/>
    <d v="2024-01-02T18:00:00"/>
    <n v="1.14477018448415E-13"/>
    <n v="1.08322819292719E-13"/>
    <n v="1.08322819292719E-13"/>
    <n v="57.984583907530897"/>
    <s v="OK"/>
    <s v="NON-ZERO"/>
    <n v="1.46957615897682E-13"/>
    <n v="0.73710245386763651"/>
    <x v="0"/>
    <n v="-3.8634796604963004E-14"/>
    <x v="1"/>
    <n v="-1.9317398302481501E-15"/>
  </r>
  <r>
    <x v="4"/>
    <d v="2024-01-02T19:00:00"/>
    <n v="0"/>
    <n v="0"/>
    <n v="0"/>
    <n v="51.979242107706803"/>
    <s v="OK"/>
    <s v="ZERO"/>
    <n v="0"/>
    <n v="0"/>
    <x v="0"/>
    <n v="0"/>
    <x v="0"/>
    <n v="0"/>
  </r>
  <r>
    <x v="4"/>
    <d v="2024-01-02T20:00:00"/>
    <n v="0"/>
    <n v="0"/>
    <n v="0"/>
    <n v="58.958957488816701"/>
    <s v="OK"/>
    <s v="ZERO"/>
    <n v="0"/>
    <n v="0"/>
    <x v="0"/>
    <n v="0"/>
    <x v="0"/>
    <n v="0"/>
  </r>
  <r>
    <x v="4"/>
    <d v="2024-01-02T21:00:00"/>
    <n v="0"/>
    <n v="0"/>
    <n v="0"/>
    <n v="53.907665432323498"/>
    <s v="OK"/>
    <s v="ZERO"/>
    <n v="0"/>
    <n v="0"/>
    <x v="0"/>
    <n v="0"/>
    <x v="0"/>
    <n v="0"/>
  </r>
  <r>
    <x v="4"/>
    <d v="2024-01-02T22:00:00"/>
    <n v="0"/>
    <n v="0"/>
    <n v="0"/>
    <n v="73.829169105761807"/>
    <s v="OK"/>
    <s v="ZERO"/>
    <n v="0"/>
    <n v="0"/>
    <x v="0"/>
    <n v="0"/>
    <x v="0"/>
    <n v="0"/>
  </r>
  <r>
    <x v="4"/>
    <d v="2024-01-02T23:00:00"/>
    <n v="0"/>
    <n v="0"/>
    <n v="0"/>
    <n v="32.741215637061799"/>
    <s v="OK"/>
    <s v="ZERO"/>
    <n v="0"/>
    <n v="0"/>
    <x v="0"/>
    <n v="0"/>
    <x v="0"/>
    <n v="0"/>
  </r>
  <r>
    <x v="4"/>
    <d v="2024-01-03T00:00:00"/>
    <n v="0"/>
    <n v="0"/>
    <n v="0"/>
    <n v="76.676133278713905"/>
    <s v="OK"/>
    <s v="ZERO"/>
    <n v="0"/>
    <n v="0"/>
    <x v="0"/>
    <n v="0"/>
    <x v="0"/>
    <n v="0"/>
  </r>
  <r>
    <x v="4"/>
    <d v="2024-01-03T01:00:00"/>
    <n v="0"/>
    <n v="0"/>
    <n v="0"/>
    <n v="59.593237095794301"/>
    <s v="OK"/>
    <s v="ZERO"/>
    <n v="0"/>
    <n v="0"/>
    <x v="0"/>
    <n v="0"/>
    <x v="0"/>
    <n v="0"/>
  </r>
  <r>
    <x v="4"/>
    <d v="2024-01-03T02:00:00"/>
    <n v="0"/>
    <n v="0"/>
    <n v="0"/>
    <n v="83.706670209116695"/>
    <s v="OK"/>
    <s v="ZERO"/>
    <n v="0"/>
    <n v="0"/>
    <x v="0"/>
    <n v="0"/>
    <x v="0"/>
    <n v="0"/>
  </r>
  <r>
    <x v="4"/>
    <d v="2024-01-03T03:00:00"/>
    <n v="0"/>
    <n v="0"/>
    <n v="0"/>
    <n v="51.557015583234502"/>
    <s v="OK"/>
    <s v="ZERO"/>
    <n v="0"/>
    <n v="0"/>
    <x v="0"/>
    <n v="0"/>
    <x v="0"/>
    <n v="0"/>
  </r>
  <r>
    <x v="4"/>
    <d v="2024-01-03T04:00:00"/>
    <n v="0"/>
    <n v="0"/>
    <n v="0"/>
    <n v="22.072231685631099"/>
    <s v="OK"/>
    <s v="ZERO"/>
    <n v="0"/>
    <n v="0"/>
    <x v="0"/>
    <n v="0"/>
    <x v="0"/>
    <n v="0"/>
  </r>
  <r>
    <x v="4"/>
    <d v="2024-01-03T05:00:00"/>
    <n v="0"/>
    <n v="0"/>
    <n v="0"/>
    <n v="24.557695129717999"/>
    <s v="OK"/>
    <s v="ZERO"/>
    <n v="0"/>
    <n v="0"/>
    <x v="0"/>
    <n v="0"/>
    <x v="0"/>
    <n v="0"/>
  </r>
  <r>
    <x v="4"/>
    <d v="2024-01-03T06:00:00"/>
    <n v="0"/>
    <n v="0"/>
    <n v="0"/>
    <n v="37.821591317031498"/>
    <s v="OK"/>
    <s v="ZERO"/>
    <n v="0"/>
    <n v="0"/>
    <x v="0"/>
    <n v="0"/>
    <x v="0"/>
    <n v="0"/>
  </r>
  <r>
    <x v="4"/>
    <d v="2024-01-03T07:00:00"/>
    <n v="262.49579927864698"/>
    <n v="248.38422083094"/>
    <n v="248.38422083094"/>
    <n v="81.1255832737818"/>
    <s v="OK"/>
    <s v="NON-ZERO"/>
    <n v="310.58285412302399"/>
    <n v="0.79973577914430949"/>
    <x v="0"/>
    <n v="-62.198633292083997"/>
    <x v="1"/>
    <n v="-3.1099316646041997"/>
  </r>
  <r>
    <x v="4"/>
    <d v="2024-01-03T08:00:00"/>
    <n v="556.65111723517896"/>
    <n v="526.72596822154003"/>
    <n v="526.72596822154003"/>
    <n v="74.589190103760998"/>
    <s v="OK"/>
    <s v="NON-ZERO"/>
    <n v="600"/>
    <n v="0.87787661370256675"/>
    <x v="1"/>
    <n v="-73.274031778459971"/>
    <x v="1"/>
    <n v="0"/>
  </r>
  <r>
    <x v="4"/>
    <d v="2024-01-03T09:00:00"/>
    <n v="815.10268085324105"/>
    <n v="771.283368485555"/>
    <n v="771.283368485555"/>
    <n v="26.9945090135623"/>
    <s v="OK"/>
    <s v="NON-ZERO"/>
    <n v="848.52813742385695"/>
    <n v="0.90896616678756448"/>
    <x v="1"/>
    <n v="-77.244768938301945"/>
    <x v="1"/>
    <n v="0"/>
  </r>
  <r>
    <x v="4"/>
    <d v="2024-01-03T10:00:00"/>
    <n v="970.65941139056895"/>
    <n v="918.47748517504704"/>
    <n v="918.47748517504704"/>
    <n v="20.459648548526001"/>
    <s v="OK"/>
    <s v="NON-ZERO"/>
    <n v="1039.23048454132"/>
    <n v="0.8838053721840452"/>
    <x v="1"/>
    <n v="-120.752999366273"/>
    <x v="1"/>
    <n v="0"/>
  </r>
  <r>
    <x v="4"/>
    <d v="2024-01-03T11:00:00"/>
    <n v="1151.1245265708201"/>
    <n v="1089.24093032119"/>
    <n v="1089.24093032119"/>
    <n v="88.151957472717896"/>
    <s v="OK"/>
    <s v="NON-ZERO"/>
    <n v="1159.1109915468801"/>
    <n v="0.93972099157437405"/>
    <x v="1"/>
    <n v="-69.870061225690051"/>
    <x v="1"/>
    <n v="0"/>
  </r>
  <r>
    <x v="4"/>
    <d v="2024-01-03T12:00:00"/>
    <n v="1072.5593198203501"/>
    <n v="1014.89933050601"/>
    <n v="1014.89933050601"/>
    <n v="90.517564465466705"/>
    <s v="OK"/>
    <s v="NON-ZERO"/>
    <n v="1200"/>
    <n v="0.84574944208834169"/>
    <x v="0"/>
    <n v="-185.10066949399004"/>
    <x v="1"/>
    <n v="-9.255033474699502"/>
  </r>
  <r>
    <x v="4"/>
    <d v="2024-01-03T13:00:00"/>
    <n v="1103.97652225815"/>
    <n v="1044.6275675659899"/>
    <n v="1044.6275675659899"/>
    <n v="47.484248475498397"/>
    <s v="OK"/>
    <s v="NON-ZERO"/>
    <n v="1159.1109915468801"/>
    <n v="0.90123169841732975"/>
    <x v="1"/>
    <n v="-114.48342398089017"/>
    <x v="1"/>
    <n v="0"/>
  </r>
  <r>
    <x v="4"/>
    <d v="2024-01-03T14:00:00"/>
    <n v="1006.47207077938"/>
    <n v="952.36488269767403"/>
    <n v="952.36488269767403"/>
    <n v="33.578777035411001"/>
    <s v="OK"/>
    <s v="NON-ZERO"/>
    <n v="1039.23048454132"/>
    <n v="0.91641353565375305"/>
    <x v="1"/>
    <n v="-86.865601843646004"/>
    <x v="1"/>
    <n v="0"/>
  </r>
  <r>
    <x v="4"/>
    <d v="2024-01-03T15:00:00"/>
    <n v="729.84470023882602"/>
    <n v="690.608793339111"/>
    <n v="690.608793339111"/>
    <n v="83.528518915291599"/>
    <s v="OK"/>
    <s v="NON-ZERO"/>
    <n v="848.52813742385695"/>
    <n v="0.81389026819524068"/>
    <x v="0"/>
    <n v="-157.91934408474594"/>
    <x v="1"/>
    <n v="-7.895967204237297"/>
  </r>
  <r>
    <x v="4"/>
    <d v="2024-01-03T16:00:00"/>
    <n v="471.81546009786501"/>
    <n v="446.45101275695998"/>
    <n v="446.45101275695998"/>
    <n v="85.015518709938405"/>
    <s v="OK"/>
    <s v="NON-ZERO"/>
    <n v="600"/>
    <n v="0.74408502126159992"/>
    <x v="0"/>
    <n v="-153.54898724304002"/>
    <x v="1"/>
    <n v="-7.6774493621520001"/>
  </r>
  <r>
    <x v="4"/>
    <d v="2024-01-03T17:00:00"/>
    <n v="318.808113454703"/>
    <n v="301.66922698435002"/>
    <n v="301.66922698435002"/>
    <n v="61.170400888900602"/>
    <s v="OK"/>
    <s v="NON-ZERO"/>
    <n v="310.58285412302502"/>
    <n v="0.97130032446947567"/>
    <x v="1"/>
    <n v="-8.9136271386749968"/>
    <x v="1"/>
    <n v="0"/>
  </r>
  <r>
    <x v="4"/>
    <d v="2024-01-03T18:00:00"/>
    <n v="1.3399071397367901E-13"/>
    <n v="1.2678747309630101E-13"/>
    <n v="1.2678747309630101E-13"/>
    <n v="47.004912016304601"/>
    <s v="OK"/>
    <s v="NON-ZERO"/>
    <n v="1.46957615897682E-13"/>
    <n v="0.8627485708843815"/>
    <x v="1"/>
    <n v="-2.017014280138099E-14"/>
    <x v="1"/>
    <n v="0"/>
  </r>
  <r>
    <x v="4"/>
    <d v="2024-01-03T19:00:00"/>
    <n v="0"/>
    <n v="0"/>
    <n v="0"/>
    <n v="23.1771448964586"/>
    <s v="OK"/>
    <s v="ZERO"/>
    <n v="0"/>
    <n v="0"/>
    <x v="0"/>
    <n v="0"/>
    <x v="0"/>
    <n v="0"/>
  </r>
  <r>
    <x v="4"/>
    <d v="2024-01-03T20:00:00"/>
    <n v="0"/>
    <n v="0"/>
    <n v="0"/>
    <n v="82.075955540265497"/>
    <s v="OK"/>
    <s v="ZERO"/>
    <n v="0"/>
    <n v="0"/>
    <x v="0"/>
    <n v="0"/>
    <x v="0"/>
    <n v="0"/>
  </r>
  <r>
    <x v="4"/>
    <d v="2024-01-03T21:00:00"/>
    <n v="0"/>
    <n v="0"/>
    <n v="0"/>
    <n v="91.517916787636906"/>
    <s v="OK"/>
    <s v="ZERO"/>
    <n v="0"/>
    <n v="0"/>
    <x v="0"/>
    <n v="0"/>
    <x v="0"/>
    <n v="0"/>
  </r>
  <r>
    <x v="4"/>
    <d v="2024-01-03T22:00:00"/>
    <n v="0"/>
    <n v="0"/>
    <n v="0"/>
    <n v="62.039163867131698"/>
    <s v="OK"/>
    <s v="ZERO"/>
    <n v="0"/>
    <n v="0"/>
    <x v="0"/>
    <n v="0"/>
    <x v="0"/>
    <n v="0"/>
  </r>
  <r>
    <x v="4"/>
    <d v="2024-01-03T23:00:00"/>
    <n v="0"/>
    <n v="0"/>
    <n v="0"/>
    <n v="89.572872439261005"/>
    <s v="OK"/>
    <s v="ZERO"/>
    <n v="0"/>
    <n v="0"/>
    <x v="0"/>
    <n v="0"/>
    <x v="0"/>
    <n v="0"/>
  </r>
  <r>
    <x v="4"/>
    <d v="2024-01-04T00:00:00"/>
    <n v="0"/>
    <n v="0"/>
    <n v="0"/>
    <n v="22.436099152692101"/>
    <s v="OK"/>
    <s v="ZERO"/>
    <n v="0"/>
    <n v="0"/>
    <x v="0"/>
    <n v="0"/>
    <x v="0"/>
    <n v="0"/>
  </r>
  <r>
    <x v="4"/>
    <d v="2024-01-04T01:00:00"/>
    <n v="0"/>
    <n v="0"/>
    <n v="0"/>
    <n v="79.741141553487296"/>
    <s v="OK"/>
    <s v="ZERO"/>
    <n v="0"/>
    <n v="0"/>
    <x v="0"/>
    <n v="0"/>
    <x v="0"/>
    <n v="0"/>
  </r>
  <r>
    <x v="4"/>
    <d v="2024-01-04T02:00:00"/>
    <n v="0"/>
    <n v="0"/>
    <n v="0"/>
    <n v="65.103215858236993"/>
    <s v="OK"/>
    <s v="ZERO"/>
    <n v="0"/>
    <n v="0"/>
    <x v="0"/>
    <n v="0"/>
    <x v="0"/>
    <n v="0"/>
  </r>
  <r>
    <x v="4"/>
    <d v="2024-01-04T03:00:00"/>
    <n v="0"/>
    <n v="0"/>
    <n v="0"/>
    <n v="88.602180764091102"/>
    <s v="OK"/>
    <s v="ZERO"/>
    <n v="0"/>
    <n v="0"/>
    <x v="0"/>
    <n v="0"/>
    <x v="0"/>
    <n v="0"/>
  </r>
  <r>
    <x v="4"/>
    <d v="2024-01-04T04:00:00"/>
    <n v="0"/>
    <n v="0"/>
    <n v="0"/>
    <n v="60.817756820781298"/>
    <s v="OK"/>
    <s v="ZERO"/>
    <n v="0"/>
    <n v="0"/>
    <x v="0"/>
    <n v="0"/>
    <x v="0"/>
    <n v="0"/>
  </r>
  <r>
    <x v="4"/>
    <d v="2024-01-04T05:00:00"/>
    <n v="0"/>
    <n v="0"/>
    <n v="0"/>
    <n v="81.272633785615696"/>
    <s v="OK"/>
    <s v="ZERO"/>
    <n v="0"/>
    <n v="0"/>
    <x v="0"/>
    <n v="0"/>
    <x v="0"/>
    <n v="0"/>
  </r>
  <r>
    <x v="4"/>
    <d v="2024-01-04T06:00:00"/>
    <n v="0"/>
    <n v="0"/>
    <n v="0"/>
    <n v="32.724581094253899"/>
    <s v="OK"/>
    <s v="ZERO"/>
    <n v="0"/>
    <n v="0"/>
    <x v="0"/>
    <n v="0"/>
    <x v="0"/>
    <n v="0"/>
  </r>
  <r>
    <x v="4"/>
    <d v="2024-01-04T07:00:00"/>
    <n v="304.77936165807699"/>
    <n v="288.39465042422398"/>
    <n v="288.39465042422398"/>
    <n v="37.039343988666197"/>
    <s v="OK"/>
    <s v="NON-ZERO"/>
    <n v="310.58285412302399"/>
    <n v="0.92855947002788797"/>
    <x v="1"/>
    <n v="-22.18820369880001"/>
    <x v="1"/>
    <n v="0"/>
  </r>
  <r>
    <x v="4"/>
    <d v="2024-01-04T08:00:00"/>
    <n v="517.10640645142905"/>
    <n v="489.30715160428798"/>
    <n v="489.30715160428798"/>
    <n v="27.9729365984713"/>
    <s v="OK"/>
    <s v="NON-ZERO"/>
    <n v="600"/>
    <n v="0.81551191934047995"/>
    <x v="0"/>
    <n v="-110.69284839571202"/>
    <x v="1"/>
    <n v="-5.5346424197856017"/>
  </r>
  <r>
    <x v="4"/>
    <d v="2024-01-04T09:00:00"/>
    <n v="782.09209205468596"/>
    <n v="740.04740432753101"/>
    <n v="740.04740432753101"/>
    <n v="32.308582969684203"/>
    <s v="OK"/>
    <s v="NON-ZERO"/>
    <n v="848.52813742385695"/>
    <n v="0.8721542299991667"/>
    <x v="1"/>
    <n v="-108.48073309632593"/>
    <x v="1"/>
    <n v="0"/>
  </r>
  <r>
    <x v="4"/>
    <d v="2024-01-04T10:00:00"/>
    <n v="975.97371872458996"/>
    <n v="923.50609930923201"/>
    <n v="923.50609930923201"/>
    <n v="42.606868384891797"/>
    <s v="OK"/>
    <s v="NON-ZERO"/>
    <n v="1039.23048454132"/>
    <n v="0.88864415839074939"/>
    <x v="1"/>
    <n v="-115.72438523208803"/>
    <x v="1"/>
    <n v="0"/>
  </r>
  <r>
    <x v="4"/>
    <d v="2024-01-04T11:00:00"/>
    <n v="1068.19454095733"/>
    <n v="1010.76919890022"/>
    <n v="1010.76919890022"/>
    <n v="73.443345743544498"/>
    <s v="OK"/>
    <s v="NON-ZERO"/>
    <n v="1159.1109915468801"/>
    <n v="0.87202106292798409"/>
    <x v="1"/>
    <n v="-148.34179264666011"/>
    <x v="1"/>
    <n v="0"/>
  </r>
  <r>
    <x v="4"/>
    <d v="2024-01-04T12:00:00"/>
    <n v="1029.8784497992699"/>
    <n v="974.51295223366606"/>
    <n v="974.51295223366606"/>
    <n v="33.0229484469059"/>
    <s v="OK"/>
    <s v="NON-ZERO"/>
    <n v="1200"/>
    <n v="0.81209412686138838"/>
    <x v="0"/>
    <n v="-225.48704776633394"/>
    <x v="1"/>
    <n v="-11.274352388316697"/>
  </r>
  <r>
    <x v="4"/>
    <d v="2024-01-04T13:00:00"/>
    <n v="1228.43349380529"/>
    <n v="1162.39382512008"/>
    <n v="1162.39382512008"/>
    <n v="26.8437926961683"/>
    <s v="OK"/>
    <s v="NON-ZERO"/>
    <n v="1159.1109915468801"/>
    <n v="1.0028321995021536"/>
    <x v="1"/>
    <n v="3.2828335731999232"/>
    <x v="0"/>
    <n v="0"/>
  </r>
  <r>
    <x v="4"/>
    <d v="2024-01-04T14:00:00"/>
    <n v="1131.4190801693501"/>
    <n v="1070.59483402553"/>
    <n v="1070.59483402553"/>
    <n v="60.683435455790502"/>
    <s v="OK"/>
    <s v="NON-ZERO"/>
    <n v="1039.23048454132"/>
    <n v="1.030180359362777"/>
    <x v="1"/>
    <n v="31.364349484209924"/>
    <x v="0"/>
    <n v="0"/>
  </r>
  <r>
    <x v="4"/>
    <d v="2024-01-04T15:00:00"/>
    <n v="714.65062682048006"/>
    <n v="676.23154197876602"/>
    <n v="676.23154197876602"/>
    <n v="69.112351879550204"/>
    <s v="OK"/>
    <s v="NON-ZERO"/>
    <n v="848.52813742385695"/>
    <n v="0.79694651497570168"/>
    <x v="0"/>
    <n v="-172.29659544509093"/>
    <x v="1"/>
    <n v="-8.6148297722545468"/>
  </r>
  <r>
    <x v="4"/>
    <d v="2024-01-04T16:00:00"/>
    <n v="530.31546956357795"/>
    <n v="501.80610533243902"/>
    <n v="501.80610533243902"/>
    <n v="62.363687824967997"/>
    <s v="OK"/>
    <s v="NON-ZERO"/>
    <n v="600"/>
    <n v="0.83634350888739839"/>
    <x v="0"/>
    <n v="-98.193894667560983"/>
    <x v="1"/>
    <n v="-4.909694733378049"/>
  </r>
  <r>
    <x v="4"/>
    <d v="2024-01-04T17:00:00"/>
    <n v="297.748656009694"/>
    <n v="281.74191026928099"/>
    <n v="281.74191026928099"/>
    <n v="70.119457790612998"/>
    <s v="OK"/>
    <s v="NON-ZERO"/>
    <n v="310.58285412302502"/>
    <n v="0.90713929159038564"/>
    <x v="1"/>
    <n v="-28.840943853744022"/>
    <x v="1"/>
    <n v="0"/>
  </r>
  <r>
    <x v="4"/>
    <d v="2024-01-04T18:00:00"/>
    <n v="1.43955030176921E-13"/>
    <n v="1.3621611509002801E-13"/>
    <n v="1.3621611509002801E-13"/>
    <n v="94.628956435943493"/>
    <s v="OK"/>
    <s v="NON-ZERO"/>
    <n v="1.46957615897682E-13"/>
    <n v="0.92690749137402539"/>
    <x v="1"/>
    <n v="-1.0741500807653991E-14"/>
    <x v="1"/>
    <n v="0"/>
  </r>
  <r>
    <x v="4"/>
    <d v="2024-01-04T19:00:00"/>
    <n v="0"/>
    <n v="0"/>
    <n v="0"/>
    <n v="86.407907327172893"/>
    <s v="OK"/>
    <s v="ZERO"/>
    <n v="0"/>
    <n v="0"/>
    <x v="0"/>
    <n v="0"/>
    <x v="0"/>
    <n v="0"/>
  </r>
  <r>
    <x v="4"/>
    <d v="2024-01-04T20:00:00"/>
    <n v="0"/>
    <n v="0"/>
    <n v="0"/>
    <n v="74.505542392198905"/>
    <s v="OK"/>
    <s v="ZERO"/>
    <n v="0"/>
    <n v="0"/>
    <x v="0"/>
    <n v="0"/>
    <x v="0"/>
    <n v="0"/>
  </r>
  <r>
    <x v="4"/>
    <d v="2024-01-04T21:00:00"/>
    <n v="0"/>
    <n v="0"/>
    <n v="0"/>
    <n v="73.688751164510805"/>
    <s v="OK"/>
    <s v="ZERO"/>
    <n v="0"/>
    <n v="0"/>
    <x v="0"/>
    <n v="0"/>
    <x v="0"/>
    <n v="0"/>
  </r>
  <r>
    <x v="4"/>
    <d v="2024-01-04T22:00:00"/>
    <n v="0"/>
    <n v="0"/>
    <n v="0"/>
    <n v="46.298696221551303"/>
    <s v="OK"/>
    <s v="ZERO"/>
    <n v="0"/>
    <n v="0"/>
    <x v="0"/>
    <n v="0"/>
    <x v="0"/>
    <n v="0"/>
  </r>
  <r>
    <x v="4"/>
    <d v="2024-01-04T23:00:00"/>
    <n v="0"/>
    <n v="0"/>
    <n v="0"/>
    <n v="33.464621937025001"/>
    <s v="OK"/>
    <s v="ZERO"/>
    <n v="0"/>
    <n v="0"/>
    <x v="0"/>
    <n v="0"/>
    <x v="0"/>
    <n v="0"/>
  </r>
  <r>
    <x v="4"/>
    <d v="2024-01-05T00:00:00"/>
    <n v="0"/>
    <n v="0"/>
    <n v="0"/>
    <n v="27.429232566199001"/>
    <s v="OK"/>
    <s v="ZERO"/>
    <n v="0"/>
    <n v="0"/>
    <x v="0"/>
    <n v="0"/>
    <x v="0"/>
    <n v="0"/>
  </r>
  <r>
    <x v="4"/>
    <d v="2024-01-05T01:00:00"/>
    <n v="0"/>
    <n v="0"/>
    <n v="0"/>
    <n v="49.675243557223702"/>
    <s v="OK"/>
    <s v="ZERO"/>
    <n v="0"/>
    <n v="0"/>
    <x v="0"/>
    <n v="0"/>
    <x v="0"/>
    <n v="0"/>
  </r>
  <r>
    <x v="4"/>
    <d v="2024-01-05T02:00:00"/>
    <n v="0"/>
    <n v="0"/>
    <n v="0"/>
    <n v="52.567752245854599"/>
    <s v="OK"/>
    <s v="ZERO"/>
    <n v="0"/>
    <n v="0"/>
    <x v="0"/>
    <n v="0"/>
    <x v="0"/>
    <n v="0"/>
  </r>
  <r>
    <x v="4"/>
    <d v="2024-01-05T03:00:00"/>
    <n v="0"/>
    <n v="0"/>
    <n v="0"/>
    <n v="36.452604879895198"/>
    <s v="OK"/>
    <s v="ZERO"/>
    <n v="0"/>
    <n v="0"/>
    <x v="0"/>
    <n v="0"/>
    <x v="0"/>
    <n v="0"/>
  </r>
  <r>
    <x v="4"/>
    <d v="2024-01-05T04:00:00"/>
    <n v="0"/>
    <n v="0"/>
    <n v="0"/>
    <n v="55.290611453448101"/>
    <s v="OK"/>
    <s v="ZERO"/>
    <n v="0"/>
    <n v="0"/>
    <x v="0"/>
    <n v="0"/>
    <x v="0"/>
    <n v="0"/>
  </r>
  <r>
    <x v="4"/>
    <d v="2024-01-05T05:00:00"/>
    <n v="0"/>
    <n v="0"/>
    <n v="0"/>
    <n v="28.370239958891801"/>
    <s v="OK"/>
    <s v="ZERO"/>
    <n v="0"/>
    <n v="0"/>
    <x v="0"/>
    <n v="0"/>
    <x v="0"/>
    <n v="0"/>
  </r>
  <r>
    <x v="4"/>
    <d v="2024-01-05T06:00:00"/>
    <n v="0"/>
    <n v="0"/>
    <n v="0"/>
    <n v="90.137150806008293"/>
    <s v="OK"/>
    <s v="ZERO"/>
    <n v="0"/>
    <n v="0"/>
    <x v="0"/>
    <n v="0"/>
    <x v="0"/>
    <n v="0"/>
  </r>
  <r>
    <x v="4"/>
    <d v="2024-01-05T07:00:00"/>
    <n v="265.28561887777101"/>
    <n v="251.02406180855399"/>
    <n v="251.02406180855399"/>
    <n v="82.817205100724294"/>
    <s v="OK"/>
    <s v="NON-ZERO"/>
    <n v="310.58285412302399"/>
    <n v="0.80823541440288793"/>
    <x v="0"/>
    <n v="-59.558792314469997"/>
    <x v="1"/>
    <n v="-2.9779396157234994"/>
  </r>
  <r>
    <x v="4"/>
    <d v="2024-01-05T08:00:00"/>
    <n v="543.61010494723803"/>
    <n v="514.38603103058995"/>
    <n v="514.38603103058995"/>
    <n v="83.748182533219605"/>
    <s v="OK"/>
    <s v="NON-ZERO"/>
    <n v="600"/>
    <n v="0.85731005171764996"/>
    <x v="1"/>
    <n v="-85.613968969410053"/>
    <x v="1"/>
    <n v="0"/>
  </r>
  <r>
    <x v="4"/>
    <d v="2024-01-05T09:00:00"/>
    <n v="794.20847721365703"/>
    <n v="751.51242165454698"/>
    <n v="751.51242165454698"/>
    <n v="45.890302327983797"/>
    <s v="OK"/>
    <s v="NON-ZERO"/>
    <n v="848.52813742385695"/>
    <n v="0.88566588249642375"/>
    <x v="1"/>
    <n v="-97.015715769309963"/>
    <x v="1"/>
    <n v="0"/>
  </r>
  <r>
    <x v="4"/>
    <d v="2024-01-05T10:00:00"/>
    <n v="1199.4718169314799"/>
    <n v="1134.9891064006599"/>
    <n v="1134.9891064006599"/>
    <n v="88.735126149954198"/>
    <s v="OK"/>
    <s v="NON-ZERO"/>
    <n v="1039.23048454132"/>
    <n v="1.0921437768461963"/>
    <x v="1"/>
    <n v="95.758621859339883"/>
    <x v="0"/>
    <n v="0"/>
  </r>
  <r>
    <x v="4"/>
    <d v="2024-01-05T11:00:00"/>
    <n v="1140.00800871361"/>
    <n v="1078.72202817531"/>
    <n v="1078.72202817531"/>
    <n v="31.122630110580999"/>
    <s v="OK"/>
    <s v="NON-ZERO"/>
    <n v="1159.1109915468801"/>
    <n v="0.93064601754462895"/>
    <x v="1"/>
    <n v="-80.388963371570071"/>
    <x v="1"/>
    <n v="0"/>
  </r>
  <r>
    <x v="4"/>
    <d v="2024-01-05T12:00:00"/>
    <n v="1175.83697796354"/>
    <n v="1112.6248587530799"/>
    <n v="1112.6248587530799"/>
    <n v="89.487546428316605"/>
    <s v="OK"/>
    <s v="NON-ZERO"/>
    <n v="1200"/>
    <n v="0.92718738229423325"/>
    <x v="1"/>
    <n v="-87.375141246920066"/>
    <x v="1"/>
    <n v="0"/>
  </r>
  <r>
    <x v="4"/>
    <d v="2024-01-05T13:00:00"/>
    <n v="1171.3849495081099"/>
    <n v="1108.4121680279"/>
    <n v="1108.4121680279"/>
    <n v="43.510646745057599"/>
    <s v="OK"/>
    <s v="NON-ZERO"/>
    <n v="1159.1109915468801"/>
    <n v="0.95626059636332106"/>
    <x v="1"/>
    <n v="-50.698823518980134"/>
    <x v="1"/>
    <n v="0"/>
  </r>
  <r>
    <x v="4"/>
    <d v="2024-01-05T14:00:00"/>
    <n v="1056.59859861214"/>
    <n v="999.79664576937398"/>
    <n v="999.79664576937398"/>
    <n v="93.643833837605996"/>
    <s v="OK"/>
    <s v="NON-ZERO"/>
    <n v="1039.23048454132"/>
    <n v="0.96205477094972747"/>
    <x v="1"/>
    <n v="-39.433838771946057"/>
    <x v="1"/>
    <n v="0"/>
  </r>
  <r>
    <x v="4"/>
    <d v="2024-01-05T15:00:00"/>
    <n v="833.61585949279197"/>
    <n v="788.80129244519696"/>
    <n v="788.80129244519696"/>
    <n v="52.907166548872198"/>
    <s v="OK"/>
    <s v="NON-ZERO"/>
    <n v="848.52813742385695"/>
    <n v="0.9296112381611864"/>
    <x v="1"/>
    <n v="-59.726844978659983"/>
    <x v="1"/>
    <n v="0"/>
  </r>
  <r>
    <x v="4"/>
    <d v="2024-01-05T16:00:00"/>
    <n v="549.88627006398701"/>
    <n v="520.32479419028198"/>
    <n v="520.32479419028198"/>
    <n v="40.285182921238103"/>
    <s v="OK"/>
    <s v="NON-ZERO"/>
    <n v="600"/>
    <n v="0.86720799031713658"/>
    <x v="1"/>
    <n v="-79.675205809718022"/>
    <x v="1"/>
    <n v="0"/>
  </r>
  <r>
    <x v="4"/>
    <d v="2024-01-05T17:00:00"/>
    <n v="263.63994054417998"/>
    <n v="249.46685391513"/>
    <n v="249.46685391513"/>
    <n v="82.058430198471001"/>
    <s v="OK"/>
    <s v="NON-ZERO"/>
    <n v="310.58285412302502"/>
    <n v="0.80322158999902049"/>
    <x v="0"/>
    <n v="-61.116000207895013"/>
    <x v="1"/>
    <n v="-3.0558000103947505"/>
  </r>
  <r>
    <x v="4"/>
    <d v="2024-01-05T18:00:00"/>
    <n v="1.5046144828119899E-13"/>
    <n v="1.4237275300832E-13"/>
    <n v="1.4237275300832E-13"/>
    <n v="32.733270481859101"/>
    <s v="OK"/>
    <s v="NON-ZERO"/>
    <n v="1.46957615897682E-13"/>
    <n v="0.96880146114676924"/>
    <x v="1"/>
    <n v="-4.5848628893619989E-15"/>
    <x v="1"/>
    <n v="0"/>
  </r>
  <r>
    <x v="4"/>
    <d v="2024-01-05T19:00:00"/>
    <n v="0"/>
    <n v="0"/>
    <n v="0"/>
    <n v="74.662561034172697"/>
    <s v="OK"/>
    <s v="ZERO"/>
    <n v="0"/>
    <n v="0"/>
    <x v="0"/>
    <n v="0"/>
    <x v="0"/>
    <n v="0"/>
  </r>
  <r>
    <x v="4"/>
    <d v="2024-01-05T20:00:00"/>
    <n v="0"/>
    <n v="0"/>
    <n v="0"/>
    <n v="39.930978213999602"/>
    <s v="OK"/>
    <s v="ZERO"/>
    <n v="0"/>
    <n v="0"/>
    <x v="0"/>
    <n v="0"/>
    <x v="0"/>
    <n v="0"/>
  </r>
  <r>
    <x v="4"/>
    <d v="2024-01-05T21:00:00"/>
    <n v="0"/>
    <n v="0"/>
    <n v="0"/>
    <n v="22.742735927221801"/>
    <s v="OK"/>
    <s v="ZERO"/>
    <n v="0"/>
    <n v="0"/>
    <x v="0"/>
    <n v="0"/>
    <x v="0"/>
    <n v="0"/>
  </r>
  <r>
    <x v="4"/>
    <d v="2024-01-05T22:00:00"/>
    <n v="0"/>
    <n v="0"/>
    <n v="0"/>
    <n v="73.766313169795794"/>
    <s v="OK"/>
    <s v="ZERO"/>
    <n v="0"/>
    <n v="0"/>
    <x v="0"/>
    <n v="0"/>
    <x v="0"/>
    <n v="0"/>
  </r>
  <r>
    <x v="4"/>
    <d v="2024-01-05T23:00:00"/>
    <n v="0"/>
    <n v="0"/>
    <n v="0"/>
    <n v="21.607989996733401"/>
    <s v="OK"/>
    <s v="ZERO"/>
    <n v="0"/>
    <n v="0"/>
    <x v="0"/>
    <n v="0"/>
    <x v="0"/>
    <n v="0"/>
  </r>
  <r>
    <x v="4"/>
    <d v="2024-01-06T00:00:00"/>
    <n v="0"/>
    <n v="0"/>
    <n v="0"/>
    <n v="65.098127286102795"/>
    <s v="OK"/>
    <s v="ZERO"/>
    <n v="0"/>
    <n v="0"/>
    <x v="0"/>
    <n v="0"/>
    <x v="0"/>
    <n v="0"/>
  </r>
  <r>
    <x v="4"/>
    <d v="2024-01-06T01:00:00"/>
    <n v="0"/>
    <n v="0"/>
    <n v="0"/>
    <n v="60.462993048822099"/>
    <s v="OK"/>
    <s v="ZERO"/>
    <n v="0"/>
    <n v="0"/>
    <x v="0"/>
    <n v="0"/>
    <x v="0"/>
    <n v="0"/>
  </r>
  <r>
    <x v="4"/>
    <d v="2024-01-06T02:00:00"/>
    <n v="0"/>
    <n v="0"/>
    <n v="0"/>
    <n v="24.849915788792799"/>
    <s v="OK"/>
    <s v="ZERO"/>
    <n v="0"/>
    <n v="0"/>
    <x v="0"/>
    <n v="0"/>
    <x v="0"/>
    <n v="0"/>
  </r>
  <r>
    <x v="4"/>
    <d v="2024-01-06T03:00:00"/>
    <n v="0"/>
    <n v="0"/>
    <n v="0"/>
    <n v="61.813869850045599"/>
    <s v="OK"/>
    <s v="ZERO"/>
    <n v="0"/>
    <n v="0"/>
    <x v="0"/>
    <n v="0"/>
    <x v="0"/>
    <n v="0"/>
  </r>
  <r>
    <x v="4"/>
    <d v="2024-01-06T04:00:00"/>
    <n v="0"/>
    <n v="0"/>
    <n v="0"/>
    <n v="28.568633994354201"/>
    <s v="OK"/>
    <s v="ZERO"/>
    <n v="0"/>
    <n v="0"/>
    <x v="0"/>
    <n v="0"/>
    <x v="0"/>
    <n v="0"/>
  </r>
  <r>
    <x v="4"/>
    <d v="2024-01-06T05:00:00"/>
    <n v="0"/>
    <n v="0"/>
    <n v="0"/>
    <n v="44.2887223059383"/>
    <s v="OK"/>
    <s v="ZERO"/>
    <n v="0"/>
    <n v="0"/>
    <x v="0"/>
    <n v="0"/>
    <x v="0"/>
    <n v="0"/>
  </r>
  <r>
    <x v="4"/>
    <d v="2024-01-06T06:00:00"/>
    <n v="0"/>
    <n v="0"/>
    <n v="0"/>
    <n v="36.008591099453099"/>
    <s v="OK"/>
    <s v="ZERO"/>
    <n v="0"/>
    <n v="0"/>
    <x v="0"/>
    <n v="0"/>
    <x v="0"/>
    <n v="0"/>
  </r>
  <r>
    <x v="4"/>
    <d v="2024-01-06T07:00:00"/>
    <n v="323.30780431737901"/>
    <n v="305.927017821297"/>
    <n v="305.927017821297"/>
    <n v="66.184441407603899"/>
    <s v="OK"/>
    <s v="NON-ZERO"/>
    <n v="310.58285412302399"/>
    <n v="0.98500935824395897"/>
    <x v="1"/>
    <n v="-4.6558363017269926"/>
    <x v="1"/>
    <n v="0"/>
  </r>
  <r>
    <x v="4"/>
    <d v="2024-01-06T08:00:00"/>
    <n v="597.79260687090698"/>
    <n v="565.65572205027399"/>
    <n v="565.65572205027399"/>
    <n v="58.454240080516399"/>
    <s v="OK"/>
    <s v="NON-ZERO"/>
    <n v="600"/>
    <n v="0.94275953675045665"/>
    <x v="1"/>
    <n v="-34.344277949726006"/>
    <x v="1"/>
    <n v="0"/>
  </r>
  <r>
    <x v="4"/>
    <d v="2024-01-06T09:00:00"/>
    <n v="934.26342154129304"/>
    <n v="884.03811660257395"/>
    <n v="884.03811660257395"/>
    <n v="33.991843414671102"/>
    <s v="OK"/>
    <s v="NON-ZERO"/>
    <n v="848.52813742385695"/>
    <n v="1.0418489117951064"/>
    <x v="1"/>
    <n v="35.509979178717003"/>
    <x v="0"/>
    <n v="0"/>
  </r>
  <r>
    <x v="4"/>
    <d v="2024-01-06T10:00:00"/>
    <n v="987.38127804714202"/>
    <n v="934.30039674828299"/>
    <n v="934.30039674828299"/>
    <n v="55.972396714964503"/>
    <s v="OK"/>
    <s v="NON-ZERO"/>
    <n v="1039.23048454132"/>
    <n v="0.89903097594433101"/>
    <x v="1"/>
    <n v="-104.93008779303705"/>
    <x v="1"/>
    <n v="0"/>
  </r>
  <r>
    <x v="4"/>
    <d v="2024-01-06T11:00:00"/>
    <n v="1286.13701905363"/>
    <n v="1216.99525187583"/>
    <n v="1216.99525187583"/>
    <n v="71.1151250156353"/>
    <s v="OK"/>
    <s v="NON-ZERO"/>
    <n v="1159.1109915468801"/>
    <n v="1.0499384966160152"/>
    <x v="1"/>
    <n v="57.884260328949949"/>
    <x v="0"/>
    <n v="0"/>
  </r>
  <r>
    <x v="4"/>
    <d v="2024-01-06T12:00:00"/>
    <n v="1209.5942587048801"/>
    <n v="1144.5673732517901"/>
    <n v="1144.5673732517901"/>
    <n v="23.793167455925701"/>
    <s v="OK"/>
    <s v="NON-ZERO"/>
    <n v="1200"/>
    <n v="0.95380614437649169"/>
    <x v="1"/>
    <n v="-55.432626748209941"/>
    <x v="1"/>
    <n v="0"/>
  </r>
  <r>
    <x v="4"/>
    <d v="2024-01-06T13:00:00"/>
    <n v="949.62546993954697"/>
    <n v="898.57431273315296"/>
    <n v="898.57431273315296"/>
    <n v="44.463879595843103"/>
    <s v="OK"/>
    <s v="NON-ZERO"/>
    <n v="1159.1109915468801"/>
    <n v="0.77522715191749625"/>
    <x v="0"/>
    <n v="-260.53667881372712"/>
    <x v="1"/>
    <n v="-13.026833940686355"/>
  </r>
  <r>
    <x v="4"/>
    <d v="2024-01-06T14:00:00"/>
    <n v="994.77939184388902"/>
    <n v="941.300793463481"/>
    <n v="941.300793463481"/>
    <n v="75.789896066612798"/>
    <s v="OK"/>
    <s v="NON-ZERO"/>
    <n v="1039.23048454132"/>
    <n v="0.90576711082425398"/>
    <x v="1"/>
    <n v="-97.929691077839038"/>
    <x v="1"/>
    <n v="0"/>
  </r>
  <r>
    <x v="4"/>
    <d v="2024-01-06T15:00:00"/>
    <n v="689.09583055878704"/>
    <n v="652.05055250999305"/>
    <n v="652.05055250999305"/>
    <n v="49.4562637654032"/>
    <s v="OK"/>
    <s v="NON-ZERO"/>
    <n v="848.52813742385695"/>
    <n v="0.76844894559375188"/>
    <x v="0"/>
    <n v="-196.47758491386389"/>
    <x v="1"/>
    <n v="-9.8238792456931954"/>
  </r>
  <r>
    <x v="4"/>
    <d v="2024-01-06T16:00:00"/>
    <n v="613.75535299890601"/>
    <n v="580.76032284853795"/>
    <n v="580.76032284853795"/>
    <n v="70.955641819634707"/>
    <s v="OK"/>
    <s v="NON-ZERO"/>
    <n v="600"/>
    <n v="0.96793387141422993"/>
    <x v="1"/>
    <n v="-19.239677151462047"/>
    <x v="1"/>
    <n v="0"/>
  </r>
  <r>
    <x v="4"/>
    <d v="2024-01-06T17:00:00"/>
    <n v="285.29296594538602"/>
    <n v="269.95582881564701"/>
    <n v="269.95582881564701"/>
    <n v="60.496117041603803"/>
    <s v="OK"/>
    <s v="NON-ZERO"/>
    <n v="310.58285412302502"/>
    <n v="0.86919102336768006"/>
    <x v="1"/>
    <n v="-40.627025307378005"/>
    <x v="1"/>
    <n v="0"/>
  </r>
  <r>
    <x v="4"/>
    <d v="2024-01-06T18:00:00"/>
    <n v="1.3643578448854701E-13"/>
    <n v="1.2910109844337799E-13"/>
    <n v="1.2910109844337799E-13"/>
    <n v="39.562637210298199"/>
    <s v="OK"/>
    <s v="NON-ZERO"/>
    <n v="1.46957615897682E-13"/>
    <n v="0.87849205809968733"/>
    <x v="1"/>
    <n v="-1.7856517454304012E-14"/>
    <x v="1"/>
    <n v="0"/>
  </r>
  <r>
    <x v="4"/>
    <d v="2024-01-06T19:00:00"/>
    <n v="0"/>
    <n v="0"/>
    <n v="0"/>
    <n v="21.525562330069999"/>
    <s v="OK"/>
    <s v="ZERO"/>
    <n v="0"/>
    <n v="0"/>
    <x v="0"/>
    <n v="0"/>
    <x v="0"/>
    <n v="0"/>
  </r>
  <r>
    <x v="4"/>
    <d v="2024-01-06T20:00:00"/>
    <n v="0"/>
    <n v="0"/>
    <n v="0"/>
    <n v="47.925336378903502"/>
    <s v="OK"/>
    <s v="ZERO"/>
    <n v="0"/>
    <n v="0"/>
    <x v="0"/>
    <n v="0"/>
    <x v="0"/>
    <n v="0"/>
  </r>
  <r>
    <x v="4"/>
    <d v="2024-01-06T21:00:00"/>
    <n v="0"/>
    <n v="0"/>
    <n v="0"/>
    <n v="32.319774779046703"/>
    <s v="OK"/>
    <s v="ZERO"/>
    <n v="0"/>
    <n v="0"/>
    <x v="0"/>
    <n v="0"/>
    <x v="0"/>
    <n v="0"/>
  </r>
  <r>
    <x v="4"/>
    <d v="2024-01-06T22:00:00"/>
    <n v="0"/>
    <n v="0"/>
    <n v="0"/>
    <n v="38.535880252271902"/>
    <s v="OK"/>
    <s v="ZERO"/>
    <n v="0"/>
    <n v="0"/>
    <x v="0"/>
    <n v="0"/>
    <x v="0"/>
    <n v="0"/>
  </r>
  <r>
    <x v="4"/>
    <d v="2024-01-06T23:00:00"/>
    <n v="0"/>
    <n v="0"/>
    <n v="0"/>
    <n v="54.3432055223536"/>
    <s v="OK"/>
    <s v="ZERO"/>
    <n v="0"/>
    <n v="0"/>
    <x v="0"/>
    <n v="0"/>
    <x v="0"/>
    <n v="0"/>
  </r>
  <r>
    <x v="4"/>
    <d v="2024-01-07T00:00:00"/>
    <n v="0"/>
    <n v="0"/>
    <n v="0"/>
    <n v="77.304169238932801"/>
    <s v="OK"/>
    <s v="ZERO"/>
    <n v="0"/>
    <n v="0"/>
    <x v="0"/>
    <n v="0"/>
    <x v="0"/>
    <n v="0"/>
  </r>
  <r>
    <x v="4"/>
    <d v="2024-01-07T01:00:00"/>
    <n v="0"/>
    <n v="0"/>
    <n v="0"/>
    <n v="74.990360371473201"/>
    <s v="OK"/>
    <s v="ZERO"/>
    <n v="0"/>
    <n v="0"/>
    <x v="0"/>
    <n v="0"/>
    <x v="0"/>
    <n v="0"/>
  </r>
  <r>
    <x v="4"/>
    <d v="2024-01-07T02:00:00"/>
    <n v="0"/>
    <n v="0"/>
    <n v="0"/>
    <n v="33.887378406215099"/>
    <s v="OK"/>
    <s v="ZERO"/>
    <n v="0"/>
    <n v="0"/>
    <x v="0"/>
    <n v="0"/>
    <x v="0"/>
    <n v="0"/>
  </r>
  <r>
    <x v="4"/>
    <d v="2024-01-07T03:00:00"/>
    <n v="0"/>
    <n v="0"/>
    <n v="0"/>
    <n v="24.786952603228499"/>
    <s v="OK"/>
    <s v="ZERO"/>
    <n v="0"/>
    <n v="0"/>
    <x v="0"/>
    <n v="0"/>
    <x v="0"/>
    <n v="0"/>
  </r>
  <r>
    <x v="4"/>
    <d v="2024-01-07T04:00:00"/>
    <n v="0"/>
    <n v="0"/>
    <n v="0"/>
    <n v="33.246026943059199"/>
    <s v="OK"/>
    <s v="ZERO"/>
    <n v="0"/>
    <n v="0"/>
    <x v="0"/>
    <n v="0"/>
    <x v="0"/>
    <n v="0"/>
  </r>
  <r>
    <x v="4"/>
    <d v="2024-01-07T05:00:00"/>
    <n v="0"/>
    <n v="0"/>
    <n v="0"/>
    <n v="23.438901378102599"/>
    <s v="OK"/>
    <s v="ZERO"/>
    <n v="0"/>
    <n v="0"/>
    <x v="0"/>
    <n v="0"/>
    <x v="0"/>
    <n v="0"/>
  </r>
  <r>
    <x v="4"/>
    <d v="2024-01-07T06:00:00"/>
    <n v="0"/>
    <n v="0"/>
    <n v="0"/>
    <n v="45.865533776990702"/>
    <s v="OK"/>
    <s v="ZERO"/>
    <n v="0"/>
    <n v="0"/>
    <x v="0"/>
    <n v="0"/>
    <x v="0"/>
    <n v="0"/>
  </r>
  <r>
    <x v="4"/>
    <d v="2024-01-07T07:00:00"/>
    <n v="326.10466552501299"/>
    <n v="308.57352185579799"/>
    <n v="308.57352185579799"/>
    <n v="33.809751731088802"/>
    <s v="OK"/>
    <s v="NON-ZERO"/>
    <n v="310.58285412302399"/>
    <n v="0.99353044689830139"/>
    <x v="1"/>
    <n v="-2.0093322672260001"/>
    <x v="1"/>
    <n v="0"/>
  </r>
  <r>
    <x v="4"/>
    <d v="2024-01-07T08:00:00"/>
    <n v="536.11564101589397"/>
    <n v="507.29446389218901"/>
    <n v="507.29446389218901"/>
    <n v="76.601189065110503"/>
    <s v="OK"/>
    <s v="NON-ZERO"/>
    <n v="600"/>
    <n v="0.8454907731536484"/>
    <x v="0"/>
    <n v="-92.705536107810985"/>
    <x v="1"/>
    <n v="-4.6352768053905491"/>
  </r>
  <r>
    <x v="4"/>
    <d v="2024-01-07T09:00:00"/>
    <n v="801.49948855962498"/>
    <n v="758.411473666863"/>
    <n v="758.411473666863"/>
    <n v="82.727696975756402"/>
    <s v="OK"/>
    <s v="NON-ZERO"/>
    <n v="848.52813742385695"/>
    <n v="0.8937964932658693"/>
    <x v="1"/>
    <n v="-90.116663756993944"/>
    <x v="1"/>
    <n v="0"/>
  </r>
  <r>
    <x v="4"/>
    <d v="2024-01-07T10:00:00"/>
    <n v="1042.8709847811999"/>
    <n v="986.80701822242497"/>
    <n v="986.80701822242497"/>
    <n v="78.079890276294094"/>
    <s v="OK"/>
    <s v="NON-ZERO"/>
    <n v="1039.23048454132"/>
    <n v="0.94955549601488742"/>
    <x v="1"/>
    <n v="-52.423466318895066"/>
    <x v="1"/>
    <n v="0"/>
  </r>
  <r>
    <x v="4"/>
    <d v="2024-01-07T11:00:00"/>
    <n v="1133.02075444974"/>
    <n v="1072.1104034908501"/>
    <n v="1072.1104034908501"/>
    <n v="28.0929287917232"/>
    <s v="OK"/>
    <s v="NON-ZERO"/>
    <n v="1159.1109915468801"/>
    <n v="0.92494196958660169"/>
    <x v="1"/>
    <n v="-87.000588056029983"/>
    <x v="1"/>
    <n v="0"/>
  </r>
  <r>
    <x v="4"/>
    <d v="2024-01-07T12:00:00"/>
    <n v="1126.3378796587101"/>
    <n v="1065.7867950657201"/>
    <n v="1065.7867950657201"/>
    <n v="91.994609043762594"/>
    <s v="OK"/>
    <s v="NON-ZERO"/>
    <n v="1200"/>
    <n v="0.88815566255476674"/>
    <x v="1"/>
    <n v="-134.21320493427993"/>
    <x v="1"/>
    <n v="0"/>
  </r>
  <r>
    <x v="4"/>
    <d v="2024-01-07T13:00:00"/>
    <n v="1128.6273187234101"/>
    <n v="1067.9531555933499"/>
    <n v="1067.9531555933499"/>
    <n v="84.156211597338498"/>
    <s v="OK"/>
    <s v="NON-ZERO"/>
    <n v="1159.1109915468801"/>
    <n v="0.92135538648298354"/>
    <x v="1"/>
    <n v="-91.157835953530139"/>
    <x v="1"/>
    <n v="0"/>
  </r>
  <r>
    <x v="4"/>
    <d v="2024-01-07T14:00:00"/>
    <n v="841.24121893428696"/>
    <n v="796.01671824872096"/>
    <n v="796.01671824872096"/>
    <n v="76.619879980417807"/>
    <s v="OK"/>
    <s v="NON-ZERO"/>
    <n v="1039.23048454132"/>
    <n v="0.76596744426724062"/>
    <x v="0"/>
    <n v="-243.21376629259908"/>
    <x v="1"/>
    <n v="-12.160688314629953"/>
  </r>
  <r>
    <x v="4"/>
    <d v="2024-01-07T15:00:00"/>
    <n v="743.08091625030397"/>
    <n v="703.13344024696903"/>
    <n v="703.13344024696903"/>
    <n v="49.068625057762397"/>
    <s v="OK"/>
    <s v="NON-ZERO"/>
    <n v="848.52813742385695"/>
    <n v="0.82865070612942993"/>
    <x v="0"/>
    <n v="-145.39469717688792"/>
    <x v="1"/>
    <n v="-7.2697348588443953"/>
  </r>
  <r>
    <x v="4"/>
    <d v="2024-01-07T16:00:00"/>
    <n v="620.82089508072102"/>
    <n v="587.44602665622801"/>
    <n v="587.44602665622801"/>
    <n v="64.712209843300798"/>
    <s v="OK"/>
    <s v="NON-ZERO"/>
    <n v="600"/>
    <n v="0.9790767110937133"/>
    <x v="1"/>
    <n v="-12.553973343771986"/>
    <x v="1"/>
    <n v="0"/>
  </r>
  <r>
    <x v="4"/>
    <d v="2024-01-07T17:00:00"/>
    <n v="301.10422060066799"/>
    <n v="284.91708220981201"/>
    <n v="284.91708220981201"/>
    <n v="51.551167778069598"/>
    <s v="OK"/>
    <s v="NON-ZERO"/>
    <n v="310.58285412302502"/>
    <n v="0.9173625601912766"/>
    <x v="1"/>
    <n v="-25.665771913213007"/>
    <x v="1"/>
    <n v="0"/>
  </r>
  <r>
    <x v="4"/>
    <d v="2024-01-07T18:00:00"/>
    <n v="1.3461598366448299E-13"/>
    <n v="1.2737912875474E-13"/>
    <n v="1.2737912875474E-13"/>
    <n v="63.584179994679097"/>
    <s v="OK"/>
    <s v="NON-ZERO"/>
    <n v="1.46957615897682E-13"/>
    <n v="0.86677460012298135"/>
    <x v="1"/>
    <n v="-1.9578487142942004E-14"/>
    <x v="1"/>
    <n v="0"/>
  </r>
  <r>
    <x v="4"/>
    <d v="2024-01-07T19:00:00"/>
    <n v="0"/>
    <n v="0"/>
    <n v="0"/>
    <n v="37.621142212504402"/>
    <s v="OK"/>
    <s v="ZERO"/>
    <n v="0"/>
    <n v="0"/>
    <x v="0"/>
    <n v="0"/>
    <x v="0"/>
    <n v="0"/>
  </r>
  <r>
    <x v="4"/>
    <d v="2024-01-07T20:00:00"/>
    <n v="0"/>
    <n v="0"/>
    <n v="0"/>
    <n v="45.0381548257539"/>
    <s v="OK"/>
    <s v="ZERO"/>
    <n v="0"/>
    <n v="0"/>
    <x v="0"/>
    <n v="0"/>
    <x v="0"/>
    <n v="0"/>
  </r>
  <r>
    <x v="4"/>
    <d v="2024-01-07T21:00:00"/>
    <n v="0"/>
    <n v="0"/>
    <n v="0"/>
    <n v="26.895345194062799"/>
    <s v="OK"/>
    <s v="ZERO"/>
    <n v="0"/>
    <n v="0"/>
    <x v="0"/>
    <n v="0"/>
    <x v="0"/>
    <n v="0"/>
  </r>
  <r>
    <x v="4"/>
    <d v="2024-01-07T22:00:00"/>
    <n v="0"/>
    <n v="0"/>
    <n v="0"/>
    <n v="20.607570623549101"/>
    <s v="OK"/>
    <s v="ZERO"/>
    <n v="0"/>
    <n v="0"/>
    <x v="0"/>
    <n v="0"/>
    <x v="0"/>
    <n v="0"/>
  </r>
  <r>
    <x v="4"/>
    <d v="2024-01-07T23:00:00"/>
    <n v="0"/>
    <n v="0"/>
    <n v="0"/>
    <n v="78.569988484286995"/>
    <s v="OK"/>
    <s v="ZERO"/>
    <n v="0"/>
    <n v="0"/>
    <x v="0"/>
    <n v="0"/>
    <x v="0"/>
    <n v="0"/>
  </r>
  <r>
    <x v="4"/>
    <d v="2024-01-08T00:00:00"/>
    <n v="0"/>
    <n v="0"/>
    <n v="0"/>
    <n v="52.819830781534499"/>
    <s v="OK"/>
    <s v="ZERO"/>
    <n v="0"/>
    <n v="0"/>
    <x v="0"/>
    <n v="0"/>
    <x v="0"/>
    <n v="0"/>
  </r>
  <r>
    <x v="4"/>
    <d v="2024-01-08T01:00:00"/>
    <n v="0"/>
    <n v="0"/>
    <n v="0"/>
    <n v="39.915170421032101"/>
    <s v="OK"/>
    <s v="ZERO"/>
    <n v="0"/>
    <n v="0"/>
    <x v="0"/>
    <n v="0"/>
    <x v="0"/>
    <n v="0"/>
  </r>
  <r>
    <x v="4"/>
    <d v="2024-01-08T02:00:00"/>
    <n v="0"/>
    <n v="0"/>
    <n v="0"/>
    <n v="27.0842788451539"/>
    <s v="OK"/>
    <s v="ZERO"/>
    <n v="0"/>
    <n v="0"/>
    <x v="0"/>
    <n v="0"/>
    <x v="0"/>
    <n v="0"/>
  </r>
  <r>
    <x v="4"/>
    <d v="2024-01-08T03:00:00"/>
    <n v="0"/>
    <n v="0"/>
    <n v="0"/>
    <n v="36.949007424611899"/>
    <s v="OK"/>
    <s v="ZERO"/>
    <n v="0"/>
    <n v="0"/>
    <x v="0"/>
    <n v="0"/>
    <x v="0"/>
    <n v="0"/>
  </r>
  <r>
    <x v="4"/>
    <d v="2024-01-08T04:00:00"/>
    <n v="0"/>
    <n v="0"/>
    <n v="0"/>
    <n v="89.748858735060097"/>
    <s v="OK"/>
    <s v="ZERO"/>
    <n v="0"/>
    <n v="0"/>
    <x v="0"/>
    <n v="0"/>
    <x v="0"/>
    <n v="0"/>
  </r>
  <r>
    <x v="4"/>
    <d v="2024-01-08T05:00:00"/>
    <n v="0"/>
    <n v="0"/>
    <n v="0"/>
    <n v="44.949087567878799"/>
    <s v="OK"/>
    <s v="ZERO"/>
    <n v="0"/>
    <n v="0"/>
    <x v="0"/>
    <n v="0"/>
    <x v="0"/>
    <n v="0"/>
  </r>
  <r>
    <x v="4"/>
    <d v="2024-01-08T06:00:00"/>
    <n v="0"/>
    <n v="0"/>
    <n v="0"/>
    <n v="74.790697362243407"/>
    <s v="OK"/>
    <s v="ZERO"/>
    <n v="0"/>
    <n v="0"/>
    <x v="0"/>
    <n v="0"/>
    <x v="0"/>
    <n v="0"/>
  </r>
  <r>
    <x v="4"/>
    <d v="2024-01-08T07:00:00"/>
    <n v="351.39922746606601"/>
    <n v="332.50826700697303"/>
    <n v="332.50826700697303"/>
    <n v="55.0243590426361"/>
    <s v="OK"/>
    <s v="NON-ZERO"/>
    <n v="310.58285412302399"/>
    <n v="1.0705944085221917"/>
    <x v="1"/>
    <n v="21.925412883949036"/>
    <x v="0"/>
    <n v="0"/>
  </r>
  <r>
    <x v="4"/>
    <d v="2024-01-08T08:00:00"/>
    <n v="564.69262808164206"/>
    <n v="534.33517344078996"/>
    <n v="534.33517344078996"/>
    <n v="38.252728505478203"/>
    <s v="OK"/>
    <s v="NON-ZERO"/>
    <n v="600"/>
    <n v="0.89055862240131656"/>
    <x v="1"/>
    <n v="-65.664826559210042"/>
    <x v="1"/>
    <n v="0"/>
  </r>
  <r>
    <x v="4"/>
    <d v="2024-01-08T09:00:00"/>
    <n v="819.33550021965698"/>
    <n v="775.28863463889797"/>
    <n v="775.28863463889797"/>
    <n v="61.870739330293603"/>
    <s v="OK"/>
    <s v="NON-ZERO"/>
    <n v="848.52813742385695"/>
    <n v="0.91368641821670749"/>
    <x v="1"/>
    <n v="-73.239502784958972"/>
    <x v="1"/>
    <n v="0"/>
  </r>
  <r>
    <x v="4"/>
    <d v="2024-01-08T10:00:00"/>
    <n v="1001.14388329427"/>
    <n v="947.32313459897398"/>
    <n v="947.32313459897398"/>
    <n v="26.241327705505199"/>
    <s v="OK"/>
    <s v="NON-ZERO"/>
    <n v="1039.23048454132"/>
    <n v="0.91156211128380171"/>
    <x v="1"/>
    <n v="-91.907349942346059"/>
    <x v="1"/>
    <n v="0"/>
  </r>
  <r>
    <x v="4"/>
    <d v="2024-01-08T11:00:00"/>
    <n v="1118.04360036299"/>
    <n v="1057.93841004057"/>
    <n v="1057.93841004057"/>
    <n v="49.525713791676601"/>
    <s v="OK"/>
    <s v="NON-ZERO"/>
    <n v="1159.1109915468801"/>
    <n v="0.91271536354659943"/>
    <x v="1"/>
    <n v="-101.17258150631005"/>
    <x v="1"/>
    <n v="0"/>
  </r>
  <r>
    <x v="4"/>
    <d v="2024-01-08T12:00:00"/>
    <n v="1108.64499592839"/>
    <n v="1049.0450675725999"/>
    <n v="1049.0450675725999"/>
    <n v="79.996028643866097"/>
    <s v="OK"/>
    <s v="NON-ZERO"/>
    <n v="1200"/>
    <n v="0.8742042229771666"/>
    <x v="1"/>
    <n v="-150.95493242740008"/>
    <x v="1"/>
    <n v="0"/>
  </r>
  <r>
    <x v="4"/>
    <d v="2024-01-08T13:00:00"/>
    <n v="949.28865218737405"/>
    <n v="898.25560205219904"/>
    <n v="898.25560205219904"/>
    <n v="55.176082291458997"/>
    <s v="OK"/>
    <s v="NON-ZERO"/>
    <n v="1159.1109915468801"/>
    <n v="0.77495219060380138"/>
    <x v="0"/>
    <n v="-260.85538949468105"/>
    <x v="1"/>
    <n v="-13.042769474734053"/>
  </r>
  <r>
    <x v="4"/>
    <d v="2024-01-08T14:00:00"/>
    <n v="970.01765772060298"/>
    <n v="917.87023170387602"/>
    <n v="917.87023170387602"/>
    <n v="61.470556114193897"/>
    <s v="OK"/>
    <s v="NON-ZERO"/>
    <n v="1039.23048454132"/>
    <n v="0.88322104225896703"/>
    <x v="1"/>
    <n v="-121.36025283744402"/>
    <x v="1"/>
    <n v="0"/>
  </r>
  <r>
    <x v="4"/>
    <d v="2024-01-08T15:00:00"/>
    <n v="825.62112594388805"/>
    <n v="781.23634981086798"/>
    <n v="781.23634981086798"/>
    <n v="46.027101899422703"/>
    <s v="OK"/>
    <s v="NON-ZERO"/>
    <n v="848.52813742385695"/>
    <n v="0.92069586776781764"/>
    <x v="1"/>
    <n v="-67.291787612988969"/>
    <x v="1"/>
    <n v="0"/>
  </r>
  <r>
    <x v="4"/>
    <d v="2024-01-08T16:00:00"/>
    <n v="626.93779962737597"/>
    <n v="593.23409097532704"/>
    <n v="593.23409097532704"/>
    <n v="49.972886187045098"/>
    <s v="OK"/>
    <s v="NON-ZERO"/>
    <n v="600"/>
    <n v="0.98872348495887841"/>
    <x v="1"/>
    <n v="-6.7659090246729647"/>
    <x v="1"/>
    <n v="0"/>
  </r>
  <r>
    <x v="4"/>
    <d v="2024-01-08T17:00:00"/>
    <n v="298.67552385678101"/>
    <n v="282.61895039199601"/>
    <n v="282.61895039199601"/>
    <n v="26.817417610591001"/>
    <s v="OK"/>
    <s v="NON-ZERO"/>
    <n v="310.58285412302502"/>
    <n v="0.90996314394112621"/>
    <x v="1"/>
    <n v="-27.963903731029006"/>
    <x v="1"/>
    <n v="0"/>
  </r>
  <r>
    <x v="4"/>
    <d v="2024-01-08T18:00:00"/>
    <n v="1.32023728268291E-13"/>
    <n v="1.24926231075816E-13"/>
    <n v="1.24926231075816E-13"/>
    <n v="61.708665611540901"/>
    <s v="OK"/>
    <s v="NON-ZERO"/>
    <n v="1.46957615897682E-13"/>
    <n v="0.85008340882989575"/>
    <x v="1"/>
    <n v="-2.2031384821865999E-14"/>
    <x v="1"/>
    <n v="0"/>
  </r>
  <r>
    <x v="4"/>
    <d v="2024-01-08T19:00:00"/>
    <n v="0"/>
    <n v="0"/>
    <n v="0"/>
    <n v="37.007716501307399"/>
    <s v="OK"/>
    <s v="ZERO"/>
    <n v="0"/>
    <n v="0"/>
    <x v="0"/>
    <n v="0"/>
    <x v="0"/>
    <n v="0"/>
  </r>
  <r>
    <x v="4"/>
    <d v="2024-01-08T20:00:00"/>
    <n v="0"/>
    <n v="0"/>
    <n v="0"/>
    <n v="22.233559049069001"/>
    <s v="OK"/>
    <s v="ZERO"/>
    <n v="0"/>
    <n v="0"/>
    <x v="0"/>
    <n v="0"/>
    <x v="0"/>
    <n v="0"/>
  </r>
  <r>
    <x v="4"/>
    <d v="2024-01-08T21:00:00"/>
    <n v="0"/>
    <n v="0"/>
    <n v="0"/>
    <n v="60.337836736198"/>
    <s v="OK"/>
    <s v="ZERO"/>
    <n v="0"/>
    <n v="0"/>
    <x v="0"/>
    <n v="0"/>
    <x v="0"/>
    <n v="0"/>
  </r>
  <r>
    <x v="4"/>
    <d v="2024-01-08T22:00:00"/>
    <n v="0"/>
    <n v="0"/>
    <n v="0"/>
    <n v="70.411151519930499"/>
    <s v="OK"/>
    <s v="ZERO"/>
    <n v="0"/>
    <n v="0"/>
    <x v="0"/>
    <n v="0"/>
    <x v="0"/>
    <n v="0"/>
  </r>
  <r>
    <x v="4"/>
    <d v="2024-01-08T23:00:00"/>
    <n v="0"/>
    <n v="0"/>
    <n v="0"/>
    <n v="35.3198568749754"/>
    <s v="OK"/>
    <s v="ZERO"/>
    <n v="0"/>
    <n v="0"/>
    <x v="0"/>
    <n v="0"/>
    <x v="0"/>
    <n v="0"/>
  </r>
  <r>
    <x v="4"/>
    <d v="2024-01-09T00:00:00"/>
    <n v="0"/>
    <n v="0"/>
    <n v="0"/>
    <n v="32.728506229618297"/>
    <s v="OK"/>
    <s v="ZERO"/>
    <n v="0"/>
    <n v="0"/>
    <x v="0"/>
    <n v="0"/>
    <x v="0"/>
    <n v="0"/>
  </r>
  <r>
    <x v="4"/>
    <d v="2024-01-09T01:00:00"/>
    <n v="0"/>
    <n v="0"/>
    <n v="0"/>
    <n v="37.627159033860003"/>
    <s v="OK"/>
    <s v="ZERO"/>
    <n v="0"/>
    <n v="0"/>
    <x v="0"/>
    <n v="0"/>
    <x v="0"/>
    <n v="0"/>
  </r>
  <r>
    <x v="4"/>
    <d v="2024-01-09T02:00:00"/>
    <n v="0"/>
    <n v="0"/>
    <n v="0"/>
    <n v="50.817492874385401"/>
    <s v="OK"/>
    <s v="ZERO"/>
    <n v="0"/>
    <n v="0"/>
    <x v="0"/>
    <n v="0"/>
    <x v="0"/>
    <n v="0"/>
  </r>
  <r>
    <x v="4"/>
    <d v="2024-01-09T03:00:00"/>
    <n v="0"/>
    <n v="0"/>
    <n v="0"/>
    <n v="23.913874397477201"/>
    <s v="OK"/>
    <s v="ZERO"/>
    <n v="0"/>
    <n v="0"/>
    <x v="0"/>
    <n v="0"/>
    <x v="0"/>
    <n v="0"/>
  </r>
  <r>
    <x v="4"/>
    <d v="2024-01-09T04:00:00"/>
    <n v="0"/>
    <n v="0"/>
    <n v="0"/>
    <n v="31.0966054080478"/>
    <s v="OK"/>
    <s v="ZERO"/>
    <n v="0"/>
    <n v="0"/>
    <x v="0"/>
    <n v="0"/>
    <x v="0"/>
    <n v="0"/>
  </r>
  <r>
    <x v="4"/>
    <d v="2024-01-09T05:00:00"/>
    <n v="0"/>
    <n v="0"/>
    <n v="0"/>
    <n v="37.131384262395102"/>
    <s v="OK"/>
    <s v="ZERO"/>
    <n v="0"/>
    <n v="0"/>
    <x v="0"/>
    <n v="0"/>
    <x v="0"/>
    <n v="0"/>
  </r>
  <r>
    <x v="4"/>
    <d v="2024-01-09T06:00:00"/>
    <n v="0"/>
    <n v="0"/>
    <n v="0"/>
    <n v="30.0168699397612"/>
    <s v="OK"/>
    <s v="ZERO"/>
    <n v="0"/>
    <n v="0"/>
    <x v="0"/>
    <n v="0"/>
    <x v="0"/>
    <n v="0"/>
  </r>
  <r>
    <x v="4"/>
    <d v="2024-01-09T07:00:00"/>
    <n v="250.25729503587601"/>
    <n v="236.80364945101601"/>
    <n v="236.80364945101601"/>
    <n v="28.239481778955"/>
    <s v="OK"/>
    <s v="NON-ZERO"/>
    <n v="310.58285412302399"/>
    <n v="0.76244920254746729"/>
    <x v="0"/>
    <n v="-73.779204672007978"/>
    <x v="1"/>
    <n v="-3.6889602336003993"/>
  </r>
  <r>
    <x v="4"/>
    <d v="2024-01-09T08:00:00"/>
    <n v="557.09793140602505"/>
    <n v="527.14876199571404"/>
    <n v="527.14876199571404"/>
    <n v="42.364797361319702"/>
    <s v="OK"/>
    <s v="NON-ZERO"/>
    <n v="600"/>
    <n v="0.87858126999285668"/>
    <x v="1"/>
    <n v="-72.85123800428596"/>
    <x v="1"/>
    <n v="0"/>
  </r>
  <r>
    <x v="4"/>
    <d v="2024-01-09T09:00:00"/>
    <n v="803.25186787534903"/>
    <n v="760.06964637717897"/>
    <n v="760.06964637717897"/>
    <n v="54.044972130724197"/>
    <s v="OK"/>
    <s v="NON-ZERO"/>
    <n v="848.52813742385695"/>
    <n v="0.89575066854560748"/>
    <x v="1"/>
    <n v="-88.458491046677977"/>
    <x v="1"/>
    <n v="0"/>
  </r>
  <r>
    <x v="4"/>
    <d v="2024-01-09T10:00:00"/>
    <n v="981.60974106602498"/>
    <n v="928.83913329191"/>
    <n v="928.83913329191"/>
    <n v="94.872736680046799"/>
    <s v="OK"/>
    <s v="NON-ZERO"/>
    <n v="1039.23048454132"/>
    <n v="0.89377587273324366"/>
    <x v="1"/>
    <n v="-110.39135124941004"/>
    <x v="1"/>
    <n v="0"/>
  </r>
  <r>
    <x v="4"/>
    <d v="2024-01-09T11:00:00"/>
    <n v="890.18744816309197"/>
    <n v="842.33163468936004"/>
    <n v="842.33163468936004"/>
    <n v="30.768309758644602"/>
    <s v="OK"/>
    <s v="NON-ZERO"/>
    <n v="1159.1109915468801"/>
    <n v="0.72670489783315295"/>
    <x v="0"/>
    <n v="-316.77935685752004"/>
    <x v="1"/>
    <n v="-15.838967842876002"/>
  </r>
  <r>
    <x v="4"/>
    <d v="2024-01-09T12:00:00"/>
    <n v="1245.3985663363601"/>
    <n v="1178.4468680013299"/>
    <n v="1178.4468680013299"/>
    <n v="53.726725502700397"/>
    <s v="OK"/>
    <s v="NON-ZERO"/>
    <n v="1200"/>
    <n v="0.98203905666777491"/>
    <x v="1"/>
    <n v="-21.553131998670096"/>
    <x v="1"/>
    <n v="0"/>
  </r>
  <r>
    <x v="4"/>
    <d v="2024-01-09T13:00:00"/>
    <n v="1202.70170276762"/>
    <n v="1138.0453559825"/>
    <n v="1138.0453559825"/>
    <n v="58.4552352713918"/>
    <s v="OK"/>
    <s v="NON-ZERO"/>
    <n v="1159.1109915468801"/>
    <n v="0.98182604106249816"/>
    <x v="1"/>
    <n v="-21.065635564380045"/>
    <x v="1"/>
    <n v="0"/>
  </r>
  <r>
    <x v="4"/>
    <d v="2024-01-09T14:00:00"/>
    <n v="1145.9696768295"/>
    <n v="1084.36320145842"/>
    <n v="1084.36320145842"/>
    <n v="65.964108047252296"/>
    <s v="OK"/>
    <s v="NON-ZERO"/>
    <n v="1039.23048454132"/>
    <n v="1.0434289771022449"/>
    <x v="1"/>
    <n v="45.13271691709997"/>
    <x v="0"/>
    <n v="0"/>
  </r>
  <r>
    <x v="4"/>
    <d v="2024-01-09T15:00:00"/>
    <n v="784.35695656488804"/>
    <n v="742.19051141038801"/>
    <n v="742.19051141038801"/>
    <n v="58.980686482795001"/>
    <s v="OK"/>
    <s v="NON-ZERO"/>
    <n v="848.52813742385695"/>
    <n v="0.87467990591766187"/>
    <x v="1"/>
    <n v="-106.33762601346893"/>
    <x v="1"/>
    <n v="0"/>
  </r>
  <r>
    <x v="4"/>
    <d v="2024-01-09T16:00:00"/>
    <n v="547.79838150201397"/>
    <n v="657.35805780241697"/>
    <n v="657.35805780241697"/>
    <n v="61.997311035938203"/>
    <s v="ERROR"/>
    <s v="NON-ZERO"/>
    <n v="600"/>
    <n v="1.0955967630040282"/>
    <x v="1"/>
    <n v="57.358057802416965"/>
    <x v="0"/>
    <n v="0"/>
  </r>
  <r>
    <x v="4"/>
    <d v="2024-01-09T17:00:00"/>
    <n v="336.41086831256098"/>
    <n v="318.32567086597498"/>
    <n v="318.32567086597498"/>
    <n v="47.110875057070601"/>
    <s v="OK"/>
    <s v="NON-ZERO"/>
    <n v="310.58285412302502"/>
    <n v="1.0249299555341294"/>
    <x v="1"/>
    <n v="7.7428167429499695"/>
    <x v="0"/>
    <n v="0"/>
  </r>
  <r>
    <x v="4"/>
    <d v="2024-01-09T18:00:00"/>
    <n v="1.26495767526054E-13"/>
    <n v="1.1969544938133601E-13"/>
    <n v="1.1969544938133601E-13"/>
    <n v="38.726079825449297"/>
    <s v="OK"/>
    <s v="NON-ZERO"/>
    <n v="1.46957615897682E-13"/>
    <n v="0.8144895972228684"/>
    <x v="0"/>
    <n v="-2.7262166516345993E-14"/>
    <x v="1"/>
    <n v="-1.3631083258172998E-15"/>
  </r>
  <r>
    <x v="4"/>
    <d v="2024-01-09T19:00:00"/>
    <n v="0"/>
    <n v="0"/>
    <n v="0"/>
    <n v="55.342751546873501"/>
    <s v="OK"/>
    <s v="ZERO"/>
    <n v="0"/>
    <n v="0"/>
    <x v="0"/>
    <n v="0"/>
    <x v="0"/>
    <n v="0"/>
  </r>
  <r>
    <x v="4"/>
    <d v="2024-01-09T20:00:00"/>
    <n v="0"/>
    <n v="0"/>
    <n v="0"/>
    <n v="84.617321318746704"/>
    <s v="OK"/>
    <s v="ZERO"/>
    <n v="0"/>
    <n v="0"/>
    <x v="0"/>
    <n v="0"/>
    <x v="0"/>
    <n v="0"/>
  </r>
  <r>
    <x v="4"/>
    <d v="2024-01-09T21:00:00"/>
    <n v="0"/>
    <n v="0"/>
    <n v="0"/>
    <n v="26.748916726221498"/>
    <s v="OK"/>
    <s v="ZERO"/>
    <n v="0"/>
    <n v="0"/>
    <x v="0"/>
    <n v="0"/>
    <x v="0"/>
    <n v="0"/>
  </r>
  <r>
    <x v="4"/>
    <d v="2024-01-09T22:00:00"/>
    <n v="0"/>
    <n v="0"/>
    <n v="0"/>
    <n v="43.642897130076499"/>
    <s v="OK"/>
    <s v="ZERO"/>
    <n v="0"/>
    <n v="0"/>
    <x v="0"/>
    <n v="0"/>
    <x v="0"/>
    <n v="0"/>
  </r>
  <r>
    <x v="4"/>
    <d v="2024-01-09T23:00:00"/>
    <n v="0"/>
    <n v="0"/>
    <n v="0"/>
    <n v="83.275128156457995"/>
    <s v="OK"/>
    <s v="ZERO"/>
    <n v="0"/>
    <n v="0"/>
    <x v="0"/>
    <n v="0"/>
    <x v="0"/>
    <n v="0"/>
  </r>
  <r>
    <x v="4"/>
    <d v="2024-01-10T00:00:00"/>
    <n v="0"/>
    <n v="0"/>
    <n v="0"/>
    <n v="93.788444213565896"/>
    <s v="OK"/>
    <s v="ZERO"/>
    <n v="0"/>
    <n v="0"/>
    <x v="0"/>
    <n v="0"/>
    <x v="0"/>
    <n v="0"/>
  </r>
  <r>
    <x v="4"/>
    <d v="2024-01-10T01:00:00"/>
    <n v="0"/>
    <n v="0"/>
    <n v="0"/>
    <n v="56.785880540605"/>
    <s v="OK"/>
    <s v="ZERO"/>
    <n v="0"/>
    <n v="0"/>
    <x v="0"/>
    <n v="0"/>
    <x v="0"/>
    <n v="0"/>
  </r>
  <r>
    <x v="4"/>
    <d v="2024-01-10T02:00:00"/>
    <n v="0"/>
    <n v="0"/>
    <n v="0"/>
    <n v="41.879291538526999"/>
    <s v="OK"/>
    <s v="ZERO"/>
    <n v="0"/>
    <n v="0"/>
    <x v="0"/>
    <n v="0"/>
    <x v="0"/>
    <n v="0"/>
  </r>
  <r>
    <x v="4"/>
    <d v="2024-01-10T03:00:00"/>
    <n v="0"/>
    <n v="0"/>
    <n v="0"/>
    <n v="90.9501645004285"/>
    <s v="OK"/>
    <s v="ZERO"/>
    <n v="0"/>
    <n v="0"/>
    <x v="0"/>
    <n v="0"/>
    <x v="0"/>
    <n v="0"/>
  </r>
  <r>
    <x v="4"/>
    <d v="2024-01-10T04:00:00"/>
    <n v="0"/>
    <n v="0"/>
    <n v="0"/>
    <n v="28.2515932243607"/>
    <s v="OK"/>
    <s v="ZERO"/>
    <n v="0"/>
    <n v="0"/>
    <x v="0"/>
    <n v="0"/>
    <x v="0"/>
    <n v="0"/>
  </r>
  <r>
    <x v="4"/>
    <d v="2024-01-10T05:00:00"/>
    <n v="0"/>
    <n v="0"/>
    <n v="0"/>
    <n v="93.285899960030406"/>
    <s v="OK"/>
    <s v="ZERO"/>
    <n v="0"/>
    <n v="0"/>
    <x v="0"/>
    <n v="0"/>
    <x v="0"/>
    <n v="0"/>
  </r>
  <r>
    <x v="4"/>
    <d v="2024-01-10T06:00:00"/>
    <n v="0"/>
    <n v="0"/>
    <n v="0"/>
    <n v="29.1540325310987"/>
    <s v="OK"/>
    <s v="ZERO"/>
    <n v="0"/>
    <n v="0"/>
    <x v="0"/>
    <n v="0"/>
    <x v="0"/>
    <n v="0"/>
  </r>
  <r>
    <x v="4"/>
    <d v="2024-01-10T07:00:00"/>
    <n v="323.99068439243501"/>
    <n v="306.57318677268501"/>
    <n v="306.57318677268501"/>
    <n v="61.766797870482002"/>
    <s v="OK"/>
    <s v="NON-ZERO"/>
    <n v="310.58285412302399"/>
    <n v="0.98708986250493169"/>
    <x v="1"/>
    <n v="-4.0096673503389866"/>
    <x v="1"/>
    <n v="0"/>
  </r>
  <r>
    <x v="4"/>
    <d v="2024-01-10T08:00:00"/>
    <n v="541.87027740882195"/>
    <n v="512.73973532339198"/>
    <n v="512.73973532339198"/>
    <n v="76.108268086995096"/>
    <s v="OK"/>
    <s v="NON-ZERO"/>
    <n v="600"/>
    <n v="0.85456622553898665"/>
    <x v="1"/>
    <n v="-87.260264676608017"/>
    <x v="1"/>
    <n v="0"/>
  </r>
  <r>
    <x v="4"/>
    <d v="2024-01-10T09:00:00"/>
    <n v="867.60114202602995"/>
    <n v="820.95955152947704"/>
    <n v="820.95955152947704"/>
    <n v="91.042027051003302"/>
    <s v="OK"/>
    <s v="NON-ZERO"/>
    <n v="848.52813742385695"/>
    <n v="0.9675101099439336"/>
    <x v="1"/>
    <n v="-27.568585894379908"/>
    <x v="1"/>
    <n v="0"/>
  </r>
  <r>
    <x v="4"/>
    <d v="2024-01-10T10:00:00"/>
    <n v="949.60062913916499"/>
    <n v="898.55080735567799"/>
    <n v="898.55080735567799"/>
    <n v="43.859939850011799"/>
    <s v="OK"/>
    <s v="NON-ZERO"/>
    <n v="1039.23048454132"/>
    <n v="0.86463091751226573"/>
    <x v="1"/>
    <n v="-140.67967718564205"/>
    <x v="1"/>
    <n v="0"/>
  </r>
  <r>
    <x v="4"/>
    <d v="2024-01-10T11:00:00"/>
    <n v="1142.6090025317701"/>
    <n v="1081.1831945051599"/>
    <n v="1081.1831945051599"/>
    <n v="74.300659412116502"/>
    <s v="OK"/>
    <s v="NON-ZERO"/>
    <n v="1159.1109915468801"/>
    <n v="0.93276933994239641"/>
    <x v="1"/>
    <n v="-77.927797041720169"/>
    <x v="1"/>
    <n v="0"/>
  </r>
  <r>
    <x v="4"/>
    <d v="2024-01-10T12:00:00"/>
    <n v="1109.9307813447101"/>
    <n v="1050.2617301236501"/>
    <n v="1050.2617301236501"/>
    <n v="26.0652309374079"/>
    <s v="OK"/>
    <s v="NON-ZERO"/>
    <n v="1200"/>
    <n v="0.87521810843637504"/>
    <x v="1"/>
    <n v="-149.73826987634993"/>
    <x v="1"/>
    <n v="0"/>
  </r>
  <r>
    <x v="4"/>
    <d v="2024-01-10T13:00:00"/>
    <n v="1129.4671543919001"/>
    <n v="1068.74784232249"/>
    <n v="1068.74784232249"/>
    <n v="27.119900717421299"/>
    <s v="OK"/>
    <s v="NON-ZERO"/>
    <n v="1159.1109915468801"/>
    <n v="0.92204098668428913"/>
    <x v="1"/>
    <n v="-90.363149224390099"/>
    <x v="1"/>
    <n v="0"/>
  </r>
  <r>
    <x v="4"/>
    <d v="2024-01-10T14:00:00"/>
    <n v="1071.8138662686999"/>
    <n v="1014.19395198148"/>
    <n v="1014.19395198148"/>
    <n v="40.767626730570299"/>
    <s v="OK"/>
    <s v="NON-ZERO"/>
    <n v="1039.23048454132"/>
    <n v="0.97590858531166913"/>
    <x v="1"/>
    <n v="-25.036532559839998"/>
    <x v="1"/>
    <n v="0"/>
  </r>
  <r>
    <x v="4"/>
    <d v="2024-01-10T15:00:00"/>
    <n v="859.635994227992"/>
    <n v="813.42260413810595"/>
    <n v="813.42260413810595"/>
    <n v="34.456574141527902"/>
    <s v="OK"/>
    <s v="NON-ZERO"/>
    <n v="848.52813742385695"/>
    <n v="0.95862773226079234"/>
    <x v="1"/>
    <n v="-35.105533285750994"/>
    <x v="1"/>
    <n v="0"/>
  </r>
  <r>
    <x v="4"/>
    <d v="2024-01-10T16:00:00"/>
    <n v="493.70027565219698"/>
    <n v="467.15931694479798"/>
    <n v="467.15931694479798"/>
    <n v="54.847030315140799"/>
    <s v="OK"/>
    <s v="NON-ZERO"/>
    <n v="600"/>
    <n v="0.77859886157466329"/>
    <x v="0"/>
    <n v="-132.84068305520202"/>
    <x v="1"/>
    <n v="-6.6420341527601012"/>
  </r>
  <r>
    <x v="4"/>
    <d v="2024-01-10T17:00:00"/>
    <n v="312.22988254221099"/>
    <n v="295.444636860868"/>
    <n v="295.444636860868"/>
    <n v="24.187866565735501"/>
    <s v="OK"/>
    <s v="NON-ZERO"/>
    <n v="310.58285412302502"/>
    <n v="0.95125868327502516"/>
    <x v="1"/>
    <n v="-15.138217262157013"/>
    <x v="1"/>
    <n v="0"/>
  </r>
  <r>
    <x v="4"/>
    <d v="2024-01-10T18:00:00"/>
    <n v="1.3064720058724101E-13"/>
    <n v="1.23623704496535E-13"/>
    <n v="1.23623704496535E-13"/>
    <n v="34.303793975355802"/>
    <s v="OK"/>
    <s v="NON-ZERO"/>
    <n v="1.46957615897682E-13"/>
    <n v="0.84122012827567205"/>
    <x v="0"/>
    <n v="-2.3333911401147E-14"/>
    <x v="1"/>
    <n v="-1.16669557005735E-15"/>
  </r>
  <r>
    <x v="4"/>
    <d v="2024-01-10T19:00:00"/>
    <n v="0"/>
    <n v="0"/>
    <n v="0"/>
    <n v="77.6185833234737"/>
    <s v="OK"/>
    <s v="ZERO"/>
    <n v="0"/>
    <n v="0"/>
    <x v="0"/>
    <n v="0"/>
    <x v="0"/>
    <n v="0"/>
  </r>
  <r>
    <x v="4"/>
    <d v="2024-01-10T20:00:00"/>
    <n v="0"/>
    <n v="0"/>
    <n v="0"/>
    <n v="62.657682689215797"/>
    <s v="OK"/>
    <s v="ZERO"/>
    <n v="0"/>
    <n v="0"/>
    <x v="0"/>
    <n v="0"/>
    <x v="0"/>
    <n v="0"/>
  </r>
  <r>
    <x v="4"/>
    <d v="2024-01-10T21:00:00"/>
    <n v="0"/>
    <n v="0"/>
    <n v="0"/>
    <n v="94.664017119828401"/>
    <s v="OK"/>
    <s v="ZERO"/>
    <n v="0"/>
    <n v="0"/>
    <x v="0"/>
    <n v="0"/>
    <x v="0"/>
    <n v="0"/>
  </r>
  <r>
    <x v="4"/>
    <d v="2024-01-10T22:00:00"/>
    <n v="0"/>
    <n v="0"/>
    <n v="0"/>
    <n v="26.356960495649101"/>
    <s v="OK"/>
    <s v="ZERO"/>
    <n v="0"/>
    <n v="0"/>
    <x v="0"/>
    <n v="0"/>
    <x v="0"/>
    <n v="0"/>
  </r>
  <r>
    <x v="4"/>
    <d v="2024-01-10T23:00:00"/>
    <n v="0"/>
    <n v="0"/>
    <n v="0"/>
    <n v="38.810309937567197"/>
    <s v="OK"/>
    <s v="ZERO"/>
    <n v="0"/>
    <n v="0"/>
    <x v="0"/>
    <n v="0"/>
    <x v="0"/>
    <n v="0"/>
  </r>
  <r>
    <x v="4"/>
    <d v="2024-01-11T00:00:00"/>
    <n v="0"/>
    <n v="0"/>
    <n v="0"/>
    <n v="83.910467289085602"/>
    <s v="OK"/>
    <s v="ZERO"/>
    <n v="0"/>
    <n v="0"/>
    <x v="0"/>
    <n v="0"/>
    <x v="0"/>
    <n v="0"/>
  </r>
  <r>
    <x v="4"/>
    <d v="2024-01-11T01:00:00"/>
    <n v="0"/>
    <n v="0"/>
    <n v="0"/>
    <n v="88.149167100526896"/>
    <s v="OK"/>
    <s v="ZERO"/>
    <n v="0"/>
    <n v="0"/>
    <x v="0"/>
    <n v="0"/>
    <x v="0"/>
    <n v="0"/>
  </r>
  <r>
    <x v="4"/>
    <d v="2024-01-11T02:00:00"/>
    <n v="0"/>
    <n v="0"/>
    <n v="0"/>
    <n v="40.359549726574301"/>
    <s v="OK"/>
    <s v="ZERO"/>
    <n v="0"/>
    <n v="0"/>
    <x v="0"/>
    <n v="0"/>
    <x v="0"/>
    <n v="0"/>
  </r>
  <r>
    <x v="4"/>
    <d v="2024-01-11T03:00:00"/>
    <n v="0"/>
    <n v="0"/>
    <n v="0"/>
    <n v="80.432287440725503"/>
    <s v="OK"/>
    <s v="ZERO"/>
    <n v="0"/>
    <n v="0"/>
    <x v="0"/>
    <n v="0"/>
    <x v="0"/>
    <n v="0"/>
  </r>
  <r>
    <x v="4"/>
    <d v="2024-01-11T04:00:00"/>
    <n v="0"/>
    <n v="0"/>
    <n v="0"/>
    <n v="56.625360799648902"/>
    <s v="OK"/>
    <s v="ZERO"/>
    <n v="0"/>
    <n v="0"/>
    <x v="0"/>
    <n v="0"/>
    <x v="0"/>
    <n v="0"/>
  </r>
  <r>
    <x v="4"/>
    <d v="2024-01-11T05:00:00"/>
    <n v="0"/>
    <n v="0"/>
    <n v="0"/>
    <n v="33.163358934912203"/>
    <s v="OK"/>
    <s v="ZERO"/>
    <n v="0"/>
    <n v="0"/>
    <x v="0"/>
    <n v="0"/>
    <x v="0"/>
    <n v="0"/>
  </r>
  <r>
    <x v="4"/>
    <d v="2024-01-11T06:00:00"/>
    <n v="0"/>
    <n v="0"/>
    <n v="0"/>
    <n v="25.558938078946799"/>
    <s v="OK"/>
    <s v="ZERO"/>
    <n v="0"/>
    <n v="0"/>
    <x v="0"/>
    <n v="0"/>
    <x v="0"/>
    <n v="0"/>
  </r>
  <r>
    <x v="4"/>
    <d v="2024-01-11T07:00:00"/>
    <n v="259.97842249235902"/>
    <n v="246.002176343683"/>
    <n v="246.002176343683"/>
    <n v="49.8994465638809"/>
    <s v="OK"/>
    <s v="NON-ZERO"/>
    <n v="310.58285412302399"/>
    <n v="0.79206618484560598"/>
    <x v="0"/>
    <n v="-64.580677779340988"/>
    <x v="1"/>
    <n v="-3.2290338889670491"/>
  </r>
  <r>
    <x v="4"/>
    <d v="2024-01-11T08:00:00"/>
    <n v="587.31088155314706"/>
    <n v="555.73748647023695"/>
    <n v="555.73748647023695"/>
    <n v="66.841897693804498"/>
    <s v="OK"/>
    <s v="NON-ZERO"/>
    <n v="600"/>
    <n v="0.92622914411706159"/>
    <x v="1"/>
    <n v="-44.262513529763055"/>
    <x v="1"/>
    <n v="0"/>
  </r>
  <r>
    <x v="4"/>
    <d v="2024-01-11T09:00:00"/>
    <n v="758.71597300287704"/>
    <n v="717.92796800629901"/>
    <n v="717.92796800629901"/>
    <n v="54.766416747701399"/>
    <s v="OK"/>
    <s v="NON-ZERO"/>
    <n v="848.52813742385695"/>
    <n v="0.84608622430122138"/>
    <x v="0"/>
    <n v="-130.60016941755794"/>
    <x v="1"/>
    <n v="-6.5300084708778972"/>
  </r>
  <r>
    <x v="4"/>
    <d v="2024-01-11T10:00:00"/>
    <n v="943.90960563909198"/>
    <n v="893.16572903564099"/>
    <n v="893.16572903564099"/>
    <n v="32.087276592212"/>
    <s v="OK"/>
    <s v="NON-ZERO"/>
    <n v="1039.23048454132"/>
    <n v="0.85944912348279801"/>
    <x v="1"/>
    <n v="-146.06475550567905"/>
    <x v="1"/>
    <n v="0"/>
  </r>
  <r>
    <x v="4"/>
    <d v="2024-01-11T11:00:00"/>
    <n v="1132.0409737718801"/>
    <n v="1071.1832950916801"/>
    <n v="1071.1832950916801"/>
    <n v="72.423883113086404"/>
    <s v="OK"/>
    <s v="NON-ZERO"/>
    <n v="1159.1109915468801"/>
    <n v="0.92414212521800265"/>
    <x v="1"/>
    <n v="-87.927696455200021"/>
    <x v="1"/>
    <n v="0"/>
  </r>
  <r>
    <x v="4"/>
    <d v="2024-01-11T12:00:00"/>
    <n v="1285.5035044829101"/>
    <n v="1216.3957945760701"/>
    <n v="1216.3957945760701"/>
    <n v="63.756157644509301"/>
    <s v="OK"/>
    <s v="NON-ZERO"/>
    <n v="1200"/>
    <n v="1.0136631621467251"/>
    <x v="1"/>
    <n v="16.395794576070102"/>
    <x v="0"/>
    <n v="0"/>
  </r>
  <r>
    <x v="4"/>
    <d v="2024-01-11T13:00:00"/>
    <n v="903.68099957679101"/>
    <n v="855.09978284008901"/>
    <n v="855.09978284008901"/>
    <n v="41.429857142433498"/>
    <s v="OK"/>
    <s v="NON-ZERO"/>
    <n v="1159.1109915468801"/>
    <n v="0.73772036420681686"/>
    <x v="0"/>
    <n v="-304.01120870679108"/>
    <x v="1"/>
    <n v="-15.200560435339554"/>
  </r>
  <r>
    <x v="4"/>
    <d v="2024-01-11T14:00:00"/>
    <n v="992.26139653711198"/>
    <n v="938.91816370693505"/>
    <n v="938.91816370693505"/>
    <n v="42.283786859588098"/>
    <s v="OK"/>
    <s v="NON-ZERO"/>
    <n v="1039.23048454132"/>
    <n v="0.90347442427205227"/>
    <x v="1"/>
    <n v="-100.31232083438499"/>
    <x v="1"/>
    <n v="0"/>
  </r>
  <r>
    <x v="4"/>
    <d v="2024-01-11T15:00:00"/>
    <n v="869.19267538207396"/>
    <n v="822.46552523897503"/>
    <n v="822.46552523897503"/>
    <n v="74.284642263108907"/>
    <s v="OK"/>
    <s v="NON-ZERO"/>
    <n v="848.52813742385695"/>
    <n v="0.96928491698105812"/>
    <x v="1"/>
    <n v="-26.062612184881914"/>
    <x v="1"/>
    <n v="0"/>
  </r>
  <r>
    <x v="4"/>
    <d v="2024-01-11T16:00:00"/>
    <n v="614.73432048674499"/>
    <n v="581.68666177416605"/>
    <n v="581.68666177416605"/>
    <n v="54.504967921846301"/>
    <s v="OK"/>
    <s v="NON-ZERO"/>
    <n v="600"/>
    <n v="0.9694777696236101"/>
    <x v="1"/>
    <n v="-18.313338225833945"/>
    <x v="1"/>
    <n v="0"/>
  </r>
  <r>
    <x v="4"/>
    <d v="2024-01-11T17:00:00"/>
    <n v="308.209022248596"/>
    <n v="291.63993501861302"/>
    <n v="291.63993501861302"/>
    <n v="68.238396265242102"/>
    <s v="OK"/>
    <s v="NON-ZERO"/>
    <n v="310.58285412302502"/>
    <n v="0.93900848403914627"/>
    <x v="1"/>
    <n v="-18.942919104411999"/>
    <x v="1"/>
    <n v="0"/>
  </r>
  <r>
    <x v="4"/>
    <d v="2024-01-11T18:00:00"/>
    <n v="1.3712624126072601E-13"/>
    <n v="1.29754436774302E-13"/>
    <n v="1.29754436774302E-13"/>
    <n v="45.947936585526897"/>
    <s v="OK"/>
    <s v="NON-ZERO"/>
    <n v="1.46957615897682E-13"/>
    <n v="0.8829378183750779"/>
    <x v="1"/>
    <n v="-1.7203179123379998E-14"/>
    <x v="1"/>
    <n v="0"/>
  </r>
  <r>
    <x v="4"/>
    <d v="2024-01-11T19:00:00"/>
    <n v="0"/>
    <n v="0"/>
    <n v="0"/>
    <n v="56.420623849763501"/>
    <s v="OK"/>
    <s v="ZERO"/>
    <n v="0"/>
    <n v="0"/>
    <x v="0"/>
    <n v="0"/>
    <x v="0"/>
    <n v="0"/>
  </r>
  <r>
    <x v="4"/>
    <d v="2024-01-11T20:00:00"/>
    <n v="0"/>
    <n v="0"/>
    <n v="0"/>
    <n v="88.923449412529806"/>
    <s v="OK"/>
    <s v="ZERO"/>
    <n v="0"/>
    <n v="0"/>
    <x v="0"/>
    <n v="0"/>
    <x v="0"/>
    <n v="0"/>
  </r>
  <r>
    <x v="4"/>
    <d v="2024-01-11T21:00:00"/>
    <n v="0"/>
    <n v="0"/>
    <n v="0"/>
    <n v="35.346910441926397"/>
    <s v="OK"/>
    <s v="ZERO"/>
    <n v="0"/>
    <n v="0"/>
    <x v="0"/>
    <n v="0"/>
    <x v="0"/>
    <n v="0"/>
  </r>
  <r>
    <x v="4"/>
    <d v="2024-01-11T22:00:00"/>
    <n v="0"/>
    <n v="0"/>
    <n v="0"/>
    <n v="89.827144720817202"/>
    <s v="OK"/>
    <s v="ZERO"/>
    <n v="0"/>
    <n v="0"/>
    <x v="0"/>
    <n v="0"/>
    <x v="0"/>
    <n v="0"/>
  </r>
  <r>
    <x v="4"/>
    <d v="2024-01-11T23:00:00"/>
    <n v="0"/>
    <n v="0"/>
    <n v="0"/>
    <n v="64.755414708493106"/>
    <s v="OK"/>
    <s v="ZERO"/>
    <n v="0"/>
    <n v="0"/>
    <x v="0"/>
    <n v="0"/>
    <x v="0"/>
    <n v="0"/>
  </r>
  <r>
    <x v="4"/>
    <d v="2024-01-12T00:00:00"/>
    <n v="0"/>
    <n v="0"/>
    <n v="0"/>
    <n v="82.861187403226694"/>
    <s v="OK"/>
    <s v="ZERO"/>
    <n v="0"/>
    <n v="0"/>
    <x v="0"/>
    <n v="0"/>
    <x v="0"/>
    <n v="0"/>
  </r>
  <r>
    <x v="4"/>
    <d v="2024-01-12T01:00:00"/>
    <n v="0"/>
    <n v="0"/>
    <n v="0"/>
    <n v="89.138412466083807"/>
    <s v="OK"/>
    <s v="ZERO"/>
    <n v="0"/>
    <n v="0"/>
    <x v="0"/>
    <n v="0"/>
    <x v="0"/>
    <n v="0"/>
  </r>
  <r>
    <x v="4"/>
    <d v="2024-01-12T02:00:00"/>
    <n v="0"/>
    <n v="0"/>
    <n v="0"/>
    <n v="86.608093925860402"/>
    <s v="OK"/>
    <s v="ZERO"/>
    <n v="0"/>
    <n v="0"/>
    <x v="0"/>
    <n v="0"/>
    <x v="0"/>
    <n v="0"/>
  </r>
  <r>
    <x v="4"/>
    <d v="2024-01-12T03:00:00"/>
    <n v="0"/>
    <n v="0"/>
    <n v="0"/>
    <n v="80.350371339166799"/>
    <s v="OK"/>
    <s v="ZERO"/>
    <n v="0"/>
    <n v="0"/>
    <x v="0"/>
    <n v="0"/>
    <x v="0"/>
    <n v="0"/>
  </r>
  <r>
    <x v="4"/>
    <d v="2024-01-12T04:00:00"/>
    <n v="0"/>
    <n v="0"/>
    <n v="0"/>
    <n v="23.585829777685898"/>
    <s v="OK"/>
    <s v="ZERO"/>
    <n v="0"/>
    <n v="0"/>
    <x v="0"/>
    <n v="0"/>
    <x v="0"/>
    <n v="0"/>
  </r>
  <r>
    <x v="4"/>
    <d v="2024-01-12T05:00:00"/>
    <n v="0"/>
    <n v="0"/>
    <n v="0"/>
    <n v="61.846155607585999"/>
    <s v="OK"/>
    <s v="ZERO"/>
    <n v="0"/>
    <n v="0"/>
    <x v="0"/>
    <n v="0"/>
    <x v="0"/>
    <n v="0"/>
  </r>
  <r>
    <x v="4"/>
    <d v="2024-01-12T06:00:00"/>
    <n v="0"/>
    <n v="0"/>
    <n v="0"/>
    <n v="93.524155454586904"/>
    <s v="OK"/>
    <s v="ZERO"/>
    <n v="0"/>
    <n v="0"/>
    <x v="0"/>
    <n v="0"/>
    <x v="0"/>
    <n v="0"/>
  </r>
  <r>
    <x v="4"/>
    <d v="2024-01-12T07:00:00"/>
    <n v="319.59543816299902"/>
    <n v="302.41422570337102"/>
    <n v="302.41422570337102"/>
    <n v="70.930182423272598"/>
    <s v="OK"/>
    <s v="NON-ZERO"/>
    <n v="310.58285412302399"/>
    <n v="0.97369903614699438"/>
    <x v="1"/>
    <n v="-8.1686284196529755"/>
    <x v="1"/>
    <n v="0"/>
  </r>
  <r>
    <x v="4"/>
    <d v="2024-01-12T08:00:00"/>
    <n v="553.05317664936899"/>
    <n v="523.32145023893497"/>
    <n v="523.32145023893497"/>
    <n v="40.912818768320598"/>
    <s v="OK"/>
    <s v="NON-ZERO"/>
    <n v="600"/>
    <n v="0.87220241706489166"/>
    <x v="1"/>
    <n v="-76.678549761065028"/>
    <x v="1"/>
    <n v="0"/>
  </r>
  <r>
    <x v="4"/>
    <d v="2024-01-12T09:00:00"/>
    <n v="895.43878836427996"/>
    <n v="847.30066675682394"/>
    <n v="847.30066675682394"/>
    <n v="37.904660893335802"/>
    <s v="OK"/>
    <s v="NON-ZERO"/>
    <n v="848.52813742385695"/>
    <n v="0.99855341194605562"/>
    <x v="1"/>
    <n v="-1.2274706670330033"/>
    <x v="1"/>
    <n v="0"/>
  </r>
  <r>
    <x v="4"/>
    <d v="2024-01-12T10:00:00"/>
    <n v="1067.6884548154701"/>
    <n v="1010.290319572"/>
    <n v="1010.290319572"/>
    <n v="76.504108618987601"/>
    <s v="OK"/>
    <s v="NON-ZERO"/>
    <n v="1039.23048454132"/>
    <n v="0.97215231327428475"/>
    <x v="1"/>
    <n v="-28.940164969319994"/>
    <x v="1"/>
    <n v="0"/>
  </r>
  <r>
    <x v="4"/>
    <d v="2024-01-12T11:00:00"/>
    <n v="900.20302497862895"/>
    <n v="851.80878156308495"/>
    <n v="851.80878156308495"/>
    <n v="92.240198072856202"/>
    <s v="OK"/>
    <s v="NON-ZERO"/>
    <n v="1159.1109915468801"/>
    <n v="0.7348811181803323"/>
    <x v="0"/>
    <n v="-307.30220998379514"/>
    <x v="1"/>
    <n v="-15.365110499189758"/>
  </r>
  <r>
    <x v="4"/>
    <d v="2024-01-12T12:00:00"/>
    <n v="1101.6108391324101"/>
    <n v="1042.3890618011901"/>
    <n v="1042.3890618011901"/>
    <n v="46.303888209068802"/>
    <s v="OK"/>
    <s v="NON-ZERO"/>
    <n v="1200"/>
    <n v="0.86865755150099178"/>
    <x v="1"/>
    <n v="-157.61093819880989"/>
    <x v="1"/>
    <n v="0"/>
  </r>
  <r>
    <x v="4"/>
    <d v="2024-01-12T13:00:00"/>
    <n v="1119.44471814453"/>
    <n v="1059.26420477488"/>
    <n v="1059.26420477488"/>
    <n v="90.0126407526826"/>
    <s v="OK"/>
    <s v="NON-ZERO"/>
    <n v="1159.1109915468801"/>
    <n v="0.91385916663705302"/>
    <x v="1"/>
    <n v="-99.846786772000087"/>
    <x v="1"/>
    <n v="0"/>
  </r>
  <r>
    <x v="4"/>
    <d v="2024-01-12T14:00:00"/>
    <n v="882.32279259600602"/>
    <n v="834.88977714153395"/>
    <n v="834.88977714153395"/>
    <n v="87.175190947841898"/>
    <s v="OK"/>
    <s v="NON-ZERO"/>
    <n v="1039.23048454132"/>
    <n v="0.80337306262722374"/>
    <x v="0"/>
    <n v="-204.34070739978608"/>
    <x v="1"/>
    <n v="-10.217035369989304"/>
  </r>
  <r>
    <x v="4"/>
    <d v="2024-01-12T15:00:00"/>
    <n v="812.01515015271605"/>
    <n v="768.36182113337304"/>
    <n v="768.36182113337304"/>
    <n v="64.976473567104406"/>
    <s v="OK"/>
    <s v="NON-ZERO"/>
    <n v="848.52813742385695"/>
    <n v="0.90552309021375543"/>
    <x v="1"/>
    <n v="-80.166316290483906"/>
    <x v="1"/>
    <n v="0"/>
  </r>
  <r>
    <x v="4"/>
    <d v="2024-01-12T16:00:00"/>
    <n v="560.25919191122705"/>
    <n v="530.14007549324799"/>
    <n v="530.14007549324799"/>
    <n v="41.352347666566601"/>
    <s v="OK"/>
    <s v="NON-ZERO"/>
    <n v="600"/>
    <n v="0.8835667924887467"/>
    <x v="1"/>
    <n v="-69.859924506752009"/>
    <x v="1"/>
    <n v="0"/>
  </r>
  <r>
    <x v="4"/>
    <d v="2024-01-12T17:00:00"/>
    <n v="291.14566931688398"/>
    <n v="275.49389521777198"/>
    <n v="275.49389521777198"/>
    <n v="20.718923010829499"/>
    <s v="OK"/>
    <s v="NON-ZERO"/>
    <n v="310.58285412302502"/>
    <n v="0.887022227919401"/>
    <x v="1"/>
    <n v="-35.088958905253037"/>
    <x v="1"/>
    <n v="0"/>
  </r>
  <r>
    <x v="4"/>
    <d v="2024-01-12T18:00:00"/>
    <n v="1.3308782335295501E-13"/>
    <n v="1.25933121202137E-13"/>
    <n v="1.25933121202137E-13"/>
    <n v="64.494460263153201"/>
    <s v="OK"/>
    <s v="NON-ZERO"/>
    <n v="1.46957615897682E-13"/>
    <n v="0.85693497701961141"/>
    <x v="1"/>
    <n v="-2.1024494695545003E-14"/>
    <x v="1"/>
    <n v="0"/>
  </r>
  <r>
    <x v="4"/>
    <d v="2024-01-12T19:00:00"/>
    <n v="0"/>
    <n v="0"/>
    <n v="0"/>
    <n v="84.651328709751198"/>
    <s v="OK"/>
    <s v="ZERO"/>
    <n v="0"/>
    <n v="0"/>
    <x v="0"/>
    <n v="0"/>
    <x v="0"/>
    <n v="0"/>
  </r>
  <r>
    <x v="4"/>
    <d v="2024-01-12T20:00:00"/>
    <n v="0"/>
    <n v="0"/>
    <n v="0"/>
    <n v="76.279169531802594"/>
    <s v="OK"/>
    <s v="ZERO"/>
    <n v="0"/>
    <n v="0"/>
    <x v="0"/>
    <n v="0"/>
    <x v="0"/>
    <n v="0"/>
  </r>
  <r>
    <x v="4"/>
    <d v="2024-01-12T21:00:00"/>
    <n v="0"/>
    <n v="0"/>
    <n v="0"/>
    <n v="68.898028544222001"/>
    <s v="OK"/>
    <s v="ZERO"/>
    <n v="0"/>
    <n v="0"/>
    <x v="0"/>
    <n v="0"/>
    <x v="0"/>
    <n v="0"/>
  </r>
  <r>
    <x v="4"/>
    <d v="2024-01-12T22:00:00"/>
    <n v="0"/>
    <n v="0"/>
    <n v="0"/>
    <n v="64.730751993848401"/>
    <s v="OK"/>
    <s v="ZERO"/>
    <n v="0"/>
    <n v="0"/>
    <x v="0"/>
    <n v="0"/>
    <x v="0"/>
    <n v="0"/>
  </r>
  <r>
    <x v="4"/>
    <d v="2024-01-12T23:00:00"/>
    <n v="0"/>
    <n v="0"/>
    <n v="0"/>
    <n v="82.3313305517446"/>
    <s v="OK"/>
    <s v="ZERO"/>
    <n v="0"/>
    <n v="0"/>
    <x v="0"/>
    <n v="0"/>
    <x v="0"/>
    <n v="0"/>
  </r>
  <r>
    <x v="4"/>
    <d v="2024-01-13T00:00:00"/>
    <n v="0"/>
    <n v="0"/>
    <n v="0"/>
    <n v="35.655690007129202"/>
    <s v="OK"/>
    <s v="ZERO"/>
    <n v="0"/>
    <n v="0"/>
    <x v="0"/>
    <n v="0"/>
    <x v="0"/>
    <n v="0"/>
  </r>
  <r>
    <x v="4"/>
    <d v="2024-01-13T01:00:00"/>
    <n v="0"/>
    <n v="0"/>
    <n v="0"/>
    <n v="92.404152774757193"/>
    <s v="OK"/>
    <s v="ZERO"/>
    <n v="0"/>
    <n v="0"/>
    <x v="0"/>
    <n v="0"/>
    <x v="0"/>
    <n v="0"/>
  </r>
  <r>
    <x v="4"/>
    <d v="2024-01-13T02:00:00"/>
    <n v="0"/>
    <n v="0"/>
    <n v="0"/>
    <n v="36.256828349148797"/>
    <s v="OK"/>
    <s v="ZERO"/>
    <n v="0"/>
    <n v="0"/>
    <x v="0"/>
    <n v="0"/>
    <x v="0"/>
    <n v="0"/>
  </r>
  <r>
    <x v="4"/>
    <d v="2024-01-13T03:00:00"/>
    <n v="0"/>
    <n v="0"/>
    <n v="0"/>
    <n v="69.304477962099696"/>
    <s v="OK"/>
    <s v="ZERO"/>
    <n v="0"/>
    <n v="0"/>
    <x v="0"/>
    <n v="0"/>
    <x v="0"/>
    <n v="0"/>
  </r>
  <r>
    <x v="4"/>
    <d v="2024-01-13T04:00:00"/>
    <n v="0"/>
    <n v="0"/>
    <n v="0"/>
    <n v="38.360805504567502"/>
    <s v="OK"/>
    <s v="ZERO"/>
    <n v="0"/>
    <n v="0"/>
    <x v="0"/>
    <n v="0"/>
    <x v="0"/>
    <n v="0"/>
  </r>
  <r>
    <x v="4"/>
    <d v="2024-01-13T05:00:00"/>
    <n v="0"/>
    <n v="0"/>
    <n v="0"/>
    <n v="41.662207243970599"/>
    <s v="OK"/>
    <s v="ZERO"/>
    <n v="0"/>
    <n v="0"/>
    <x v="0"/>
    <n v="0"/>
    <x v="0"/>
    <n v="0"/>
  </r>
  <r>
    <x v="4"/>
    <d v="2024-01-13T06:00:00"/>
    <n v="0"/>
    <n v="0"/>
    <n v="0"/>
    <n v="31.460435698871201"/>
    <s v="OK"/>
    <s v="ZERO"/>
    <n v="0"/>
    <n v="0"/>
    <x v="0"/>
    <n v="0"/>
    <x v="0"/>
    <n v="0"/>
  </r>
  <r>
    <x v="4"/>
    <d v="2024-01-13T07:00:00"/>
    <n v="240.71296219448399"/>
    <n v="227.772412826753"/>
    <n v="227.772412826753"/>
    <n v="34.227227363759603"/>
    <s v="OK"/>
    <s v="NON-ZERO"/>
    <n v="310.58285412302399"/>
    <n v="0.73337085355178944"/>
    <x v="0"/>
    <n v="-82.810441296270994"/>
    <x v="1"/>
    <n v="-4.1405220648135499"/>
  </r>
  <r>
    <x v="4"/>
    <d v="2024-01-13T08:00:00"/>
    <n v="545.14343917837698"/>
    <n v="515.836934356744"/>
    <n v="515.836934356744"/>
    <n v="21.447434917023799"/>
    <s v="OK"/>
    <s v="NON-ZERO"/>
    <n v="600"/>
    <n v="0.85972822392790671"/>
    <x v="1"/>
    <n v="-84.163065643256004"/>
    <x v="1"/>
    <n v="0"/>
  </r>
  <r>
    <x v="4"/>
    <d v="2024-01-13T09:00:00"/>
    <n v="792.59916075524097"/>
    <n v="749.98962084900097"/>
    <n v="749.98962084900097"/>
    <n v="70.448655457427805"/>
    <s v="OK"/>
    <s v="NON-ZERO"/>
    <n v="848.52813742385695"/>
    <n v="0.88387124453642718"/>
    <x v="1"/>
    <n v="-98.538516574855976"/>
    <x v="1"/>
    <n v="0"/>
  </r>
  <r>
    <x v="4"/>
    <d v="2024-01-13T10:00:00"/>
    <n v="885.14114656686502"/>
    <n v="837.55661850433398"/>
    <n v="837.55661850433398"/>
    <n v="81.690201418510298"/>
    <s v="OK"/>
    <s v="NON-ZERO"/>
    <n v="1039.23048454132"/>
    <n v="0.80593923192505479"/>
    <x v="0"/>
    <n v="-201.67386603698606"/>
    <x v="1"/>
    <n v="-10.083693301849303"/>
  </r>
  <r>
    <x v="4"/>
    <d v="2024-01-13T11:00:00"/>
    <n v="1137.6933070970799"/>
    <n v="1076.5317631918001"/>
    <n v="1076.5317631918001"/>
    <n v="77.786701887597204"/>
    <s v="OK"/>
    <s v="NON-ZERO"/>
    <n v="1159.1109915468801"/>
    <n v="0.92875640990611719"/>
    <x v="1"/>
    <n v="-82.579228355079977"/>
    <x v="1"/>
    <n v="0"/>
  </r>
  <r>
    <x v="4"/>
    <d v="2024-01-13T12:00:00"/>
    <n v="1141.3665622083299"/>
    <n v="1080.00754684712"/>
    <n v="1080.00754684712"/>
    <n v="86.021844726007203"/>
    <s v="OK"/>
    <s v="NON-ZERO"/>
    <n v="1200"/>
    <n v="0.90000628903926672"/>
    <x v="1"/>
    <n v="-119.99245315287999"/>
    <x v="1"/>
    <n v="0"/>
  </r>
  <r>
    <x v="4"/>
    <d v="2024-01-13T13:00:00"/>
    <n v="1144.0866616386099"/>
    <n v="1082.5814157601801"/>
    <n v="1082.5814157601801"/>
    <n v="79.902843038197901"/>
    <s v="OK"/>
    <s v="NON-ZERO"/>
    <n v="1159.1109915468801"/>
    <n v="0.93397562757595098"/>
    <x v="1"/>
    <n v="-76.529575786699979"/>
    <x v="1"/>
    <n v="0"/>
  </r>
  <r>
    <x v="4"/>
    <d v="2024-01-13T14:00:00"/>
    <n v="1003.82153952593"/>
    <n v="949.85684202812399"/>
    <n v="949.85684202812399"/>
    <n v="89.851877540484395"/>
    <s v="OK"/>
    <s v="NON-ZERO"/>
    <n v="1039.23048454132"/>
    <n v="0.91400017239424758"/>
    <x v="1"/>
    <n v="-89.373642513196046"/>
    <x v="1"/>
    <n v="0"/>
  </r>
  <r>
    <x v="4"/>
    <d v="2024-01-13T15:00:00"/>
    <n v="720.29335362141398"/>
    <n v="681.57091999419799"/>
    <n v="681.57091999419799"/>
    <n v="64.471570469555203"/>
    <s v="OK"/>
    <s v="NON-ZERO"/>
    <n v="848.52813742385695"/>
    <n v="0.80323903231241878"/>
    <x v="0"/>
    <n v="-166.95721742965895"/>
    <x v="1"/>
    <n v="-8.3478608714829488"/>
  </r>
  <r>
    <x v="4"/>
    <d v="2024-01-13T16:00:00"/>
    <n v="555.10251833805796"/>
    <n v="525.26062084646503"/>
    <n v="525.26062084646503"/>
    <n v="80.046774230961105"/>
    <s v="OK"/>
    <s v="NON-ZERO"/>
    <n v="600"/>
    <n v="0.87543436807744168"/>
    <x v="1"/>
    <n v="-74.739379153534969"/>
    <x v="1"/>
    <n v="0"/>
  </r>
  <r>
    <x v="4"/>
    <d v="2024-01-13T17:00:00"/>
    <n v="278.24724306433899"/>
    <n v="263.28887874326898"/>
    <n v="263.28887874326898"/>
    <n v="34.018397359293097"/>
    <s v="OK"/>
    <s v="NON-ZERO"/>
    <n v="310.58285412302502"/>
    <n v="0.84772509250938111"/>
    <x v="0"/>
    <n v="-47.293975379756034"/>
    <x v="1"/>
    <n v="-2.3646987689878016"/>
  </r>
  <r>
    <x v="4"/>
    <d v="2024-01-13T18:00:00"/>
    <n v="1.56373367170624E-13"/>
    <n v="1.4796685154628099E-13"/>
    <n v="1.4796685154628099E-13"/>
    <n v="60.591547102466997"/>
    <s v="OK"/>
    <s v="NON-ZERO"/>
    <n v="1.46957615897682E-13"/>
    <n v="1.0068675287254365"/>
    <x v="1"/>
    <n v="1.0092356485989931E-15"/>
    <x v="0"/>
    <n v="0"/>
  </r>
  <r>
    <x v="4"/>
    <d v="2024-01-13T19:00:00"/>
    <n v="0"/>
    <n v="0"/>
    <n v="0"/>
    <n v="51.510091563732502"/>
    <s v="OK"/>
    <s v="ZERO"/>
    <n v="0"/>
    <n v="0"/>
    <x v="0"/>
    <n v="0"/>
    <x v="0"/>
    <n v="0"/>
  </r>
  <r>
    <x v="4"/>
    <d v="2024-01-13T20:00:00"/>
    <n v="0"/>
    <n v="0"/>
    <n v="0"/>
    <n v="87.127456370387705"/>
    <s v="OK"/>
    <s v="ZERO"/>
    <n v="0"/>
    <n v="0"/>
    <x v="0"/>
    <n v="0"/>
    <x v="0"/>
    <n v="0"/>
  </r>
  <r>
    <x v="4"/>
    <d v="2024-01-13T21:00:00"/>
    <n v="0"/>
    <n v="0"/>
    <n v="0"/>
    <n v="41.780819160668401"/>
    <s v="OK"/>
    <s v="ZERO"/>
    <n v="0"/>
    <n v="0"/>
    <x v="0"/>
    <n v="0"/>
    <x v="0"/>
    <n v="0"/>
  </r>
  <r>
    <x v="4"/>
    <d v="2024-01-13T22:00:00"/>
    <n v="0"/>
    <n v="0"/>
    <n v="0"/>
    <n v="38.701423318002597"/>
    <s v="OK"/>
    <s v="ZERO"/>
    <n v="0"/>
    <n v="0"/>
    <x v="0"/>
    <n v="0"/>
    <x v="0"/>
    <n v="0"/>
  </r>
  <r>
    <x v="4"/>
    <d v="2024-01-13T23:00:00"/>
    <n v="0"/>
    <n v="0"/>
    <n v="0"/>
    <n v="82.208497982124797"/>
    <s v="OK"/>
    <s v="ZERO"/>
    <n v="0"/>
    <n v="0"/>
    <x v="0"/>
    <n v="0"/>
    <x v="0"/>
    <n v="0"/>
  </r>
  <r>
    <x v="4"/>
    <d v="2024-01-14T00:00:00"/>
    <n v="0"/>
    <n v="0"/>
    <n v="0"/>
    <n v="44.260050104787197"/>
    <s v="OK"/>
    <s v="ZERO"/>
    <n v="0"/>
    <n v="0"/>
    <x v="0"/>
    <n v="0"/>
    <x v="0"/>
    <n v="0"/>
  </r>
  <r>
    <x v="4"/>
    <d v="2024-01-14T01:00:00"/>
    <n v="0"/>
    <n v="0"/>
    <n v="0"/>
    <n v="93.9471263301063"/>
    <s v="OK"/>
    <s v="ZERO"/>
    <n v="0"/>
    <n v="0"/>
    <x v="0"/>
    <n v="0"/>
    <x v="0"/>
    <n v="0"/>
  </r>
  <r>
    <x v="4"/>
    <d v="2024-01-14T02:00:00"/>
    <n v="0"/>
    <n v="0"/>
    <n v="0"/>
    <n v="46.718618981568703"/>
    <s v="OK"/>
    <s v="ZERO"/>
    <n v="0"/>
    <n v="0"/>
    <x v="0"/>
    <n v="0"/>
    <x v="0"/>
    <n v="0"/>
  </r>
  <r>
    <x v="4"/>
    <d v="2024-01-14T03:00:00"/>
    <n v="0"/>
    <n v="0"/>
    <n v="0"/>
    <n v="71.791448029973296"/>
    <s v="OK"/>
    <s v="ZERO"/>
    <n v="0"/>
    <n v="0"/>
    <x v="0"/>
    <n v="0"/>
    <x v="0"/>
    <n v="0"/>
  </r>
  <r>
    <x v="4"/>
    <d v="2024-01-14T04:00:00"/>
    <n v="0"/>
    <n v="0"/>
    <n v="0"/>
    <n v="51.112300391671504"/>
    <s v="OK"/>
    <s v="ZERO"/>
    <n v="0"/>
    <n v="0"/>
    <x v="0"/>
    <n v="0"/>
    <x v="0"/>
    <n v="0"/>
  </r>
  <r>
    <x v="4"/>
    <d v="2024-01-14T05:00:00"/>
    <n v="0"/>
    <n v="0"/>
    <n v="0"/>
    <n v="72.861812404303706"/>
    <s v="OK"/>
    <s v="ZERO"/>
    <n v="0"/>
    <n v="0"/>
    <x v="0"/>
    <n v="0"/>
    <x v="0"/>
    <n v="0"/>
  </r>
  <r>
    <x v="4"/>
    <d v="2024-01-14T06:00:00"/>
    <n v="0"/>
    <n v="0"/>
    <n v="0"/>
    <n v="62.586956854968797"/>
    <s v="OK"/>
    <s v="ZERO"/>
    <n v="0"/>
    <n v="0"/>
    <x v="0"/>
    <n v="0"/>
    <x v="0"/>
    <n v="0"/>
  </r>
  <r>
    <x v="4"/>
    <d v="2024-01-14T07:00:00"/>
    <n v="270.200485554728"/>
    <n v="255.67470891756901"/>
    <n v="255.67470891756901"/>
    <n v="60.301831192015698"/>
    <s v="OK"/>
    <s v="NON-ZERO"/>
    <n v="310.58285412302399"/>
    <n v="0.82320934824140202"/>
    <x v="0"/>
    <n v="-54.908145205454986"/>
    <x v="1"/>
    <n v="-2.7454072602727493"/>
  </r>
  <r>
    <x v="4"/>
    <d v="2024-01-14T08:00:00"/>
    <n v="617.91324079728997"/>
    <n v="584.69468569907599"/>
    <n v="584.69468569907599"/>
    <n v="41.671836435553701"/>
    <s v="OK"/>
    <s v="NON-ZERO"/>
    <n v="600"/>
    <n v="0.97449114283179328"/>
    <x v="1"/>
    <n v="-15.30531430092401"/>
    <x v="1"/>
    <n v="0"/>
  </r>
  <r>
    <x v="4"/>
    <d v="2024-01-14T09:00:00"/>
    <n v="622.08117813832598"/>
    <n v="588.63855783634494"/>
    <n v="588.63855783634494"/>
    <n v="67.954316442725101"/>
    <s v="OK"/>
    <s v="NON-ZERO"/>
    <n v="848.52813742385695"/>
    <n v="0.69371719318991554"/>
    <x v="0"/>
    <n v="-259.889579587512"/>
    <x v="1"/>
    <n v="-12.9944789793756"/>
  </r>
  <r>
    <x v="4"/>
    <d v="2024-01-14T10:00:00"/>
    <n v="969.61137356151096"/>
    <n v="917.48578907824299"/>
    <n v="917.48578907824299"/>
    <n v="82.436710581458598"/>
    <s v="OK"/>
    <s v="NON-ZERO"/>
    <n v="1039.23048454132"/>
    <n v="0.8828511121699717"/>
    <x v="1"/>
    <n v="-121.74469546307705"/>
    <x v="1"/>
    <n v="0"/>
  </r>
  <r>
    <x v="4"/>
    <d v="2024-01-14T11:00:00"/>
    <n v="1182.2962496486"/>
    <n v="1118.7368848085"/>
    <n v="1118.7368848085"/>
    <n v="84.554641954106302"/>
    <s v="OK"/>
    <s v="NON-ZERO"/>
    <n v="1159.1109915468801"/>
    <n v="0.96516804082368401"/>
    <x v="1"/>
    <n v="-40.374106738380078"/>
    <x v="1"/>
    <n v="0"/>
  </r>
  <r>
    <x v="4"/>
    <d v="2024-01-14T12:00:00"/>
    <n v="1162.5712580475299"/>
    <n v="1100.0722940486"/>
    <n v="1100.0722940486"/>
    <n v="55.453017397721602"/>
    <s v="OK"/>
    <s v="NON-ZERO"/>
    <n v="1200"/>
    <n v="0.91672691170716669"/>
    <x v="1"/>
    <n v="-99.927705951399957"/>
    <x v="1"/>
    <n v="0"/>
  </r>
  <r>
    <x v="4"/>
    <d v="2024-01-14T13:00:00"/>
    <n v="1059.3749786410999"/>
    <n v="1002.42376967809"/>
    <n v="1002.42376967809"/>
    <n v="32.782490140999698"/>
    <s v="OK"/>
    <s v="NON-ZERO"/>
    <n v="1159.1109915468801"/>
    <n v="0.86482120952050956"/>
    <x v="1"/>
    <n v="-156.68722186879006"/>
    <x v="1"/>
    <n v="0"/>
  </r>
  <r>
    <x v="4"/>
    <d v="2024-01-14T14:00:00"/>
    <n v="1075.4485210563601"/>
    <n v="1017.63321043782"/>
    <n v="1017.63321043782"/>
    <n v="81.229829477117704"/>
    <s v="OK"/>
    <s v="NON-ZERO"/>
    <n v="1039.23048454132"/>
    <n v="0.97921801330430347"/>
    <x v="1"/>
    <n v="-21.597274103500013"/>
    <x v="1"/>
    <n v="0"/>
  </r>
  <r>
    <x v="4"/>
    <d v="2024-01-14T15:00:00"/>
    <n v="767.35798744706005"/>
    <n v="726.10539419760198"/>
    <n v="726.10539419760198"/>
    <n v="43.9538087625263"/>
    <s v="OK"/>
    <s v="NON-ZERO"/>
    <n v="848.52813742385695"/>
    <n v="0.85572341348875935"/>
    <x v="1"/>
    <n v="-122.42274322625497"/>
    <x v="1"/>
    <n v="0"/>
  </r>
  <r>
    <x v="4"/>
    <d v="2024-01-14T16:00:00"/>
    <n v="538.39407118756196"/>
    <n v="509.45040735666601"/>
    <n v="509.45040735666601"/>
    <n v="43.639046761547199"/>
    <s v="OK"/>
    <s v="NON-ZERO"/>
    <n v="600"/>
    <n v="0.84908401226110997"/>
    <x v="0"/>
    <n v="-90.549592643333995"/>
    <x v="1"/>
    <n v="-4.5274796321666999"/>
  </r>
  <r>
    <x v="4"/>
    <d v="2024-01-14T17:00:00"/>
    <n v="298.39634914029199"/>
    <n v="282.354783900109"/>
    <n v="282.354783900109"/>
    <n v="62.142357725106898"/>
    <s v="OK"/>
    <s v="NON-ZERO"/>
    <n v="310.58285412302502"/>
    <n v="0.90911259315128001"/>
    <x v="1"/>
    <n v="-28.228070222916017"/>
    <x v="1"/>
    <n v="0"/>
  </r>
  <r>
    <x v="4"/>
    <d v="2024-01-14T18:00:00"/>
    <n v="1.2490324161358999E-13"/>
    <n v="1.1818853647450999E-13"/>
    <n v="1.1818853647450999E-13"/>
    <n v="67.0493352142378"/>
    <s v="OK"/>
    <s v="NON-ZERO"/>
    <n v="1.46957615897682E-13"/>
    <n v="0.80423553248712043"/>
    <x v="0"/>
    <n v="-2.8769079423172008E-14"/>
    <x v="1"/>
    <n v="-1.4384539711586004E-15"/>
  </r>
  <r>
    <x v="4"/>
    <d v="2024-01-14T19:00:00"/>
    <n v="0"/>
    <n v="0"/>
    <n v="0"/>
    <n v="56.6998123718177"/>
    <s v="OK"/>
    <s v="ZERO"/>
    <n v="0"/>
    <n v="0"/>
    <x v="0"/>
    <n v="0"/>
    <x v="0"/>
    <n v="0"/>
  </r>
  <r>
    <x v="4"/>
    <d v="2024-01-14T20:00:00"/>
    <n v="0"/>
    <n v="0"/>
    <n v="0"/>
    <n v="86.624436102696606"/>
    <s v="OK"/>
    <s v="ZERO"/>
    <n v="0"/>
    <n v="0"/>
    <x v="0"/>
    <n v="0"/>
    <x v="0"/>
    <n v="0"/>
  </r>
  <r>
    <x v="4"/>
    <d v="2024-01-14T21:00:00"/>
    <n v="0"/>
    <n v="0"/>
    <n v="0"/>
    <n v="80.994672601299001"/>
    <s v="OK"/>
    <s v="ZERO"/>
    <n v="0"/>
    <n v="0"/>
    <x v="0"/>
    <n v="0"/>
    <x v="0"/>
    <n v="0"/>
  </r>
  <r>
    <x v="4"/>
    <d v="2024-01-14T22:00:00"/>
    <n v="0"/>
    <n v="0"/>
    <n v="0"/>
    <n v="21.785453244375699"/>
    <s v="OK"/>
    <s v="ZERO"/>
    <n v="0"/>
    <n v="0"/>
    <x v="0"/>
    <n v="0"/>
    <x v="0"/>
    <n v="0"/>
  </r>
  <r>
    <x v="4"/>
    <d v="2024-01-14T23:00:00"/>
    <n v="0"/>
    <n v="0"/>
    <n v="0"/>
    <n v="40.7870460383146"/>
    <s v="OK"/>
    <s v="ZERO"/>
    <n v="0"/>
    <n v="0"/>
    <x v="0"/>
    <n v="0"/>
    <x v="0"/>
    <n v="0"/>
  </r>
  <r>
    <x v="4"/>
    <d v="2024-01-15T00:00:00"/>
    <n v="0"/>
    <n v="0"/>
    <n v="0"/>
    <n v="31.7380924310342"/>
    <s v="OK"/>
    <s v="ZERO"/>
    <n v="0"/>
    <n v="0"/>
    <x v="0"/>
    <n v="0"/>
    <x v="0"/>
    <n v="0"/>
  </r>
  <r>
    <x v="4"/>
    <d v="2024-01-15T01:00:00"/>
    <n v="0"/>
    <n v="0"/>
    <n v="0"/>
    <n v="72.612342542433694"/>
    <s v="OK"/>
    <s v="ZERO"/>
    <n v="0"/>
    <n v="0"/>
    <x v="0"/>
    <n v="0"/>
    <x v="0"/>
    <n v="0"/>
  </r>
  <r>
    <x v="4"/>
    <d v="2024-01-15T02:00:00"/>
    <n v="0"/>
    <n v="0"/>
    <n v="0"/>
    <n v="60.457576661595198"/>
    <s v="OK"/>
    <s v="ZERO"/>
    <n v="0"/>
    <n v="0"/>
    <x v="0"/>
    <n v="0"/>
    <x v="0"/>
    <n v="0"/>
  </r>
  <r>
    <x v="4"/>
    <d v="2024-01-15T03:00:00"/>
    <n v="0"/>
    <n v="0"/>
    <n v="0"/>
    <n v="20.129361658238"/>
    <s v="OK"/>
    <s v="ZERO"/>
    <n v="0"/>
    <n v="0"/>
    <x v="0"/>
    <n v="0"/>
    <x v="0"/>
    <n v="0"/>
  </r>
  <r>
    <x v="4"/>
    <d v="2024-01-15T04:00:00"/>
    <n v="0"/>
    <n v="0"/>
    <n v="0"/>
    <n v="93.192000342192401"/>
    <s v="OK"/>
    <s v="ZERO"/>
    <n v="0"/>
    <n v="0"/>
    <x v="0"/>
    <n v="0"/>
    <x v="0"/>
    <n v="0"/>
  </r>
  <r>
    <x v="4"/>
    <d v="2024-01-15T05:00:00"/>
    <n v="0"/>
    <n v="0"/>
    <n v="0"/>
    <n v="58.233263352763402"/>
    <s v="OK"/>
    <s v="ZERO"/>
    <n v="0"/>
    <n v="0"/>
    <x v="0"/>
    <n v="0"/>
    <x v="0"/>
    <n v="0"/>
  </r>
  <r>
    <x v="4"/>
    <d v="2024-01-15T06:00:00"/>
    <n v="0"/>
    <n v="0"/>
    <n v="0"/>
    <n v="52.502521152262602"/>
    <s v="OK"/>
    <s v="ZERO"/>
    <n v="0"/>
    <n v="0"/>
    <x v="0"/>
    <n v="0"/>
    <x v="0"/>
    <n v="0"/>
  </r>
  <r>
    <x v="4"/>
    <d v="2024-01-15T07:00:00"/>
    <n v="284.38275118611301"/>
    <n v="269.09454652315901"/>
    <n v="269.09454652315901"/>
    <n v="23.018357796443802"/>
    <s v="OK"/>
    <s v="NON-ZERO"/>
    <n v="310.58285412302399"/>
    <n v="0.86641790733421753"/>
    <x v="1"/>
    <n v="-41.488307599864982"/>
    <x v="1"/>
    <n v="0"/>
  </r>
  <r>
    <x v="4"/>
    <d v="2024-01-15T08:00:00"/>
    <n v="551.02053729264003"/>
    <n v="521.39808405845201"/>
    <n v="521.39808405845201"/>
    <n v="84.172076115142502"/>
    <s v="OK"/>
    <s v="NON-ZERO"/>
    <n v="600"/>
    <n v="0.86899680676408664"/>
    <x v="1"/>
    <n v="-78.601915941547986"/>
    <x v="1"/>
    <n v="0"/>
  </r>
  <r>
    <x v="4"/>
    <d v="2024-01-15T09:00:00"/>
    <n v="897.16137302661696"/>
    <n v="848.93064655210298"/>
    <n v="848.93064655210298"/>
    <n v="81.284546162760805"/>
    <s v="OK"/>
    <s v="NON-ZERO"/>
    <n v="848.52813742385695"/>
    <n v="1.000474361556787"/>
    <x v="1"/>
    <n v="0.40250912824603802"/>
    <x v="0"/>
    <n v="0"/>
  </r>
  <r>
    <x v="4"/>
    <d v="2024-01-15T10:00:00"/>
    <n v="969.51545744439204"/>
    <n v="917.39502934006396"/>
    <n v="917.39502934006396"/>
    <n v="26.147658319511699"/>
    <s v="OK"/>
    <s v="NON-ZERO"/>
    <n v="1039.23048454132"/>
    <n v="0.88276377857118959"/>
    <x v="1"/>
    <n v="-121.83545520125608"/>
    <x v="1"/>
    <n v="0"/>
  </r>
  <r>
    <x v="4"/>
    <d v="2024-01-15T11:00:00"/>
    <n v="1141.9036448526299"/>
    <n v="1080.5157563289199"/>
    <n v="1080.5157563289199"/>
    <n v="55.506584797508403"/>
    <s v="OK"/>
    <s v="NON-ZERO"/>
    <n v="1159.1109915468801"/>
    <n v="0.93219352090426499"/>
    <x v="1"/>
    <n v="-78.59523521796018"/>
    <x v="1"/>
    <n v="0"/>
  </r>
  <r>
    <x v="4"/>
    <d v="2024-01-15T12:00:00"/>
    <n v="1185.02477494967"/>
    <n v="1121.3187266238201"/>
    <n v="1121.3187266238201"/>
    <n v="24.558587647205201"/>
    <s v="OK"/>
    <s v="NON-ZERO"/>
    <n v="1200"/>
    <n v="0.93443227218651681"/>
    <x v="1"/>
    <n v="-78.681273376179888"/>
    <x v="1"/>
    <n v="0"/>
  </r>
  <r>
    <x v="4"/>
    <d v="2024-01-15T13:00:00"/>
    <n v="1163.5050088318601"/>
    <n v="1100.9558470869799"/>
    <n v="1100.9558470869799"/>
    <n v="57.511106237329898"/>
    <s v="OK"/>
    <s v="NON-ZERO"/>
    <n v="1159.1109915468801"/>
    <n v="0.94982780347696494"/>
    <x v="1"/>
    <n v="-58.155144459900157"/>
    <x v="1"/>
    <n v="0"/>
  </r>
  <r>
    <x v="4"/>
    <d v="2024-01-15T14:00:00"/>
    <n v="898.41475919713503"/>
    <n v="850.11665161664098"/>
    <n v="850.11665161664098"/>
    <n v="35.291485659539198"/>
    <s v="OK"/>
    <s v="NON-ZERO"/>
    <n v="1039.23048454132"/>
    <n v="0.81802512942242323"/>
    <x v="0"/>
    <n v="-189.11383292467906"/>
    <x v="1"/>
    <n v="-9.4556916462339515"/>
  </r>
  <r>
    <x v="4"/>
    <d v="2024-01-15T15:00:00"/>
    <n v="788.93567646890301"/>
    <n v="746.52308274633697"/>
    <n v="746.52308274633697"/>
    <n v="79.844852563348596"/>
    <s v="OK"/>
    <s v="NON-ZERO"/>
    <n v="848.52813742385695"/>
    <n v="0.87978589020370179"/>
    <x v="1"/>
    <n v="-102.00505467751998"/>
    <x v="1"/>
    <n v="0"/>
  </r>
  <r>
    <x v="4"/>
    <d v="2024-01-15T16:00:00"/>
    <n v="609.25614664022203"/>
    <n v="576.50299046900898"/>
    <n v="576.50299046900898"/>
    <n v="70.070542229525202"/>
    <s v="OK"/>
    <s v="NON-ZERO"/>
    <n v="600"/>
    <n v="0.96083831744834824"/>
    <x v="1"/>
    <n v="-23.497009530991022"/>
    <x v="1"/>
    <n v="0"/>
  </r>
  <r>
    <x v="4"/>
    <d v="2024-01-15T17:00:00"/>
    <n v="298.61800563286499"/>
    <n v="282.56452430491203"/>
    <n v="282.56452430491203"/>
    <n v="25.228080985171999"/>
    <s v="OK"/>
    <s v="NON-ZERO"/>
    <n v="310.58285412302502"/>
    <n v="0.9097879053973319"/>
    <x v="1"/>
    <n v="-28.018329818112989"/>
    <x v="1"/>
    <n v="0"/>
  </r>
  <r>
    <x v="4"/>
    <d v="2024-01-15T18:00:00"/>
    <n v="1.43488222618609E-13"/>
    <n v="1.3577440275799101E-13"/>
    <n v="1.3577440275799101E-13"/>
    <n v="20.9481951050013"/>
    <s v="OK"/>
    <s v="NON-ZERO"/>
    <n v="1.46957615897682E-13"/>
    <n v="0.92390177894912773"/>
    <x v="1"/>
    <n v="-1.1183213139690989E-14"/>
    <x v="1"/>
    <n v="0"/>
  </r>
  <r>
    <x v="4"/>
    <d v="2024-01-15T19:00:00"/>
    <n v="0"/>
    <n v="0"/>
    <n v="0"/>
    <n v="78.517018746342103"/>
    <s v="OK"/>
    <s v="ZERO"/>
    <n v="0"/>
    <n v="0"/>
    <x v="0"/>
    <n v="0"/>
    <x v="0"/>
    <n v="0"/>
  </r>
  <r>
    <x v="4"/>
    <d v="2024-01-15T20:00:00"/>
    <n v="0"/>
    <n v="0"/>
    <n v="0"/>
    <n v="72.862714813800196"/>
    <s v="OK"/>
    <s v="ZERO"/>
    <n v="0"/>
    <n v="0"/>
    <x v="0"/>
    <n v="0"/>
    <x v="0"/>
    <n v="0"/>
  </r>
  <r>
    <x v="4"/>
    <d v="2024-01-15T21:00:00"/>
    <n v="0"/>
    <n v="0"/>
    <n v="0"/>
    <n v="26.308257448226399"/>
    <s v="OK"/>
    <s v="ZERO"/>
    <n v="0"/>
    <n v="0"/>
    <x v="0"/>
    <n v="0"/>
    <x v="0"/>
    <n v="0"/>
  </r>
  <r>
    <x v="4"/>
    <d v="2024-01-15T22:00:00"/>
    <n v="0"/>
    <n v="0"/>
    <n v="0"/>
    <n v="33.891749812320299"/>
    <s v="OK"/>
    <s v="ZERO"/>
    <n v="0"/>
    <n v="0"/>
    <x v="0"/>
    <n v="0"/>
    <x v="0"/>
    <n v="0"/>
  </r>
  <r>
    <x v="4"/>
    <d v="2024-01-15T23:00:00"/>
    <n v="0"/>
    <n v="0"/>
    <n v="0"/>
    <n v="36.991538639471798"/>
    <s v="OK"/>
    <s v="ZERO"/>
    <n v="0"/>
    <n v="0"/>
    <x v="0"/>
    <n v="0"/>
    <x v="0"/>
    <n v="0"/>
  </r>
  <r>
    <x v="4"/>
    <d v="2024-01-16T00:00:00"/>
    <n v="0"/>
    <n v="0"/>
    <n v="0"/>
    <n v="73.945137946146104"/>
    <s v="OK"/>
    <s v="ZERO"/>
    <n v="0"/>
    <n v="0"/>
    <x v="0"/>
    <n v="0"/>
    <x v="0"/>
    <n v="0"/>
  </r>
  <r>
    <x v="4"/>
    <d v="2024-01-16T01:00:00"/>
    <n v="0"/>
    <n v="0"/>
    <n v="0"/>
    <n v="85.845617299970399"/>
    <s v="OK"/>
    <s v="ZERO"/>
    <n v="0"/>
    <n v="0"/>
    <x v="0"/>
    <n v="0"/>
    <x v="0"/>
    <n v="0"/>
  </r>
  <r>
    <x v="4"/>
    <d v="2024-01-16T02:00:00"/>
    <n v="0"/>
    <n v="0"/>
    <n v="0"/>
    <n v="86.519929723787897"/>
    <s v="OK"/>
    <s v="ZERO"/>
    <n v="0"/>
    <n v="0"/>
    <x v="0"/>
    <n v="0"/>
    <x v="0"/>
    <n v="0"/>
  </r>
  <r>
    <x v="4"/>
    <d v="2024-01-16T03:00:00"/>
    <n v="0"/>
    <n v="0"/>
    <n v="0"/>
    <n v="42.263902570998802"/>
    <s v="OK"/>
    <s v="ZERO"/>
    <n v="0"/>
    <n v="0"/>
    <x v="0"/>
    <n v="0"/>
    <x v="0"/>
    <n v="0"/>
  </r>
  <r>
    <x v="4"/>
    <d v="2024-01-16T04:00:00"/>
    <n v="0"/>
    <n v="0"/>
    <n v="0"/>
    <n v="94.069683088496006"/>
    <s v="OK"/>
    <s v="ZERO"/>
    <n v="0"/>
    <n v="0"/>
    <x v="0"/>
    <n v="0"/>
    <x v="0"/>
    <n v="0"/>
  </r>
  <r>
    <x v="4"/>
    <d v="2024-01-16T05:00:00"/>
    <n v="0"/>
    <n v="0"/>
    <n v="0"/>
    <n v="44.343399437395902"/>
    <s v="OK"/>
    <s v="ZERO"/>
    <n v="0"/>
    <n v="0"/>
    <x v="0"/>
    <n v="0"/>
    <x v="0"/>
    <n v="0"/>
  </r>
  <r>
    <x v="4"/>
    <d v="2024-01-16T06:00:00"/>
    <n v="0"/>
    <n v="0"/>
    <n v="0"/>
    <n v="23.368212238154801"/>
    <s v="OK"/>
    <s v="ZERO"/>
    <n v="0"/>
    <n v="0"/>
    <x v="0"/>
    <n v="0"/>
    <x v="0"/>
    <n v="0"/>
  </r>
  <r>
    <x v="4"/>
    <d v="2024-01-16T07:00:00"/>
    <n v="288.83897430567202"/>
    <n v="273.31120641044998"/>
    <n v="273.31120641044998"/>
    <n v="33.975010725830501"/>
    <s v="OK"/>
    <s v="NON-ZERO"/>
    <n v="310.58285412302399"/>
    <n v="0.87999450962025594"/>
    <x v="1"/>
    <n v="-37.271647712574008"/>
    <x v="1"/>
    <n v="0"/>
  </r>
  <r>
    <x v="4"/>
    <d v="2024-01-16T08:00:00"/>
    <n v="531.73283854145495"/>
    <n v="503.14727761088102"/>
    <n v="503.14727761088102"/>
    <n v="46.392879181899502"/>
    <s v="OK"/>
    <s v="NON-ZERO"/>
    <n v="600"/>
    <n v="0.83857879601813501"/>
    <x v="0"/>
    <n v="-96.852722389118981"/>
    <x v="1"/>
    <n v="-4.8426361194559489"/>
  </r>
  <r>
    <x v="4"/>
    <d v="2024-01-16T09:00:00"/>
    <n v="786.24074370441201"/>
    <n v="743.97302755787598"/>
    <n v="743.97302755787598"/>
    <n v="93.7443208221177"/>
    <s v="OK"/>
    <s v="NON-ZERO"/>
    <n v="848.52813742385695"/>
    <n v="0.87678062134343393"/>
    <x v="1"/>
    <n v="-104.55510986598097"/>
    <x v="1"/>
    <n v="0"/>
  </r>
  <r>
    <x v="4"/>
    <d v="2024-01-16T10:00:00"/>
    <n v="1044.98539391243"/>
    <n v="988.80775829530899"/>
    <n v="988.80775829530899"/>
    <n v="79.258213420032007"/>
    <s v="OK"/>
    <s v="NON-ZERO"/>
    <n v="1039.23048454132"/>
    <n v="0.95148070904765092"/>
    <x v="1"/>
    <n v="-50.422726246011052"/>
    <x v="1"/>
    <n v="0"/>
  </r>
  <r>
    <x v="4"/>
    <d v="2024-01-16T11:00:00"/>
    <n v="1071.88365992536"/>
    <n v="1014.25999358319"/>
    <n v="1014.25999358319"/>
    <n v="25.6733510493012"/>
    <s v="OK"/>
    <s v="NON-ZERO"/>
    <n v="1159.1109915468801"/>
    <n v="0.87503267674963492"/>
    <x v="1"/>
    <n v="-144.85099796369013"/>
    <x v="1"/>
    <n v="0"/>
  </r>
  <r>
    <x v="4"/>
    <d v="2024-01-16T12:00:00"/>
    <n v="1162.99581525897"/>
    <n v="1100.47402738091"/>
    <n v="1100.47402738091"/>
    <n v="78.472576710010898"/>
    <s v="OK"/>
    <s v="NON-ZERO"/>
    <n v="1200"/>
    <n v="0.91706168948409161"/>
    <x v="1"/>
    <n v="-99.525972619089998"/>
    <x v="1"/>
    <n v="0"/>
  </r>
  <r>
    <x v="4"/>
    <d v="2024-01-16T13:00:00"/>
    <n v="1099.46795239162"/>
    <n v="1040.36137505381"/>
    <n v="1040.36137505381"/>
    <n v="77.037650331292895"/>
    <s v="OK"/>
    <s v="NON-ZERO"/>
    <n v="1159.1109915468801"/>
    <n v="0.89755112550991001"/>
    <x v="1"/>
    <n v="-118.74961649307011"/>
    <x v="1"/>
    <n v="0"/>
  </r>
  <r>
    <x v="4"/>
    <d v="2024-01-16T14:00:00"/>
    <n v="1045.8897744784999"/>
    <n v="989.66352003646398"/>
    <n v="989.66352003646398"/>
    <n v="70.475682572228905"/>
    <s v="OK"/>
    <s v="NON-ZERO"/>
    <n v="1039.23048454132"/>
    <n v="0.9523041661670143"/>
    <x v="1"/>
    <n v="-49.56696450485606"/>
    <x v="1"/>
    <n v="0"/>
  </r>
  <r>
    <x v="4"/>
    <d v="2024-01-16T15:00:00"/>
    <n v="808.71673901643896"/>
    <n v="765.240730120428"/>
    <n v="765.240730120428"/>
    <n v="90.174134705715801"/>
    <s v="OK"/>
    <s v="NON-ZERO"/>
    <n v="848.52813742385695"/>
    <n v="0.90184484918049901"/>
    <x v="1"/>
    <n v="-83.287407303428949"/>
    <x v="1"/>
    <n v="0"/>
  </r>
  <r>
    <x v="4"/>
    <d v="2024-01-16T16:00:00"/>
    <n v="499.88979774233201"/>
    <n v="473.01609494238397"/>
    <n v="473.01609494238397"/>
    <n v="82.739014583568405"/>
    <s v="OK"/>
    <s v="NON-ZERO"/>
    <n v="600"/>
    <n v="0.78836015823730665"/>
    <x v="0"/>
    <n v="-126.98390505761603"/>
    <x v="1"/>
    <n v="-6.3491952528808016"/>
  </r>
  <r>
    <x v="4"/>
    <d v="2024-01-16T17:00:00"/>
    <n v="310.537218952464"/>
    <n v="293.84296960362502"/>
    <n v="293.84296960362502"/>
    <n v="47.451154069390697"/>
    <s v="OK"/>
    <s v="NON-ZERO"/>
    <n v="310.58285412302502"/>
    <n v="0.94610171071204996"/>
    <x v="1"/>
    <n v="-16.739884519399993"/>
    <x v="1"/>
    <n v="0"/>
  </r>
  <r>
    <x v="4"/>
    <d v="2024-01-16T18:00:00"/>
    <n v="1.40351821651466E-13"/>
    <n v="1.32806612368285E-13"/>
    <n v="1.32806612368285E-13"/>
    <n v="22.371125845343101"/>
    <s v="OK"/>
    <s v="NON-ZERO"/>
    <n v="1.46957615897682E-13"/>
    <n v="0.90370690594729353"/>
    <x v="1"/>
    <n v="-1.4151003529397003E-14"/>
    <x v="1"/>
    <n v="0"/>
  </r>
  <r>
    <x v="4"/>
    <d v="2024-01-16T19:00:00"/>
    <n v="0"/>
    <n v="0"/>
    <n v="0"/>
    <n v="22.8615204451532"/>
    <s v="OK"/>
    <s v="ZERO"/>
    <n v="0"/>
    <n v="0"/>
    <x v="0"/>
    <n v="0"/>
    <x v="0"/>
    <n v="0"/>
  </r>
  <r>
    <x v="4"/>
    <d v="2024-01-16T20:00:00"/>
    <n v="0"/>
    <n v="0"/>
    <n v="0"/>
    <n v="22.177908699483002"/>
    <s v="OK"/>
    <s v="ZERO"/>
    <n v="0"/>
    <n v="0"/>
    <x v="0"/>
    <n v="0"/>
    <x v="0"/>
    <n v="0"/>
  </r>
  <r>
    <x v="4"/>
    <d v="2024-01-16T21:00:00"/>
    <n v="0"/>
    <n v="0"/>
    <n v="0"/>
    <n v="80.458386324380299"/>
    <s v="OK"/>
    <s v="ZERO"/>
    <n v="0"/>
    <n v="0"/>
    <x v="0"/>
    <n v="0"/>
    <x v="0"/>
    <n v="0"/>
  </r>
  <r>
    <x v="4"/>
    <d v="2024-01-16T22:00:00"/>
    <n v="0"/>
    <n v="0"/>
    <n v="0"/>
    <n v="36.8570178244114"/>
    <s v="OK"/>
    <s v="ZERO"/>
    <n v="0"/>
    <n v="0"/>
    <x v="0"/>
    <n v="0"/>
    <x v="0"/>
    <n v="0"/>
  </r>
  <r>
    <x v="4"/>
    <d v="2024-01-16T23:00:00"/>
    <n v="0"/>
    <n v="0"/>
    <n v="0"/>
    <n v="75.058023566084501"/>
    <s v="OK"/>
    <s v="ZERO"/>
    <n v="0"/>
    <n v="0"/>
    <x v="0"/>
    <n v="0"/>
    <x v="0"/>
    <n v="0"/>
  </r>
  <r>
    <x v="4"/>
    <d v="2024-01-17T00:00:00"/>
    <n v="0"/>
    <n v="0"/>
    <n v="0"/>
    <n v="60.3754617762512"/>
    <s v="OK"/>
    <s v="ZERO"/>
    <n v="0"/>
    <n v="0"/>
    <x v="0"/>
    <n v="0"/>
    <x v="0"/>
    <n v="0"/>
  </r>
  <r>
    <x v="4"/>
    <d v="2024-01-17T01:00:00"/>
    <n v="0"/>
    <n v="0"/>
    <n v="0"/>
    <n v="48.543195603358001"/>
    <s v="OK"/>
    <s v="ZERO"/>
    <n v="0"/>
    <n v="0"/>
    <x v="0"/>
    <n v="0"/>
    <x v="0"/>
    <n v="0"/>
  </r>
  <r>
    <x v="4"/>
    <d v="2024-01-17T02:00:00"/>
    <n v="0"/>
    <n v="0"/>
    <n v="0"/>
    <n v="26.6208644726307"/>
    <s v="OK"/>
    <s v="ZERO"/>
    <n v="0"/>
    <n v="0"/>
    <x v="0"/>
    <n v="0"/>
    <x v="0"/>
    <n v="0"/>
  </r>
  <r>
    <x v="4"/>
    <d v="2024-01-17T03:00:00"/>
    <n v="0"/>
    <n v="0"/>
    <n v="0"/>
    <n v="21.581049532140199"/>
    <s v="OK"/>
    <s v="ZERO"/>
    <n v="0"/>
    <n v="0"/>
    <x v="0"/>
    <n v="0"/>
    <x v="0"/>
    <n v="0"/>
  </r>
  <r>
    <x v="4"/>
    <d v="2024-01-17T04:00:00"/>
    <n v="0"/>
    <n v="0"/>
    <n v="0"/>
    <n v="45.523805322364304"/>
    <s v="OK"/>
    <s v="ZERO"/>
    <n v="0"/>
    <n v="0"/>
    <x v="0"/>
    <n v="0"/>
    <x v="0"/>
    <n v="0"/>
  </r>
  <r>
    <x v="4"/>
    <d v="2024-01-17T05:00:00"/>
    <n v="0"/>
    <n v="0"/>
    <n v="0"/>
    <n v="30.917581898937499"/>
    <s v="OK"/>
    <s v="ZERO"/>
    <n v="0"/>
    <n v="0"/>
    <x v="0"/>
    <n v="0"/>
    <x v="0"/>
    <n v="0"/>
  </r>
  <r>
    <x v="4"/>
    <d v="2024-01-17T06:00:00"/>
    <n v="0"/>
    <n v="0"/>
    <n v="0"/>
    <n v="57.246786054737797"/>
    <s v="OK"/>
    <s v="ZERO"/>
    <n v="0"/>
    <n v="0"/>
    <x v="0"/>
    <n v="0"/>
    <x v="0"/>
    <n v="0"/>
  </r>
  <r>
    <x v="4"/>
    <d v="2024-01-17T07:00:00"/>
    <n v="317.330200703956"/>
    <n v="300.27076572112497"/>
    <n v="300.27076572112497"/>
    <n v="86.504478735874102"/>
    <s v="OK"/>
    <s v="NON-ZERO"/>
    <n v="310.58285412302399"/>
    <n v="0.96679762496543253"/>
    <x v="1"/>
    <n v="-10.312088401899018"/>
    <x v="1"/>
    <n v="0"/>
  </r>
  <r>
    <x v="4"/>
    <d v="2024-01-17T08:00:00"/>
    <n v="565.65231308735895"/>
    <n v="535.24326649615796"/>
    <n v="535.24326649615796"/>
    <n v="47.867983138714997"/>
    <s v="OK"/>
    <s v="NON-ZERO"/>
    <n v="600"/>
    <n v="0.89207211082692994"/>
    <x v="1"/>
    <n v="-64.756733503842042"/>
    <x v="1"/>
    <n v="0"/>
  </r>
  <r>
    <x v="4"/>
    <d v="2024-01-17T09:00:00"/>
    <n v="730.22697549582301"/>
    <n v="690.97051776332398"/>
    <n v="690.97051776332398"/>
    <n v="75.522859306698606"/>
    <s v="OK"/>
    <s v="NON-ZERO"/>
    <n v="848.52813742385695"/>
    <n v="0.814316564517377"/>
    <x v="0"/>
    <n v="-157.55761966053296"/>
    <x v="1"/>
    <n v="-7.8778809830266479"/>
  </r>
  <r>
    <x v="4"/>
    <d v="2024-01-17T10:00:00"/>
    <n v="933.86171884391297"/>
    <n v="883.65800914268902"/>
    <n v="883.65800914268902"/>
    <n v="45.533802165770403"/>
    <s v="OK"/>
    <s v="NON-ZERO"/>
    <n v="1039.23048454132"/>
    <n v="0.85030031575017229"/>
    <x v="1"/>
    <n v="-155.57247539863101"/>
    <x v="1"/>
    <n v="0"/>
  </r>
  <r>
    <x v="4"/>
    <d v="2024-01-17T11:00:00"/>
    <n v="1164.61597012262"/>
    <n v="1102.0070839271"/>
    <n v="1102.0070839271"/>
    <n v="63.8824923908739"/>
    <s v="OK"/>
    <s v="NON-ZERO"/>
    <n v="1159.1109915468801"/>
    <n v="0.95073473719408641"/>
    <x v="1"/>
    <n v="-57.103907619780102"/>
    <x v="1"/>
    <n v="0"/>
  </r>
  <r>
    <x v="4"/>
    <d v="2024-01-17T12:00:00"/>
    <n v="1165.6640131630299"/>
    <n v="1102.9987849551001"/>
    <n v="1102.9987849551001"/>
    <n v="84.668872122686494"/>
    <s v="OK"/>
    <s v="NON-ZERO"/>
    <n v="1200"/>
    <n v="0.91916565412925"/>
    <x v="1"/>
    <n v="-97.001215044899936"/>
    <x v="1"/>
    <n v="0"/>
  </r>
  <r>
    <x v="4"/>
    <d v="2024-01-17T13:00:00"/>
    <n v="1082.9897294709899"/>
    <n v="1024.76900911094"/>
    <n v="1024.76900911094"/>
    <n v="88.611198182373499"/>
    <s v="OK"/>
    <s v="NON-ZERO"/>
    <n v="1159.1109915468801"/>
    <n v="0.88409912129583446"/>
    <x v="1"/>
    <n v="-134.34198243594005"/>
    <x v="1"/>
    <n v="0"/>
  </r>
  <r>
    <x v="4"/>
    <d v="2024-01-17T14:00:00"/>
    <n v="967.07327324876303"/>
    <n v="915.08413514585698"/>
    <n v="915.08413514585698"/>
    <n v="50.391933719699999"/>
    <s v="OK"/>
    <s v="NON-ZERO"/>
    <n v="1039.23048454132"/>
    <n v="0.88054011959603273"/>
    <x v="1"/>
    <n v="-124.14634939546306"/>
    <x v="1"/>
    <n v="0"/>
  </r>
  <r>
    <x v="4"/>
    <d v="2024-01-17T15:00:00"/>
    <n v="808.196791907636"/>
    <n v="764.74873498051295"/>
    <n v="764.74873498051295"/>
    <n v="35.730424545392403"/>
    <s v="OK"/>
    <s v="NON-ZERO"/>
    <n v="848.52813742385695"/>
    <n v="0.90126502734759106"/>
    <x v="1"/>
    <n v="-83.779402443343997"/>
    <x v="1"/>
    <n v="0"/>
  </r>
  <r>
    <x v="4"/>
    <d v="2024-01-17T16:00:00"/>
    <n v="604.37302679367599"/>
    <n v="571.88238350447205"/>
    <n v="571.88238350447205"/>
    <n v="25.392456399312199"/>
    <s v="OK"/>
    <s v="NON-ZERO"/>
    <n v="600"/>
    <n v="0.95313730584078671"/>
    <x v="1"/>
    <n v="-28.117616495527955"/>
    <x v="1"/>
    <n v="0"/>
  </r>
  <r>
    <x v="4"/>
    <d v="2024-01-17T17:00:00"/>
    <n v="286.79838579301702"/>
    <n v="271.38031841473702"/>
    <n v="271.38031841473702"/>
    <n v="77.455999933866593"/>
    <s v="OK"/>
    <s v="NON-ZERO"/>
    <n v="310.58285412302502"/>
    <n v="0.87377752767781747"/>
    <x v="1"/>
    <n v="-39.202535708287996"/>
    <x v="1"/>
    <n v="0"/>
  </r>
  <r>
    <x v="4"/>
    <d v="2024-01-17T18:00:00"/>
    <n v="1.19108333231619E-13"/>
    <n v="1.12705158046368E-13"/>
    <n v="1.12705158046368E-13"/>
    <n v="87.666521490527998"/>
    <s v="OK"/>
    <s v="NON-ZERO"/>
    <n v="1.46957615897682E-13"/>
    <n v="0.766922880164564"/>
    <x v="0"/>
    <n v="-3.4252457851313999E-14"/>
    <x v="1"/>
    <n v="-1.7126228925657E-15"/>
  </r>
  <r>
    <x v="4"/>
    <d v="2024-01-17T19:00:00"/>
    <n v="0"/>
    <n v="0"/>
    <n v="0"/>
    <n v="22.462657181290801"/>
    <s v="OK"/>
    <s v="ZERO"/>
    <n v="0"/>
    <n v="0"/>
    <x v="0"/>
    <n v="0"/>
    <x v="0"/>
    <n v="0"/>
  </r>
  <r>
    <x v="4"/>
    <d v="2024-01-17T20:00:00"/>
    <n v="0"/>
    <n v="0"/>
    <n v="0"/>
    <n v="67.295635373795704"/>
    <s v="OK"/>
    <s v="ZERO"/>
    <n v="0"/>
    <n v="0"/>
    <x v="0"/>
    <n v="0"/>
    <x v="0"/>
    <n v="0"/>
  </r>
  <r>
    <x v="4"/>
    <d v="2024-01-17T21:00:00"/>
    <n v="0"/>
    <n v="0"/>
    <n v="0"/>
    <n v="27.7576374986571"/>
    <s v="OK"/>
    <s v="ZERO"/>
    <n v="0"/>
    <n v="0"/>
    <x v="0"/>
    <n v="0"/>
    <x v="0"/>
    <n v="0"/>
  </r>
  <r>
    <x v="4"/>
    <d v="2024-01-17T22:00:00"/>
    <n v="0"/>
    <n v="0"/>
    <n v="0"/>
    <n v="55.352611677611797"/>
    <s v="OK"/>
    <s v="ZERO"/>
    <n v="0"/>
    <n v="0"/>
    <x v="0"/>
    <n v="0"/>
    <x v="0"/>
    <n v="0"/>
  </r>
  <r>
    <x v="4"/>
    <d v="2024-01-17T23:00:00"/>
    <n v="0"/>
    <n v="0"/>
    <n v="0"/>
    <n v="78.922010321599799"/>
    <s v="OK"/>
    <s v="ZERO"/>
    <n v="0"/>
    <n v="0"/>
    <x v="0"/>
    <n v="0"/>
    <x v="0"/>
    <n v="0"/>
  </r>
  <r>
    <x v="4"/>
    <d v="2024-01-18T00:00:00"/>
    <n v="0"/>
    <n v="0"/>
    <n v="0"/>
    <n v="47.0605119684313"/>
    <s v="OK"/>
    <s v="ZERO"/>
    <n v="0"/>
    <n v="0"/>
    <x v="0"/>
    <n v="0"/>
    <x v="0"/>
    <n v="0"/>
  </r>
  <r>
    <x v="4"/>
    <d v="2024-01-18T01:00:00"/>
    <n v="0"/>
    <n v="0"/>
    <n v="0"/>
    <n v="59.277074918351602"/>
    <s v="OK"/>
    <s v="ZERO"/>
    <n v="0"/>
    <n v="0"/>
    <x v="0"/>
    <n v="0"/>
    <x v="0"/>
    <n v="0"/>
  </r>
  <r>
    <x v="4"/>
    <d v="2024-01-18T02:00:00"/>
    <n v="0"/>
    <n v="0"/>
    <n v="0"/>
    <n v="37.959858465084999"/>
    <s v="OK"/>
    <s v="ZERO"/>
    <n v="0"/>
    <n v="0"/>
    <x v="0"/>
    <n v="0"/>
    <x v="0"/>
    <n v="0"/>
  </r>
  <r>
    <x v="4"/>
    <d v="2024-01-18T03:00:00"/>
    <n v="0"/>
    <n v="0"/>
    <n v="0"/>
    <n v="44.679711267568202"/>
    <s v="OK"/>
    <s v="ZERO"/>
    <n v="0"/>
    <n v="0"/>
    <x v="0"/>
    <n v="0"/>
    <x v="0"/>
    <n v="0"/>
  </r>
  <r>
    <x v="4"/>
    <d v="2024-01-18T04:00:00"/>
    <n v="0"/>
    <n v="0"/>
    <n v="0"/>
    <n v="46.5228397355082"/>
    <s v="OK"/>
    <s v="ZERO"/>
    <n v="0"/>
    <n v="0"/>
    <x v="0"/>
    <n v="0"/>
    <x v="0"/>
    <n v="0"/>
  </r>
  <r>
    <x v="4"/>
    <d v="2024-01-18T05:00:00"/>
    <n v="0"/>
    <n v="0"/>
    <n v="0"/>
    <n v="62.500059031262303"/>
    <s v="OK"/>
    <s v="ZERO"/>
    <n v="0"/>
    <n v="0"/>
    <x v="0"/>
    <n v="0"/>
    <x v="0"/>
    <n v="0"/>
  </r>
  <r>
    <x v="4"/>
    <d v="2024-01-18T06:00:00"/>
    <n v="0"/>
    <n v="0"/>
    <n v="0"/>
    <n v="83.808528697301099"/>
    <s v="OK"/>
    <s v="ZERO"/>
    <n v="0"/>
    <n v="0"/>
    <x v="0"/>
    <n v="0"/>
    <x v="0"/>
    <n v="0"/>
  </r>
  <r>
    <x v="4"/>
    <d v="2024-01-18T07:00:00"/>
    <n v="317.93482988619201"/>
    <n v="300.84289048934602"/>
    <n v="300.84289048934602"/>
    <n v="57.392691272266603"/>
    <s v="OK"/>
    <s v="NON-ZERO"/>
    <n v="310.58285412302399"/>
    <n v="0.96863972526371367"/>
    <x v="1"/>
    <n v="-9.7399636336779736"/>
    <x v="1"/>
    <n v="0"/>
  </r>
  <r>
    <x v="4"/>
    <d v="2024-01-18T08:00:00"/>
    <n v="657.06660492614799"/>
    <n v="621.74319416580704"/>
    <n v="621.74319416580704"/>
    <n v="24.647825523455701"/>
    <s v="OK"/>
    <s v="NON-ZERO"/>
    <n v="600"/>
    <n v="1.0362386569430118"/>
    <x v="1"/>
    <n v="21.74319416580704"/>
    <x v="0"/>
    <n v="0"/>
  </r>
  <r>
    <x v="4"/>
    <d v="2024-01-18T09:00:00"/>
    <n v="831.83096451762799"/>
    <n v="787.11235209304903"/>
    <n v="787.11235209304903"/>
    <n v="53.8411484958797"/>
    <s v="OK"/>
    <s v="NON-ZERO"/>
    <n v="848.52813742385695"/>
    <n v="0.92762080286781401"/>
    <x v="1"/>
    <n v="-61.415785330807921"/>
    <x v="1"/>
    <n v="0"/>
  </r>
  <r>
    <x v="4"/>
    <d v="2024-01-18T10:00:00"/>
    <n v="1006.30068998914"/>
    <n v="952.202715210934"/>
    <n v="952.202715210934"/>
    <n v="90.605838606387593"/>
    <s v="OK"/>
    <s v="NON-ZERO"/>
    <n v="1039.23048454132"/>
    <n v="0.91625748991688105"/>
    <x v="1"/>
    <n v="-87.027769330386036"/>
    <x v="1"/>
    <n v="0"/>
  </r>
  <r>
    <x v="4"/>
    <d v="2024-01-18T11:00:00"/>
    <n v="1131.6125016897199"/>
    <n v="1070.7778573491801"/>
    <n v="1070.7778573491801"/>
    <n v="45.657125431956899"/>
    <s v="OK"/>
    <s v="NON-ZERO"/>
    <n v="1159.1109915468801"/>
    <n v="0.92379234185346137"/>
    <x v="1"/>
    <n v="-88.333134197700019"/>
    <x v="1"/>
    <n v="0"/>
  </r>
  <r>
    <x v="4"/>
    <d v="2024-01-18T12:00:00"/>
    <n v="1043.87433049898"/>
    <n v="987.75642482253204"/>
    <n v="987.75642482253204"/>
    <n v="23.1853182866308"/>
    <s v="OK"/>
    <s v="NON-ZERO"/>
    <n v="1200"/>
    <n v="0.82313035401877666"/>
    <x v="0"/>
    <n v="-212.24357517746796"/>
    <x v="1"/>
    <n v="-10.612178758873398"/>
  </r>
  <r>
    <x v="4"/>
    <d v="2024-01-18T13:00:00"/>
    <n v="1106.79746411766"/>
    <n v="1047.29685769447"/>
    <n v="1047.29685769447"/>
    <n v="78.450219898961507"/>
    <s v="OK"/>
    <s v="NON-ZERO"/>
    <n v="1159.1109915468801"/>
    <n v="0.9035345754911791"/>
    <x v="1"/>
    <n v="-111.81413385241012"/>
    <x v="1"/>
    <n v="0"/>
  </r>
  <r>
    <x v="4"/>
    <d v="2024-01-18T14:00:00"/>
    <n v="1012.79343521158"/>
    <n v="958.34641529131795"/>
    <n v="958.34641529131795"/>
    <n v="94.606526604647797"/>
    <s v="OK"/>
    <s v="NON-ZERO"/>
    <n v="1039.23048454132"/>
    <n v="0.92216926807559785"/>
    <x v="1"/>
    <n v="-80.884069250002085"/>
    <x v="1"/>
    <n v="0"/>
  </r>
  <r>
    <x v="4"/>
    <d v="2024-01-18T15:00:00"/>
    <n v="732.98156729884295"/>
    <n v="693.57702476488498"/>
    <n v="693.57702476488498"/>
    <n v="56.355601804976899"/>
    <s v="OK"/>
    <s v="NON-ZERO"/>
    <n v="848.52813742385695"/>
    <n v="0.81738836247740032"/>
    <x v="0"/>
    <n v="-154.95111265897197"/>
    <x v="1"/>
    <n v="-7.7475556329485977"/>
  </r>
  <r>
    <x v="4"/>
    <d v="2024-01-18T16:00:00"/>
    <n v="555.15514079250499"/>
    <n v="525.31041435699797"/>
    <n v="525.31041435699797"/>
    <n v="83.969326863383699"/>
    <s v="OK"/>
    <s v="NON-ZERO"/>
    <n v="600"/>
    <n v="0.87551735726166324"/>
    <x v="1"/>
    <n v="-74.689585643002033"/>
    <x v="1"/>
    <n v="0"/>
  </r>
  <r>
    <x v="4"/>
    <d v="2024-01-18T17:00:00"/>
    <n v="290.445772179031"/>
    <n v="274.83162402819403"/>
    <n v="274.83162402819403"/>
    <n v="58.547488439198403"/>
    <s v="OK"/>
    <s v="NON-ZERO"/>
    <n v="310.58285412302502"/>
    <n v="0.88488987843266598"/>
    <x v="1"/>
    <n v="-35.751230094830987"/>
    <x v="1"/>
    <n v="0"/>
  </r>
  <r>
    <x v="4"/>
    <d v="2024-01-18T18:00:00"/>
    <n v="1.3133619275866599E-13"/>
    <n v="1.2427565696255E-13"/>
    <n v="1.2427565696255E-13"/>
    <n v="72.335352387080604"/>
    <s v="OK"/>
    <s v="NON-ZERO"/>
    <n v="1.46957615897682E-13"/>
    <n v="0.84565645817958746"/>
    <x v="0"/>
    <n v="-2.2681958935131998E-14"/>
    <x v="1"/>
    <n v="-1.1340979467566E-15"/>
  </r>
  <r>
    <x v="4"/>
    <d v="2024-01-18T19:00:00"/>
    <n v="0"/>
    <n v="0"/>
    <n v="0"/>
    <n v="38.901105025928899"/>
    <s v="OK"/>
    <s v="ZERO"/>
    <n v="0"/>
    <n v="0"/>
    <x v="0"/>
    <n v="0"/>
    <x v="0"/>
    <n v="0"/>
  </r>
  <r>
    <x v="4"/>
    <d v="2024-01-18T20:00:00"/>
    <n v="0"/>
    <n v="0"/>
    <n v="0"/>
    <n v="45.979948982213898"/>
    <s v="OK"/>
    <s v="ZERO"/>
    <n v="0"/>
    <n v="0"/>
    <x v="0"/>
    <n v="0"/>
    <x v="0"/>
    <n v="0"/>
  </r>
  <r>
    <x v="4"/>
    <d v="2024-01-18T21:00:00"/>
    <n v="0"/>
    <n v="0"/>
    <n v="0"/>
    <n v="54.827774013652999"/>
    <s v="OK"/>
    <s v="ZERO"/>
    <n v="0"/>
    <n v="0"/>
    <x v="0"/>
    <n v="0"/>
    <x v="0"/>
    <n v="0"/>
  </r>
  <r>
    <x v="4"/>
    <d v="2024-01-18T22:00:00"/>
    <n v="0"/>
    <n v="0"/>
    <n v="0"/>
    <n v="28.988049615590199"/>
    <s v="OK"/>
    <s v="ZERO"/>
    <n v="0"/>
    <n v="0"/>
    <x v="0"/>
    <n v="0"/>
    <x v="0"/>
    <n v="0"/>
  </r>
  <r>
    <x v="4"/>
    <d v="2024-01-18T23:00:00"/>
    <n v="0"/>
    <n v="0"/>
    <n v="0"/>
    <n v="34.306119777935201"/>
    <s v="OK"/>
    <s v="ZERO"/>
    <n v="0"/>
    <n v="0"/>
    <x v="0"/>
    <n v="0"/>
    <x v="0"/>
    <n v="0"/>
  </r>
  <r>
    <x v="4"/>
    <d v="2024-01-19T00:00:00"/>
    <n v="0"/>
    <n v="0"/>
    <n v="0"/>
    <n v="50.6739877800375"/>
    <s v="OK"/>
    <s v="ZERO"/>
    <n v="0"/>
    <n v="0"/>
    <x v="0"/>
    <n v="0"/>
    <x v="0"/>
    <n v="0"/>
  </r>
  <r>
    <x v="4"/>
    <d v="2024-01-19T01:00:00"/>
    <n v="0"/>
    <n v="0"/>
    <n v="0"/>
    <n v="59.917613575752299"/>
    <s v="OK"/>
    <s v="ZERO"/>
    <n v="0"/>
    <n v="0"/>
    <x v="0"/>
    <n v="0"/>
    <x v="0"/>
    <n v="0"/>
  </r>
  <r>
    <x v="4"/>
    <d v="2024-01-19T02:00:00"/>
    <n v="0"/>
    <n v="0"/>
    <n v="0"/>
    <n v="45.069753108440601"/>
    <s v="OK"/>
    <s v="ZERO"/>
    <n v="0"/>
    <n v="0"/>
    <x v="0"/>
    <n v="0"/>
    <x v="0"/>
    <n v="0"/>
  </r>
  <r>
    <x v="4"/>
    <d v="2024-01-19T03:00:00"/>
    <n v="0"/>
    <n v="0"/>
    <n v="0"/>
    <n v="81.677263535932298"/>
    <s v="OK"/>
    <s v="ZERO"/>
    <n v="0"/>
    <n v="0"/>
    <x v="0"/>
    <n v="0"/>
    <x v="0"/>
    <n v="0"/>
  </r>
  <r>
    <x v="4"/>
    <d v="2024-01-19T04:00:00"/>
    <n v="0"/>
    <n v="0"/>
    <n v="0"/>
    <n v="72.312427702782003"/>
    <s v="OK"/>
    <s v="ZERO"/>
    <n v="0"/>
    <n v="0"/>
    <x v="0"/>
    <n v="0"/>
    <x v="0"/>
    <n v="0"/>
  </r>
  <r>
    <x v="4"/>
    <d v="2024-01-19T05:00:00"/>
    <n v="0"/>
    <n v="0"/>
    <n v="0"/>
    <n v="70.855438424143699"/>
    <s v="OK"/>
    <s v="ZERO"/>
    <n v="0"/>
    <n v="0"/>
    <x v="0"/>
    <n v="0"/>
    <x v="0"/>
    <n v="0"/>
  </r>
  <r>
    <x v="4"/>
    <d v="2024-01-19T06:00:00"/>
    <n v="0"/>
    <n v="0"/>
    <n v="0"/>
    <n v="79.175366342052001"/>
    <s v="OK"/>
    <s v="ZERO"/>
    <n v="0"/>
    <n v="0"/>
    <x v="0"/>
    <n v="0"/>
    <x v="0"/>
    <n v="0"/>
  </r>
  <r>
    <x v="4"/>
    <d v="2024-01-19T07:00:00"/>
    <n v="309.93691345422098"/>
    <n v="293.27493608137002"/>
    <n v="293.27493608137002"/>
    <n v="30.282739105574599"/>
    <s v="OK"/>
    <s v="NON-ZERO"/>
    <n v="310.58285412302399"/>
    <n v="0.94427278321423957"/>
    <x v="1"/>
    <n v="-17.307918041653977"/>
    <x v="1"/>
    <n v="0"/>
  </r>
  <r>
    <x v="4"/>
    <d v="2024-01-19T08:00:00"/>
    <n v="521.36893785950303"/>
    <n v="493.34053250208302"/>
    <n v="493.34053250208302"/>
    <n v="49.264697543742599"/>
    <s v="OK"/>
    <s v="NON-ZERO"/>
    <n v="600"/>
    <n v="0.82223422083680509"/>
    <x v="0"/>
    <n v="-106.65946749791698"/>
    <x v="1"/>
    <n v="-5.3329733748958486"/>
  </r>
  <r>
    <x v="4"/>
    <d v="2024-01-19T09:00:00"/>
    <n v="813.57446053768194"/>
    <n v="769.83730415469199"/>
    <n v="769.83730415469199"/>
    <n v="28.142235852710701"/>
    <s v="OK"/>
    <s v="NON-ZERO"/>
    <n v="848.52813742385695"/>
    <n v="0.9072619636302558"/>
    <x v="1"/>
    <n v="-78.690833269164955"/>
    <x v="1"/>
    <n v="0"/>
  </r>
  <r>
    <x v="4"/>
    <d v="2024-01-19T10:00:00"/>
    <n v="948.299793479698"/>
    <n v="897.31990365133697"/>
    <n v="897.31990365133697"/>
    <n v="77.378239247786695"/>
    <s v="OK"/>
    <s v="NON-ZERO"/>
    <n v="1039.23048454132"/>
    <n v="0.86344647987051937"/>
    <x v="1"/>
    <n v="-141.91058088998307"/>
    <x v="1"/>
    <n v="0"/>
  </r>
  <r>
    <x v="4"/>
    <d v="2024-01-19T11:00:00"/>
    <n v="1139.6677800277901"/>
    <n v="1078.4000899299599"/>
    <n v="1078.4000899299599"/>
    <n v="59.353065588669899"/>
    <s v="OK"/>
    <s v="NON-ZERO"/>
    <n v="1159.1109915468801"/>
    <n v="0.93036827171381731"/>
    <x v="1"/>
    <n v="-80.710901616920182"/>
    <x v="1"/>
    <n v="0"/>
  </r>
  <r>
    <x v="4"/>
    <d v="2024-01-19T12:00:00"/>
    <n v="1157.2116720700701"/>
    <n v="1095.00083541709"/>
    <n v="1095.00083541709"/>
    <n v="77.095357221902006"/>
    <s v="OK"/>
    <s v="NON-ZERO"/>
    <n v="1200"/>
    <n v="0.91250069618090834"/>
    <x v="1"/>
    <n v="-104.99916458291"/>
    <x v="1"/>
    <n v="0"/>
  </r>
  <r>
    <x v="4"/>
    <d v="2024-01-19T13:00:00"/>
    <n v="1078.7628664813301"/>
    <n v="1020.76937912398"/>
    <n v="1020.76937912398"/>
    <n v="82.205016514920104"/>
    <s v="OK"/>
    <s v="NON-ZERO"/>
    <n v="1159.1109915468801"/>
    <n v="0.88064851991587312"/>
    <x v="1"/>
    <n v="-138.34161242290008"/>
    <x v="1"/>
    <n v="0"/>
  </r>
  <r>
    <x v="4"/>
    <d v="2024-01-19T14:00:00"/>
    <n v="1025.26403629939"/>
    <n v="970.14660616294805"/>
    <n v="970.14660616294805"/>
    <n v="42.687797026355803"/>
    <s v="OK"/>
    <s v="NON-ZERO"/>
    <n v="1039.23048454132"/>
    <n v="0.93352400703597216"/>
    <x v="1"/>
    <n v="-69.083878378371992"/>
    <x v="1"/>
    <n v="0"/>
  </r>
  <r>
    <x v="4"/>
    <d v="2024-01-19T15:00:00"/>
    <n v="774.87407175379803"/>
    <n v="733.21741941613504"/>
    <n v="733.21741941613504"/>
    <n v="35.273648084245799"/>
    <s v="OK"/>
    <s v="NON-ZERO"/>
    <n v="848.52813742385695"/>
    <n v="0.86410501558875019"/>
    <x v="1"/>
    <n v="-115.3107180077219"/>
    <x v="1"/>
    <n v="0"/>
  </r>
  <r>
    <x v="4"/>
    <d v="2024-01-19T16:00:00"/>
    <n v="571.01250106809096"/>
    <n v="540.31529476769697"/>
    <n v="540.31529476769697"/>
    <n v="57.950400107520302"/>
    <s v="OK"/>
    <s v="NON-ZERO"/>
    <n v="600"/>
    <n v="0.90052549127949499"/>
    <x v="1"/>
    <n v="-59.684705232303031"/>
    <x v="1"/>
    <n v="0"/>
  </r>
  <r>
    <x v="4"/>
    <d v="2024-01-19T17:00:00"/>
    <n v="288.80342757695399"/>
    <n v="273.27757064736397"/>
    <n v="273.27757064736397"/>
    <n v="40.1678228421111"/>
    <s v="OK"/>
    <s v="NON-ZERO"/>
    <n v="310.58285412302502"/>
    <n v="0.87988621077941398"/>
    <x v="1"/>
    <n v="-37.305283475661042"/>
    <x v="1"/>
    <n v="0"/>
  </r>
  <r>
    <x v="4"/>
    <d v="2024-01-19T18:00:00"/>
    <n v="1.38311016226463E-13"/>
    <n v="1.3087551912127001E-13"/>
    <n v="1.3087551912127001E-13"/>
    <n v="43.0470232431719"/>
    <s v="OK"/>
    <s v="NON-ZERO"/>
    <n v="1.46957615897682E-13"/>
    <n v="0.89056642843465139"/>
    <x v="1"/>
    <n v="-1.6082096776411993E-14"/>
    <x v="1"/>
    <n v="0"/>
  </r>
  <r>
    <x v="4"/>
    <d v="2024-01-19T19:00:00"/>
    <n v="0"/>
    <n v="0"/>
    <n v="0"/>
    <n v="89.947247430451895"/>
    <s v="OK"/>
    <s v="ZERO"/>
    <n v="0"/>
    <n v="0"/>
    <x v="0"/>
    <n v="0"/>
    <x v="0"/>
    <n v="0"/>
  </r>
  <r>
    <x v="4"/>
    <d v="2024-01-19T20:00:00"/>
    <n v="0"/>
    <n v="0"/>
    <n v="0"/>
    <n v="38.833421511425399"/>
    <s v="OK"/>
    <s v="ZERO"/>
    <n v="0"/>
    <n v="0"/>
    <x v="0"/>
    <n v="0"/>
    <x v="0"/>
    <n v="0"/>
  </r>
  <r>
    <x v="4"/>
    <d v="2024-01-19T21:00:00"/>
    <n v="0"/>
    <n v="0"/>
    <n v="0"/>
    <n v="63.487455595014701"/>
    <s v="OK"/>
    <s v="ZERO"/>
    <n v="0"/>
    <n v="0"/>
    <x v="0"/>
    <n v="0"/>
    <x v="0"/>
    <n v="0"/>
  </r>
  <r>
    <x v="4"/>
    <d v="2024-01-19T22:00:00"/>
    <n v="0"/>
    <n v="0"/>
    <n v="0"/>
    <n v="29.403416308114"/>
    <s v="OK"/>
    <s v="ZERO"/>
    <n v="0"/>
    <n v="0"/>
    <x v="0"/>
    <n v="0"/>
    <x v="0"/>
    <n v="0"/>
  </r>
  <r>
    <x v="4"/>
    <d v="2024-01-19T23:00:00"/>
    <n v="0"/>
    <n v="0"/>
    <n v="0"/>
    <n v="60.607585745738298"/>
    <s v="OK"/>
    <s v="ZERO"/>
    <n v="0"/>
    <n v="0"/>
    <x v="0"/>
    <n v="0"/>
    <x v="0"/>
    <n v="0"/>
  </r>
  <r>
    <x v="4"/>
    <d v="2024-01-20T00:00:00"/>
    <n v="0"/>
    <n v="0"/>
    <n v="0"/>
    <n v="52.057330337015998"/>
    <s v="OK"/>
    <s v="ZERO"/>
    <n v="0"/>
    <n v="0"/>
    <x v="0"/>
    <n v="0"/>
    <x v="0"/>
    <n v="0"/>
  </r>
  <r>
    <x v="4"/>
    <d v="2024-01-20T01:00:00"/>
    <n v="0"/>
    <n v="0"/>
    <n v="0"/>
    <n v="54.297484849767301"/>
    <s v="OK"/>
    <s v="ZERO"/>
    <n v="0"/>
    <n v="0"/>
    <x v="0"/>
    <n v="0"/>
    <x v="0"/>
    <n v="0"/>
  </r>
  <r>
    <x v="4"/>
    <d v="2024-01-20T02:00:00"/>
    <n v="0"/>
    <n v="0"/>
    <n v="0"/>
    <n v="34.891430265281898"/>
    <s v="OK"/>
    <s v="ZERO"/>
    <n v="0"/>
    <n v="0"/>
    <x v="0"/>
    <n v="0"/>
    <x v="0"/>
    <n v="0"/>
  </r>
  <r>
    <x v="4"/>
    <d v="2024-01-20T03:00:00"/>
    <n v="0"/>
    <n v="0"/>
    <n v="0"/>
    <n v="52.9865553374933"/>
    <s v="OK"/>
    <s v="ZERO"/>
    <n v="0"/>
    <n v="0"/>
    <x v="0"/>
    <n v="0"/>
    <x v="0"/>
    <n v="0"/>
  </r>
  <r>
    <x v="4"/>
    <d v="2024-01-20T04:00:00"/>
    <n v="0"/>
    <n v="0"/>
    <n v="0"/>
    <n v="21.876882617289901"/>
    <s v="OK"/>
    <s v="ZERO"/>
    <n v="0"/>
    <n v="0"/>
    <x v="0"/>
    <n v="0"/>
    <x v="0"/>
    <n v="0"/>
  </r>
  <r>
    <x v="4"/>
    <d v="2024-01-20T05:00:00"/>
    <n v="0"/>
    <n v="0"/>
    <n v="0"/>
    <n v="21.3041557194075"/>
    <s v="OK"/>
    <s v="ZERO"/>
    <n v="0"/>
    <n v="0"/>
    <x v="0"/>
    <n v="0"/>
    <x v="0"/>
    <n v="0"/>
  </r>
  <r>
    <x v="4"/>
    <d v="2024-01-20T06:00:00"/>
    <n v="0"/>
    <n v="0"/>
    <n v="0"/>
    <n v="93.615604478323405"/>
    <s v="OK"/>
    <s v="ZERO"/>
    <n v="0"/>
    <n v="0"/>
    <x v="0"/>
    <n v="0"/>
    <x v="0"/>
    <n v="0"/>
  </r>
  <r>
    <x v="4"/>
    <d v="2024-01-20T07:00:00"/>
    <n v="291.57827356110403"/>
    <n v="275.90324298038001"/>
    <n v="275.90324298038001"/>
    <n v="84.456694314597797"/>
    <s v="OK"/>
    <s v="NON-ZERO"/>
    <n v="310.58285412302399"/>
    <n v="0.88834022650552646"/>
    <x v="1"/>
    <n v="-34.679611142643978"/>
    <x v="1"/>
    <n v="0"/>
  </r>
  <r>
    <x v="4"/>
    <d v="2024-01-20T08:00:00"/>
    <n v="566.50957704650205"/>
    <n v="536.05444458404895"/>
    <n v="536.05444458404895"/>
    <n v="75.391962358684594"/>
    <s v="OK"/>
    <s v="NON-ZERO"/>
    <n v="600"/>
    <n v="0.89342407430674831"/>
    <x v="1"/>
    <n v="-63.945555415951048"/>
    <x v="1"/>
    <n v="0"/>
  </r>
  <r>
    <x v="4"/>
    <d v="2024-01-20T09:00:00"/>
    <n v="871.24065794004798"/>
    <n v="824.40340978164397"/>
    <n v="824.40340978164397"/>
    <n v="55.977512190015901"/>
    <s v="OK"/>
    <s v="NON-ZERO"/>
    <n v="848.52813742385695"/>
    <n v="0.97156873581652115"/>
    <x v="1"/>
    <n v="-24.124727642212974"/>
    <x v="1"/>
    <n v="0"/>
  </r>
  <r>
    <x v="4"/>
    <d v="2024-01-20T10:00:00"/>
    <n v="881.35677860974204"/>
    <n v="833.97569534689399"/>
    <n v="833.97569534689399"/>
    <n v="60.360757256108997"/>
    <s v="OK"/>
    <s v="NON-ZERO"/>
    <n v="1039.23048454132"/>
    <n v="0.80249348701022916"/>
    <x v="0"/>
    <n v="-205.25478919442605"/>
    <x v="1"/>
    <n v="-10.262739459721303"/>
  </r>
  <r>
    <x v="4"/>
    <d v="2024-01-20T11:00:00"/>
    <n v="1271.84995557599"/>
    <n v="1203.47625027806"/>
    <n v="1203.47625027806"/>
    <n v="54.170190312624598"/>
    <s v="OK"/>
    <s v="NON-ZERO"/>
    <n v="1159.1109915468801"/>
    <n v="1.0382752463351008"/>
    <x v="1"/>
    <n v="44.365258731179892"/>
    <x v="0"/>
    <n v="0"/>
  </r>
  <r>
    <x v="4"/>
    <d v="2024-01-20T12:00:00"/>
    <n v="1254.2163503161601"/>
    <n v="1186.7906144890701"/>
    <n v="1186.7906144890701"/>
    <n v="82.770413360746701"/>
    <s v="OK"/>
    <s v="NON-ZERO"/>
    <n v="1200"/>
    <n v="0.98899217874089174"/>
    <x v="1"/>
    <n v="-13.209385510929906"/>
    <x v="1"/>
    <n v="0"/>
  </r>
  <r>
    <x v="4"/>
    <d v="2024-01-20T13:00:00"/>
    <n v="984.78638754942699"/>
    <n v="931.84500562892799"/>
    <n v="931.84500562892799"/>
    <n v="50.479988964087298"/>
    <s v="OK"/>
    <s v="NON-ZERO"/>
    <n v="1159.1109915468801"/>
    <n v="0.80393078180144206"/>
    <x v="0"/>
    <n v="-227.26598591795209"/>
    <x v="1"/>
    <n v="-11.363299295897605"/>
  </r>
  <r>
    <x v="4"/>
    <d v="2024-01-20T14:00:00"/>
    <n v="859.28308679482996"/>
    <n v="813.08866874541604"/>
    <n v="813.08866874541604"/>
    <n v="92.804612298934501"/>
    <s v="OK"/>
    <s v="NON-ZERO"/>
    <n v="1039.23048454132"/>
    <n v="0.78239493629200541"/>
    <x v="0"/>
    <n v="-226.14181579590399"/>
    <x v="1"/>
    <n v="-11.3070907897952"/>
  </r>
  <r>
    <x v="4"/>
    <d v="2024-01-20T15:00:00"/>
    <n v="834.85746191126805"/>
    <n v="789.97614724341599"/>
    <n v="789.97614724341599"/>
    <n v="57.593035806901497"/>
    <s v="OK"/>
    <s v="NON-ZERO"/>
    <n v="848.52813742385695"/>
    <n v="0.93099581781907015"/>
    <x v="1"/>
    <n v="-58.551990180440953"/>
    <x v="1"/>
    <n v="0"/>
  </r>
  <r>
    <x v="4"/>
    <d v="2024-01-20T16:00:00"/>
    <n v="591.14423252956999"/>
    <n v="559.36475935638202"/>
    <n v="559.36475935638202"/>
    <n v="47.205248597936198"/>
    <s v="OK"/>
    <s v="NON-ZERO"/>
    <n v="600"/>
    <n v="0.93227459892730336"/>
    <x v="1"/>
    <n v="-40.635240643617976"/>
    <x v="1"/>
    <n v="0"/>
  </r>
  <r>
    <x v="4"/>
    <d v="2024-01-20T17:00:00"/>
    <n v="263.36742048057499"/>
    <n v="249.20898432694901"/>
    <n v="249.20898432694901"/>
    <n v="45.143587677524799"/>
    <s v="OK"/>
    <s v="NON-ZERO"/>
    <n v="310.58285412302502"/>
    <n v="0.80239131368222538"/>
    <x v="0"/>
    <n v="-61.373869796076008"/>
    <x v="1"/>
    <n v="-3.0686934898038003"/>
  </r>
  <r>
    <x v="4"/>
    <d v="2024-01-20T18:00:00"/>
    <n v="1.3208801860493001E-13"/>
    <n v="1.2498706521189301E-13"/>
    <n v="1.2498706521189301E-13"/>
    <n v="71.933026438859699"/>
    <s v="OK"/>
    <s v="NON-ZERO"/>
    <n v="1.46957615897682E-13"/>
    <n v="0.85049736584536184"/>
    <x v="1"/>
    <n v="-2.1970550685788991E-14"/>
    <x v="1"/>
    <n v="0"/>
  </r>
  <r>
    <x v="4"/>
    <d v="2024-01-20T19:00:00"/>
    <n v="0"/>
    <n v="0"/>
    <n v="0"/>
    <n v="53.900621599030998"/>
    <s v="OK"/>
    <s v="ZERO"/>
    <n v="0"/>
    <n v="0"/>
    <x v="0"/>
    <n v="0"/>
    <x v="0"/>
    <n v="0"/>
  </r>
  <r>
    <x v="4"/>
    <d v="2024-01-20T20:00:00"/>
    <n v="0"/>
    <n v="0"/>
    <n v="0"/>
    <n v="52.595177653849298"/>
    <s v="OK"/>
    <s v="ZERO"/>
    <n v="0"/>
    <n v="0"/>
    <x v="0"/>
    <n v="0"/>
    <x v="0"/>
    <n v="0"/>
  </r>
  <r>
    <x v="4"/>
    <d v="2024-01-20T21:00:00"/>
    <n v="0"/>
    <n v="0"/>
    <n v="0"/>
    <n v="33.112768659965802"/>
    <s v="OK"/>
    <s v="ZERO"/>
    <n v="0"/>
    <n v="0"/>
    <x v="0"/>
    <n v="0"/>
    <x v="0"/>
    <n v="0"/>
  </r>
  <r>
    <x v="4"/>
    <d v="2024-01-20T22:00:00"/>
    <n v="0"/>
    <n v="0"/>
    <n v="0"/>
    <n v="63.455422331499101"/>
    <s v="OK"/>
    <s v="ZERO"/>
    <n v="0"/>
    <n v="0"/>
    <x v="0"/>
    <n v="0"/>
    <x v="0"/>
    <n v="0"/>
  </r>
  <r>
    <x v="4"/>
    <d v="2024-01-20T23:00:00"/>
    <n v="0"/>
    <n v="0"/>
    <n v="0"/>
    <n v="47.337572341159401"/>
    <s v="OK"/>
    <s v="ZERO"/>
    <n v="0"/>
    <n v="0"/>
    <x v="0"/>
    <n v="0"/>
    <x v="0"/>
    <n v="0"/>
  </r>
  <r>
    <x v="4"/>
    <d v="2024-01-21T00:00:00"/>
    <n v="0"/>
    <n v="0"/>
    <n v="0"/>
    <n v="74.740550948198006"/>
    <s v="OK"/>
    <s v="ZERO"/>
    <n v="0"/>
    <n v="0"/>
    <x v="0"/>
    <n v="0"/>
    <x v="0"/>
    <n v="0"/>
  </r>
  <r>
    <x v="4"/>
    <d v="2024-01-21T01:00:00"/>
    <n v="0"/>
    <n v="0"/>
    <n v="0"/>
    <n v="55.1243230526416"/>
    <s v="OK"/>
    <s v="ZERO"/>
    <n v="0"/>
    <n v="0"/>
    <x v="0"/>
    <n v="0"/>
    <x v="0"/>
    <n v="0"/>
  </r>
  <r>
    <x v="4"/>
    <d v="2024-01-21T02:00:00"/>
    <n v="0"/>
    <n v="0"/>
    <n v="0"/>
    <n v="83.176759078878604"/>
    <s v="OK"/>
    <s v="ZERO"/>
    <n v="0"/>
    <n v="0"/>
    <x v="0"/>
    <n v="0"/>
    <x v="0"/>
    <n v="0"/>
  </r>
  <r>
    <x v="4"/>
    <d v="2024-01-21T03:00:00"/>
    <n v="0"/>
    <n v="0"/>
    <n v="0"/>
    <n v="29.242600100735299"/>
    <s v="OK"/>
    <s v="ZERO"/>
    <n v="0"/>
    <n v="0"/>
    <x v="0"/>
    <n v="0"/>
    <x v="0"/>
    <n v="0"/>
  </r>
  <r>
    <x v="4"/>
    <d v="2024-01-21T04:00:00"/>
    <n v="0"/>
    <n v="0"/>
    <n v="0"/>
    <n v="51.1017615624339"/>
    <s v="OK"/>
    <s v="ZERO"/>
    <n v="0"/>
    <n v="0"/>
    <x v="0"/>
    <n v="0"/>
    <x v="0"/>
    <n v="0"/>
  </r>
  <r>
    <x v="4"/>
    <d v="2024-01-21T05:00:00"/>
    <n v="0"/>
    <n v="0"/>
    <n v="0"/>
    <n v="34.5674697271686"/>
    <s v="OK"/>
    <s v="ZERO"/>
    <n v="0"/>
    <n v="0"/>
    <x v="0"/>
    <n v="0"/>
    <x v="0"/>
    <n v="0"/>
  </r>
  <r>
    <x v="4"/>
    <d v="2024-01-21T06:00:00"/>
    <n v="0"/>
    <n v="0"/>
    <n v="0"/>
    <n v="65.527149078841006"/>
    <s v="OK"/>
    <s v="ZERO"/>
    <n v="0"/>
    <n v="0"/>
    <x v="0"/>
    <n v="0"/>
    <x v="0"/>
    <n v="0"/>
  </r>
  <r>
    <x v="4"/>
    <d v="2024-01-21T07:00:00"/>
    <n v="266.38483122449799"/>
    <n v="252.064181319114"/>
    <n v="252.064181319114"/>
    <n v="71.467496007233507"/>
    <s v="OK"/>
    <s v="NON-ZERO"/>
    <n v="310.58285412302399"/>
    <n v="0.81158434206181151"/>
    <x v="0"/>
    <n v="-58.518672803909993"/>
    <x v="1"/>
    <n v="-2.9259336401954998"/>
  </r>
  <r>
    <x v="4"/>
    <d v="2024-01-21T08:00:00"/>
    <n v="584.83930170457097"/>
    <n v="553.39877691146603"/>
    <n v="553.39877691146603"/>
    <n v="86.728529009329804"/>
    <s v="OK"/>
    <s v="NON-ZERO"/>
    <n v="600"/>
    <n v="0.92233129485244336"/>
    <x v="1"/>
    <n v="-46.60122308853397"/>
    <x v="1"/>
    <n v="0"/>
  </r>
  <r>
    <x v="4"/>
    <d v="2024-01-21T09:00:00"/>
    <n v="726.70129432244096"/>
    <n v="687.63437458101203"/>
    <n v="687.63437458101203"/>
    <n v="90.9979045411214"/>
    <s v="OK"/>
    <s v="NON-ZERO"/>
    <n v="848.52813742385695"/>
    <n v="0.81038488207200698"/>
    <x v="0"/>
    <n v="-160.89376284284492"/>
    <x v="1"/>
    <n v="-8.0446881421422454"/>
  </r>
  <r>
    <x v="4"/>
    <d v="2024-01-21T10:00:00"/>
    <n v="1004.31772176098"/>
    <n v="950.32634987618303"/>
    <n v="950.32634987618303"/>
    <n v="79.306108893310693"/>
    <s v="OK"/>
    <s v="NON-ZERO"/>
    <n v="1039.23048454132"/>
    <n v="0.91445195653168687"/>
    <x v="1"/>
    <n v="-88.904134665137008"/>
    <x v="1"/>
    <n v="0"/>
  </r>
  <r>
    <x v="4"/>
    <d v="2024-01-21T11:00:00"/>
    <n v="1144.51356430244"/>
    <n v="1082.9853684551099"/>
    <n v="1082.9853684551099"/>
    <n v="60.303788182952601"/>
    <s v="OK"/>
    <s v="NON-ZERO"/>
    <n v="1159.1109915468801"/>
    <n v="0.93432412974517864"/>
    <x v="1"/>
    <n v="-76.125623091770194"/>
    <x v="1"/>
    <n v="0"/>
  </r>
  <r>
    <x v="4"/>
    <d v="2024-01-21T12:00:00"/>
    <n v="1050.1569679063"/>
    <n v="993.70131232728204"/>
    <n v="993.70131232728204"/>
    <n v="35.382031529270698"/>
    <s v="OK"/>
    <s v="NON-ZERO"/>
    <n v="1200"/>
    <n v="0.82808442693940165"/>
    <x v="0"/>
    <n v="-206.29868767271796"/>
    <x v="1"/>
    <n v="-10.314934383635899"/>
  </r>
  <r>
    <x v="4"/>
    <d v="2024-01-21T13:00:00"/>
    <n v="1082.76331276153"/>
    <n v="1024.5547643949601"/>
    <n v="1024.5547643949601"/>
    <n v="53.940023302197503"/>
    <s v="OK"/>
    <s v="NON-ZERO"/>
    <n v="1159.1109915468801"/>
    <n v="0.88391428591980714"/>
    <x v="1"/>
    <n v="-134.55622715191998"/>
    <x v="1"/>
    <n v="0"/>
  </r>
  <r>
    <x v="4"/>
    <d v="2024-01-21T14:00:00"/>
    <n v="949.48888776380704"/>
    <n v="898.44507311334303"/>
    <n v="898.44507311334303"/>
    <n v="60.792381553486003"/>
    <s v="OK"/>
    <s v="NON-ZERO"/>
    <n v="1039.23048454132"/>
    <n v="0.86452917469014123"/>
    <x v="1"/>
    <n v="-140.78541142797701"/>
    <x v="1"/>
    <n v="0"/>
  </r>
  <r>
    <x v="4"/>
    <d v="2024-01-21T15:00:00"/>
    <n v="806.53431791323806"/>
    <n v="763.17563434848296"/>
    <n v="763.17563434848296"/>
    <n v="49.409589124009102"/>
    <s v="OK"/>
    <s v="NON-ZERO"/>
    <n v="848.52813742385695"/>
    <n v="0.89941111047359568"/>
    <x v="1"/>
    <n v="-85.352503075373988"/>
    <x v="1"/>
    <n v="0"/>
  </r>
  <r>
    <x v="4"/>
    <d v="2024-01-21T16:00:00"/>
    <n v="581.54216537029401"/>
    <n v="550.27889216811695"/>
    <n v="550.27889216811695"/>
    <n v="58.473413143575598"/>
    <s v="OK"/>
    <s v="NON-ZERO"/>
    <n v="600"/>
    <n v="0.91713148694686164"/>
    <x v="1"/>
    <n v="-49.721107831883046"/>
    <x v="1"/>
    <n v="0"/>
  </r>
  <r>
    <x v="4"/>
    <d v="2024-01-21T17:00:00"/>
    <n v="286.93190597053598"/>
    <n v="271.50666064706701"/>
    <n v="271.50666064706701"/>
    <n v="89.077213704035103"/>
    <s v="OK"/>
    <s v="NON-ZERO"/>
    <n v="310.58285412302502"/>
    <n v="0.87418431842834587"/>
    <x v="1"/>
    <n v="-39.076193475958007"/>
    <x v="1"/>
    <n v="0"/>
  </r>
  <r>
    <x v="4"/>
    <d v="2024-01-21T18:00:00"/>
    <n v="1.49953952258857E-13"/>
    <n v="1.41892539593742E-13"/>
    <n v="1.41892539593742E-13"/>
    <n v="54.343937539971499"/>
    <s v="OK"/>
    <s v="NON-ZERO"/>
    <n v="1.46957615897682E-13"/>
    <n v="0.96553376105756561"/>
    <x v="1"/>
    <n v="-5.0650763039400042E-15"/>
    <x v="1"/>
    <n v="0"/>
  </r>
  <r>
    <x v="4"/>
    <d v="2024-01-21T19:00:00"/>
    <n v="0"/>
    <n v="0"/>
    <n v="0"/>
    <n v="29.528993767850199"/>
    <s v="OK"/>
    <s v="ZERO"/>
    <n v="0"/>
    <n v="0"/>
    <x v="0"/>
    <n v="0"/>
    <x v="0"/>
    <n v="0"/>
  </r>
  <r>
    <x v="4"/>
    <d v="2024-01-21T20:00:00"/>
    <n v="0"/>
    <n v="0"/>
    <n v="0"/>
    <n v="90.762765172492905"/>
    <s v="OK"/>
    <s v="ZERO"/>
    <n v="0"/>
    <n v="0"/>
    <x v="0"/>
    <n v="0"/>
    <x v="0"/>
    <n v="0"/>
  </r>
  <r>
    <x v="4"/>
    <d v="2024-01-21T21:00:00"/>
    <n v="0"/>
    <n v="0"/>
    <n v="0"/>
    <n v="47.515129571467199"/>
    <s v="OK"/>
    <s v="ZERO"/>
    <n v="0"/>
    <n v="0"/>
    <x v="0"/>
    <n v="0"/>
    <x v="0"/>
    <n v="0"/>
  </r>
  <r>
    <x v="4"/>
    <d v="2024-01-21T22:00:00"/>
    <n v="0"/>
    <n v="0"/>
    <n v="0"/>
    <n v="45.878815199154197"/>
    <s v="OK"/>
    <s v="ZERO"/>
    <n v="0"/>
    <n v="0"/>
    <x v="0"/>
    <n v="0"/>
    <x v="0"/>
    <n v="0"/>
  </r>
  <r>
    <x v="4"/>
    <d v="2024-01-21T23:00:00"/>
    <n v="0"/>
    <n v="0"/>
    <n v="0"/>
    <n v="23.689174267401601"/>
    <s v="OK"/>
    <s v="ZERO"/>
    <n v="0"/>
    <n v="0"/>
    <x v="0"/>
    <n v="0"/>
    <x v="0"/>
    <n v="0"/>
  </r>
  <r>
    <x v="4"/>
    <d v="2024-01-22T00:00:00"/>
    <n v="0"/>
    <n v="0"/>
    <n v="0"/>
    <n v="31.248276811365798"/>
    <s v="OK"/>
    <s v="ZERO"/>
    <n v="0"/>
    <n v="0"/>
    <x v="0"/>
    <n v="0"/>
    <x v="0"/>
    <n v="0"/>
  </r>
  <r>
    <x v="4"/>
    <d v="2024-01-22T01:00:00"/>
    <n v="0"/>
    <n v="0"/>
    <n v="0"/>
    <n v="64.3506942348981"/>
    <s v="OK"/>
    <s v="ZERO"/>
    <n v="0"/>
    <n v="0"/>
    <x v="0"/>
    <n v="0"/>
    <x v="0"/>
    <n v="0"/>
  </r>
  <r>
    <x v="4"/>
    <d v="2024-01-22T02:00:00"/>
    <n v="0"/>
    <n v="0"/>
    <n v="0"/>
    <n v="49.129488528791498"/>
    <s v="OK"/>
    <s v="ZERO"/>
    <n v="0"/>
    <n v="0"/>
    <x v="0"/>
    <n v="0"/>
    <x v="0"/>
    <n v="0"/>
  </r>
  <r>
    <x v="4"/>
    <d v="2024-01-22T03:00:00"/>
    <n v="0"/>
    <n v="0"/>
    <n v="0"/>
    <n v="85.815915691960399"/>
    <s v="OK"/>
    <s v="ZERO"/>
    <n v="0"/>
    <n v="0"/>
    <x v="0"/>
    <n v="0"/>
    <x v="0"/>
    <n v="0"/>
  </r>
  <r>
    <x v="4"/>
    <d v="2024-01-22T04:00:00"/>
    <n v="0"/>
    <n v="0"/>
    <n v="0"/>
    <n v="44.917082304971203"/>
    <s v="OK"/>
    <s v="ZERO"/>
    <n v="0"/>
    <n v="0"/>
    <x v="0"/>
    <n v="0"/>
    <x v="0"/>
    <n v="0"/>
  </r>
  <r>
    <x v="4"/>
    <d v="2024-01-22T05:00:00"/>
    <n v="0"/>
    <n v="0"/>
    <n v="0"/>
    <n v="94.985385810035098"/>
    <s v="OK"/>
    <s v="ZERO"/>
    <n v="0"/>
    <n v="0"/>
    <x v="0"/>
    <n v="0"/>
    <x v="0"/>
    <n v="0"/>
  </r>
  <r>
    <x v="4"/>
    <d v="2024-01-22T06:00:00"/>
    <n v="0"/>
    <n v="0"/>
    <n v="0"/>
    <n v="61.9112926188741"/>
    <s v="OK"/>
    <s v="ZERO"/>
    <n v="0"/>
    <n v="0"/>
    <x v="0"/>
    <n v="0"/>
    <x v="0"/>
    <n v="0"/>
  </r>
  <r>
    <x v="4"/>
    <d v="2024-01-22T07:00:00"/>
    <n v="294.28634994791901"/>
    <n v="278.465735199829"/>
    <n v="278.465735199829"/>
    <n v="72.149705483942498"/>
    <s v="OK"/>
    <s v="NON-ZERO"/>
    <n v="310.58285412302399"/>
    <n v="0.89659081788696171"/>
    <x v="1"/>
    <n v="-32.117118923194994"/>
    <x v="1"/>
    <n v="0"/>
  </r>
  <r>
    <x v="4"/>
    <d v="2024-01-22T08:00:00"/>
    <n v="533.24614627424899"/>
    <n v="504.579231048309"/>
    <n v="504.579231048309"/>
    <n v="48.069835088805"/>
    <s v="OK"/>
    <s v="NON-ZERO"/>
    <n v="600"/>
    <n v="0.84096538508051499"/>
    <x v="0"/>
    <n v="-95.420768951691002"/>
    <x v="1"/>
    <n v="-4.7710384475845506"/>
  </r>
  <r>
    <x v="4"/>
    <d v="2024-01-22T09:00:00"/>
    <n v="858.12381376113296"/>
    <n v="811.99171736563699"/>
    <n v="811.99171736563699"/>
    <n v="79.500862089573104"/>
    <s v="OK"/>
    <s v="NON-ZERO"/>
    <n v="848.52813742385695"/>
    <n v="0.95694141602758742"/>
    <x v="1"/>
    <n v="-36.53642005821996"/>
    <x v="1"/>
    <n v="0"/>
  </r>
  <r>
    <x v="4"/>
    <d v="2024-01-22T10:00:00"/>
    <n v="1039.23035809513"/>
    <n v="983.36210891248697"/>
    <n v="983.36210891248697"/>
    <n v="63.498749033906201"/>
    <s v="OK"/>
    <s v="NON-ZERO"/>
    <n v="1039.23048454132"/>
    <n v="0.94624063048584317"/>
    <x v="1"/>
    <n v="-55.868375628833064"/>
    <x v="1"/>
    <n v="0"/>
  </r>
  <r>
    <x v="4"/>
    <d v="2024-01-22T11:00:00"/>
    <n v="1194.09607818978"/>
    <n v="1129.9023633654699"/>
    <n v="1129.9023633654699"/>
    <n v="76.872928513496902"/>
    <s v="OK"/>
    <s v="NON-ZERO"/>
    <n v="1159.1109915468801"/>
    <n v="0.9748008358177761"/>
    <x v="1"/>
    <n v="-29.208628181410177"/>
    <x v="1"/>
    <n v="0"/>
  </r>
  <r>
    <x v="4"/>
    <d v="2024-01-22T12:00:00"/>
    <n v="1051.24715941151"/>
    <n v="994.73289595003496"/>
    <n v="994.73289595003496"/>
    <n v="38.830926802200899"/>
    <s v="OK"/>
    <s v="NON-ZERO"/>
    <n v="1200"/>
    <n v="0.8289440799583625"/>
    <x v="0"/>
    <n v="-205.26710404996504"/>
    <x v="1"/>
    <n v="-10.263355202498254"/>
  </r>
  <r>
    <x v="4"/>
    <d v="2024-01-22T13:00:00"/>
    <n v="1141.3012285279201"/>
    <n v="1079.9457254566601"/>
    <n v="1079.9457254566601"/>
    <n v="62.200008549224897"/>
    <s v="OK"/>
    <s v="NON-ZERO"/>
    <n v="1159.1109915468801"/>
    <n v="0.93170173808414081"/>
    <x v="1"/>
    <n v="-79.16526609022003"/>
    <x v="1"/>
    <n v="0"/>
  </r>
  <r>
    <x v="4"/>
    <d v="2024-01-22T14:00:00"/>
    <n v="935.279059602752"/>
    <n v="884.99915471912698"/>
    <n v="884.99915471912698"/>
    <n v="35.237002877315597"/>
    <s v="OK"/>
    <s v="NON-ZERO"/>
    <n v="1039.23048454132"/>
    <n v="0.85159083368280386"/>
    <x v="1"/>
    <n v="-154.23132982219306"/>
    <x v="1"/>
    <n v="0"/>
  </r>
  <r>
    <x v="4"/>
    <d v="2024-01-22T15:00:00"/>
    <n v="756.89627530228597"/>
    <n v="716.20609589729304"/>
    <n v="716.20609589729304"/>
    <n v="93.828598446395205"/>
    <s v="OK"/>
    <s v="NON-ZERO"/>
    <n v="848.52813742385695"/>
    <n v="0.8440569785601979"/>
    <x v="0"/>
    <n v="-132.32204152656391"/>
    <x v="1"/>
    <n v="-6.6161020763281959"/>
  </r>
  <r>
    <x v="4"/>
    <d v="2024-01-22T16:00:00"/>
    <n v="616.19509748924497"/>
    <n v="583.06890849419301"/>
    <n v="583.06890849419301"/>
    <n v="73.001578134540694"/>
    <s v="OK"/>
    <s v="NON-ZERO"/>
    <n v="600"/>
    <n v="0.97178151415698832"/>
    <x v="1"/>
    <n v="-16.93109150580699"/>
    <x v="1"/>
    <n v="0"/>
  </r>
  <r>
    <x v="4"/>
    <d v="2024-01-22T17:00:00"/>
    <n v="293.00627627693802"/>
    <n v="277.25447733495503"/>
    <n v="277.25447733495503"/>
    <n v="40.428843444746697"/>
    <s v="OK"/>
    <s v="NON-ZERO"/>
    <n v="310.58285412302502"/>
    <n v="0.89269086704036704"/>
    <x v="1"/>
    <n v="-33.328376788069988"/>
    <x v="1"/>
    <n v="0"/>
  </r>
  <r>
    <x v="4"/>
    <d v="2024-01-22T18:00:00"/>
    <n v="1.3658581653642599E-13"/>
    <n v="1.2924306488023E-13"/>
    <n v="1.2924306488023E-13"/>
    <n v="69.079502362293098"/>
    <s v="OK"/>
    <s v="NON-ZERO"/>
    <n v="1.46957615897682E-13"/>
    <n v="0.87945809470816672"/>
    <x v="1"/>
    <n v="-1.7714551017452003E-14"/>
    <x v="1"/>
    <n v="0"/>
  </r>
  <r>
    <x v="4"/>
    <d v="2024-01-22T19:00:00"/>
    <n v="0"/>
    <n v="0"/>
    <n v="0"/>
    <n v="68.408137488762193"/>
    <s v="OK"/>
    <s v="ZERO"/>
    <n v="0"/>
    <n v="0"/>
    <x v="0"/>
    <n v="0"/>
    <x v="0"/>
    <n v="0"/>
  </r>
  <r>
    <x v="4"/>
    <d v="2024-01-22T20:00:00"/>
    <n v="0"/>
    <n v="0"/>
    <n v="0"/>
    <n v="55.388223112821002"/>
    <s v="OK"/>
    <s v="ZERO"/>
    <n v="0"/>
    <n v="0"/>
    <x v="0"/>
    <n v="0"/>
    <x v="0"/>
    <n v="0"/>
  </r>
  <r>
    <x v="4"/>
    <d v="2024-01-22T21:00:00"/>
    <n v="0"/>
    <n v="0"/>
    <n v="0"/>
    <n v="60.099467506181298"/>
    <s v="OK"/>
    <s v="ZERO"/>
    <n v="0"/>
    <n v="0"/>
    <x v="0"/>
    <n v="0"/>
    <x v="0"/>
    <n v="0"/>
  </r>
  <r>
    <x v="4"/>
    <d v="2024-01-22T22:00:00"/>
    <n v="0"/>
    <n v="0"/>
    <n v="0"/>
    <n v="53.405407143337598"/>
    <s v="OK"/>
    <s v="ZERO"/>
    <n v="0"/>
    <n v="0"/>
    <x v="0"/>
    <n v="0"/>
    <x v="0"/>
    <n v="0"/>
  </r>
  <r>
    <x v="4"/>
    <d v="2024-01-22T23:00:00"/>
    <n v="0"/>
    <n v="0"/>
    <n v="0"/>
    <n v="85.274677591556994"/>
    <s v="OK"/>
    <s v="ZERO"/>
    <n v="0"/>
    <n v="0"/>
    <x v="0"/>
    <n v="0"/>
    <x v="0"/>
    <n v="0"/>
  </r>
  <r>
    <x v="4"/>
    <d v="2024-01-23T00:00:00"/>
    <n v="0"/>
    <n v="0"/>
    <n v="0"/>
    <n v="75.789660866449793"/>
    <s v="OK"/>
    <s v="ZERO"/>
    <n v="0"/>
    <n v="0"/>
    <x v="0"/>
    <n v="0"/>
    <x v="0"/>
    <n v="0"/>
  </r>
  <r>
    <x v="4"/>
    <d v="2024-01-23T01:00:00"/>
    <n v="0"/>
    <n v="0"/>
    <n v="0"/>
    <n v="37.724451320709299"/>
    <s v="OK"/>
    <s v="ZERO"/>
    <n v="0"/>
    <n v="0"/>
    <x v="0"/>
    <n v="0"/>
    <x v="0"/>
    <n v="0"/>
  </r>
  <r>
    <x v="4"/>
    <d v="2024-01-23T02:00:00"/>
    <n v="0"/>
    <n v="0"/>
    <n v="0"/>
    <n v="37.9808129703693"/>
    <s v="OK"/>
    <s v="ZERO"/>
    <n v="0"/>
    <n v="0"/>
    <x v="0"/>
    <n v="0"/>
    <x v="0"/>
    <n v="0"/>
  </r>
  <r>
    <x v="4"/>
    <d v="2024-01-23T03:00:00"/>
    <n v="0"/>
    <n v="0"/>
    <n v="0"/>
    <n v="22.177992665691399"/>
    <s v="OK"/>
    <s v="ZERO"/>
    <n v="0"/>
    <n v="0"/>
    <x v="0"/>
    <n v="0"/>
    <x v="0"/>
    <n v="0"/>
  </r>
  <r>
    <x v="4"/>
    <d v="2024-01-23T04:00:00"/>
    <n v="0"/>
    <n v="0"/>
    <n v="0"/>
    <n v="36.9127326890722"/>
    <s v="OK"/>
    <s v="ZERO"/>
    <n v="0"/>
    <n v="0"/>
    <x v="0"/>
    <n v="0"/>
    <x v="0"/>
    <n v="0"/>
  </r>
  <r>
    <x v="4"/>
    <d v="2024-01-23T05:00:00"/>
    <n v="0"/>
    <n v="0"/>
    <n v="0"/>
    <n v="89.884140728838005"/>
    <s v="OK"/>
    <s v="ZERO"/>
    <n v="0"/>
    <n v="0"/>
    <x v="0"/>
    <n v="0"/>
    <x v="0"/>
    <n v="0"/>
  </r>
  <r>
    <x v="4"/>
    <d v="2024-01-23T06:00:00"/>
    <n v="0"/>
    <n v="0"/>
    <n v="0"/>
    <n v="49.470832953001903"/>
    <s v="OK"/>
    <s v="ZERO"/>
    <n v="0"/>
    <n v="0"/>
    <x v="0"/>
    <n v="0"/>
    <x v="0"/>
    <n v="0"/>
  </r>
  <r>
    <x v="4"/>
    <d v="2024-01-23T07:00:00"/>
    <n v="295.70623636008798"/>
    <n v="279.80928957717299"/>
    <n v="279.80928957717299"/>
    <n v="48.779163103959"/>
    <s v="OK"/>
    <s v="NON-ZERO"/>
    <n v="310.58285412302399"/>
    <n v="0.90091673079396273"/>
    <x v="1"/>
    <n v="-30.773564545851002"/>
    <x v="1"/>
    <n v="0"/>
  </r>
  <r>
    <x v="4"/>
    <d v="2024-01-23T08:00:00"/>
    <n v="556.21729323085196"/>
    <n v="526.31546627221906"/>
    <n v="526.31546627221906"/>
    <n v="30.1429870988541"/>
    <s v="OK"/>
    <s v="NON-ZERO"/>
    <n v="600"/>
    <n v="0.87719244378703176"/>
    <x v="1"/>
    <n v="-73.684533727780945"/>
    <x v="1"/>
    <n v="0"/>
  </r>
  <r>
    <x v="4"/>
    <d v="2024-01-23T09:00:00"/>
    <n v="776.99781244501901"/>
    <n v="735.22698939129396"/>
    <n v="735.22698939129396"/>
    <n v="36.948378849138699"/>
    <s v="OK"/>
    <s v="NON-ZERO"/>
    <n v="848.52813742385695"/>
    <n v="0.86647331651658976"/>
    <x v="1"/>
    <n v="-113.30114803256299"/>
    <x v="1"/>
    <n v="0"/>
  </r>
  <r>
    <x v="4"/>
    <d v="2024-01-23T10:00:00"/>
    <n v="939.70399256830206"/>
    <n v="889.18620658775706"/>
    <n v="889.18620658775706"/>
    <n v="56.845072136749998"/>
    <s v="OK"/>
    <s v="NON-ZERO"/>
    <n v="1039.23048454132"/>
    <n v="0.85561982622191146"/>
    <x v="1"/>
    <n v="-150.04427795356298"/>
    <x v="1"/>
    <n v="0"/>
  </r>
  <r>
    <x v="4"/>
    <d v="2024-01-23T11:00:00"/>
    <n v="1273.2357457558701"/>
    <n v="1204.78754141114"/>
    <n v="1204.78754141114"/>
    <n v="70.212393241302095"/>
    <s v="OK"/>
    <s v="NON-ZERO"/>
    <n v="1159.1109915468801"/>
    <n v="1.0394065367314849"/>
    <x v="1"/>
    <n v="45.676549864259869"/>
    <x v="0"/>
    <n v="0"/>
  </r>
  <r>
    <x v="4"/>
    <d v="2024-01-23T12:00:00"/>
    <n v="1137.2376012669599"/>
    <n v="1076.10055576733"/>
    <n v="1076.10055576733"/>
    <n v="62.038155055847902"/>
    <s v="OK"/>
    <s v="NON-ZERO"/>
    <n v="1200"/>
    <n v="0.89675046313944162"/>
    <x v="1"/>
    <n v="-123.89944423267002"/>
    <x v="1"/>
    <n v="0"/>
  </r>
  <r>
    <x v="4"/>
    <d v="2024-01-23T13:00:00"/>
    <n v="1064.15059279721"/>
    <n v="1006.94265037794"/>
    <n v="1006.94265037794"/>
    <n v="25.245800760397302"/>
    <s v="OK"/>
    <s v="NON-ZERO"/>
    <n v="1159.1109915468801"/>
    <n v="0.86871978414606754"/>
    <x v="1"/>
    <n v="-152.16834116894006"/>
    <x v="1"/>
    <n v="0"/>
  </r>
  <r>
    <x v="4"/>
    <d v="2024-01-23T14:00:00"/>
    <n v="1113.2476875705299"/>
    <n v="1053.4003219439101"/>
    <n v="1053.4003219439101"/>
    <n v="75.817644382792906"/>
    <s v="OK"/>
    <s v="NON-ZERO"/>
    <n v="1039.23048454132"/>
    <n v="1.013634932397931"/>
    <x v="1"/>
    <n v="14.169837402590019"/>
    <x v="0"/>
    <n v="0"/>
  </r>
  <r>
    <x v="4"/>
    <d v="2024-01-23T15:00:00"/>
    <n v="705.85717611218797"/>
    <n v="667.91082062399903"/>
    <n v="667.91082062399903"/>
    <n v="36.251318299175097"/>
    <s v="OK"/>
    <s v="NON-ZERO"/>
    <n v="848.52813742385695"/>
    <n v="0.78714045081850248"/>
    <x v="0"/>
    <n v="-180.61731679985792"/>
    <x v="1"/>
    <n v="-9.0308658399928952"/>
  </r>
  <r>
    <x v="4"/>
    <d v="2024-01-23T16:00:00"/>
    <n v="591.40598077800098"/>
    <n v="559.61243621414098"/>
    <n v="559.61243621414098"/>
    <n v="64.772297428733197"/>
    <s v="OK"/>
    <s v="NON-ZERO"/>
    <n v="600"/>
    <n v="0.93268739369023501"/>
    <x v="1"/>
    <n v="-40.387563785859015"/>
    <x v="1"/>
    <n v="0"/>
  </r>
  <r>
    <x v="4"/>
    <d v="2024-01-23T17:00:00"/>
    <n v="316.30712914685603"/>
    <n v="299.30269372811398"/>
    <n v="299.30269372811398"/>
    <n v="58.514155768436197"/>
    <s v="OK"/>
    <s v="NON-ZERO"/>
    <n v="310.58285412302502"/>
    <n v="0.96368067249957445"/>
    <x v="1"/>
    <n v="-11.280160394911036"/>
    <x v="1"/>
    <n v="0"/>
  </r>
  <r>
    <x v="4"/>
    <d v="2024-01-23T18:00:00"/>
    <n v="1.26999665977932E-13"/>
    <n v="1.20172258628156E-13"/>
    <n v="1.20172258628156E-13"/>
    <n v="55.122571069996802"/>
    <s v="OK"/>
    <s v="NON-ZERO"/>
    <n v="1.46957615897682E-13"/>
    <n v="0.81773413302938258"/>
    <x v="0"/>
    <n v="-2.6785357269526005E-14"/>
    <x v="1"/>
    <n v="-1.3392678634763003E-15"/>
  </r>
  <r>
    <x v="4"/>
    <d v="2024-01-23T19:00:00"/>
    <n v="0"/>
    <n v="0"/>
    <n v="0"/>
    <n v="39.999474379115"/>
    <s v="OK"/>
    <s v="ZERO"/>
    <n v="0"/>
    <n v="0"/>
    <x v="0"/>
    <n v="0"/>
    <x v="0"/>
    <n v="0"/>
  </r>
  <r>
    <x v="4"/>
    <d v="2024-01-23T20:00:00"/>
    <n v="0"/>
    <n v="0"/>
    <n v="0"/>
    <n v="93.620707049901"/>
    <s v="OK"/>
    <s v="ZERO"/>
    <n v="0"/>
    <n v="0"/>
    <x v="0"/>
    <n v="0"/>
    <x v="0"/>
    <n v="0"/>
  </r>
  <r>
    <x v="4"/>
    <d v="2024-01-23T21:00:00"/>
    <n v="0"/>
    <n v="0"/>
    <n v="0"/>
    <n v="72.4195745708912"/>
    <s v="OK"/>
    <s v="ZERO"/>
    <n v="0"/>
    <n v="0"/>
    <x v="0"/>
    <n v="0"/>
    <x v="0"/>
    <n v="0"/>
  </r>
  <r>
    <x v="4"/>
    <d v="2024-01-23T22:00:00"/>
    <n v="0"/>
    <n v="0"/>
    <n v="0"/>
    <n v="35.822696728377402"/>
    <s v="OK"/>
    <s v="ZERO"/>
    <n v="0"/>
    <n v="0"/>
    <x v="0"/>
    <n v="0"/>
    <x v="0"/>
    <n v="0"/>
  </r>
  <r>
    <x v="4"/>
    <d v="2024-01-23T23:00:00"/>
    <n v="0"/>
    <n v="0"/>
    <n v="0"/>
    <n v="38.560079712600299"/>
    <s v="OK"/>
    <s v="ZERO"/>
    <n v="0"/>
    <n v="0"/>
    <x v="0"/>
    <n v="0"/>
    <x v="0"/>
    <n v="0"/>
  </r>
  <r>
    <x v="4"/>
    <d v="2024-01-24T00:00:00"/>
    <n v="0"/>
    <n v="0"/>
    <n v="0"/>
    <n v="59.6892574059925"/>
    <s v="OK"/>
    <s v="ZERO"/>
    <n v="0"/>
    <n v="0"/>
    <x v="0"/>
    <n v="0"/>
    <x v="0"/>
    <n v="0"/>
  </r>
  <r>
    <x v="4"/>
    <d v="2024-01-24T01:00:00"/>
    <n v="0"/>
    <n v="0"/>
    <n v="0"/>
    <n v="42.394156721621897"/>
    <s v="OK"/>
    <s v="ZERO"/>
    <n v="0"/>
    <n v="0"/>
    <x v="0"/>
    <n v="0"/>
    <x v="0"/>
    <n v="0"/>
  </r>
  <r>
    <x v="4"/>
    <d v="2024-01-24T02:00:00"/>
    <n v="0"/>
    <n v="0"/>
    <n v="0"/>
    <n v="28.1416518329486"/>
    <s v="OK"/>
    <s v="ZERO"/>
    <n v="0"/>
    <n v="0"/>
    <x v="0"/>
    <n v="0"/>
    <x v="0"/>
    <n v="0"/>
  </r>
  <r>
    <x v="4"/>
    <d v="2024-01-24T03:00:00"/>
    <n v="0"/>
    <n v="0"/>
    <n v="0"/>
    <n v="91.362457942051407"/>
    <s v="OK"/>
    <s v="ZERO"/>
    <n v="0"/>
    <n v="0"/>
    <x v="0"/>
    <n v="0"/>
    <x v="0"/>
    <n v="0"/>
  </r>
  <r>
    <x v="4"/>
    <d v="2024-01-24T04:00:00"/>
    <n v="0"/>
    <n v="0"/>
    <n v="0"/>
    <n v="25.935850120865702"/>
    <s v="OK"/>
    <s v="ZERO"/>
    <n v="0"/>
    <n v="0"/>
    <x v="0"/>
    <n v="0"/>
    <x v="0"/>
    <n v="0"/>
  </r>
  <r>
    <x v="4"/>
    <d v="2024-01-24T05:00:00"/>
    <n v="0"/>
    <n v="0"/>
    <n v="0"/>
    <n v="78.104269497841997"/>
    <s v="OK"/>
    <s v="ZERO"/>
    <n v="0"/>
    <n v="0"/>
    <x v="0"/>
    <n v="0"/>
    <x v="0"/>
    <n v="0"/>
  </r>
  <r>
    <x v="4"/>
    <d v="2024-01-24T06:00:00"/>
    <n v="0"/>
    <n v="0"/>
    <n v="0"/>
    <n v="58.313927372284802"/>
    <s v="OK"/>
    <s v="ZERO"/>
    <n v="0"/>
    <n v="0"/>
    <x v="0"/>
    <n v="0"/>
    <x v="0"/>
    <n v="0"/>
  </r>
  <r>
    <x v="4"/>
    <d v="2024-01-24T07:00:00"/>
    <n v="295.23187366644498"/>
    <n v="279.36042826824701"/>
    <n v="279.36042826824701"/>
    <n v="93.436492981361596"/>
    <s v="OK"/>
    <s v="NON-ZERO"/>
    <n v="310.58285412302399"/>
    <n v="0.89947150835825096"/>
    <x v="1"/>
    <n v="-31.222425854776986"/>
    <x v="1"/>
    <n v="0"/>
  </r>
  <r>
    <x v="4"/>
    <d v="2024-01-24T08:00:00"/>
    <n v="561.97859604392499"/>
    <n v="531.76704574178996"/>
    <n v="531.76704574178996"/>
    <n v="48.402976817403299"/>
    <s v="OK"/>
    <s v="NON-ZERO"/>
    <n v="600"/>
    <n v="0.88627840956964998"/>
    <x v="1"/>
    <n v="-68.232954258210043"/>
    <x v="1"/>
    <n v="0"/>
  </r>
  <r>
    <x v="4"/>
    <d v="2024-01-24T09:00:00"/>
    <n v="783.70828403688495"/>
    <n v="741.57671103382802"/>
    <n v="741.57671103382802"/>
    <n v="35.166131559423"/>
    <s v="OK"/>
    <s v="NON-ZERO"/>
    <n v="848.52813742385695"/>
    <n v="0.87395653523672778"/>
    <x v="1"/>
    <n v="-106.95142639002893"/>
    <x v="1"/>
    <n v="0"/>
  </r>
  <r>
    <x v="4"/>
    <d v="2024-01-24T10:00:00"/>
    <n v="1142.3772243695601"/>
    <n v="1080.96387656413"/>
    <n v="1080.96387656413"/>
    <n v="34.398162939442798"/>
    <s v="OK"/>
    <s v="NON-ZERO"/>
    <n v="1039.23048454132"/>
    <n v="1.0401579751976096"/>
    <x v="1"/>
    <n v="41.733392022809994"/>
    <x v="0"/>
    <n v="0"/>
  </r>
  <r>
    <x v="4"/>
    <d v="2024-01-24T11:00:00"/>
    <n v="1155.43176730389"/>
    <n v="1093.3166170039999"/>
    <n v="1093.3166170039999"/>
    <n v="79.667252187670201"/>
    <s v="OK"/>
    <s v="NON-ZERO"/>
    <n v="1159.1109915468801"/>
    <n v="0.94323720935898037"/>
    <x v="1"/>
    <n v="-65.794374542880178"/>
    <x v="1"/>
    <n v="0"/>
  </r>
  <r>
    <x v="4"/>
    <d v="2024-01-24T12:00:00"/>
    <n v="1096.2416817363301"/>
    <n v="1037.3085463033799"/>
    <n v="1037.3085463033799"/>
    <n v="60.1631291723373"/>
    <s v="OK"/>
    <s v="NON-ZERO"/>
    <n v="1200"/>
    <n v="0.86442378858614988"/>
    <x v="1"/>
    <n v="-162.6914536966201"/>
    <x v="1"/>
    <n v="0"/>
  </r>
  <r>
    <x v="4"/>
    <d v="2024-01-24T13:00:00"/>
    <n v="1131.5975230484901"/>
    <n v="1070.7636839485399"/>
    <n v="1070.7636839485399"/>
    <n v="59.488671239122198"/>
    <s v="OK"/>
    <s v="NON-ZERO"/>
    <n v="1159.1109915468801"/>
    <n v="0.92378011403339622"/>
    <x v="1"/>
    <n v="-88.347307598340194"/>
    <x v="1"/>
    <n v="0"/>
  </r>
  <r>
    <x v="4"/>
    <d v="2024-01-24T14:00:00"/>
    <n v="1069.1634188129301"/>
    <n v="1011.68599060471"/>
    <n v="1011.68599060471"/>
    <n v="50.490373541525898"/>
    <s v="OK"/>
    <s v="NON-ZERO"/>
    <n v="1039.23048454132"/>
    <n v="0.97349529835167681"/>
    <x v="1"/>
    <n v="-27.544493936610024"/>
    <x v="1"/>
    <n v="0"/>
  </r>
  <r>
    <x v="4"/>
    <d v="2024-01-24T15:00:00"/>
    <n v="813.410574383572"/>
    <n v="769.68222839803104"/>
    <n v="769.68222839803104"/>
    <n v="94.454346469522093"/>
    <s v="OK"/>
    <s v="NON-ZERO"/>
    <n v="848.52813742385695"/>
    <n v="0.90707920509836815"/>
    <x v="1"/>
    <n v="-78.845909025825904"/>
    <x v="1"/>
    <n v="0"/>
  </r>
  <r>
    <x v="4"/>
    <d v="2024-01-24T16:00:00"/>
    <n v="613.23469996168296"/>
    <n v="580.267659730388"/>
    <n v="580.267659730388"/>
    <n v="66.474811371478097"/>
    <s v="OK"/>
    <s v="NON-ZERO"/>
    <n v="600"/>
    <n v="0.96711276621731335"/>
    <x v="1"/>
    <n v="-19.732340269611996"/>
    <x v="1"/>
    <n v="0"/>
  </r>
  <r>
    <x v="4"/>
    <d v="2024-01-24T17:00:00"/>
    <n v="284.80130020582499"/>
    <n v="269.49059465965001"/>
    <n v="269.49059465965001"/>
    <n v="27.765767896458701"/>
    <s v="OK"/>
    <s v="NON-ZERO"/>
    <n v="310.58285412302502"/>
    <n v="0.8676930844125158"/>
    <x v="1"/>
    <n v="-41.092259463375001"/>
    <x v="1"/>
    <n v="0"/>
  </r>
  <r>
    <x v="4"/>
    <d v="2024-01-24T18:00:00"/>
    <n v="1.170749303647E-13"/>
    <n v="1.10781069401434E-13"/>
    <n v="1.10781069401434E-13"/>
    <n v="21.300944514028799"/>
    <s v="OK"/>
    <s v="NON-ZERO"/>
    <n v="1.46957615897682E-13"/>
    <n v="0.75383006674907127"/>
    <x v="0"/>
    <n v="-3.6176546496248004E-14"/>
    <x v="1"/>
    <n v="-1.8088273248124001E-15"/>
  </r>
  <r>
    <x v="4"/>
    <d v="2024-01-24T19:00:00"/>
    <n v="0"/>
    <n v="0"/>
    <n v="0"/>
    <n v="55.522306661345702"/>
    <s v="OK"/>
    <s v="ZERO"/>
    <n v="0"/>
    <n v="0"/>
    <x v="0"/>
    <n v="0"/>
    <x v="0"/>
    <n v="0"/>
  </r>
  <r>
    <x v="4"/>
    <d v="2024-01-24T20:00:00"/>
    <n v="0"/>
    <n v="0"/>
    <n v="0"/>
    <n v="40.365011218137603"/>
    <s v="OK"/>
    <s v="ZERO"/>
    <n v="0"/>
    <n v="0"/>
    <x v="0"/>
    <n v="0"/>
    <x v="0"/>
    <n v="0"/>
  </r>
  <r>
    <x v="4"/>
    <d v="2024-01-24T21:00:00"/>
    <n v="0"/>
    <n v="0"/>
    <n v="0"/>
    <n v="34.751482559514599"/>
    <s v="OK"/>
    <s v="ZERO"/>
    <n v="0"/>
    <n v="0"/>
    <x v="0"/>
    <n v="0"/>
    <x v="0"/>
    <n v="0"/>
  </r>
  <r>
    <x v="4"/>
    <d v="2024-01-24T22:00:00"/>
    <n v="0"/>
    <n v="0"/>
    <n v="0"/>
    <n v="33.558196613054498"/>
    <s v="OK"/>
    <s v="ZERO"/>
    <n v="0"/>
    <n v="0"/>
    <x v="0"/>
    <n v="0"/>
    <x v="0"/>
    <n v="0"/>
  </r>
  <r>
    <x v="4"/>
    <d v="2024-01-24T23:00:00"/>
    <n v="0"/>
    <n v="0"/>
    <n v="0"/>
    <n v="70.171373132046796"/>
    <s v="OK"/>
    <s v="ZERO"/>
    <n v="0"/>
    <n v="0"/>
    <x v="0"/>
    <n v="0"/>
    <x v="0"/>
    <n v="0"/>
  </r>
  <r>
    <x v="4"/>
    <d v="2024-01-25T00:00:00"/>
    <n v="0"/>
    <n v="0"/>
    <n v="0"/>
    <n v="42.346807171876897"/>
    <s v="OK"/>
    <s v="ZERO"/>
    <n v="0"/>
    <n v="0"/>
    <x v="0"/>
    <n v="0"/>
    <x v="0"/>
    <n v="0"/>
  </r>
  <r>
    <x v="4"/>
    <d v="2024-01-25T01:00:00"/>
    <n v="0"/>
    <n v="0"/>
    <n v="0"/>
    <n v="37.538627681410802"/>
    <s v="OK"/>
    <s v="ZERO"/>
    <n v="0"/>
    <n v="0"/>
    <x v="0"/>
    <n v="0"/>
    <x v="0"/>
    <n v="0"/>
  </r>
  <r>
    <x v="4"/>
    <d v="2024-01-25T02:00:00"/>
    <n v="0"/>
    <n v="0"/>
    <n v="0"/>
    <n v="56.450258617867"/>
    <s v="OK"/>
    <s v="ZERO"/>
    <n v="0"/>
    <n v="0"/>
    <x v="0"/>
    <n v="0"/>
    <x v="0"/>
    <n v="0"/>
  </r>
  <r>
    <x v="4"/>
    <d v="2024-01-25T03:00:00"/>
    <n v="0"/>
    <n v="0"/>
    <n v="0"/>
    <n v="46.710437151122598"/>
    <s v="OK"/>
    <s v="ZERO"/>
    <n v="0"/>
    <n v="0"/>
    <x v="0"/>
    <n v="0"/>
    <x v="0"/>
    <n v="0"/>
  </r>
  <r>
    <x v="4"/>
    <d v="2024-01-25T04:00:00"/>
    <n v="0"/>
    <n v="0"/>
    <n v="0"/>
    <n v="86.800894670410301"/>
    <s v="OK"/>
    <s v="ZERO"/>
    <n v="0"/>
    <n v="0"/>
    <x v="0"/>
    <n v="0"/>
    <x v="0"/>
    <n v="0"/>
  </r>
  <r>
    <x v="4"/>
    <d v="2024-01-25T05:00:00"/>
    <n v="0"/>
    <n v="0"/>
    <n v="0"/>
    <n v="46.137934987369299"/>
    <s v="OK"/>
    <s v="ZERO"/>
    <n v="0"/>
    <n v="0"/>
    <x v="0"/>
    <n v="0"/>
    <x v="0"/>
    <n v="0"/>
  </r>
  <r>
    <x v="4"/>
    <d v="2024-01-25T06:00:00"/>
    <n v="0"/>
    <n v="0"/>
    <n v="0"/>
    <n v="78.920134431726694"/>
    <s v="OK"/>
    <s v="ZERO"/>
    <n v="0"/>
    <n v="0"/>
    <x v="0"/>
    <n v="0"/>
    <x v="0"/>
    <n v="0"/>
  </r>
  <r>
    <x v="4"/>
    <d v="2024-01-25T07:00:00"/>
    <n v="313.95752123853799"/>
    <n v="297.079398989038"/>
    <n v="297.079398989038"/>
    <n v="66.912262783752794"/>
    <s v="OK"/>
    <s v="NON-ZERO"/>
    <n v="310.58285412302399"/>
    <n v="0.95652221313982388"/>
    <x v="1"/>
    <n v="-13.503455133985995"/>
    <x v="1"/>
    <n v="0"/>
  </r>
  <r>
    <x v="4"/>
    <d v="2024-01-25T08:00:00"/>
    <n v="504.755428240524"/>
    <n v="477.62015277289402"/>
    <n v="477.62015277289402"/>
    <n v="25.7067028512182"/>
    <s v="OK"/>
    <s v="NON-ZERO"/>
    <n v="600"/>
    <n v="0.79603358795482337"/>
    <x v="0"/>
    <n v="-122.37984722710598"/>
    <x v="1"/>
    <n v="-6.118992361355299"/>
  </r>
  <r>
    <x v="4"/>
    <d v="2024-01-25T09:00:00"/>
    <n v="798.91278688535704"/>
    <n v="755.96383114591299"/>
    <n v="755.96383114591299"/>
    <n v="83.7772090743387"/>
    <s v="OK"/>
    <s v="NON-ZERO"/>
    <n v="848.52813742385695"/>
    <n v="0.89091191889172883"/>
    <x v="1"/>
    <n v="-92.564306277943956"/>
    <x v="1"/>
    <n v="0"/>
  </r>
  <r>
    <x v="4"/>
    <d v="2024-01-25T10:00:00"/>
    <n v="925.36356953858603"/>
    <n v="875.61671400764601"/>
    <n v="875.61671400764601"/>
    <n v="82.863194051430298"/>
    <s v="OK"/>
    <s v="NON-ZERO"/>
    <n v="1039.23048454132"/>
    <n v="0.84256257589875516"/>
    <x v="0"/>
    <n v="-163.61377053367403"/>
    <x v="1"/>
    <n v="-8.1806885266837011"/>
  </r>
  <r>
    <x v="4"/>
    <d v="2024-01-25T11:00:00"/>
    <n v="1141.7850474197401"/>
    <n v="1080.40353460559"/>
    <n v="1080.40353460559"/>
    <n v="76.797919650115603"/>
    <s v="OK"/>
    <s v="NON-ZERO"/>
    <n v="1159.1109915468801"/>
    <n v="0.93209670384002508"/>
    <x v="1"/>
    <n v="-78.707456941290047"/>
    <x v="1"/>
    <n v="0"/>
  </r>
  <r>
    <x v="4"/>
    <d v="2024-01-25T12:00:00"/>
    <n v="1256.5290215012001"/>
    <n v="1188.9789581955799"/>
    <n v="1188.9789581955799"/>
    <n v="86.938356432061298"/>
    <s v="OK"/>
    <s v="NON-ZERO"/>
    <n v="1200"/>
    <n v="0.99081579849631662"/>
    <x v="1"/>
    <n v="-11.021041804420065"/>
    <x v="1"/>
    <n v="0"/>
  </r>
  <r>
    <x v="4"/>
    <d v="2024-01-25T13:00:00"/>
    <n v="1135.4364437900499"/>
    <n v="1074.3962271733999"/>
    <n v="1074.3962271733999"/>
    <n v="68.321611739583403"/>
    <s v="OK"/>
    <s v="NON-ZERO"/>
    <n v="1159.1109915468801"/>
    <n v="0.92691401859590261"/>
    <x v="1"/>
    <n v="-84.714764373480193"/>
    <x v="1"/>
    <n v="0"/>
  </r>
  <r>
    <x v="4"/>
    <d v="2024-01-25T14:00:00"/>
    <n v="936.44145949390099"/>
    <n v="886.09906485883403"/>
    <n v="886.09906485883403"/>
    <n v="72.439489848603202"/>
    <s v="OK"/>
    <s v="NON-ZERO"/>
    <n v="1039.23048454132"/>
    <n v="0.85264922270821097"/>
    <x v="1"/>
    <n v="-153.13141968248601"/>
    <x v="1"/>
    <n v="0"/>
  </r>
  <r>
    <x v="4"/>
    <d v="2024-01-25T15:00:00"/>
    <n v="804.99056202403403"/>
    <n v="761.71486962483198"/>
    <n v="761.71486962483198"/>
    <n v="22.4850096644908"/>
    <s v="OK"/>
    <s v="NON-ZERO"/>
    <n v="848.52813742385695"/>
    <n v="0.89768958273724286"/>
    <x v="1"/>
    <n v="-86.81326779902497"/>
    <x v="1"/>
    <n v="0"/>
  </r>
  <r>
    <x v="4"/>
    <d v="2024-01-25T16:00:00"/>
    <n v="560.47916999455003"/>
    <n v="530.34822771883103"/>
    <n v="530.34822771883103"/>
    <n v="49.524756054172997"/>
    <s v="OK"/>
    <s v="NON-ZERO"/>
    <n v="600"/>
    <n v="0.88391371286471843"/>
    <x v="1"/>
    <n v="-69.651772281168974"/>
    <x v="1"/>
    <n v="0"/>
  </r>
  <r>
    <x v="4"/>
    <d v="2024-01-25T17:00:00"/>
    <n v="257.44417799593901"/>
    <n v="308.93301359512702"/>
    <n v="308.93301359512702"/>
    <n v="73.987273381246496"/>
    <s v="ERROR"/>
    <s v="NON-ZERO"/>
    <n v="310.58285412302502"/>
    <n v="0.99468792141614981"/>
    <x v="1"/>
    <n v="-1.6498405278979931"/>
    <x v="1"/>
    <n v="0"/>
  </r>
  <r>
    <x v="4"/>
    <d v="2024-01-25T18:00:00"/>
    <n v="1.35922986206915E-13"/>
    <n v="1.2861586781501499E-13"/>
    <n v="1.2861586781501499E-13"/>
    <n v="66.664823471009896"/>
    <s v="OK"/>
    <s v="NON-ZERO"/>
    <n v="1.46957615897682E-13"/>
    <n v="0.87519021746081338"/>
    <x v="1"/>
    <n v="-1.8341748082667008E-14"/>
    <x v="1"/>
    <n v="0"/>
  </r>
  <r>
    <x v="4"/>
    <d v="2024-01-25T19:00:00"/>
    <n v="0"/>
    <n v="0"/>
    <n v="0"/>
    <n v="68.3154111380519"/>
    <s v="OK"/>
    <s v="ZERO"/>
    <n v="0"/>
    <n v="0"/>
    <x v="0"/>
    <n v="0"/>
    <x v="0"/>
    <n v="0"/>
  </r>
  <r>
    <x v="4"/>
    <d v="2024-01-25T20:00:00"/>
    <n v="0"/>
    <n v="0"/>
    <n v="0"/>
    <n v="89.525908469380994"/>
    <s v="OK"/>
    <s v="ZERO"/>
    <n v="0"/>
    <n v="0"/>
    <x v="0"/>
    <n v="0"/>
    <x v="0"/>
    <n v="0"/>
  </r>
  <r>
    <x v="4"/>
    <d v="2024-01-25T21:00:00"/>
    <n v="0"/>
    <n v="0"/>
    <n v="0"/>
    <n v="86.535649902060698"/>
    <s v="OK"/>
    <s v="ZERO"/>
    <n v="0"/>
    <n v="0"/>
    <x v="0"/>
    <n v="0"/>
    <x v="0"/>
    <n v="0"/>
  </r>
  <r>
    <x v="4"/>
    <d v="2024-01-25T22:00:00"/>
    <n v="0"/>
    <n v="0"/>
    <n v="0"/>
    <n v="66.830036560412196"/>
    <s v="OK"/>
    <s v="ZERO"/>
    <n v="0"/>
    <n v="0"/>
    <x v="0"/>
    <n v="0"/>
    <x v="0"/>
    <n v="0"/>
  </r>
  <r>
    <x v="4"/>
    <d v="2024-01-25T23:00:00"/>
    <n v="0"/>
    <n v="0"/>
    <n v="0"/>
    <n v="23.0389644079752"/>
    <s v="OK"/>
    <s v="ZERO"/>
    <n v="0"/>
    <n v="0"/>
    <x v="0"/>
    <n v="0"/>
    <x v="0"/>
    <n v="0"/>
  </r>
  <r>
    <x v="4"/>
    <d v="2024-01-26T00:00:00"/>
    <n v="0"/>
    <n v="0"/>
    <n v="0"/>
    <n v="35.038214266316501"/>
    <s v="OK"/>
    <s v="ZERO"/>
    <n v="0"/>
    <n v="0"/>
    <x v="0"/>
    <n v="0"/>
    <x v="0"/>
    <n v="0"/>
  </r>
  <r>
    <x v="4"/>
    <d v="2024-01-26T01:00:00"/>
    <n v="0"/>
    <n v="0"/>
    <n v="0"/>
    <n v="21.005361068899301"/>
    <s v="OK"/>
    <s v="ZERO"/>
    <n v="0"/>
    <n v="0"/>
    <x v="0"/>
    <n v="0"/>
    <x v="0"/>
    <n v="0"/>
  </r>
  <r>
    <x v="4"/>
    <d v="2024-01-26T02:00:00"/>
    <n v="0"/>
    <n v="0"/>
    <n v="0"/>
    <n v="87.337330970106393"/>
    <s v="OK"/>
    <s v="ZERO"/>
    <n v="0"/>
    <n v="0"/>
    <x v="0"/>
    <n v="0"/>
    <x v="0"/>
    <n v="0"/>
  </r>
  <r>
    <x v="4"/>
    <d v="2024-01-26T03:00:00"/>
    <n v="0"/>
    <n v="0"/>
    <n v="0"/>
    <n v="41.8477106528862"/>
    <s v="OK"/>
    <s v="ZERO"/>
    <n v="0"/>
    <n v="0"/>
    <x v="0"/>
    <n v="0"/>
    <x v="0"/>
    <n v="0"/>
  </r>
  <r>
    <x v="4"/>
    <d v="2024-01-26T04:00:00"/>
    <n v="0"/>
    <n v="0"/>
    <n v="0"/>
    <n v="71.333678634739698"/>
    <s v="OK"/>
    <s v="ZERO"/>
    <n v="0"/>
    <n v="0"/>
    <x v="0"/>
    <n v="0"/>
    <x v="0"/>
    <n v="0"/>
  </r>
  <r>
    <x v="4"/>
    <d v="2024-01-26T05:00:00"/>
    <n v="0"/>
    <n v="0"/>
    <n v="0"/>
    <n v="83.359277021717105"/>
    <s v="OK"/>
    <s v="ZERO"/>
    <n v="0"/>
    <n v="0"/>
    <x v="0"/>
    <n v="0"/>
    <x v="0"/>
    <n v="0"/>
  </r>
  <r>
    <x v="4"/>
    <d v="2024-01-26T06:00:00"/>
    <n v="0"/>
    <n v="0"/>
    <n v="0"/>
    <n v="43.250138958672899"/>
    <s v="OK"/>
    <s v="ZERO"/>
    <n v="0"/>
    <n v="0"/>
    <x v="0"/>
    <n v="0"/>
    <x v="0"/>
    <n v="0"/>
  </r>
  <r>
    <x v="4"/>
    <d v="2024-01-26T07:00:00"/>
    <n v="275.50074744950302"/>
    <n v="260.69003268485102"/>
    <n v="260.69003268485102"/>
    <n v="86.221434188562199"/>
    <s v="OK"/>
    <s v="NON-ZERO"/>
    <n v="310.58285412302399"/>
    <n v="0.83935745075479895"/>
    <x v="0"/>
    <n v="-49.892821438172973"/>
    <x v="1"/>
    <n v="-2.4946410719086489"/>
  </r>
  <r>
    <x v="4"/>
    <d v="2024-01-26T08:00:00"/>
    <n v="616.27306528087195"/>
    <n v="583.14268479547695"/>
    <n v="583.14268479547695"/>
    <n v="50.044201798985803"/>
    <s v="OK"/>
    <s v="NON-ZERO"/>
    <n v="600"/>
    <n v="0.97190447465912821"/>
    <x v="1"/>
    <n v="-16.857315204523047"/>
    <x v="1"/>
    <n v="0"/>
  </r>
  <r>
    <x v="4"/>
    <d v="2024-01-26T09:00:00"/>
    <n v="740.445378707999"/>
    <n v="700.63958723783503"/>
    <n v="700.63958723783503"/>
    <n v="44.158444697685297"/>
    <s v="OK"/>
    <s v="NON-ZERO"/>
    <n v="848.52813742385695"/>
    <n v="0.8257116721726947"/>
    <x v="0"/>
    <n v="-147.88855018602192"/>
    <x v="1"/>
    <n v="-7.3944275093010958"/>
  </r>
  <r>
    <x v="4"/>
    <d v="2024-01-26T10:00:00"/>
    <n v="911.67509675480005"/>
    <n v="862.66412331434901"/>
    <n v="862.66412331434901"/>
    <n v="62.389814088331299"/>
    <s v="OK"/>
    <s v="NON-ZERO"/>
    <n v="1039.23048454132"/>
    <n v="0.83009893969295823"/>
    <x v="0"/>
    <n v="-176.56636122697103"/>
    <x v="1"/>
    <n v="-8.8283180613485506"/>
  </r>
  <r>
    <x v="4"/>
    <d v="2024-01-26T11:00:00"/>
    <n v="1156.47380856368"/>
    <n v="1094.30263890263"/>
    <n v="1094.30263890263"/>
    <n v="84.835767771337103"/>
    <s v="OK"/>
    <s v="NON-ZERO"/>
    <n v="1159.1109915468801"/>
    <n v="0.9440878801798257"/>
    <x v="1"/>
    <n v="-64.808352644250135"/>
    <x v="1"/>
    <n v="0"/>
  </r>
  <r>
    <x v="4"/>
    <d v="2024-01-26T12:00:00"/>
    <n v="1207.3528203768799"/>
    <n v="1142.4464329770501"/>
    <n v="1142.4464329770501"/>
    <n v="74.353211559828296"/>
    <s v="OK"/>
    <s v="NON-ZERO"/>
    <n v="1200"/>
    <n v="0.95203869414754172"/>
    <x v="1"/>
    <n v="-57.553567022949892"/>
    <x v="1"/>
    <n v="0"/>
  </r>
  <r>
    <x v="4"/>
    <d v="2024-01-26T13:00:00"/>
    <n v="979.83288918911205"/>
    <n v="927.15780364704801"/>
    <n v="927.15780364704801"/>
    <n v="79.819951211734093"/>
    <s v="OK"/>
    <s v="NON-ZERO"/>
    <n v="1159.1109915468801"/>
    <n v="0.79988699133093266"/>
    <x v="0"/>
    <n v="-231.95318789983207"/>
    <x v="1"/>
    <n v="-11.597659394991604"/>
  </r>
  <r>
    <x v="4"/>
    <d v="2024-01-26T14:00:00"/>
    <n v="990.99384684999302"/>
    <n v="937.71875654588803"/>
    <n v="937.71875654588803"/>
    <n v="45.557261701166503"/>
    <s v="OK"/>
    <s v="NON-ZERO"/>
    <n v="1039.23048454132"/>
    <n v="0.90232029419322146"/>
    <x v="1"/>
    <n v="-101.51172799543201"/>
    <x v="1"/>
    <n v="0"/>
  </r>
  <r>
    <x v="4"/>
    <d v="2024-01-26T15:00:00"/>
    <n v="733.14153626146901"/>
    <n v="693.72839391535604"/>
    <n v="693.72839391535604"/>
    <n v="52.859176031064699"/>
    <s v="OK"/>
    <s v="NON-ZERO"/>
    <n v="848.52813742385695"/>
    <n v="0.8175667527320013"/>
    <x v="0"/>
    <n v="-154.79974350850091"/>
    <x v="1"/>
    <n v="-7.7399871754250453"/>
  </r>
  <r>
    <x v="4"/>
    <d v="2024-01-26T16:00:00"/>
    <n v="608.52705353577301"/>
    <n v="575.81309286623002"/>
    <n v="575.81309286623002"/>
    <n v="57.565246503662401"/>
    <s v="OK"/>
    <s v="NON-ZERO"/>
    <n v="600"/>
    <n v="0.95968848811038332"/>
    <x v="1"/>
    <n v="-24.186907133769978"/>
    <x v="1"/>
    <n v="0"/>
  </r>
  <r>
    <x v="4"/>
    <d v="2024-01-26T17:00:00"/>
    <n v="252.55366374813201"/>
    <n v="238.97656709351301"/>
    <n v="238.97656709351301"/>
    <n v="84.981134714361801"/>
    <s v="OK"/>
    <s v="NON-ZERO"/>
    <n v="310.58285412302502"/>
    <n v="0.76944546011175485"/>
    <x v="0"/>
    <n v="-71.606287029512004"/>
    <x v="1"/>
    <n v="-3.5803143514756002"/>
  </r>
  <r>
    <x v="4"/>
    <d v="2024-01-26T18:00:00"/>
    <n v="1.2667229483994999E-13"/>
    <n v="1.19862486718459E-13"/>
    <n v="1.19862486718459E-13"/>
    <n v="42.035152161162998"/>
    <s v="OK"/>
    <s v="NON-ZERO"/>
    <n v="1.46957615897682E-13"/>
    <n v="0.81562623336181661"/>
    <x v="0"/>
    <n v="-2.7095129179223006E-14"/>
    <x v="1"/>
    <n v="-1.3547564589611503E-15"/>
  </r>
  <r>
    <x v="4"/>
    <d v="2024-01-26T19:00:00"/>
    <n v="0"/>
    <n v="0"/>
    <n v="0"/>
    <n v="87.369431275611802"/>
    <s v="OK"/>
    <s v="ZERO"/>
    <n v="0"/>
    <n v="0"/>
    <x v="0"/>
    <n v="0"/>
    <x v="0"/>
    <n v="0"/>
  </r>
  <r>
    <x v="4"/>
    <d v="2024-01-26T20:00:00"/>
    <n v="0"/>
    <n v="0"/>
    <n v="0"/>
    <n v="78.2036719152035"/>
    <s v="OK"/>
    <s v="ZERO"/>
    <n v="0"/>
    <n v="0"/>
    <x v="0"/>
    <n v="0"/>
    <x v="0"/>
    <n v="0"/>
  </r>
  <r>
    <x v="4"/>
    <d v="2024-01-26T21:00:00"/>
    <n v="0"/>
    <n v="0"/>
    <n v="0"/>
    <n v="58.143344140153602"/>
    <s v="OK"/>
    <s v="ZERO"/>
    <n v="0"/>
    <n v="0"/>
    <x v="0"/>
    <n v="0"/>
    <x v="0"/>
    <n v="0"/>
  </r>
  <r>
    <x v="4"/>
    <d v="2024-01-26T22:00:00"/>
    <n v="0"/>
    <n v="0"/>
    <n v="0"/>
    <n v="33.735152867882697"/>
    <s v="OK"/>
    <s v="ZERO"/>
    <n v="0"/>
    <n v="0"/>
    <x v="0"/>
    <n v="0"/>
    <x v="0"/>
    <n v="0"/>
  </r>
  <r>
    <x v="4"/>
    <d v="2024-01-26T23:00:00"/>
    <n v="0"/>
    <n v="0"/>
    <n v="0"/>
    <n v="66.054873854554799"/>
    <s v="OK"/>
    <s v="ZERO"/>
    <n v="0"/>
    <n v="0"/>
    <x v="0"/>
    <n v="0"/>
    <x v="0"/>
    <n v="0"/>
  </r>
  <r>
    <x v="4"/>
    <d v="2024-01-27T00:00:00"/>
    <n v="0"/>
    <n v="0"/>
    <n v="0"/>
    <n v="25.795379470038199"/>
    <s v="OK"/>
    <s v="ZERO"/>
    <n v="0"/>
    <n v="0"/>
    <x v="0"/>
    <n v="0"/>
    <x v="0"/>
    <n v="0"/>
  </r>
  <r>
    <x v="4"/>
    <d v="2024-01-27T01:00:00"/>
    <n v="0"/>
    <n v="0"/>
    <n v="0"/>
    <n v="57.393971554340901"/>
    <s v="OK"/>
    <s v="ZERO"/>
    <n v="0"/>
    <n v="0"/>
    <x v="0"/>
    <n v="0"/>
    <x v="0"/>
    <n v="0"/>
  </r>
  <r>
    <x v="4"/>
    <d v="2024-01-27T02:00:00"/>
    <n v="0"/>
    <n v="0"/>
    <n v="0"/>
    <n v="80.731528807674707"/>
    <s v="OK"/>
    <s v="ZERO"/>
    <n v="0"/>
    <n v="0"/>
    <x v="0"/>
    <n v="0"/>
    <x v="0"/>
    <n v="0"/>
  </r>
  <r>
    <x v="4"/>
    <d v="2024-01-27T03:00:00"/>
    <n v="0"/>
    <n v="0"/>
    <n v="0"/>
    <n v="24.354750416831799"/>
    <s v="OK"/>
    <s v="ZERO"/>
    <n v="0"/>
    <n v="0"/>
    <x v="0"/>
    <n v="0"/>
    <x v="0"/>
    <n v="0"/>
  </r>
  <r>
    <x v="4"/>
    <d v="2024-01-27T04:00:00"/>
    <n v="0"/>
    <n v="0"/>
    <n v="0"/>
    <n v="83.325016189950304"/>
    <s v="OK"/>
    <s v="ZERO"/>
    <n v="0"/>
    <n v="0"/>
    <x v="0"/>
    <n v="0"/>
    <x v="0"/>
    <n v="0"/>
  </r>
  <r>
    <x v="4"/>
    <d v="2024-01-27T05:00:00"/>
    <n v="0"/>
    <n v="0"/>
    <n v="0"/>
    <n v="55.902665063808897"/>
    <s v="OK"/>
    <s v="ZERO"/>
    <n v="0"/>
    <n v="0"/>
    <x v="0"/>
    <n v="0"/>
    <x v="0"/>
    <n v="0"/>
  </r>
  <r>
    <x v="4"/>
    <d v="2024-01-27T06:00:00"/>
    <n v="0"/>
    <n v="0"/>
    <n v="0"/>
    <n v="74.334531743855806"/>
    <s v="OK"/>
    <s v="ZERO"/>
    <n v="0"/>
    <n v="0"/>
    <x v="0"/>
    <n v="0"/>
    <x v="0"/>
    <n v="0"/>
  </r>
  <r>
    <x v="4"/>
    <d v="2024-01-27T07:00:00"/>
    <n v="275.75050780765503"/>
    <n v="260.92636611237498"/>
    <n v="260.92636611237498"/>
    <n v="24.271096152383599"/>
    <s v="OK"/>
    <s v="NON-ZERO"/>
    <n v="310.58285412302399"/>
    <n v="0.84011838595900168"/>
    <x v="0"/>
    <n v="-49.656488010649014"/>
    <x v="1"/>
    <n v="-2.4828244005324502"/>
  </r>
  <r>
    <x v="4"/>
    <d v="2024-01-27T08:00:00"/>
    <n v="543.08939826968003"/>
    <n v="513.89331715576895"/>
    <n v="513.89331715576895"/>
    <n v="94.229216784972905"/>
    <s v="OK"/>
    <s v="NON-ZERO"/>
    <n v="600"/>
    <n v="0.8564888619262816"/>
    <x v="1"/>
    <n v="-86.106682844231045"/>
    <x v="1"/>
    <n v="0"/>
  </r>
  <r>
    <x v="4"/>
    <d v="2024-01-27T09:00:00"/>
    <n v="673.89991513028895"/>
    <n v="637.67155816458796"/>
    <n v="637.67155816458796"/>
    <n v="60.122502924905298"/>
    <s v="OK"/>
    <s v="NON-ZERO"/>
    <n v="848.52813742385695"/>
    <n v="0.75150313824662029"/>
    <x v="0"/>
    <n v="-210.85657925926898"/>
    <x v="1"/>
    <n v="-10.54282896296345"/>
  </r>
  <r>
    <x v="4"/>
    <d v="2024-01-27T10:00:00"/>
    <n v="1008.15880397233"/>
    <n v="953.960938371824"/>
    <n v="953.960938371824"/>
    <n v="58.591481850033503"/>
    <s v="OK"/>
    <s v="NON-ZERO"/>
    <n v="1039.23048454132"/>
    <n v="0.91794934094227321"/>
    <x v="1"/>
    <n v="-85.269546169496039"/>
    <x v="1"/>
    <n v="0"/>
  </r>
  <r>
    <x v="4"/>
    <d v="2024-01-27T11:00:00"/>
    <n v="1072.2185900699601"/>
    <n v="1014.57691813296"/>
    <n v="1014.57691813296"/>
    <n v="88.343386681572397"/>
    <s v="OK"/>
    <s v="NON-ZERO"/>
    <n v="1159.1109915468801"/>
    <n v="0.87530609711410501"/>
    <x v="1"/>
    <n v="-144.53407341392005"/>
    <x v="1"/>
    <n v="0"/>
  </r>
  <r>
    <x v="4"/>
    <d v="2024-01-27T12:00:00"/>
    <n v="1119.1791670233899"/>
    <n v="1059.0129294840101"/>
    <n v="1059.0129294840101"/>
    <n v="69.045775413494397"/>
    <s v="OK"/>
    <s v="NON-ZERO"/>
    <n v="1200"/>
    <n v="0.88251077457000837"/>
    <x v="1"/>
    <n v="-140.9870705159899"/>
    <x v="1"/>
    <n v="0"/>
  </r>
  <r>
    <x v="4"/>
    <d v="2024-01-27T13:00:00"/>
    <n v="1066.56431212539"/>
    <n v="1009.22660995476"/>
    <n v="1009.22660995476"/>
    <n v="51.184167618293898"/>
    <s v="OK"/>
    <s v="NON-ZERO"/>
    <n v="1159.1109915468801"/>
    <n v="0.87069022493515191"/>
    <x v="1"/>
    <n v="-149.88438159212012"/>
    <x v="1"/>
    <n v="0"/>
  </r>
  <r>
    <x v="4"/>
    <d v="2024-01-27T14:00:00"/>
    <n v="972.39409787090597"/>
    <n v="920.11891620361405"/>
    <n v="920.11891620361405"/>
    <n v="70.304430505904193"/>
    <s v="OK"/>
    <s v="NON-ZERO"/>
    <n v="1039.23048454132"/>
    <n v="0.88538483992771089"/>
    <x v="1"/>
    <n v="-119.11156833770599"/>
    <x v="1"/>
    <n v="0"/>
  </r>
  <r>
    <x v="4"/>
    <d v="2024-01-27T15:00:00"/>
    <n v="800.72113599533702"/>
    <n v="757.674964756078"/>
    <n v="757.674964756078"/>
    <n v="21.675870032471799"/>
    <s v="OK"/>
    <s v="NON-ZERO"/>
    <n v="848.52813742385695"/>
    <n v="0.89292850919050204"/>
    <x v="1"/>
    <n v="-90.853172667778949"/>
    <x v="1"/>
    <n v="0"/>
  </r>
  <r>
    <x v="4"/>
    <d v="2024-01-27T16:00:00"/>
    <n v="568.32709819807201"/>
    <n v="537.77425715368599"/>
    <n v="537.77425715368599"/>
    <n v="24.7041193176041"/>
    <s v="OK"/>
    <s v="NON-ZERO"/>
    <n v="600"/>
    <n v="0.89629042858947661"/>
    <x v="1"/>
    <n v="-62.225742846314006"/>
    <x v="1"/>
    <n v="0"/>
  </r>
  <r>
    <x v="4"/>
    <d v="2024-01-27T17:00:00"/>
    <n v="325.22191657649398"/>
    <n v="307.738228832559"/>
    <n v="307.738228832559"/>
    <n v="88.904281200037204"/>
    <s v="OK"/>
    <s v="NON-ZERO"/>
    <n v="310.58285412302502"/>
    <n v="0.99084100988607948"/>
    <x v="1"/>
    <n v="-2.8446252904660128"/>
    <x v="1"/>
    <n v="0"/>
  </r>
  <r>
    <x v="4"/>
    <d v="2024-01-27T18:00:00"/>
    <n v="1.4022547909335699E-13"/>
    <n v="1.32687061891897E-13"/>
    <n v="1.32687061891897E-13"/>
    <n v="36.028473113943399"/>
    <s v="OK"/>
    <s v="NON-ZERO"/>
    <n v="1.46957615897682E-13"/>
    <n v="0.90289340284534314"/>
    <x v="1"/>
    <n v="-1.4270554005785001E-14"/>
    <x v="1"/>
    <n v="0"/>
  </r>
  <r>
    <x v="4"/>
    <d v="2024-01-27T19:00:00"/>
    <n v="0"/>
    <n v="0"/>
    <n v="0"/>
    <n v="58.6236802771854"/>
    <s v="OK"/>
    <s v="ZERO"/>
    <n v="0"/>
    <n v="0"/>
    <x v="0"/>
    <n v="0"/>
    <x v="0"/>
    <n v="0"/>
  </r>
  <r>
    <x v="4"/>
    <d v="2024-01-27T20:00:00"/>
    <n v="0"/>
    <n v="0"/>
    <n v="0"/>
    <n v="62.791464121247898"/>
    <s v="OK"/>
    <s v="ZERO"/>
    <n v="0"/>
    <n v="0"/>
    <x v="0"/>
    <n v="0"/>
    <x v="0"/>
    <n v="0"/>
  </r>
  <r>
    <x v="4"/>
    <d v="2024-01-27T21:00:00"/>
    <n v="0"/>
    <n v="0"/>
    <n v="0"/>
    <n v="32.523040525441502"/>
    <s v="OK"/>
    <s v="ZERO"/>
    <n v="0"/>
    <n v="0"/>
    <x v="0"/>
    <n v="0"/>
    <x v="0"/>
    <n v="0"/>
  </r>
  <r>
    <x v="4"/>
    <d v="2024-01-27T22:00:00"/>
    <n v="0"/>
    <n v="0"/>
    <n v="0"/>
    <n v="76.348047173913201"/>
    <s v="OK"/>
    <s v="ZERO"/>
    <n v="0"/>
    <n v="0"/>
    <x v="0"/>
    <n v="0"/>
    <x v="0"/>
    <n v="0"/>
  </r>
  <r>
    <x v="4"/>
    <d v="2024-01-27T23:00:00"/>
    <n v="0"/>
    <n v="0"/>
    <n v="0"/>
    <n v="35.479005668613503"/>
    <s v="OK"/>
    <s v="ZERO"/>
    <n v="0"/>
    <n v="0"/>
    <x v="0"/>
    <n v="0"/>
    <x v="0"/>
    <n v="0"/>
  </r>
  <r>
    <x v="4"/>
    <d v="2024-01-28T00:00:00"/>
    <n v="0"/>
    <n v="0"/>
    <n v="0"/>
    <n v="49.742278759781001"/>
    <s v="OK"/>
    <s v="ZERO"/>
    <n v="0"/>
    <n v="0"/>
    <x v="0"/>
    <n v="0"/>
    <x v="0"/>
    <n v="0"/>
  </r>
  <r>
    <x v="4"/>
    <d v="2024-01-28T01:00:00"/>
    <n v="0"/>
    <n v="0"/>
    <n v="0"/>
    <n v="69.259550347252301"/>
    <s v="OK"/>
    <s v="ZERO"/>
    <n v="0"/>
    <n v="0"/>
    <x v="0"/>
    <n v="0"/>
    <x v="0"/>
    <n v="0"/>
  </r>
  <r>
    <x v="4"/>
    <d v="2024-01-28T02:00:00"/>
    <n v="0"/>
    <n v="0"/>
    <n v="0"/>
    <n v="41.830916103173401"/>
    <s v="OK"/>
    <s v="ZERO"/>
    <n v="0"/>
    <n v="0"/>
    <x v="0"/>
    <n v="0"/>
    <x v="0"/>
    <n v="0"/>
  </r>
  <r>
    <x v="4"/>
    <d v="2024-01-28T03:00:00"/>
    <n v="0"/>
    <n v="0"/>
    <n v="0"/>
    <n v="76.017774151664199"/>
    <s v="OK"/>
    <s v="ZERO"/>
    <n v="0"/>
    <n v="0"/>
    <x v="0"/>
    <n v="0"/>
    <x v="0"/>
    <n v="0"/>
  </r>
  <r>
    <x v="4"/>
    <d v="2024-01-28T04:00:00"/>
    <n v="0"/>
    <n v="0"/>
    <n v="0"/>
    <n v="80.086669797586794"/>
    <s v="OK"/>
    <s v="ZERO"/>
    <n v="0"/>
    <n v="0"/>
    <x v="0"/>
    <n v="0"/>
    <x v="0"/>
    <n v="0"/>
  </r>
  <r>
    <x v="4"/>
    <d v="2024-01-28T05:00:00"/>
    <n v="0"/>
    <n v="0"/>
    <n v="0"/>
    <n v="78.793769663491105"/>
    <s v="OK"/>
    <s v="ZERO"/>
    <n v="0"/>
    <n v="0"/>
    <x v="0"/>
    <n v="0"/>
    <x v="0"/>
    <n v="0"/>
  </r>
  <r>
    <x v="4"/>
    <d v="2024-01-28T06:00:00"/>
    <n v="0"/>
    <n v="0"/>
    <n v="0"/>
    <n v="75.177312897969003"/>
    <s v="OK"/>
    <s v="ZERO"/>
    <n v="0"/>
    <n v="0"/>
    <x v="0"/>
    <n v="0"/>
    <x v="0"/>
    <n v="0"/>
  </r>
  <r>
    <x v="4"/>
    <d v="2024-01-28T07:00:00"/>
    <n v="320.28885091439901"/>
    <n v="303.07036110227602"/>
    <n v="303.07036110227602"/>
    <n v="85.372757789004098"/>
    <s v="OK"/>
    <s v="NON-ZERO"/>
    <n v="310.58285412302399"/>
    <n v="0.97581162990481052"/>
    <x v="1"/>
    <n v="-7.5124930207479679"/>
    <x v="1"/>
    <n v="0"/>
  </r>
  <r>
    <x v="4"/>
    <d v="2024-01-28T08:00:00"/>
    <n v="589.10683857877302"/>
    <n v="557.43689418526299"/>
    <n v="557.43689418526299"/>
    <n v="52.6468498621498"/>
    <s v="OK"/>
    <s v="NON-ZERO"/>
    <n v="600"/>
    <n v="0.92906149030877161"/>
    <x v="1"/>
    <n v="-42.563105814737014"/>
    <x v="1"/>
    <n v="0"/>
  </r>
  <r>
    <x v="4"/>
    <d v="2024-01-28T09:00:00"/>
    <n v="694.57657564314604"/>
    <n v="657.23665682515696"/>
    <n v="657.23665682515696"/>
    <n v="80.412733344489695"/>
    <s v="OK"/>
    <s v="NON-ZERO"/>
    <n v="848.52813742385695"/>
    <n v="0.77456082814240723"/>
    <x v="0"/>
    <n v="-191.29148059869999"/>
    <x v="1"/>
    <n v="-9.5645740299350006"/>
  </r>
  <r>
    <x v="4"/>
    <d v="2024-01-28T10:00:00"/>
    <n v="967.34494993929002"/>
    <n v="915.34120670006803"/>
    <n v="915.34120670006803"/>
    <n v="85.716746984872998"/>
    <s v="OK"/>
    <s v="NON-ZERO"/>
    <n v="1039.23048454132"/>
    <n v="0.88078748681440733"/>
    <x v="1"/>
    <n v="-123.88927784125201"/>
    <x v="1"/>
    <n v="0"/>
  </r>
  <r>
    <x v="4"/>
    <d v="2024-01-28T11:00:00"/>
    <n v="1240.80726585146"/>
    <n v="1174.1023924071401"/>
    <n v="1174.1023924071401"/>
    <n v="52.126271285986299"/>
    <s v="OK"/>
    <s v="NON-ZERO"/>
    <n v="1159.1109915468801"/>
    <n v="1.0129335335180054"/>
    <x v="1"/>
    <n v="14.991400860260001"/>
    <x v="0"/>
    <n v="0"/>
  </r>
  <r>
    <x v="4"/>
    <d v="2024-01-28T12:00:00"/>
    <n v="1174.7756529726"/>
    <n v="1111.62058980231"/>
    <n v="1111.62058980231"/>
    <n v="21.954341448919401"/>
    <s v="OK"/>
    <s v="NON-ZERO"/>
    <n v="1200"/>
    <n v="0.92635049150192494"/>
    <x v="1"/>
    <n v="-88.379410197690049"/>
    <x v="1"/>
    <n v="0"/>
  </r>
  <r>
    <x v="4"/>
    <d v="2024-01-28T13:00:00"/>
    <n v="1098.67433622317"/>
    <n v="1039.6104230988401"/>
    <n v="1039.6104230988401"/>
    <n v="82.583746801082199"/>
    <s v="OK"/>
    <s v="NON-ZERO"/>
    <n v="1159.1109915468801"/>
    <n v="0.8969032566168994"/>
    <x v="1"/>
    <n v="-119.50056844803999"/>
    <x v="1"/>
    <n v="0"/>
  </r>
  <r>
    <x v="4"/>
    <d v="2024-01-28T14:00:00"/>
    <n v="968.85400765085205"/>
    <n v="916.76913859423598"/>
    <n v="916.76913859423598"/>
    <n v="41.6343762813596"/>
    <s v="OK"/>
    <s v="NON-ZERO"/>
    <n v="1039.23048454132"/>
    <n v="0.88216151492021122"/>
    <x v="1"/>
    <n v="-122.46134594708406"/>
    <x v="1"/>
    <n v="0"/>
  </r>
  <r>
    <x v="4"/>
    <d v="2024-01-28T15:00:00"/>
    <n v="902.245707317648"/>
    <n v="853.741650822618"/>
    <n v="853.741650822618"/>
    <n v="80.693437756511202"/>
    <s v="OK"/>
    <s v="NON-ZERO"/>
    <n v="848.52813742385695"/>
    <n v="1.0061441844634516"/>
    <x v="1"/>
    <n v="5.2135133987610516"/>
    <x v="0"/>
    <n v="0"/>
  </r>
  <r>
    <x v="4"/>
    <d v="2024-01-28T16:00:00"/>
    <n v="549.750010337802"/>
    <n v="520.19585968537899"/>
    <n v="520.19585968537899"/>
    <n v="37.778113168901001"/>
    <s v="OK"/>
    <s v="NON-ZERO"/>
    <n v="600"/>
    <n v="0.86699309947563163"/>
    <x v="1"/>
    <n v="-79.804140314621009"/>
    <x v="1"/>
    <n v="0"/>
  </r>
  <r>
    <x v="4"/>
    <d v="2024-01-28T17:00:00"/>
    <n v="306.07990064761799"/>
    <n v="289.62527340739302"/>
    <n v="289.62527340739302"/>
    <n v="74.682746269615706"/>
    <s v="OK"/>
    <s v="NON-ZERO"/>
    <n v="310.58285412302502"/>
    <n v="0.93252177176744444"/>
    <x v="1"/>
    <n v="-20.957580715631991"/>
    <x v="1"/>
    <n v="0"/>
  </r>
  <r>
    <x v="4"/>
    <d v="2024-01-28T18:00:00"/>
    <n v="1.3331639926689301E-13"/>
    <n v="1.2614940904537101E-13"/>
    <n v="1.2614940904537101E-13"/>
    <n v="48.227797047369997"/>
    <s v="OK"/>
    <s v="NON-ZERO"/>
    <n v="1.46957615897682E-13"/>
    <n v="0.85840674724337851"/>
    <x v="1"/>
    <n v="-2.0808206852310991E-14"/>
    <x v="1"/>
    <n v="0"/>
  </r>
  <r>
    <x v="4"/>
    <d v="2024-01-28T19:00:00"/>
    <n v="0"/>
    <n v="0"/>
    <n v="0"/>
    <n v="56.742060659811798"/>
    <s v="OK"/>
    <s v="ZERO"/>
    <n v="0"/>
    <n v="0"/>
    <x v="0"/>
    <n v="0"/>
    <x v="0"/>
    <n v="0"/>
  </r>
  <r>
    <x v="4"/>
    <d v="2024-01-28T20:00:00"/>
    <n v="0"/>
    <n v="0"/>
    <n v="0"/>
    <n v="22.414731656550199"/>
    <s v="OK"/>
    <s v="ZERO"/>
    <n v="0"/>
    <n v="0"/>
    <x v="0"/>
    <n v="0"/>
    <x v="0"/>
    <n v="0"/>
  </r>
  <r>
    <x v="4"/>
    <d v="2024-01-28T21:00:00"/>
    <n v="0"/>
    <n v="0"/>
    <n v="0"/>
    <n v="66.226724269926805"/>
    <s v="OK"/>
    <s v="ZERO"/>
    <n v="0"/>
    <n v="0"/>
    <x v="0"/>
    <n v="0"/>
    <x v="0"/>
    <n v="0"/>
  </r>
  <r>
    <x v="4"/>
    <d v="2024-01-28T22:00:00"/>
    <n v="0"/>
    <n v="0"/>
    <n v="0"/>
    <n v="80.981522308536398"/>
    <s v="OK"/>
    <s v="ZERO"/>
    <n v="0"/>
    <n v="0"/>
    <x v="0"/>
    <n v="0"/>
    <x v="0"/>
    <n v="0"/>
  </r>
  <r>
    <x v="4"/>
    <d v="2024-01-28T23:00:00"/>
    <n v="0"/>
    <n v="0"/>
    <n v="0"/>
    <n v="88.611136189342005"/>
    <s v="OK"/>
    <s v="ZERO"/>
    <n v="0"/>
    <n v="0"/>
    <x v="0"/>
    <n v="0"/>
    <x v="0"/>
    <n v="0"/>
  </r>
  <r>
    <x v="4"/>
    <d v="2024-01-29T00:00:00"/>
    <n v="0"/>
    <n v="0"/>
    <n v="0"/>
    <n v="76.978374525422495"/>
    <s v="OK"/>
    <s v="ZERO"/>
    <n v="0"/>
    <n v="0"/>
    <x v="0"/>
    <n v="0"/>
    <x v="0"/>
    <n v="0"/>
  </r>
  <r>
    <x v="4"/>
    <d v="2024-01-29T01:00:00"/>
    <n v="0"/>
    <n v="0"/>
    <n v="0"/>
    <n v="89.7520128416121"/>
    <s v="OK"/>
    <s v="ZERO"/>
    <n v="0"/>
    <n v="0"/>
    <x v="0"/>
    <n v="0"/>
    <x v="0"/>
    <n v="0"/>
  </r>
  <r>
    <x v="4"/>
    <d v="2024-01-29T02:00:00"/>
    <n v="0"/>
    <n v="0"/>
    <n v="0"/>
    <n v="71.167195068243799"/>
    <s v="OK"/>
    <s v="ZERO"/>
    <n v="0"/>
    <n v="0"/>
    <x v="0"/>
    <n v="0"/>
    <x v="0"/>
    <n v="0"/>
  </r>
  <r>
    <x v="4"/>
    <d v="2024-01-29T03:00:00"/>
    <n v="0"/>
    <n v="0"/>
    <n v="0"/>
    <n v="41.394774645614902"/>
    <s v="OK"/>
    <s v="ZERO"/>
    <n v="0"/>
    <n v="0"/>
    <x v="0"/>
    <n v="0"/>
    <x v="0"/>
    <n v="0"/>
  </r>
  <r>
    <x v="4"/>
    <d v="2024-01-29T04:00:00"/>
    <n v="0"/>
    <n v="0"/>
    <n v="0"/>
    <n v="57.202466745606102"/>
    <s v="OK"/>
    <s v="ZERO"/>
    <n v="0"/>
    <n v="0"/>
    <x v="0"/>
    <n v="0"/>
    <x v="0"/>
    <n v="0"/>
  </r>
  <r>
    <x v="4"/>
    <d v="2024-01-29T05:00:00"/>
    <n v="0"/>
    <n v="0"/>
    <n v="0"/>
    <n v="50.680702592457102"/>
    <s v="OK"/>
    <s v="ZERO"/>
    <n v="0"/>
    <n v="0"/>
    <x v="0"/>
    <n v="0"/>
    <x v="0"/>
    <n v="0"/>
  </r>
  <r>
    <x v="4"/>
    <d v="2024-01-29T06:00:00"/>
    <n v="0"/>
    <n v="0"/>
    <n v="0"/>
    <n v="61.226319188992697"/>
    <s v="OK"/>
    <s v="ZERO"/>
    <n v="0"/>
    <n v="0"/>
    <x v="0"/>
    <n v="0"/>
    <x v="0"/>
    <n v="0"/>
  </r>
  <r>
    <x v="4"/>
    <d v="2024-01-29T07:00:00"/>
    <n v="260.45326868621999"/>
    <n v="246.45149516021499"/>
    <n v="246.45149516021499"/>
    <n v="27.453708421314499"/>
    <s v="OK"/>
    <s v="NON-ZERO"/>
    <n v="310.58285412302399"/>
    <n v="0.79351288034269229"/>
    <x v="0"/>
    <n v="-64.131358962809003"/>
    <x v="1"/>
    <n v="-3.2065679481404499"/>
  </r>
  <r>
    <x v="4"/>
    <d v="2024-01-29T08:00:00"/>
    <n v="540.92982388420398"/>
    <n v="511.849839879039"/>
    <n v="511.849839879039"/>
    <n v="25.318094174888099"/>
    <s v="OK"/>
    <s v="NON-ZERO"/>
    <n v="600"/>
    <n v="0.85308306646506504"/>
    <x v="1"/>
    <n v="-88.150160120961004"/>
    <x v="1"/>
    <n v="0"/>
  </r>
  <r>
    <x v="4"/>
    <d v="2024-01-29T09:00:00"/>
    <n v="882.73455075808295"/>
    <n v="835.27939949183099"/>
    <n v="835.27939949183099"/>
    <n v="89.159032697091305"/>
    <s v="OK"/>
    <s v="NON-ZERO"/>
    <n v="848.52813742385695"/>
    <n v="0.98438621261016834"/>
    <x v="1"/>
    <n v="-13.248737932025961"/>
    <x v="1"/>
    <n v="0"/>
  </r>
  <r>
    <x v="4"/>
    <d v="2024-01-29T10:00:00"/>
    <n v="985.08543185105896"/>
    <n v="932.12797353187796"/>
    <n v="932.12797353187796"/>
    <n v="36.292510594432599"/>
    <s v="OK"/>
    <s v="NON-ZERO"/>
    <n v="1039.23048454132"/>
    <n v="0.89694056072968897"/>
    <x v="1"/>
    <n v="-107.10251100944208"/>
    <x v="1"/>
    <n v="0"/>
  </r>
  <r>
    <x v="4"/>
    <d v="2024-01-29T11:00:00"/>
    <n v="1048.2617630443499"/>
    <n v="991.90799226560898"/>
    <n v="991.90799226560898"/>
    <n v="89.202123796577496"/>
    <s v="OK"/>
    <s v="NON-ZERO"/>
    <n v="1159.1109915468801"/>
    <n v="0.85574893129247964"/>
    <x v="1"/>
    <n v="-167.2029992812711"/>
    <x v="1"/>
    <n v="0"/>
  </r>
  <r>
    <x v="4"/>
    <d v="2024-01-29T12:00:00"/>
    <n v="1150.0024317308601"/>
    <n v="1088.1791584631801"/>
    <n v="1088.1791584631801"/>
    <n v="76.327472115320603"/>
    <s v="OK"/>
    <s v="NON-ZERO"/>
    <n v="1200"/>
    <n v="0.90681596538598341"/>
    <x v="1"/>
    <n v="-111.8208415368199"/>
    <x v="1"/>
    <n v="0"/>
  </r>
  <r>
    <x v="4"/>
    <d v="2024-01-29T13:00:00"/>
    <n v="909.77750468263105"/>
    <n v="860.86854437710099"/>
    <n v="860.86854437710099"/>
    <n v="50.275524321802003"/>
    <s v="OK"/>
    <s v="NON-ZERO"/>
    <n v="1159.1109915468801"/>
    <n v="0.74269724871492881"/>
    <x v="0"/>
    <n v="-298.2424471697791"/>
    <x v="1"/>
    <n v="-14.912122358488956"/>
  </r>
  <r>
    <x v="4"/>
    <d v="2024-01-29T14:00:00"/>
    <n v="1020.17890997941"/>
    <n v="965.33485244237295"/>
    <n v="965.33485244237295"/>
    <n v="78.440383605416201"/>
    <s v="OK"/>
    <s v="NON-ZERO"/>
    <n v="1039.23048454132"/>
    <n v="0.92889389485955853"/>
    <x v="1"/>
    <n v="-73.89563209894709"/>
    <x v="1"/>
    <n v="0"/>
  </r>
  <r>
    <x v="4"/>
    <d v="2024-01-29T15:00:00"/>
    <n v="819.77920814732602"/>
    <n v="775.70848915921204"/>
    <n v="775.70848915921204"/>
    <n v="27.174768981413099"/>
    <s v="OK"/>
    <s v="NON-ZERO"/>
    <n v="848.52813742385695"/>
    <n v="0.91418122151408399"/>
    <x v="1"/>
    <n v="-72.819648264644911"/>
    <x v="1"/>
    <n v="0"/>
  </r>
  <r>
    <x v="4"/>
    <d v="2024-01-29T16:00:00"/>
    <n v="567.86639502580897"/>
    <n v="537.33832104045496"/>
    <n v="537.33832104045496"/>
    <n v="48.812013731936098"/>
    <s v="OK"/>
    <s v="NON-ZERO"/>
    <n v="600"/>
    <n v="0.8955638684007583"/>
    <x v="1"/>
    <n v="-62.661678959545043"/>
    <x v="1"/>
    <n v="0"/>
  </r>
  <r>
    <x v="4"/>
    <d v="2024-01-29T17:00:00"/>
    <n v="283.23580086535799"/>
    <n v="268.00925539646198"/>
    <n v="268.00925539646198"/>
    <n v="69.878608428691905"/>
    <s v="OK"/>
    <s v="NON-ZERO"/>
    <n v="310.58285412302502"/>
    <n v="0.86292353823981793"/>
    <x v="1"/>
    <n v="-42.573598726563034"/>
    <x v="1"/>
    <n v="0"/>
  </r>
  <r>
    <x v="4"/>
    <d v="2024-01-29T18:00:00"/>
    <n v="1.33808573870972E-13"/>
    <n v="1.2661512470970899E-13"/>
    <n v="1.2661512470970899E-13"/>
    <n v="41.944733271795698"/>
    <s v="OK"/>
    <s v="NON-ZERO"/>
    <n v="1.46957615897682E-13"/>
    <n v="0.86157579473706014"/>
    <x v="1"/>
    <n v="-2.0342491187973012E-14"/>
    <x v="1"/>
    <n v="0"/>
  </r>
  <r>
    <x v="4"/>
    <d v="2024-01-29T19:00:00"/>
    <n v="0"/>
    <n v="0"/>
    <n v="0"/>
    <n v="30.2170833738836"/>
    <s v="OK"/>
    <s v="ZERO"/>
    <n v="0"/>
    <n v="0"/>
    <x v="0"/>
    <n v="0"/>
    <x v="0"/>
    <n v="0"/>
  </r>
  <r>
    <x v="4"/>
    <d v="2024-01-29T20:00:00"/>
    <n v="0"/>
    <n v="0"/>
    <n v="0"/>
    <n v="38.787606852195402"/>
    <s v="OK"/>
    <s v="ZERO"/>
    <n v="0"/>
    <n v="0"/>
    <x v="0"/>
    <n v="0"/>
    <x v="0"/>
    <n v="0"/>
  </r>
  <r>
    <x v="4"/>
    <d v="2024-01-29T21:00:00"/>
    <n v="0"/>
    <n v="0"/>
    <n v="0"/>
    <n v="36.984545281854103"/>
    <s v="OK"/>
    <s v="ZERO"/>
    <n v="0"/>
    <n v="0"/>
    <x v="0"/>
    <n v="0"/>
    <x v="0"/>
    <n v="0"/>
  </r>
  <r>
    <x v="4"/>
    <d v="2024-01-29T22:00:00"/>
    <n v="0"/>
    <n v="0"/>
    <n v="0"/>
    <n v="94.757193873980597"/>
    <s v="OK"/>
    <s v="ZERO"/>
    <n v="0"/>
    <n v="0"/>
    <x v="0"/>
    <n v="0"/>
    <x v="0"/>
    <n v="0"/>
  </r>
  <r>
    <x v="4"/>
    <d v="2024-01-29T23:00:00"/>
    <n v="0"/>
    <n v="0"/>
    <n v="0"/>
    <n v="38.962715230609199"/>
    <s v="OK"/>
    <s v="ZERO"/>
    <n v="0"/>
    <n v="0"/>
    <x v="0"/>
    <n v="0"/>
    <x v="0"/>
    <n v="0"/>
  </r>
  <r>
    <x v="4"/>
    <d v="2024-01-30T00:00:00"/>
    <n v="0"/>
    <n v="0"/>
    <n v="0"/>
    <n v="45.083464015874299"/>
    <s v="OK"/>
    <s v="ZERO"/>
    <n v="0"/>
    <n v="0"/>
    <x v="0"/>
    <n v="0"/>
    <x v="0"/>
    <n v="0"/>
  </r>
  <r>
    <x v="4"/>
    <d v="2024-01-30T01:00:00"/>
    <n v="0"/>
    <n v="0"/>
    <n v="0"/>
    <n v="79.895976194258793"/>
    <s v="OK"/>
    <s v="ZERO"/>
    <n v="0"/>
    <n v="0"/>
    <x v="0"/>
    <n v="0"/>
    <x v="0"/>
    <n v="0"/>
  </r>
  <r>
    <x v="4"/>
    <d v="2024-01-30T02:00:00"/>
    <n v="0"/>
    <n v="0"/>
    <n v="0"/>
    <n v="35.784666285650196"/>
    <s v="OK"/>
    <s v="ZERO"/>
    <n v="0"/>
    <n v="0"/>
    <x v="0"/>
    <n v="0"/>
    <x v="0"/>
    <n v="0"/>
  </r>
  <r>
    <x v="4"/>
    <d v="2024-01-30T03:00:00"/>
    <n v="0"/>
    <n v="0"/>
    <n v="0"/>
    <n v="29.884000147558201"/>
    <s v="OK"/>
    <s v="ZERO"/>
    <n v="0"/>
    <n v="0"/>
    <x v="0"/>
    <n v="0"/>
    <x v="0"/>
    <n v="0"/>
  </r>
  <r>
    <x v="4"/>
    <d v="2024-01-30T04:00:00"/>
    <n v="0"/>
    <n v="0"/>
    <n v="0"/>
    <n v="53.872751351241703"/>
    <s v="OK"/>
    <s v="ZERO"/>
    <n v="0"/>
    <n v="0"/>
    <x v="0"/>
    <n v="0"/>
    <x v="0"/>
    <n v="0"/>
  </r>
  <r>
    <x v="4"/>
    <d v="2024-01-30T05:00:00"/>
    <n v="0"/>
    <n v="0"/>
    <n v="0"/>
    <n v="30.578726768738001"/>
    <s v="OK"/>
    <s v="ZERO"/>
    <n v="0"/>
    <n v="0"/>
    <x v="0"/>
    <n v="0"/>
    <x v="0"/>
    <n v="0"/>
  </r>
  <r>
    <x v="4"/>
    <d v="2024-01-30T06:00:00"/>
    <n v="0"/>
    <n v="0"/>
    <n v="0"/>
    <n v="73.651490937515405"/>
    <s v="OK"/>
    <s v="ZERO"/>
    <n v="0"/>
    <n v="0"/>
    <x v="0"/>
    <n v="0"/>
    <x v="0"/>
    <n v="0"/>
  </r>
  <r>
    <x v="4"/>
    <d v="2024-01-30T07:00:00"/>
    <n v="288.811278699247"/>
    <n v="273.28499969917601"/>
    <n v="273.28499969917601"/>
    <n v="73.471911166964404"/>
    <s v="OK"/>
    <s v="NON-ZERO"/>
    <n v="310.58285412302399"/>
    <n v="0.87991013048945055"/>
    <x v="1"/>
    <n v="-37.29785442384798"/>
    <x v="1"/>
    <n v="0"/>
  </r>
  <r>
    <x v="4"/>
    <d v="2024-01-30T08:00:00"/>
    <n v="582.97364431731"/>
    <n v="551.63341587427794"/>
    <n v="551.63341587427794"/>
    <n v="40.4984268990289"/>
    <s v="OK"/>
    <s v="NON-ZERO"/>
    <n v="600"/>
    <n v="0.91938902645712994"/>
    <x v="1"/>
    <n v="-48.366584125722056"/>
    <x v="1"/>
    <n v="0"/>
  </r>
  <r>
    <x v="4"/>
    <d v="2024-01-30T09:00:00"/>
    <n v="829.17782886799205"/>
    <n v="784.60184703771199"/>
    <n v="784.60184703771199"/>
    <n v="39.353292052753602"/>
    <s v="OK"/>
    <s v="NON-ZERO"/>
    <n v="848.52813742385695"/>
    <n v="0.92466214428642746"/>
    <x v="1"/>
    <n v="-63.926290386144956"/>
    <x v="1"/>
    <n v="0"/>
  </r>
  <r>
    <x v="4"/>
    <d v="2024-01-30T10:00:00"/>
    <n v="999.17544824799995"/>
    <n v="945.46052115308498"/>
    <n v="945.46052115308498"/>
    <n v="29.5749976236729"/>
    <s v="OK"/>
    <s v="NON-ZERO"/>
    <n v="1039.23048454132"/>
    <n v="0.90976981065983464"/>
    <x v="1"/>
    <n v="-93.769963388235055"/>
    <x v="1"/>
    <n v="0"/>
  </r>
  <r>
    <x v="4"/>
    <d v="2024-01-30T11:00:00"/>
    <n v="1076.5800385908401"/>
    <n v="1018.70389843332"/>
    <n v="1018.70389843332"/>
    <n v="87.618921965739702"/>
    <s v="OK"/>
    <s v="NON-ZERO"/>
    <n v="1159.1109915468801"/>
    <n v="0.87886656744909197"/>
    <x v="1"/>
    <n v="-140.40709311356011"/>
    <x v="1"/>
    <n v="0"/>
  </r>
  <r>
    <x v="4"/>
    <d v="2024-01-30T12:00:00"/>
    <n v="1199.2858463571299"/>
    <n v="1134.8131334657301"/>
    <n v="1134.8131334657301"/>
    <n v="90.042007861239696"/>
    <s v="OK"/>
    <s v="NON-ZERO"/>
    <n v="1200"/>
    <n v="0.94567761122144167"/>
    <x v="1"/>
    <n v="-65.186866534269939"/>
    <x v="1"/>
    <n v="0"/>
  </r>
  <r>
    <x v="4"/>
    <d v="2024-01-30T13:00:00"/>
    <n v="1100.56797217798"/>
    <n v="1041.40225859665"/>
    <n v="1041.40225859665"/>
    <n v="23.410846347952699"/>
    <s v="OK"/>
    <s v="NON-ZERO"/>
    <n v="1159.1109915468801"/>
    <n v="0.89844912712531255"/>
    <x v="1"/>
    <n v="-117.70873295023011"/>
    <x v="1"/>
    <n v="0"/>
  </r>
  <r>
    <x v="4"/>
    <d v="2024-01-30T14:00:00"/>
    <n v="1103.1916705184799"/>
    <n v="1043.8849088706399"/>
    <n v="1043.8849088706399"/>
    <n v="53.311930423437502"/>
    <s v="OK"/>
    <s v="NON-ZERO"/>
    <n v="1039.23048454132"/>
    <n v="1.0044787218990927"/>
    <x v="1"/>
    <n v="4.6544243293199088"/>
    <x v="0"/>
    <n v="0"/>
  </r>
  <r>
    <x v="4"/>
    <d v="2024-01-30T15:00:00"/>
    <n v="844.14588648206495"/>
    <n v="798.76523303490103"/>
    <n v="798.76523303490103"/>
    <n v="31.8459779316326"/>
    <s v="OK"/>
    <s v="NON-ZERO"/>
    <n v="848.52813742385695"/>
    <n v="0.94135385475838573"/>
    <x v="1"/>
    <n v="-49.762904388955917"/>
    <x v="1"/>
    <n v="0"/>
  </r>
  <r>
    <x v="4"/>
    <d v="2024-01-30T16:00:00"/>
    <n v="562.06487398993499"/>
    <n v="531.84868544975404"/>
    <n v="531.84868544975404"/>
    <n v="54.385070760929203"/>
    <s v="OK"/>
    <s v="NON-ZERO"/>
    <n v="600"/>
    <n v="0.88641447574959009"/>
    <x v="1"/>
    <n v="-68.151314550245957"/>
    <x v="1"/>
    <n v="0"/>
  </r>
  <r>
    <x v="4"/>
    <d v="2024-01-30T17:00:00"/>
    <n v="301.21676019876298"/>
    <n v="285.02357176302502"/>
    <n v="285.02357176302502"/>
    <n v="26.340750153509202"/>
    <s v="OK"/>
    <s v="NON-ZERO"/>
    <n v="310.58285412302502"/>
    <n v="0.91770543022353801"/>
    <x v="1"/>
    <n v="-25.559282359999997"/>
    <x v="1"/>
    <n v="0"/>
  </r>
  <r>
    <x v="4"/>
    <d v="2024-01-30T18:00:00"/>
    <n v="1.40037292926881E-13"/>
    <n v="1.3250899247341599E-13"/>
    <n v="1.3250899247341599E-13"/>
    <n v="25.765032753631601"/>
    <s v="OK"/>
    <s v="NON-ZERO"/>
    <n v="1.46957615897682E-13"/>
    <n v="0.90168169688921906"/>
    <x v="1"/>
    <n v="-1.4448623424266011E-14"/>
    <x v="1"/>
    <n v="0"/>
  </r>
  <r>
    <x v="4"/>
    <d v="2024-01-30T19:00:00"/>
    <n v="0"/>
    <n v="0"/>
    <n v="0"/>
    <n v="85.583329115461893"/>
    <s v="OK"/>
    <s v="ZERO"/>
    <n v="0"/>
    <n v="0"/>
    <x v="0"/>
    <n v="0"/>
    <x v="0"/>
    <n v="0"/>
  </r>
  <r>
    <x v="4"/>
    <d v="2024-01-30T20:00:00"/>
    <n v="0"/>
    <n v="0"/>
    <n v="0"/>
    <n v="60.117858814234602"/>
    <s v="OK"/>
    <s v="ZERO"/>
    <n v="0"/>
    <n v="0"/>
    <x v="0"/>
    <n v="0"/>
    <x v="0"/>
    <n v="0"/>
  </r>
  <r>
    <x v="4"/>
    <d v="2024-01-30T21:00:00"/>
    <n v="0"/>
    <n v="0"/>
    <n v="0"/>
    <n v="32.590917581213397"/>
    <s v="OK"/>
    <s v="ZERO"/>
    <n v="0"/>
    <n v="0"/>
    <x v="0"/>
    <n v="0"/>
    <x v="0"/>
    <n v="0"/>
  </r>
  <r>
    <x v="4"/>
    <d v="2024-01-30T22:00:00"/>
    <n v="0"/>
    <n v="0"/>
    <n v="0"/>
    <n v="35.333849467439698"/>
    <s v="OK"/>
    <s v="ZERO"/>
    <n v="0"/>
    <n v="0"/>
    <x v="0"/>
    <n v="0"/>
    <x v="0"/>
    <n v="0"/>
  </r>
  <r>
    <x v="4"/>
    <d v="2024-01-30T23:00:00"/>
    <n v="0"/>
    <n v="0"/>
    <n v="0"/>
    <n v="58.3870820496915"/>
    <s v="OK"/>
    <s v="ZERO"/>
    <n v="0"/>
    <n v="0"/>
    <x v="0"/>
    <n v="0"/>
    <x v="0"/>
    <n v="0"/>
  </r>
  <r>
    <x v="4"/>
    <d v="2024-01-31T00:00:00"/>
    <n v="0"/>
    <n v="0"/>
    <n v="0"/>
    <n v="49.826085135877499"/>
    <s v="OK"/>
    <s v="ZERO"/>
    <n v="0"/>
    <n v="0"/>
    <x v="0"/>
    <n v="0"/>
    <x v="0"/>
    <n v="0"/>
  </r>
  <r>
    <x v="4"/>
    <d v="2024-01-31T01:00:00"/>
    <n v="0"/>
    <n v="0"/>
    <n v="0"/>
    <n v="23.0799780309958"/>
    <s v="OK"/>
    <s v="ZERO"/>
    <n v="0"/>
    <n v="0"/>
    <x v="0"/>
    <n v="0"/>
    <x v="0"/>
    <n v="0"/>
  </r>
  <r>
    <x v="4"/>
    <d v="2024-01-31T02:00:00"/>
    <n v="0"/>
    <n v="0"/>
    <n v="0"/>
    <n v="36.595249896940999"/>
    <s v="OK"/>
    <s v="ZERO"/>
    <n v="0"/>
    <n v="0"/>
    <x v="0"/>
    <n v="0"/>
    <x v="0"/>
    <n v="0"/>
  </r>
  <r>
    <x v="4"/>
    <d v="2024-01-31T03:00:00"/>
    <n v="0"/>
    <n v="0"/>
    <n v="0"/>
    <n v="90.046559884642804"/>
    <s v="OK"/>
    <s v="ZERO"/>
    <n v="0"/>
    <n v="0"/>
    <x v="0"/>
    <n v="0"/>
    <x v="0"/>
    <n v="0"/>
  </r>
  <r>
    <x v="4"/>
    <d v="2024-01-31T04:00:00"/>
    <n v="0"/>
    <n v="0"/>
    <n v="0"/>
    <n v="76.678560020081306"/>
    <s v="OK"/>
    <s v="ZERO"/>
    <n v="0"/>
    <n v="0"/>
    <x v="0"/>
    <n v="0"/>
    <x v="0"/>
    <n v="0"/>
  </r>
  <r>
    <x v="4"/>
    <d v="2024-01-31T05:00:00"/>
    <n v="0"/>
    <n v="0"/>
    <n v="0"/>
    <n v="82.723240626175297"/>
    <s v="OK"/>
    <s v="ZERO"/>
    <n v="0"/>
    <n v="0"/>
    <x v="0"/>
    <n v="0"/>
    <x v="0"/>
    <n v="0"/>
  </r>
  <r>
    <x v="4"/>
    <d v="2024-01-31T06:00:00"/>
    <n v="0"/>
    <n v="0"/>
    <n v="0"/>
    <n v="78.398911330618205"/>
    <s v="OK"/>
    <s v="ZERO"/>
    <n v="0"/>
    <n v="0"/>
    <x v="0"/>
    <n v="0"/>
    <x v="0"/>
    <n v="0"/>
  </r>
  <r>
    <x v="4"/>
    <d v="2024-01-31T07:00:00"/>
    <n v="282.14858225691302"/>
    <n v="266.98048484975698"/>
    <n v="266.98048484975698"/>
    <n v="37.8591553570812"/>
    <s v="OK"/>
    <s v="NON-ZERO"/>
    <n v="310.58285412302399"/>
    <n v="0.85961115143852784"/>
    <x v="1"/>
    <n v="-43.602369273267016"/>
    <x v="1"/>
    <n v="0"/>
  </r>
  <r>
    <x v="4"/>
    <d v="2024-01-31T08:00:00"/>
    <n v="559.01023438621598"/>
    <n v="528.95826099353701"/>
    <n v="528.95826099353701"/>
    <n v="84.610610925702005"/>
    <s v="OK"/>
    <s v="NON-ZERO"/>
    <n v="600"/>
    <n v="0.881597101655895"/>
    <x v="1"/>
    <n v="-71.04173900646299"/>
    <x v="1"/>
    <n v="0"/>
  </r>
  <r>
    <x v="4"/>
    <d v="2024-01-31T09:00:00"/>
    <n v="803.66361617907899"/>
    <n v="760.45925939910705"/>
    <n v="760.45925939910705"/>
    <n v="22.934919086289401"/>
    <s v="OK"/>
    <s v="NON-ZERO"/>
    <n v="848.52813742385695"/>
    <n v="0.89620983189534742"/>
    <x v="1"/>
    <n v="-88.068878024749893"/>
    <x v="1"/>
    <n v="0"/>
  </r>
  <r>
    <x v="4"/>
    <d v="2024-01-31T10:00:00"/>
    <n v="1040.7619171634001"/>
    <n v="984.81133250720802"/>
    <n v="984.81133250720802"/>
    <n v="22.354972235955501"/>
    <s v="OK"/>
    <s v="NON-ZERO"/>
    <n v="1039.23048454132"/>
    <n v="0.94763514654005676"/>
    <x v="1"/>
    <n v="-54.419152034112017"/>
    <x v="1"/>
    <n v="0"/>
  </r>
  <r>
    <x v="4"/>
    <d v="2024-01-31T11:00:00"/>
    <n v="1074.55912994101"/>
    <n v="1016.79163232569"/>
    <n v="1016.79163232569"/>
    <n v="38.916379495127899"/>
    <s v="OK"/>
    <s v="NON-ZERO"/>
    <n v="1159.1109915468801"/>
    <n v="0.87721679782256301"/>
    <x v="1"/>
    <n v="-142.3193592211901"/>
    <x v="1"/>
    <n v="0"/>
  </r>
  <r>
    <x v="4"/>
    <d v="2024-01-31T12:00:00"/>
    <n v="1125.5141359896199"/>
    <n v="1065.00733524208"/>
    <n v="1065.00733524208"/>
    <n v="30.6580219874436"/>
    <s v="OK"/>
    <s v="NON-ZERO"/>
    <n v="1200"/>
    <n v="0.8875061127017333"/>
    <x v="1"/>
    <n v="-134.99266475792001"/>
    <x v="1"/>
    <n v="0"/>
  </r>
  <r>
    <x v="4"/>
    <d v="2024-01-31T13:00:00"/>
    <n v="1183.77301914436"/>
    <n v="1120.1342642772699"/>
    <n v="1120.1342642772699"/>
    <n v="37.814228138605102"/>
    <s v="OK"/>
    <s v="NON-ZERO"/>
    <n v="1159.1109915468801"/>
    <n v="0.9663736022228604"/>
    <x v="1"/>
    <n v="-38.976727269610137"/>
    <x v="1"/>
    <n v="0"/>
  </r>
  <r>
    <x v="4"/>
    <d v="2024-01-31T14:00:00"/>
    <n v="980.27869561627801"/>
    <n v="927.57964385309003"/>
    <n v="927.57964385309003"/>
    <n v="28.6853667010555"/>
    <s v="OK"/>
    <s v="NON-ZERO"/>
    <n v="1039.23048454132"/>
    <n v="0.89256392845567001"/>
    <x v="1"/>
    <n v="-111.65084068823001"/>
    <x v="1"/>
    <n v="0"/>
  </r>
  <r>
    <x v="4"/>
    <d v="2024-01-31T15:00:00"/>
    <n v="926.25835960139796"/>
    <n v="876.463400823852"/>
    <n v="876.463400823852"/>
    <n v="31.338718950293998"/>
    <s v="OK"/>
    <s v="NON-ZERO"/>
    <n v="848.52813742385695"/>
    <n v="1.0329220236406147"/>
    <x v="1"/>
    <n v="27.935263399995051"/>
    <x v="0"/>
    <n v="0"/>
  </r>
  <r>
    <x v="4"/>
    <d v="2024-01-31T16:00:00"/>
    <n v="594.79371822655003"/>
    <n v="562.81805142341295"/>
    <n v="562.81805142341295"/>
    <n v="24.465810350187201"/>
    <s v="OK"/>
    <s v="NON-ZERO"/>
    <n v="600"/>
    <n v="0.93803008570568824"/>
    <x v="1"/>
    <n v="-37.181948576587047"/>
    <x v="1"/>
    <n v="0"/>
  </r>
  <r>
    <x v="4"/>
    <d v="2024-01-31T17:00:00"/>
    <n v="310.37810726060599"/>
    <n v="293.69241163768601"/>
    <n v="293.69241163768601"/>
    <n v="63.037068018789199"/>
    <s v="OK"/>
    <s v="NON-ZERO"/>
    <n v="310.58285412302502"/>
    <n v="0.94561695128653644"/>
    <x v="1"/>
    <n v="-16.890442485339008"/>
    <x v="1"/>
    <n v="0"/>
  </r>
  <r>
    <x v="4"/>
    <d v="2024-01-31T18:00:00"/>
    <n v="1.4847830340587199E-13"/>
    <n v="1.4049622052282301E-13"/>
    <n v="1.4049622052282301E-13"/>
    <n v="56.567402245919297"/>
    <s v="OK"/>
    <s v="NON-ZERO"/>
    <n v="1.46957615897682E-13"/>
    <n v="0.95603225232397837"/>
    <x v="1"/>
    <n v="-6.46139537485899E-15"/>
    <x v="1"/>
    <n v="0"/>
  </r>
  <r>
    <x v="4"/>
    <d v="2024-01-31T19:00:00"/>
    <n v="0"/>
    <n v="0"/>
    <n v="0"/>
    <n v="86.290708398941106"/>
    <s v="OK"/>
    <s v="ZERO"/>
    <n v="0"/>
    <n v="0"/>
    <x v="0"/>
    <n v="0"/>
    <x v="0"/>
    <n v="0"/>
  </r>
  <r>
    <x v="4"/>
    <d v="2024-01-31T20:00:00"/>
    <n v="0"/>
    <n v="0"/>
    <n v="0"/>
    <n v="82.623055502366697"/>
    <s v="OK"/>
    <s v="ZERO"/>
    <n v="0"/>
    <n v="0"/>
    <x v="0"/>
    <n v="0"/>
    <x v="0"/>
    <n v="0"/>
  </r>
  <r>
    <x v="4"/>
    <d v="2024-01-31T21:00:00"/>
    <n v="0"/>
    <n v="0"/>
    <n v="0"/>
    <n v="69.310352664211507"/>
    <s v="OK"/>
    <s v="ZERO"/>
    <n v="0"/>
    <n v="0"/>
    <x v="0"/>
    <n v="0"/>
    <x v="0"/>
    <n v="0"/>
  </r>
  <r>
    <x v="4"/>
    <d v="2024-01-31T22:00:00"/>
    <n v="0"/>
    <n v="0"/>
    <n v="0"/>
    <n v="43.977176499968699"/>
    <s v="OK"/>
    <s v="ZERO"/>
    <n v="0"/>
    <n v="0"/>
    <x v="0"/>
    <n v="0"/>
    <x v="0"/>
    <n v="0"/>
  </r>
  <r>
    <x v="4"/>
    <d v="2024-01-31T23:00:00"/>
    <n v="0"/>
    <n v="0"/>
    <n v="0"/>
    <n v="65.638425689401004"/>
    <s v="OK"/>
    <s v="ZERO"/>
    <n v="0"/>
    <n v="0"/>
    <x v="0"/>
    <n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7D8E-5724-486A-8580-878AE412B0D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ITE">
  <location ref="A3:E9" firstHeaderRow="0" firstDataRow="1" firstDataCol="1" rowPageCount="1" colPageCount="1"/>
  <pivotFields count="14"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dataField="1" showAll="0">
      <items count="3">
        <item x="1"/>
        <item x="0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" hier="-1"/>
  </pageFields>
  <dataFields count="4">
    <dataField name="Average of Performance_Ratio" fld="9" subtotal="average" baseField="0" baseItem="0" numFmtId="2"/>
    <dataField name="Count of Underperformance_Flag" fld="10" subtotal="count" baseField="0" baseItem="0"/>
    <dataField name="Sum of Performance_Deviation" fld="11" baseField="0" baseItem="1"/>
    <dataField name="Sum of Finanacial_Impact" fld="13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6D4A7E-669D-489C-BAE5-C3B23C0D6DA9}" name="Table7" displayName="Table7" ref="B11:C16" totalsRowShown="0">
  <autoFilter ref="B11:C16" xr:uid="{956D4A7E-669D-489C-BAE5-C3B23C0D6DA9}"/>
  <tableColumns count="2">
    <tableColumn id="1" xr3:uid="{FC9B989D-DC78-4F3A-91CB-D9201DF5FD5D}" name="SITE" dataDxfId="19"/>
    <tableColumn id="2" xr3:uid="{85CA9FA5-F56D-4377-9C27-B4C33DCAAE43}" name="Financial_Impact" dataDxfId="18">
      <calculatedColumnFormula>GETPIVOTDATA("Sum of Finanacial_Impact",$A$3,"site_id","SITE_1")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A6D49-77E9-48DA-B6D9-A4B2E7C8BA24}" name="Table4" displayName="Table4" ref="A1:N3721" totalsRowShown="0" headerRowDxfId="17" dataDxfId="16" tableBorderDxfId="15">
  <autoFilter ref="A1:N3721" xr:uid="{00000000-0001-0000-0000-000000000000}"/>
  <tableColumns count="14">
    <tableColumn id="1" xr3:uid="{38CF3F76-2E5D-4B68-8D06-0426EE87ED8F}" name="site_id" dataDxfId="14"/>
    <tableColumn id="2" xr3:uid="{B78B559D-CEA6-47CA-8212-FAAF7D0E3F1C}" name="timestamp" dataDxfId="13"/>
    <tableColumn id="3" xr3:uid="{7E4FB400-400C-4E6D-8164-3D6C587D6AB3}" name="dc_kw" dataDxfId="12"/>
    <tableColumn id="4" xr3:uid="{99F7C92C-C53B-41FD-A58E-BEB50AFF99A3}" name="ac_kw" dataDxfId="11"/>
    <tableColumn id="5" xr3:uid="{AFC548E8-0593-4A74-A999-18C41D0516A3}" name="energy_kwh" dataDxfId="10"/>
    <tableColumn id="6" xr3:uid="{CD6E43C2-0E48-433D-BCFF-0D63FCE004C6}" name="battery_soc" dataDxfId="9"/>
    <tableColumn id="7" xr3:uid="{65E82F66-6C19-40E7-8DE3-729560CC0DC7}" name="AC_DC_Check" dataDxfId="8">
      <calculatedColumnFormula>IF(D2 &gt; C2, "ERROR", "OK")</calculatedColumnFormula>
    </tableColumn>
    <tableColumn id="8" xr3:uid="{8EAAFC8E-3F8D-4F57-AB22-5AA5CDBDF661}" name="Zero_Energy" dataDxfId="7">
      <calculatedColumnFormula>IF(E2=0,"ZERO","NON-ZERO")</calculatedColumnFormula>
    </tableColumn>
    <tableColumn id="9" xr3:uid="{5F04BCC5-7133-4A74-98E5-28C39BED06B2}" name="expected_kwh" dataDxfId="6"/>
    <tableColumn id="10" xr3:uid="{638B6492-214F-4972-86EF-2B62351E27DD}" name="Performance_Ratio" dataDxfId="5">
      <calculatedColumnFormula>IFERROR(Table4[[#This Row],[energy_kwh]]/Table4[[#This Row],[expected_kwh]],0)</calculatedColumnFormula>
    </tableColumn>
    <tableColumn id="11" xr3:uid="{0F773AFE-765F-4695-9DF1-7F9B14F723CA}" name="Underperformance_Flag" dataDxfId="4">
      <calculatedColumnFormula>IF(Table4[[#This Row],[Performance_Ratio]] &lt; 0.85, "Underperforming", "Performing")</calculatedColumnFormula>
    </tableColumn>
    <tableColumn id="12" xr3:uid="{69A191CE-2809-4E26-B223-F8D00826DDC9}" name="Performance_Deviation" dataDxfId="3">
      <calculatedColumnFormula>Table4[[#This Row],[energy_kwh]] - Table4[[#This Row],[expected_kwh]]</calculatedColumnFormula>
    </tableColumn>
    <tableColumn id="13" xr3:uid="{F4597960-2676-4B3E-A843-B784E4D1760B}" name="Performance_Status" dataDxfId="2">
      <calculatedColumnFormula>IF(Table4[[#This Row],[Performance_Deviation]] &lt; 0, "Underperforming", "Outperforming")</calculatedColumnFormula>
    </tableColumn>
    <tableColumn id="14" xr3:uid="{758BE3CF-5AF5-48A5-80DA-F8DE9AD4579F}" name="Finanacial_Impact" dataDxfId="1">
      <calculatedColumnFormula>IF(Table4[[#This Row],[Performance_Ratio]] &lt; 0.85, Table4[[#This Row],[Performance_Deviation]] * 50 / 1000,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324365-3C74-449B-946A-BFA4F515C984}" name="Table2" displayName="Table2" ref="A1:D3721" totalsRowShown="0">
  <autoFilter ref="A1:D3721" xr:uid="{AD324365-3C74-449B-946A-BFA4F515C984}"/>
  <tableColumns count="4">
    <tableColumn id="1" xr3:uid="{C0E1E0BC-56D2-4888-A07B-40C45DC057B3}" name="site_id"/>
    <tableColumn id="2" xr3:uid="{89C6ADD0-B5CE-473F-B34C-A445FA1D0989}" name="timestamp" dataDxfId="0"/>
    <tableColumn id="3" xr3:uid="{C900ED5D-9798-4D6E-B3F7-6BEA64320D38}" name="expected_kwh"/>
    <tableColumn id="4" xr3:uid="{54A7ADA5-CF6E-43C5-B0F9-CBD34E26EAC2}" name="irrad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3DC5-9D7A-460F-9A31-7FDF19B849CC}">
  <dimension ref="A1:E16"/>
  <sheetViews>
    <sheetView tabSelected="1" topLeftCell="B1" workbookViewId="0">
      <selection activeCell="E3" sqref="E3"/>
    </sheetView>
  </sheetViews>
  <sheetFormatPr defaultRowHeight="14.4" x14ac:dyDescent="0.3"/>
  <cols>
    <col min="1" max="1" width="21" bestFit="1" customWidth="1"/>
    <col min="2" max="2" width="27.21875" bestFit="1" customWidth="1"/>
    <col min="3" max="3" width="29.77734375" bestFit="1" customWidth="1"/>
    <col min="4" max="4" width="27.77734375" bestFit="1" customWidth="1"/>
    <col min="5" max="5" width="23" bestFit="1" customWidth="1"/>
  </cols>
  <sheetData>
    <row r="1" spans="1:5" x14ac:dyDescent="0.3">
      <c r="A1" s="9" t="s">
        <v>18</v>
      </c>
      <c r="B1" t="s">
        <v>20</v>
      </c>
    </row>
    <row r="3" spans="1:5" x14ac:dyDescent="0.3">
      <c r="A3" s="9" t="s">
        <v>26</v>
      </c>
      <c r="B3" t="s">
        <v>17</v>
      </c>
      <c r="C3" t="s">
        <v>19</v>
      </c>
      <c r="D3" t="s">
        <v>23</v>
      </c>
      <c r="E3" t="s">
        <v>25</v>
      </c>
    </row>
    <row r="4" spans="1:5" x14ac:dyDescent="0.3">
      <c r="A4" s="10" t="s">
        <v>6</v>
      </c>
      <c r="B4" s="11">
        <v>0.44959100984345046</v>
      </c>
      <c r="C4">
        <v>744</v>
      </c>
      <c r="D4">
        <v>-9346.6835028543155</v>
      </c>
      <c r="E4">
        <v>-188.08429430853437</v>
      </c>
    </row>
    <row r="5" spans="1:5" x14ac:dyDescent="0.3">
      <c r="A5" s="10" t="s">
        <v>7</v>
      </c>
      <c r="B5" s="11">
        <v>0.46300375125040216</v>
      </c>
      <c r="C5">
        <v>744</v>
      </c>
      <c r="D5">
        <v>-9975.8868869770158</v>
      </c>
      <c r="E5">
        <v>-177.20651466647553</v>
      </c>
    </row>
    <row r="6" spans="1:5" x14ac:dyDescent="0.3">
      <c r="A6" s="10" t="s">
        <v>8</v>
      </c>
      <c r="B6" s="11">
        <v>0.45552434545302811</v>
      </c>
      <c r="C6">
        <v>744</v>
      </c>
      <c r="D6">
        <v>-16908.919749877925</v>
      </c>
      <c r="E6">
        <v>-364.64366781198834</v>
      </c>
    </row>
    <row r="7" spans="1:5" x14ac:dyDescent="0.3">
      <c r="A7" s="10" t="s">
        <v>9</v>
      </c>
      <c r="B7" s="11">
        <v>0.45223094676763542</v>
      </c>
      <c r="C7">
        <v>744</v>
      </c>
      <c r="D7">
        <v>-22305.232423143971</v>
      </c>
      <c r="E7">
        <v>-532.08062862812812</v>
      </c>
    </row>
    <row r="8" spans="1:5" x14ac:dyDescent="0.3">
      <c r="A8" s="10" t="s">
        <v>10</v>
      </c>
      <c r="B8" s="11">
        <v>0.44914157405166638</v>
      </c>
      <c r="C8">
        <v>744</v>
      </c>
      <c r="D8">
        <v>-27837.108509278711</v>
      </c>
      <c r="E8">
        <v>-527.36877720043572</v>
      </c>
    </row>
    <row r="9" spans="1:5" x14ac:dyDescent="0.3">
      <c r="A9" s="10" t="s">
        <v>16</v>
      </c>
      <c r="B9" s="11">
        <v>0.45389832547323605</v>
      </c>
      <c r="C9">
        <v>3720</v>
      </c>
      <c r="D9">
        <v>-86373.83107213187</v>
      </c>
      <c r="E9">
        <v>-1789.383882615562</v>
      </c>
    </row>
    <row r="11" spans="1:5" x14ac:dyDescent="0.3">
      <c r="B11" t="s">
        <v>26</v>
      </c>
      <c r="C11" t="s">
        <v>27</v>
      </c>
    </row>
    <row r="12" spans="1:5" x14ac:dyDescent="0.3">
      <c r="B12" s="12" t="s">
        <v>6</v>
      </c>
      <c r="C12">
        <f t="shared" ref="C12" si="0">GETPIVOTDATA("Sum of Finanacial_Impact",$A$3,"site_id","SITE_1")</f>
        <v>-188.08429430853437</v>
      </c>
    </row>
    <row r="13" spans="1:5" x14ac:dyDescent="0.3">
      <c r="B13" s="12" t="s">
        <v>7</v>
      </c>
      <c r="C13">
        <f>GETPIVOTDATA("Sum of Finanacial_Impact",$A$3,"site_id","SITE_2")</f>
        <v>-177.20651466647553</v>
      </c>
    </row>
    <row r="14" spans="1:5" x14ac:dyDescent="0.3">
      <c r="B14" s="12" t="s">
        <v>8</v>
      </c>
      <c r="C14">
        <f>GETPIVOTDATA("Sum of Finanacial_Impact",$A$3,"site_id","SITE_3")</f>
        <v>-364.64366781198834</v>
      </c>
    </row>
    <row r="15" spans="1:5" x14ac:dyDescent="0.3">
      <c r="B15" s="12" t="s">
        <v>9</v>
      </c>
      <c r="C15">
        <f>GETPIVOTDATA("Sum of Finanacial_Impact",$A$3,"site_id","SITE_4")</f>
        <v>-532.08062862812812</v>
      </c>
    </row>
    <row r="16" spans="1:5" x14ac:dyDescent="0.3">
      <c r="B16" s="12" t="s">
        <v>10</v>
      </c>
      <c r="C16">
        <f>GETPIVOTDATA("Sum of Finanacial_Impact",$A$3,"site_id","SITE_5")</f>
        <v>-527.36877720043572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21"/>
  <sheetViews>
    <sheetView topLeftCell="E1" workbookViewId="0">
      <selection activeCell="N2" sqref="N2"/>
    </sheetView>
  </sheetViews>
  <sheetFormatPr defaultRowHeight="14.4" x14ac:dyDescent="0.3"/>
  <cols>
    <col min="2" max="2" width="11.88671875" customWidth="1"/>
    <col min="5" max="5" width="16.21875" customWidth="1"/>
    <col min="6" max="6" width="17.33203125" customWidth="1"/>
    <col min="7" max="7" width="22.6640625" customWidth="1"/>
    <col min="8" max="8" width="25.33203125" customWidth="1"/>
    <col min="9" max="9" width="13.33203125" customWidth="1"/>
    <col min="10" max="10" width="20.6640625" customWidth="1"/>
    <col min="11" max="11" width="23.33203125" customWidth="1"/>
    <col min="12" max="12" width="18.109375" customWidth="1"/>
    <col min="13" max="13" width="20.77734375" customWidth="1"/>
    <col min="14" max="14" width="35.5546875" customWidth="1"/>
  </cols>
  <sheetData>
    <row r="1" spans="1:1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13</v>
      </c>
      <c r="H1" s="8" t="s">
        <v>14</v>
      </c>
      <c r="I1" s="8" t="s">
        <v>11</v>
      </c>
      <c r="J1" s="8" t="s">
        <v>15</v>
      </c>
      <c r="K1" s="8" t="s">
        <v>18</v>
      </c>
      <c r="L1" s="8" t="s">
        <v>22</v>
      </c>
      <c r="M1" s="8" t="s">
        <v>21</v>
      </c>
      <c r="N1" s="8" t="s">
        <v>24</v>
      </c>
    </row>
    <row r="2" spans="1:14" x14ac:dyDescent="0.3">
      <c r="A2" s="4" t="s">
        <v>6</v>
      </c>
      <c r="B2" s="3">
        <v>45292</v>
      </c>
      <c r="C2" s="4">
        <v>0</v>
      </c>
      <c r="D2" s="4">
        <v>0</v>
      </c>
      <c r="E2" s="4">
        <v>0</v>
      </c>
      <c r="F2" s="4">
        <v>92.743238912149494</v>
      </c>
      <c r="G2" s="4" t="str">
        <f t="shared" ref="G2:G65" si="0">IF(D2 &gt; C2, "ERROR", "OK")</f>
        <v>OK</v>
      </c>
      <c r="H2" s="4" t="str">
        <f t="shared" ref="H2:H65" si="1">IF(E2=0,"ZERO","NON-ZERO")</f>
        <v>ZERO</v>
      </c>
      <c r="I2">
        <v>0</v>
      </c>
      <c r="J2">
        <f>IFERROR(Table4[[#This Row],[energy_kwh]]/Table4[[#This Row],[expected_kwh]],0)</f>
        <v>0</v>
      </c>
      <c r="K2" t="str">
        <f>IF(Table4[[#This Row],[Performance_Ratio]] &lt; 0.85, "Underperforming", "Performing")</f>
        <v>Underperforming</v>
      </c>
      <c r="L2">
        <f>Table4[[#This Row],[energy_kwh]] - Table4[[#This Row],[expected_kwh]]</f>
        <v>0</v>
      </c>
      <c r="M2" t="str">
        <f>IF(Table4[[#This Row],[Performance_Deviation]] &lt; 0, "Underperforming", "Outperforming")</f>
        <v>Outperforming</v>
      </c>
      <c r="N2">
        <f>IF(Table4[[#This Row],[Performance_Ratio]] &lt; 0.85, Table4[[#This Row],[Performance_Deviation]] * 50 / 1000, 0)</f>
        <v>0</v>
      </c>
    </row>
    <row r="3" spans="1:14" x14ac:dyDescent="0.3">
      <c r="A3" s="6" t="s">
        <v>6</v>
      </c>
      <c r="B3" s="5">
        <v>45292.041666666664</v>
      </c>
      <c r="C3" s="6">
        <v>0</v>
      </c>
      <c r="D3" s="6">
        <v>0</v>
      </c>
      <c r="E3" s="6">
        <v>0</v>
      </c>
      <c r="F3" s="6">
        <v>33.636872540532501</v>
      </c>
      <c r="G3" s="6" t="str">
        <f t="shared" si="0"/>
        <v>OK</v>
      </c>
      <c r="H3" s="6" t="str">
        <f t="shared" si="1"/>
        <v>ZERO</v>
      </c>
      <c r="I3">
        <v>0</v>
      </c>
      <c r="J3">
        <f>IFERROR(Table4[[#This Row],[energy_kwh]]/Table4[[#This Row],[expected_kwh]],0)</f>
        <v>0</v>
      </c>
      <c r="K3" t="str">
        <f>IF(Table4[[#This Row],[Performance_Ratio]] &lt; 0.85, "Underperforming", "Performing")</f>
        <v>Underperforming</v>
      </c>
      <c r="L3">
        <f>Table4[[#This Row],[energy_kwh]] - Table4[[#This Row],[expected_kwh]]</f>
        <v>0</v>
      </c>
      <c r="M3" t="str">
        <f>IF(Table4[[#This Row],[Performance_Deviation]] &lt; 0, "Underperforming", "Outperforming")</f>
        <v>Outperforming</v>
      </c>
      <c r="N3">
        <f>IF(Table4[[#This Row],[Performance_Ratio]] &lt; 0.85, Table4[[#This Row],[Performance_Deviation]] * 50 / 1000, 0)</f>
        <v>0</v>
      </c>
    </row>
    <row r="4" spans="1:14" x14ac:dyDescent="0.3">
      <c r="A4" s="4" t="s">
        <v>6</v>
      </c>
      <c r="B4" s="3">
        <v>45292.083333333336</v>
      </c>
      <c r="C4" s="4">
        <v>0</v>
      </c>
      <c r="D4" s="4">
        <v>0</v>
      </c>
      <c r="E4" s="4">
        <v>0</v>
      </c>
      <c r="F4" s="4">
        <v>41.842185514853099</v>
      </c>
      <c r="G4" s="4" t="str">
        <f t="shared" si="0"/>
        <v>OK</v>
      </c>
      <c r="H4" s="4" t="str">
        <f t="shared" si="1"/>
        <v>ZERO</v>
      </c>
      <c r="I4">
        <v>0</v>
      </c>
      <c r="J4">
        <f>IFERROR(Table4[[#This Row],[energy_kwh]]/Table4[[#This Row],[expected_kwh]],0)</f>
        <v>0</v>
      </c>
      <c r="K4" t="str">
        <f>IF(Table4[[#This Row],[Performance_Ratio]] &lt; 0.85, "Underperforming", "Performing")</f>
        <v>Underperforming</v>
      </c>
      <c r="L4">
        <f>Table4[[#This Row],[energy_kwh]] - Table4[[#This Row],[expected_kwh]]</f>
        <v>0</v>
      </c>
      <c r="M4" t="str">
        <f>IF(Table4[[#This Row],[Performance_Deviation]] &lt; 0, "Underperforming", "Outperforming")</f>
        <v>Outperforming</v>
      </c>
      <c r="N4">
        <f>IF(Table4[[#This Row],[Performance_Ratio]] &lt; 0.85, Table4[[#This Row],[Performance_Deviation]] * 50 / 1000, 0)</f>
        <v>0</v>
      </c>
    </row>
    <row r="5" spans="1:14" x14ac:dyDescent="0.3">
      <c r="A5" s="6" t="s">
        <v>6</v>
      </c>
      <c r="B5" s="5">
        <v>45292.125</v>
      </c>
      <c r="C5" s="6">
        <v>0</v>
      </c>
      <c r="D5" s="6">
        <v>0</v>
      </c>
      <c r="E5" s="6">
        <v>0</v>
      </c>
      <c r="F5" s="6">
        <v>41.910848640141303</v>
      </c>
      <c r="G5" s="6" t="str">
        <f t="shared" si="0"/>
        <v>OK</v>
      </c>
      <c r="H5" s="6" t="str">
        <f t="shared" si="1"/>
        <v>ZERO</v>
      </c>
      <c r="I5">
        <v>0</v>
      </c>
      <c r="J5">
        <f>IFERROR(Table4[[#This Row],[energy_kwh]]/Table4[[#This Row],[expected_kwh]],0)</f>
        <v>0</v>
      </c>
      <c r="K5" t="str">
        <f>IF(Table4[[#This Row],[Performance_Ratio]] &lt; 0.85, "Underperforming", "Performing")</f>
        <v>Underperforming</v>
      </c>
      <c r="L5">
        <f>Table4[[#This Row],[energy_kwh]] - Table4[[#This Row],[expected_kwh]]</f>
        <v>0</v>
      </c>
      <c r="M5" t="str">
        <f>IF(Table4[[#This Row],[Performance_Deviation]] &lt; 0, "Underperforming", "Outperforming")</f>
        <v>Outperforming</v>
      </c>
      <c r="N5">
        <f>IF(Table4[[#This Row],[Performance_Ratio]] &lt; 0.85, Table4[[#This Row],[Performance_Deviation]] * 50 / 1000, 0)</f>
        <v>0</v>
      </c>
    </row>
    <row r="6" spans="1:14" x14ac:dyDescent="0.3">
      <c r="A6" s="4" t="s">
        <v>6</v>
      </c>
      <c r="B6" s="3">
        <v>45292.166666666664</v>
      </c>
      <c r="C6" s="4">
        <v>0</v>
      </c>
      <c r="D6" s="4">
        <v>0</v>
      </c>
      <c r="E6" s="4">
        <v>0</v>
      </c>
      <c r="F6" s="4">
        <v>58.567582881020797</v>
      </c>
      <c r="G6" s="4" t="str">
        <f t="shared" si="0"/>
        <v>OK</v>
      </c>
      <c r="H6" s="4" t="str">
        <f t="shared" si="1"/>
        <v>ZERO</v>
      </c>
      <c r="I6">
        <v>0</v>
      </c>
      <c r="J6">
        <f>IFERROR(Table4[[#This Row],[energy_kwh]]/Table4[[#This Row],[expected_kwh]],0)</f>
        <v>0</v>
      </c>
      <c r="K6" t="str">
        <f>IF(Table4[[#This Row],[Performance_Ratio]] &lt; 0.85, "Underperforming", "Performing")</f>
        <v>Underperforming</v>
      </c>
      <c r="L6">
        <f>Table4[[#This Row],[energy_kwh]] - Table4[[#This Row],[expected_kwh]]</f>
        <v>0</v>
      </c>
      <c r="M6" t="str">
        <f>IF(Table4[[#This Row],[Performance_Deviation]] &lt; 0, "Underperforming", "Outperforming")</f>
        <v>Outperforming</v>
      </c>
      <c r="N6">
        <f>IF(Table4[[#This Row],[Performance_Ratio]] &lt; 0.85, Table4[[#This Row],[Performance_Deviation]] * 50 / 1000, 0)</f>
        <v>0</v>
      </c>
    </row>
    <row r="7" spans="1:14" x14ac:dyDescent="0.3">
      <c r="A7" s="6" t="s">
        <v>6</v>
      </c>
      <c r="B7" s="5">
        <v>45292.208333333336</v>
      </c>
      <c r="C7" s="6">
        <v>0</v>
      </c>
      <c r="D7" s="6">
        <v>0</v>
      </c>
      <c r="E7" s="6">
        <v>0</v>
      </c>
      <c r="F7" s="6">
        <v>65.565863892607794</v>
      </c>
      <c r="G7" s="6" t="str">
        <f t="shared" si="0"/>
        <v>OK</v>
      </c>
      <c r="H7" s="6" t="str">
        <f t="shared" si="1"/>
        <v>ZERO</v>
      </c>
      <c r="I7">
        <v>0</v>
      </c>
      <c r="J7">
        <f>IFERROR(Table4[[#This Row],[energy_kwh]]/Table4[[#This Row],[expected_kwh]],0)</f>
        <v>0</v>
      </c>
      <c r="K7" t="str">
        <f>IF(Table4[[#This Row],[Performance_Ratio]] &lt; 0.85, "Underperforming", "Performing")</f>
        <v>Underperforming</v>
      </c>
      <c r="L7">
        <f>Table4[[#This Row],[energy_kwh]] - Table4[[#This Row],[expected_kwh]]</f>
        <v>0</v>
      </c>
      <c r="M7" t="str">
        <f>IF(Table4[[#This Row],[Performance_Deviation]] &lt; 0, "Underperforming", "Outperforming")</f>
        <v>Outperforming</v>
      </c>
      <c r="N7">
        <f>IF(Table4[[#This Row],[Performance_Ratio]] &lt; 0.85, Table4[[#This Row],[Performance_Deviation]] * 50 / 1000, 0)</f>
        <v>0</v>
      </c>
    </row>
    <row r="8" spans="1:14" x14ac:dyDescent="0.3">
      <c r="A8" s="4" t="s">
        <v>6</v>
      </c>
      <c r="B8" s="3">
        <v>45292.25</v>
      </c>
      <c r="C8" s="4">
        <v>0</v>
      </c>
      <c r="D8" s="4">
        <v>0</v>
      </c>
      <c r="E8" s="4">
        <v>0</v>
      </c>
      <c r="F8" s="4">
        <v>53.011437030470098</v>
      </c>
      <c r="G8" s="4" t="str">
        <f t="shared" si="0"/>
        <v>OK</v>
      </c>
      <c r="H8" s="4" t="str">
        <f t="shared" si="1"/>
        <v>ZERO</v>
      </c>
      <c r="I8">
        <v>0</v>
      </c>
      <c r="J8">
        <f>IFERROR(Table4[[#This Row],[energy_kwh]]/Table4[[#This Row],[expected_kwh]],0)</f>
        <v>0</v>
      </c>
      <c r="K8" t="str">
        <f>IF(Table4[[#This Row],[Performance_Ratio]] &lt; 0.85, "Underperforming", "Performing")</f>
        <v>Underperforming</v>
      </c>
      <c r="L8">
        <f>Table4[[#This Row],[energy_kwh]] - Table4[[#This Row],[expected_kwh]]</f>
        <v>0</v>
      </c>
      <c r="M8" t="str">
        <f>IF(Table4[[#This Row],[Performance_Deviation]] &lt; 0, "Underperforming", "Outperforming")</f>
        <v>Outperforming</v>
      </c>
      <c r="N8">
        <f>IF(Table4[[#This Row],[Performance_Ratio]] &lt; 0.85, Table4[[#This Row],[Performance_Deviation]] * 50 / 1000, 0)</f>
        <v>0</v>
      </c>
    </row>
    <row r="9" spans="1:14" x14ac:dyDescent="0.3">
      <c r="A9" s="6" t="s">
        <v>6</v>
      </c>
      <c r="B9" s="5">
        <v>45292.291666666664</v>
      </c>
      <c r="C9" s="6">
        <v>105.217270292668</v>
      </c>
      <c r="D9" s="6">
        <v>100.48055763191699</v>
      </c>
      <c r="E9" s="6">
        <v>100.48055763191699</v>
      </c>
      <c r="F9" s="6">
        <v>22.579139083641302</v>
      </c>
      <c r="G9" s="6" t="str">
        <f t="shared" si="0"/>
        <v>OK</v>
      </c>
      <c r="H9" s="6" t="str">
        <f t="shared" si="1"/>
        <v>NON-ZERO</v>
      </c>
      <c r="I9">
        <v>103.527618041008</v>
      </c>
      <c r="J9">
        <f>IFERROR(Table4[[#This Row],[energy_kwh]]/Table4[[#This Row],[expected_kwh]],0)</f>
        <v>0.97056765656596056</v>
      </c>
      <c r="K9" t="str">
        <f>IF(Table4[[#This Row],[Performance_Ratio]] &lt; 0.85, "Underperforming", "Performing")</f>
        <v>Performing</v>
      </c>
      <c r="L9">
        <f>Table4[[#This Row],[energy_kwh]] - Table4[[#This Row],[expected_kwh]]</f>
        <v>-3.047060409091003</v>
      </c>
      <c r="M9" t="str">
        <f>IF(Table4[[#This Row],[Performance_Deviation]] &lt; 0, "Underperforming", "Outperforming")</f>
        <v>Underperforming</v>
      </c>
      <c r="N9">
        <f>IF(Table4[[#This Row],[Performance_Ratio]] &lt; 0.85, Table4[[#This Row],[Performance_Deviation]] * 50 / 1000, 0)</f>
        <v>0</v>
      </c>
    </row>
    <row r="10" spans="1:14" x14ac:dyDescent="0.3">
      <c r="A10" s="4" t="s">
        <v>6</v>
      </c>
      <c r="B10" s="3">
        <v>45292.333333333336</v>
      </c>
      <c r="C10" s="4">
        <v>186.78769364635201</v>
      </c>
      <c r="D10" s="4">
        <v>178.378811426672</v>
      </c>
      <c r="E10" s="4">
        <v>178.378811426672</v>
      </c>
      <c r="F10" s="4">
        <v>59.005101588335798</v>
      </c>
      <c r="G10" s="4" t="str">
        <f t="shared" si="0"/>
        <v>OK</v>
      </c>
      <c r="H10" s="4" t="str">
        <f t="shared" si="1"/>
        <v>NON-ZERO</v>
      </c>
      <c r="I10">
        <v>199.99999999999901</v>
      </c>
      <c r="J10">
        <f>IFERROR(Table4[[#This Row],[energy_kwh]]/Table4[[#This Row],[expected_kwh]],0)</f>
        <v>0.89189405713336445</v>
      </c>
      <c r="K10" t="str">
        <f>IF(Table4[[#This Row],[Performance_Ratio]] &lt; 0.85, "Underperforming", "Performing")</f>
        <v>Performing</v>
      </c>
      <c r="L10">
        <f>Table4[[#This Row],[energy_kwh]] - Table4[[#This Row],[expected_kwh]]</f>
        <v>-21.621188573327004</v>
      </c>
      <c r="M10" t="str">
        <f>IF(Table4[[#This Row],[Performance_Deviation]] &lt; 0, "Underperforming", "Outperforming")</f>
        <v>Underperforming</v>
      </c>
      <c r="N10">
        <f>IF(Table4[[#This Row],[Performance_Ratio]] &lt; 0.85, Table4[[#This Row],[Performance_Deviation]] * 50 / 1000, 0)</f>
        <v>0</v>
      </c>
    </row>
    <row r="11" spans="1:14" x14ac:dyDescent="0.3">
      <c r="A11" s="6" t="s">
        <v>6</v>
      </c>
      <c r="B11" s="5">
        <v>45292.375</v>
      </c>
      <c r="C11" s="6">
        <v>276.40929204159602</v>
      </c>
      <c r="D11" s="6">
        <v>263.96578928277103</v>
      </c>
      <c r="E11" s="6">
        <v>263.96578928277103</v>
      </c>
      <c r="F11" s="6">
        <v>92.718847082341895</v>
      </c>
      <c r="G11" s="6" t="str">
        <f t="shared" si="0"/>
        <v>OK</v>
      </c>
      <c r="H11" s="6" t="str">
        <f t="shared" si="1"/>
        <v>NON-ZERO</v>
      </c>
      <c r="I11">
        <v>282.84271247461902</v>
      </c>
      <c r="J11">
        <f>IFERROR(Table4[[#This Row],[energy_kwh]]/Table4[[#This Row],[expected_kwh]],0)</f>
        <v>0.93325999801553339</v>
      </c>
      <c r="K11" t="str">
        <f>IF(Table4[[#This Row],[Performance_Ratio]] &lt; 0.85, "Underperforming", "Performing")</f>
        <v>Performing</v>
      </c>
      <c r="L11">
        <f>Table4[[#This Row],[energy_kwh]] - Table4[[#This Row],[expected_kwh]]</f>
        <v>-18.876923191847993</v>
      </c>
      <c r="M11" t="str">
        <f>IF(Table4[[#This Row],[Performance_Deviation]] &lt; 0, "Underperforming", "Outperforming")</f>
        <v>Underperforming</v>
      </c>
      <c r="N11">
        <f>IF(Table4[[#This Row],[Performance_Ratio]] &lt; 0.85, Table4[[#This Row],[Performance_Deviation]] * 50 / 1000, 0)</f>
        <v>0</v>
      </c>
    </row>
    <row r="12" spans="1:14" x14ac:dyDescent="0.3">
      <c r="A12" s="4" t="s">
        <v>6</v>
      </c>
      <c r="B12" s="3">
        <v>45292.416666666664</v>
      </c>
      <c r="C12" s="4">
        <v>334.39135084449799</v>
      </c>
      <c r="D12" s="4">
        <v>319.33758884530198</v>
      </c>
      <c r="E12" s="4">
        <v>319.33758884530198</v>
      </c>
      <c r="F12" s="4">
        <v>34.698714681435803</v>
      </c>
      <c r="G12" s="4" t="str">
        <f t="shared" si="0"/>
        <v>OK</v>
      </c>
      <c r="H12" s="4" t="str">
        <f t="shared" si="1"/>
        <v>NON-ZERO</v>
      </c>
      <c r="I12">
        <v>346.41016151377499</v>
      </c>
      <c r="J12">
        <f>IFERROR(Table4[[#This Row],[energy_kwh]]/Table4[[#This Row],[expected_kwh]],0)</f>
        <v>0.92184821441100684</v>
      </c>
      <c r="K12" t="str">
        <f>IF(Table4[[#This Row],[Performance_Ratio]] &lt; 0.85, "Underperforming", "Performing")</f>
        <v>Performing</v>
      </c>
      <c r="L12">
        <f>Table4[[#This Row],[energy_kwh]] - Table4[[#This Row],[expected_kwh]]</f>
        <v>-27.072572668473015</v>
      </c>
      <c r="M12" t="str">
        <f>IF(Table4[[#This Row],[Performance_Deviation]] &lt; 0, "Underperforming", "Outperforming")</f>
        <v>Underperforming</v>
      </c>
      <c r="N12">
        <f>IF(Table4[[#This Row],[Performance_Ratio]] &lt; 0.85, Table4[[#This Row],[Performance_Deviation]] * 50 / 1000, 0)</f>
        <v>0</v>
      </c>
    </row>
    <row r="13" spans="1:14" x14ac:dyDescent="0.3">
      <c r="A13" s="6" t="s">
        <v>6</v>
      </c>
      <c r="B13" s="5">
        <v>45292.458333333336</v>
      </c>
      <c r="C13" s="6">
        <v>390.89985527365201</v>
      </c>
      <c r="D13" s="6">
        <v>373.30217108729698</v>
      </c>
      <c r="E13" s="6">
        <v>373.30217108729698</v>
      </c>
      <c r="F13" s="6">
        <v>49.1507967267111</v>
      </c>
      <c r="G13" s="6" t="str">
        <f t="shared" si="0"/>
        <v>OK</v>
      </c>
      <c r="H13" s="6" t="str">
        <f t="shared" si="1"/>
        <v>NON-ZERO</v>
      </c>
      <c r="I13">
        <v>386.37033051562702</v>
      </c>
      <c r="J13">
        <f>IFERROR(Table4[[#This Row],[energy_kwh]]/Table4[[#This Row],[expected_kwh]],0)</f>
        <v>0.96617711455512112</v>
      </c>
      <c r="K13" t="str">
        <f>IF(Table4[[#This Row],[Performance_Ratio]] &lt; 0.85, "Underperforming", "Performing")</f>
        <v>Performing</v>
      </c>
      <c r="L13">
        <f>Table4[[#This Row],[energy_kwh]] - Table4[[#This Row],[expected_kwh]]</f>
        <v>-13.068159428330034</v>
      </c>
      <c r="M13" t="str">
        <f>IF(Table4[[#This Row],[Performance_Deviation]] &lt; 0, "Underperforming", "Outperforming")</f>
        <v>Underperforming</v>
      </c>
      <c r="N13">
        <f>IF(Table4[[#This Row],[Performance_Ratio]] &lt; 0.85, Table4[[#This Row],[Performance_Deviation]] * 50 / 1000, 0)</f>
        <v>0</v>
      </c>
    </row>
    <row r="14" spans="1:14" x14ac:dyDescent="0.3">
      <c r="A14" s="4" t="s">
        <v>6</v>
      </c>
      <c r="B14" s="3">
        <v>45292.5</v>
      </c>
      <c r="C14" s="4">
        <v>401.66361167134301</v>
      </c>
      <c r="D14" s="4">
        <v>383.58136044514401</v>
      </c>
      <c r="E14" s="4">
        <v>383.58136044514401</v>
      </c>
      <c r="F14" s="4">
        <v>60.702206236868598</v>
      </c>
      <c r="G14" s="4" t="str">
        <f t="shared" si="0"/>
        <v>OK</v>
      </c>
      <c r="H14" s="4" t="str">
        <f t="shared" si="1"/>
        <v>NON-ZERO</v>
      </c>
      <c r="I14">
        <v>400</v>
      </c>
      <c r="J14">
        <f>IFERROR(Table4[[#This Row],[energy_kwh]]/Table4[[#This Row],[expected_kwh]],0)</f>
        <v>0.95895340111285998</v>
      </c>
      <c r="K14" t="str">
        <f>IF(Table4[[#This Row],[Performance_Ratio]] &lt; 0.85, "Underperforming", "Performing")</f>
        <v>Performing</v>
      </c>
      <c r="L14">
        <f>Table4[[#This Row],[energy_kwh]] - Table4[[#This Row],[expected_kwh]]</f>
        <v>-16.418639554855986</v>
      </c>
      <c r="M14" t="str">
        <f>IF(Table4[[#This Row],[Performance_Deviation]] &lt; 0, "Underperforming", "Outperforming")</f>
        <v>Underperforming</v>
      </c>
      <c r="N14">
        <f>IF(Table4[[#This Row],[Performance_Ratio]] &lt; 0.85, Table4[[#This Row],[Performance_Deviation]] * 50 / 1000, 0)</f>
        <v>0</v>
      </c>
    </row>
    <row r="15" spans="1:14" x14ac:dyDescent="0.3">
      <c r="A15" s="6" t="s">
        <v>6</v>
      </c>
      <c r="B15" s="5">
        <v>45292.541666666664</v>
      </c>
      <c r="C15" s="6">
        <v>352.49727597217901</v>
      </c>
      <c r="D15" s="6">
        <v>336.62841427928799</v>
      </c>
      <c r="E15" s="6">
        <v>336.62841427928799</v>
      </c>
      <c r="F15" s="6">
        <v>25.591298275982801</v>
      </c>
      <c r="G15" s="6" t="str">
        <f t="shared" si="0"/>
        <v>OK</v>
      </c>
      <c r="H15" s="6" t="str">
        <f t="shared" si="1"/>
        <v>NON-ZERO</v>
      </c>
      <c r="I15">
        <v>386.37033051562702</v>
      </c>
      <c r="J15">
        <f>IFERROR(Table4[[#This Row],[energy_kwh]]/Table4[[#This Row],[expected_kwh]],0)</f>
        <v>0.87125844738141156</v>
      </c>
      <c r="K15" t="str">
        <f>IF(Table4[[#This Row],[Performance_Ratio]] &lt; 0.85, "Underperforming", "Performing")</f>
        <v>Performing</v>
      </c>
      <c r="L15">
        <f>Table4[[#This Row],[energy_kwh]] - Table4[[#This Row],[expected_kwh]]</f>
        <v>-49.741916236339023</v>
      </c>
      <c r="M15" t="str">
        <f>IF(Table4[[#This Row],[Performance_Deviation]] &lt; 0, "Underperforming", "Outperforming")</f>
        <v>Underperforming</v>
      </c>
      <c r="N15">
        <f>IF(Table4[[#This Row],[Performance_Ratio]] &lt; 0.85, Table4[[#This Row],[Performance_Deviation]] * 50 / 1000, 0)</f>
        <v>0</v>
      </c>
    </row>
    <row r="16" spans="1:14" x14ac:dyDescent="0.3">
      <c r="A16" s="4" t="s">
        <v>6</v>
      </c>
      <c r="B16" s="3">
        <v>45292.583333333336</v>
      </c>
      <c r="C16" s="4">
        <v>343.20538103170401</v>
      </c>
      <c r="D16" s="4">
        <v>327.75482553782803</v>
      </c>
      <c r="E16" s="4">
        <v>327.75482553782803</v>
      </c>
      <c r="F16" s="4">
        <v>25.553348880056699</v>
      </c>
      <c r="G16" s="4" t="str">
        <f t="shared" si="0"/>
        <v>OK</v>
      </c>
      <c r="H16" s="4" t="str">
        <f t="shared" si="1"/>
        <v>NON-ZERO</v>
      </c>
      <c r="I16">
        <v>346.41016151377499</v>
      </c>
      <c r="J16">
        <f>IFERROR(Table4[[#This Row],[energy_kwh]]/Table4[[#This Row],[expected_kwh]],0)</f>
        <v>0.94614668376232047</v>
      </c>
      <c r="K16" t="str">
        <f>IF(Table4[[#This Row],[Performance_Ratio]] &lt; 0.85, "Underperforming", "Performing")</f>
        <v>Performing</v>
      </c>
      <c r="L16">
        <f>Table4[[#This Row],[energy_kwh]] - Table4[[#This Row],[expected_kwh]]</f>
        <v>-18.655335975946969</v>
      </c>
      <c r="M16" t="str">
        <f>IF(Table4[[#This Row],[Performance_Deviation]] &lt; 0, "Underperforming", "Outperforming")</f>
        <v>Underperforming</v>
      </c>
      <c r="N16">
        <f>IF(Table4[[#This Row],[Performance_Ratio]] &lt; 0.85, Table4[[#This Row],[Performance_Deviation]] * 50 / 1000, 0)</f>
        <v>0</v>
      </c>
    </row>
    <row r="17" spans="1:14" x14ac:dyDescent="0.3">
      <c r="A17" s="6" t="s">
        <v>6</v>
      </c>
      <c r="B17" s="5">
        <v>45292.625</v>
      </c>
      <c r="C17" s="6">
        <v>286.27709961234598</v>
      </c>
      <c r="D17" s="6">
        <v>273.38936399208899</v>
      </c>
      <c r="E17" s="6">
        <v>273.38936399208899</v>
      </c>
      <c r="F17" s="6">
        <v>84.732756940669503</v>
      </c>
      <c r="G17" s="6" t="str">
        <f t="shared" si="0"/>
        <v>OK</v>
      </c>
      <c r="H17" s="6" t="str">
        <f t="shared" si="1"/>
        <v>NON-ZERO</v>
      </c>
      <c r="I17">
        <v>282.84271247461902</v>
      </c>
      <c r="J17">
        <f>IFERROR(Table4[[#This Row],[energy_kwh]]/Table4[[#This Row],[expected_kwh]],0)</f>
        <v>0.96657736591541732</v>
      </c>
      <c r="K17" t="str">
        <f>IF(Table4[[#This Row],[Performance_Ratio]] &lt; 0.85, "Underperforming", "Performing")</f>
        <v>Performing</v>
      </c>
      <c r="L17">
        <f>Table4[[#This Row],[energy_kwh]] - Table4[[#This Row],[expected_kwh]]</f>
        <v>-9.453348482530032</v>
      </c>
      <c r="M17" t="str">
        <f>IF(Table4[[#This Row],[Performance_Deviation]] &lt; 0, "Underperforming", "Outperforming")</f>
        <v>Underperforming</v>
      </c>
      <c r="N17">
        <f>IF(Table4[[#This Row],[Performance_Ratio]] &lt; 0.85, Table4[[#This Row],[Performance_Deviation]] * 50 / 1000, 0)</f>
        <v>0</v>
      </c>
    </row>
    <row r="18" spans="1:14" x14ac:dyDescent="0.3">
      <c r="A18" s="4" t="s">
        <v>6</v>
      </c>
      <c r="B18" s="3">
        <v>45292.666666666664</v>
      </c>
      <c r="C18" s="4">
        <v>168.885853946335</v>
      </c>
      <c r="D18" s="4">
        <v>161.282883821903</v>
      </c>
      <c r="E18" s="4">
        <v>161.282883821903</v>
      </c>
      <c r="F18" s="4">
        <v>44.388749152006</v>
      </c>
      <c r="G18" s="4" t="str">
        <f t="shared" si="0"/>
        <v>OK</v>
      </c>
      <c r="H18" s="4" t="str">
        <f t="shared" si="1"/>
        <v>NON-ZERO</v>
      </c>
      <c r="I18">
        <v>199.99999999999901</v>
      </c>
      <c r="J18">
        <f>IFERROR(Table4[[#This Row],[energy_kwh]]/Table4[[#This Row],[expected_kwh]],0)</f>
        <v>0.80641441910951905</v>
      </c>
      <c r="K18" t="str">
        <f>IF(Table4[[#This Row],[Performance_Ratio]] &lt; 0.85, "Underperforming", "Performing")</f>
        <v>Underperforming</v>
      </c>
      <c r="L18">
        <f>Table4[[#This Row],[energy_kwh]] - Table4[[#This Row],[expected_kwh]]</f>
        <v>-38.717116178096006</v>
      </c>
      <c r="M18" t="str">
        <f>IF(Table4[[#This Row],[Performance_Deviation]] &lt; 0, "Underperforming", "Outperforming")</f>
        <v>Underperforming</v>
      </c>
      <c r="N18">
        <f>IF(Table4[[#This Row],[Performance_Ratio]] &lt; 0.85, Table4[[#This Row],[Performance_Deviation]] * 50 / 1000, 0)</f>
        <v>-1.9358558089048004</v>
      </c>
    </row>
    <row r="19" spans="1:14" x14ac:dyDescent="0.3">
      <c r="A19" s="6" t="s">
        <v>6</v>
      </c>
      <c r="B19" s="5">
        <v>45292.708333333336</v>
      </c>
      <c r="C19" s="6">
        <v>106.32030538518799</v>
      </c>
      <c r="D19" s="6">
        <v>101.533935854671</v>
      </c>
      <c r="E19" s="6">
        <v>101.533935854671</v>
      </c>
      <c r="F19" s="6">
        <v>86.540955693224404</v>
      </c>
      <c r="G19" s="6" t="str">
        <f t="shared" si="0"/>
        <v>OK</v>
      </c>
      <c r="H19" s="6" t="str">
        <f t="shared" si="1"/>
        <v>NON-ZERO</v>
      </c>
      <c r="I19">
        <v>103.527618041008</v>
      </c>
      <c r="J19">
        <f>IFERROR(Table4[[#This Row],[energy_kwh]]/Table4[[#This Row],[expected_kwh]],0)</f>
        <v>0.98074250886804637</v>
      </c>
      <c r="K19" t="str">
        <f>IF(Table4[[#This Row],[Performance_Ratio]] &lt; 0.85, "Underperforming", "Performing")</f>
        <v>Performing</v>
      </c>
      <c r="L19">
        <f>Table4[[#This Row],[energy_kwh]] - Table4[[#This Row],[expected_kwh]]</f>
        <v>-1.9936821863369971</v>
      </c>
      <c r="M19" t="str">
        <f>IF(Table4[[#This Row],[Performance_Deviation]] &lt; 0, "Underperforming", "Outperforming")</f>
        <v>Underperforming</v>
      </c>
      <c r="N19">
        <f>IF(Table4[[#This Row],[Performance_Ratio]] &lt; 0.85, Table4[[#This Row],[Performance_Deviation]] * 50 / 1000, 0)</f>
        <v>0</v>
      </c>
    </row>
    <row r="20" spans="1:14" x14ac:dyDescent="0.3">
      <c r="A20" s="4" t="s">
        <v>6</v>
      </c>
      <c r="B20" s="3">
        <v>45292.75</v>
      </c>
      <c r="C20" s="7">
        <v>4.29778482658637E-14</v>
      </c>
      <c r="D20" s="7">
        <v>4.1043054505803899E-14</v>
      </c>
      <c r="E20" s="7">
        <v>4.1043054505803899E-14</v>
      </c>
      <c r="F20" s="4">
        <v>62.095789817712202</v>
      </c>
      <c r="G20" s="4" t="str">
        <f t="shared" si="0"/>
        <v>OK</v>
      </c>
      <c r="H20" s="4" t="str">
        <f t="shared" si="1"/>
        <v>NON-ZERO</v>
      </c>
      <c r="I20" s="2">
        <v>4.8985871965894097E-14</v>
      </c>
      <c r="J20">
        <f>IFERROR(Table4[[#This Row],[energy_kwh]]/Table4[[#This Row],[expected_kwh]],0)</f>
        <v>0.83785493365065944</v>
      </c>
      <c r="K20" t="str">
        <f>IF(Table4[[#This Row],[Performance_Ratio]] &lt; 0.85, "Underperforming", "Performing")</f>
        <v>Underperforming</v>
      </c>
      <c r="L20">
        <f>Table4[[#This Row],[energy_kwh]] - Table4[[#This Row],[expected_kwh]]</f>
        <v>-7.942817460090198E-15</v>
      </c>
      <c r="M20" t="str">
        <f>IF(Table4[[#This Row],[Performance_Deviation]] &lt; 0, "Underperforming", "Outperforming")</f>
        <v>Underperforming</v>
      </c>
      <c r="N20">
        <f>IF(Table4[[#This Row],[Performance_Ratio]] &lt; 0.85, Table4[[#This Row],[Performance_Deviation]] * 50 / 1000, 0)</f>
        <v>-3.971408730045099E-16</v>
      </c>
    </row>
    <row r="21" spans="1:14" x14ac:dyDescent="0.3">
      <c r="A21" s="6" t="s">
        <v>6</v>
      </c>
      <c r="B21" s="5">
        <v>45292.791666666664</v>
      </c>
      <c r="C21" s="6">
        <v>0</v>
      </c>
      <c r="D21" s="6">
        <v>0</v>
      </c>
      <c r="E21" s="6">
        <v>0</v>
      </c>
      <c r="F21" s="6">
        <v>59.204962203649501</v>
      </c>
      <c r="G21" s="6" t="str">
        <f t="shared" si="0"/>
        <v>OK</v>
      </c>
      <c r="H21" s="6" t="str">
        <f t="shared" si="1"/>
        <v>ZERO</v>
      </c>
      <c r="I21">
        <v>0</v>
      </c>
      <c r="J21">
        <f>IFERROR(Table4[[#This Row],[energy_kwh]]/Table4[[#This Row],[expected_kwh]],0)</f>
        <v>0</v>
      </c>
      <c r="K21" t="str">
        <f>IF(Table4[[#This Row],[Performance_Ratio]] &lt; 0.85, "Underperforming", "Performing")</f>
        <v>Underperforming</v>
      </c>
      <c r="L21">
        <f>Table4[[#This Row],[energy_kwh]] - Table4[[#This Row],[expected_kwh]]</f>
        <v>0</v>
      </c>
      <c r="M21" t="str">
        <f>IF(Table4[[#This Row],[Performance_Deviation]] &lt; 0, "Underperforming", "Outperforming")</f>
        <v>Outperforming</v>
      </c>
      <c r="N21">
        <f>IF(Table4[[#This Row],[Performance_Ratio]] &lt; 0.85, Table4[[#This Row],[Performance_Deviation]] * 50 / 1000, 0)</f>
        <v>0</v>
      </c>
    </row>
    <row r="22" spans="1:14" x14ac:dyDescent="0.3">
      <c r="A22" s="4" t="s">
        <v>6</v>
      </c>
      <c r="B22" s="3">
        <v>45292.833333333336</v>
      </c>
      <c r="C22" s="4">
        <v>0</v>
      </c>
      <c r="D22" s="4">
        <v>0</v>
      </c>
      <c r="E22" s="4">
        <v>0</v>
      </c>
      <c r="F22" s="4">
        <v>67.730780844783496</v>
      </c>
      <c r="G22" s="4" t="str">
        <f t="shared" si="0"/>
        <v>OK</v>
      </c>
      <c r="H22" s="4" t="str">
        <f t="shared" si="1"/>
        <v>ZERO</v>
      </c>
      <c r="I22">
        <v>0</v>
      </c>
      <c r="J22">
        <f>IFERROR(Table4[[#This Row],[energy_kwh]]/Table4[[#This Row],[expected_kwh]],0)</f>
        <v>0</v>
      </c>
      <c r="K22" t="str">
        <f>IF(Table4[[#This Row],[Performance_Ratio]] &lt; 0.85, "Underperforming", "Performing")</f>
        <v>Underperforming</v>
      </c>
      <c r="L22">
        <f>Table4[[#This Row],[energy_kwh]] - Table4[[#This Row],[expected_kwh]]</f>
        <v>0</v>
      </c>
      <c r="M22" t="str">
        <f>IF(Table4[[#This Row],[Performance_Deviation]] &lt; 0, "Underperforming", "Outperforming")</f>
        <v>Outperforming</v>
      </c>
      <c r="N22">
        <f>IF(Table4[[#This Row],[Performance_Ratio]] &lt; 0.85, Table4[[#This Row],[Performance_Deviation]] * 50 / 1000, 0)</f>
        <v>0</v>
      </c>
    </row>
    <row r="23" spans="1:14" x14ac:dyDescent="0.3">
      <c r="A23" s="6" t="s">
        <v>6</v>
      </c>
      <c r="B23" s="5">
        <v>45292.875</v>
      </c>
      <c r="C23" s="6">
        <v>0</v>
      </c>
      <c r="D23" s="6">
        <v>0</v>
      </c>
      <c r="E23" s="6">
        <v>0</v>
      </c>
      <c r="F23" s="6">
        <v>88.0674855444569</v>
      </c>
      <c r="G23" s="6" t="str">
        <f t="shared" si="0"/>
        <v>OK</v>
      </c>
      <c r="H23" s="6" t="str">
        <f t="shared" si="1"/>
        <v>ZERO</v>
      </c>
      <c r="I23">
        <v>0</v>
      </c>
      <c r="J23">
        <f>IFERROR(Table4[[#This Row],[energy_kwh]]/Table4[[#This Row],[expected_kwh]],0)</f>
        <v>0</v>
      </c>
      <c r="K23" t="str">
        <f>IF(Table4[[#This Row],[Performance_Ratio]] &lt; 0.85, "Underperforming", "Performing")</f>
        <v>Underperforming</v>
      </c>
      <c r="L23">
        <f>Table4[[#This Row],[energy_kwh]] - Table4[[#This Row],[expected_kwh]]</f>
        <v>0</v>
      </c>
      <c r="M23" t="str">
        <f>IF(Table4[[#This Row],[Performance_Deviation]] &lt; 0, "Underperforming", "Outperforming")</f>
        <v>Outperforming</v>
      </c>
      <c r="N23">
        <f>IF(Table4[[#This Row],[Performance_Ratio]] &lt; 0.85, Table4[[#This Row],[Performance_Deviation]] * 50 / 1000, 0)</f>
        <v>0</v>
      </c>
    </row>
    <row r="24" spans="1:14" x14ac:dyDescent="0.3">
      <c r="A24" s="4" t="s">
        <v>6</v>
      </c>
      <c r="B24" s="3">
        <v>45292.916666666664</v>
      </c>
      <c r="C24" s="4">
        <v>0</v>
      </c>
      <c r="D24" s="4">
        <v>0</v>
      </c>
      <c r="E24" s="4">
        <v>0</v>
      </c>
      <c r="F24" s="4">
        <v>25.7734932371594</v>
      </c>
      <c r="G24" s="4" t="str">
        <f t="shared" si="0"/>
        <v>OK</v>
      </c>
      <c r="H24" s="4" t="str">
        <f t="shared" si="1"/>
        <v>ZERO</v>
      </c>
      <c r="I24">
        <v>0</v>
      </c>
      <c r="J24">
        <f>IFERROR(Table4[[#This Row],[energy_kwh]]/Table4[[#This Row],[expected_kwh]],0)</f>
        <v>0</v>
      </c>
      <c r="K24" t="str">
        <f>IF(Table4[[#This Row],[Performance_Ratio]] &lt; 0.85, "Underperforming", "Performing")</f>
        <v>Underperforming</v>
      </c>
      <c r="L24">
        <f>Table4[[#This Row],[energy_kwh]] - Table4[[#This Row],[expected_kwh]]</f>
        <v>0</v>
      </c>
      <c r="M24" t="str">
        <f>IF(Table4[[#This Row],[Performance_Deviation]] &lt; 0, "Underperforming", "Outperforming")</f>
        <v>Outperforming</v>
      </c>
      <c r="N24">
        <f>IF(Table4[[#This Row],[Performance_Ratio]] &lt; 0.85, Table4[[#This Row],[Performance_Deviation]] * 50 / 1000, 0)</f>
        <v>0</v>
      </c>
    </row>
    <row r="25" spans="1:14" x14ac:dyDescent="0.3">
      <c r="A25" s="6" t="s">
        <v>6</v>
      </c>
      <c r="B25" s="5">
        <v>45292.958333333336</v>
      </c>
      <c r="C25" s="6">
        <v>0</v>
      </c>
      <c r="D25" s="6">
        <v>0</v>
      </c>
      <c r="E25" s="6">
        <v>0</v>
      </c>
      <c r="F25" s="6">
        <v>89.7273239256929</v>
      </c>
      <c r="G25" s="6" t="str">
        <f t="shared" si="0"/>
        <v>OK</v>
      </c>
      <c r="H25" s="6" t="str">
        <f t="shared" si="1"/>
        <v>ZERO</v>
      </c>
      <c r="I25">
        <v>0</v>
      </c>
      <c r="J25">
        <f>IFERROR(Table4[[#This Row],[energy_kwh]]/Table4[[#This Row],[expected_kwh]],0)</f>
        <v>0</v>
      </c>
      <c r="K25" t="str">
        <f>IF(Table4[[#This Row],[Performance_Ratio]] &lt; 0.85, "Underperforming", "Performing")</f>
        <v>Underperforming</v>
      </c>
      <c r="L25">
        <f>Table4[[#This Row],[energy_kwh]] - Table4[[#This Row],[expected_kwh]]</f>
        <v>0</v>
      </c>
      <c r="M25" t="str">
        <f>IF(Table4[[#This Row],[Performance_Deviation]] &lt; 0, "Underperforming", "Outperforming")</f>
        <v>Outperforming</v>
      </c>
      <c r="N25">
        <f>IF(Table4[[#This Row],[Performance_Ratio]] &lt; 0.85, Table4[[#This Row],[Performance_Deviation]] * 50 / 1000, 0)</f>
        <v>0</v>
      </c>
    </row>
    <row r="26" spans="1:14" x14ac:dyDescent="0.3">
      <c r="A26" s="4" t="s">
        <v>6</v>
      </c>
      <c r="B26" s="3">
        <v>45293</v>
      </c>
      <c r="C26" s="4">
        <v>0</v>
      </c>
      <c r="D26" s="4">
        <v>0</v>
      </c>
      <c r="E26" s="4">
        <v>0</v>
      </c>
      <c r="F26" s="4">
        <v>33.992754416452598</v>
      </c>
      <c r="G26" s="4" t="str">
        <f t="shared" si="0"/>
        <v>OK</v>
      </c>
      <c r="H26" s="4" t="str">
        <f t="shared" si="1"/>
        <v>ZERO</v>
      </c>
      <c r="I26">
        <v>0</v>
      </c>
      <c r="J26">
        <f>IFERROR(Table4[[#This Row],[energy_kwh]]/Table4[[#This Row],[expected_kwh]],0)</f>
        <v>0</v>
      </c>
      <c r="K26" t="str">
        <f>IF(Table4[[#This Row],[Performance_Ratio]] &lt; 0.85, "Underperforming", "Performing")</f>
        <v>Underperforming</v>
      </c>
      <c r="L26">
        <f>Table4[[#This Row],[energy_kwh]] - Table4[[#This Row],[expected_kwh]]</f>
        <v>0</v>
      </c>
      <c r="M26" t="str">
        <f>IF(Table4[[#This Row],[Performance_Deviation]] &lt; 0, "Underperforming", "Outperforming")</f>
        <v>Outperforming</v>
      </c>
      <c r="N26">
        <f>IF(Table4[[#This Row],[Performance_Ratio]] &lt; 0.85, Table4[[#This Row],[Performance_Deviation]] * 50 / 1000, 0)</f>
        <v>0</v>
      </c>
    </row>
    <row r="27" spans="1:14" x14ac:dyDescent="0.3">
      <c r="A27" s="6" t="s">
        <v>6</v>
      </c>
      <c r="B27" s="5">
        <v>45293.041666666664</v>
      </c>
      <c r="C27" s="6">
        <v>0</v>
      </c>
      <c r="D27" s="6">
        <v>0</v>
      </c>
      <c r="E27" s="6">
        <v>0</v>
      </c>
      <c r="F27" s="6">
        <v>80.558011637304602</v>
      </c>
      <c r="G27" s="6" t="str">
        <f t="shared" si="0"/>
        <v>OK</v>
      </c>
      <c r="H27" s="6" t="str">
        <f t="shared" si="1"/>
        <v>ZERO</v>
      </c>
      <c r="I27">
        <v>0</v>
      </c>
      <c r="J27">
        <f>IFERROR(Table4[[#This Row],[energy_kwh]]/Table4[[#This Row],[expected_kwh]],0)</f>
        <v>0</v>
      </c>
      <c r="K27" t="str">
        <f>IF(Table4[[#This Row],[Performance_Ratio]] &lt; 0.85, "Underperforming", "Performing")</f>
        <v>Underperforming</v>
      </c>
      <c r="L27">
        <f>Table4[[#This Row],[energy_kwh]] - Table4[[#This Row],[expected_kwh]]</f>
        <v>0</v>
      </c>
      <c r="M27" t="str">
        <f>IF(Table4[[#This Row],[Performance_Deviation]] &lt; 0, "Underperforming", "Outperforming")</f>
        <v>Outperforming</v>
      </c>
      <c r="N27">
        <f>IF(Table4[[#This Row],[Performance_Ratio]] &lt; 0.85, Table4[[#This Row],[Performance_Deviation]] * 50 / 1000, 0)</f>
        <v>0</v>
      </c>
    </row>
    <row r="28" spans="1:14" x14ac:dyDescent="0.3">
      <c r="A28" s="4" t="s">
        <v>6</v>
      </c>
      <c r="B28" s="3">
        <v>45293.083333333336</v>
      </c>
      <c r="C28" s="4">
        <v>0</v>
      </c>
      <c r="D28" s="4">
        <v>0</v>
      </c>
      <c r="E28" s="4">
        <v>0</v>
      </c>
      <c r="F28" s="4">
        <v>52.033084146969202</v>
      </c>
      <c r="G28" s="4" t="str">
        <f t="shared" si="0"/>
        <v>OK</v>
      </c>
      <c r="H28" s="4" t="str">
        <f t="shared" si="1"/>
        <v>ZERO</v>
      </c>
      <c r="I28">
        <v>0</v>
      </c>
      <c r="J28">
        <f>IFERROR(Table4[[#This Row],[energy_kwh]]/Table4[[#This Row],[expected_kwh]],0)</f>
        <v>0</v>
      </c>
      <c r="K28" t="str">
        <f>IF(Table4[[#This Row],[Performance_Ratio]] &lt; 0.85, "Underperforming", "Performing")</f>
        <v>Underperforming</v>
      </c>
      <c r="L28">
        <f>Table4[[#This Row],[energy_kwh]] - Table4[[#This Row],[expected_kwh]]</f>
        <v>0</v>
      </c>
      <c r="M28" t="str">
        <f>IF(Table4[[#This Row],[Performance_Deviation]] &lt; 0, "Underperforming", "Outperforming")</f>
        <v>Outperforming</v>
      </c>
      <c r="N28">
        <f>IF(Table4[[#This Row],[Performance_Ratio]] &lt; 0.85, Table4[[#This Row],[Performance_Deviation]] * 50 / 1000, 0)</f>
        <v>0</v>
      </c>
    </row>
    <row r="29" spans="1:14" x14ac:dyDescent="0.3">
      <c r="A29" s="6" t="s">
        <v>6</v>
      </c>
      <c r="B29" s="5">
        <v>45293.125</v>
      </c>
      <c r="C29" s="6">
        <v>0</v>
      </c>
      <c r="D29" s="6">
        <v>0</v>
      </c>
      <c r="E29" s="6">
        <v>0</v>
      </c>
      <c r="F29" s="6">
        <v>20.5214097898393</v>
      </c>
      <c r="G29" s="6" t="str">
        <f t="shared" si="0"/>
        <v>OK</v>
      </c>
      <c r="H29" s="6" t="str">
        <f t="shared" si="1"/>
        <v>ZERO</v>
      </c>
      <c r="I29">
        <v>0</v>
      </c>
      <c r="J29">
        <f>IFERROR(Table4[[#This Row],[energy_kwh]]/Table4[[#This Row],[expected_kwh]],0)</f>
        <v>0</v>
      </c>
      <c r="K29" t="str">
        <f>IF(Table4[[#This Row],[Performance_Ratio]] &lt; 0.85, "Underperforming", "Performing")</f>
        <v>Underperforming</v>
      </c>
      <c r="L29">
        <f>Table4[[#This Row],[energy_kwh]] - Table4[[#This Row],[expected_kwh]]</f>
        <v>0</v>
      </c>
      <c r="M29" t="str">
        <f>IF(Table4[[#This Row],[Performance_Deviation]] &lt; 0, "Underperforming", "Outperforming")</f>
        <v>Outperforming</v>
      </c>
      <c r="N29">
        <f>IF(Table4[[#This Row],[Performance_Ratio]] &lt; 0.85, Table4[[#This Row],[Performance_Deviation]] * 50 / 1000, 0)</f>
        <v>0</v>
      </c>
    </row>
    <row r="30" spans="1:14" x14ac:dyDescent="0.3">
      <c r="A30" s="4" t="s">
        <v>6</v>
      </c>
      <c r="B30" s="3">
        <v>45293.166666666664</v>
      </c>
      <c r="C30" s="4">
        <v>0</v>
      </c>
      <c r="D30" s="4">
        <v>0</v>
      </c>
      <c r="E30" s="4">
        <v>0</v>
      </c>
      <c r="F30" s="4">
        <v>45.321137855272099</v>
      </c>
      <c r="G30" s="4" t="str">
        <f t="shared" si="0"/>
        <v>OK</v>
      </c>
      <c r="H30" s="4" t="str">
        <f t="shared" si="1"/>
        <v>ZERO</v>
      </c>
      <c r="I30">
        <v>0</v>
      </c>
      <c r="J30">
        <f>IFERROR(Table4[[#This Row],[energy_kwh]]/Table4[[#This Row],[expected_kwh]],0)</f>
        <v>0</v>
      </c>
      <c r="K30" t="str">
        <f>IF(Table4[[#This Row],[Performance_Ratio]] &lt; 0.85, "Underperforming", "Performing")</f>
        <v>Underperforming</v>
      </c>
      <c r="L30">
        <f>Table4[[#This Row],[energy_kwh]] - Table4[[#This Row],[expected_kwh]]</f>
        <v>0</v>
      </c>
      <c r="M30" t="str">
        <f>IF(Table4[[#This Row],[Performance_Deviation]] &lt; 0, "Underperforming", "Outperforming")</f>
        <v>Outperforming</v>
      </c>
      <c r="N30">
        <f>IF(Table4[[#This Row],[Performance_Ratio]] &lt; 0.85, Table4[[#This Row],[Performance_Deviation]] * 50 / 1000, 0)</f>
        <v>0</v>
      </c>
    </row>
    <row r="31" spans="1:14" x14ac:dyDescent="0.3">
      <c r="A31" s="6" t="s">
        <v>6</v>
      </c>
      <c r="B31" s="5">
        <v>45293.208333333336</v>
      </c>
      <c r="C31" s="6">
        <v>0</v>
      </c>
      <c r="D31" s="6">
        <v>0</v>
      </c>
      <c r="E31" s="6">
        <v>0</v>
      </c>
      <c r="F31" s="6">
        <v>58.909296630752401</v>
      </c>
      <c r="G31" s="6" t="str">
        <f t="shared" si="0"/>
        <v>OK</v>
      </c>
      <c r="H31" s="6" t="str">
        <f t="shared" si="1"/>
        <v>ZERO</v>
      </c>
      <c r="I31">
        <v>0</v>
      </c>
      <c r="J31">
        <f>IFERROR(Table4[[#This Row],[energy_kwh]]/Table4[[#This Row],[expected_kwh]],0)</f>
        <v>0</v>
      </c>
      <c r="K31" t="str">
        <f>IF(Table4[[#This Row],[Performance_Ratio]] &lt; 0.85, "Underperforming", "Performing")</f>
        <v>Underperforming</v>
      </c>
      <c r="L31">
        <f>Table4[[#This Row],[energy_kwh]] - Table4[[#This Row],[expected_kwh]]</f>
        <v>0</v>
      </c>
      <c r="M31" t="str">
        <f>IF(Table4[[#This Row],[Performance_Deviation]] &lt; 0, "Underperforming", "Outperforming")</f>
        <v>Outperforming</v>
      </c>
      <c r="N31">
        <f>IF(Table4[[#This Row],[Performance_Ratio]] &lt; 0.85, Table4[[#This Row],[Performance_Deviation]] * 50 / 1000, 0)</f>
        <v>0</v>
      </c>
    </row>
    <row r="32" spans="1:14" x14ac:dyDescent="0.3">
      <c r="A32" s="4" t="s">
        <v>6</v>
      </c>
      <c r="B32" s="3">
        <v>45293.25</v>
      </c>
      <c r="C32" s="4">
        <v>0</v>
      </c>
      <c r="D32" s="4">
        <v>0</v>
      </c>
      <c r="E32" s="4">
        <v>0</v>
      </c>
      <c r="F32" s="4">
        <v>38.883672186902302</v>
      </c>
      <c r="G32" s="4" t="str">
        <f t="shared" si="0"/>
        <v>OK</v>
      </c>
      <c r="H32" s="4" t="str">
        <f t="shared" si="1"/>
        <v>ZERO</v>
      </c>
      <c r="I32">
        <v>0</v>
      </c>
      <c r="J32">
        <f>IFERROR(Table4[[#This Row],[energy_kwh]]/Table4[[#This Row],[expected_kwh]],0)</f>
        <v>0</v>
      </c>
      <c r="K32" t="str">
        <f>IF(Table4[[#This Row],[Performance_Ratio]] &lt; 0.85, "Underperforming", "Performing")</f>
        <v>Underperforming</v>
      </c>
      <c r="L32">
        <f>Table4[[#This Row],[energy_kwh]] - Table4[[#This Row],[expected_kwh]]</f>
        <v>0</v>
      </c>
      <c r="M32" t="str">
        <f>IF(Table4[[#This Row],[Performance_Deviation]] &lt; 0, "Underperforming", "Outperforming")</f>
        <v>Outperforming</v>
      </c>
      <c r="N32">
        <f>IF(Table4[[#This Row],[Performance_Ratio]] &lt; 0.85, Table4[[#This Row],[Performance_Deviation]] * 50 / 1000, 0)</f>
        <v>0</v>
      </c>
    </row>
    <row r="33" spans="1:14" x14ac:dyDescent="0.3">
      <c r="A33" s="6" t="s">
        <v>6</v>
      </c>
      <c r="B33" s="5">
        <v>45293.291666666664</v>
      </c>
      <c r="C33" s="6">
        <v>108.525632421845</v>
      </c>
      <c r="D33" s="6">
        <v>103.639982607145</v>
      </c>
      <c r="E33" s="6">
        <v>103.639982607145</v>
      </c>
      <c r="F33" s="6">
        <v>41.363037078310001</v>
      </c>
      <c r="G33" s="6" t="str">
        <f t="shared" si="0"/>
        <v>OK</v>
      </c>
      <c r="H33" s="6" t="str">
        <f t="shared" si="1"/>
        <v>NON-ZERO</v>
      </c>
      <c r="I33">
        <v>103.527618041008</v>
      </c>
      <c r="J33">
        <f>IFERROR(Table4[[#This Row],[energy_kwh]]/Table4[[#This Row],[expected_kwh]],0)</f>
        <v>1.001085358363915</v>
      </c>
      <c r="K33" t="str">
        <f>IF(Table4[[#This Row],[Performance_Ratio]] &lt; 0.85, "Underperforming", "Performing")</f>
        <v>Performing</v>
      </c>
      <c r="L33">
        <f>Table4[[#This Row],[energy_kwh]] - Table4[[#This Row],[expected_kwh]]</f>
        <v>0.11236456613700341</v>
      </c>
      <c r="M33" t="str">
        <f>IF(Table4[[#This Row],[Performance_Deviation]] &lt; 0, "Underperforming", "Outperforming")</f>
        <v>Outperforming</v>
      </c>
      <c r="N33">
        <f>IF(Table4[[#This Row],[Performance_Ratio]] &lt; 0.85, Table4[[#This Row],[Performance_Deviation]] * 50 / 1000, 0)</f>
        <v>0</v>
      </c>
    </row>
    <row r="34" spans="1:14" x14ac:dyDescent="0.3">
      <c r="A34" s="4" t="s">
        <v>6</v>
      </c>
      <c r="B34" s="3">
        <v>45293.333333333336</v>
      </c>
      <c r="C34" s="4">
        <v>191.432867555695</v>
      </c>
      <c r="D34" s="4">
        <v>182.81486706097701</v>
      </c>
      <c r="E34" s="4">
        <v>182.81486706097701</v>
      </c>
      <c r="F34" s="4">
        <v>40.898484817745803</v>
      </c>
      <c r="G34" s="4" t="str">
        <f t="shared" si="0"/>
        <v>OK</v>
      </c>
      <c r="H34" s="4" t="str">
        <f t="shared" si="1"/>
        <v>NON-ZERO</v>
      </c>
      <c r="I34">
        <v>199.99999999999901</v>
      </c>
      <c r="J34">
        <f>IFERROR(Table4[[#This Row],[energy_kwh]]/Table4[[#This Row],[expected_kwh]],0)</f>
        <v>0.91407433530488957</v>
      </c>
      <c r="K34" t="str">
        <f>IF(Table4[[#This Row],[Performance_Ratio]] &lt; 0.85, "Underperforming", "Performing")</f>
        <v>Performing</v>
      </c>
      <c r="L34">
        <f>Table4[[#This Row],[energy_kwh]] - Table4[[#This Row],[expected_kwh]]</f>
        <v>-17.185132939021997</v>
      </c>
      <c r="M34" t="str">
        <f>IF(Table4[[#This Row],[Performance_Deviation]] &lt; 0, "Underperforming", "Outperforming")</f>
        <v>Underperforming</v>
      </c>
      <c r="N34">
        <f>IF(Table4[[#This Row],[Performance_Ratio]] &lt; 0.85, Table4[[#This Row],[Performance_Deviation]] * 50 / 1000, 0)</f>
        <v>0</v>
      </c>
    </row>
    <row r="35" spans="1:14" x14ac:dyDescent="0.3">
      <c r="A35" s="6" t="s">
        <v>6</v>
      </c>
      <c r="B35" s="5">
        <v>45293.375</v>
      </c>
      <c r="C35" s="6">
        <v>260.13535008625502</v>
      </c>
      <c r="D35" s="6">
        <v>248.42447407858799</v>
      </c>
      <c r="E35" s="6">
        <v>248.42447407858799</v>
      </c>
      <c r="F35" s="6">
        <v>30.867115406841702</v>
      </c>
      <c r="G35" s="6" t="str">
        <f t="shared" si="0"/>
        <v>OK</v>
      </c>
      <c r="H35" s="6" t="str">
        <f t="shared" si="1"/>
        <v>NON-ZERO</v>
      </c>
      <c r="I35">
        <v>282.84271247461902</v>
      </c>
      <c r="J35">
        <f>IFERROR(Table4[[#This Row],[energy_kwh]]/Table4[[#This Row],[expected_kwh]],0)</f>
        <v>0.87831315116835629</v>
      </c>
      <c r="K35" t="str">
        <f>IF(Table4[[#This Row],[Performance_Ratio]] &lt; 0.85, "Underperforming", "Performing")</f>
        <v>Performing</v>
      </c>
      <c r="L35">
        <f>Table4[[#This Row],[energy_kwh]] - Table4[[#This Row],[expected_kwh]]</f>
        <v>-34.418238396031029</v>
      </c>
      <c r="M35" t="str">
        <f>IF(Table4[[#This Row],[Performance_Deviation]] &lt; 0, "Underperforming", "Outperforming")</f>
        <v>Underperforming</v>
      </c>
      <c r="N35">
        <f>IF(Table4[[#This Row],[Performance_Ratio]] &lt; 0.85, Table4[[#This Row],[Performance_Deviation]] * 50 / 1000, 0)</f>
        <v>0</v>
      </c>
    </row>
    <row r="36" spans="1:14" x14ac:dyDescent="0.3">
      <c r="A36" s="4" t="s">
        <v>6</v>
      </c>
      <c r="B36" s="3">
        <v>45293.416666666664</v>
      </c>
      <c r="C36" s="4">
        <v>337.329873894363</v>
      </c>
      <c r="D36" s="4">
        <v>322.14382430306699</v>
      </c>
      <c r="E36" s="4">
        <v>322.14382430306699</v>
      </c>
      <c r="F36" s="4">
        <v>77.1214711496538</v>
      </c>
      <c r="G36" s="4" t="str">
        <f t="shared" si="0"/>
        <v>OK</v>
      </c>
      <c r="H36" s="4" t="str">
        <f t="shared" si="1"/>
        <v>NON-ZERO</v>
      </c>
      <c r="I36">
        <v>346.41016151377499</v>
      </c>
      <c r="J36">
        <f>IFERROR(Table4[[#This Row],[energy_kwh]]/Table4[[#This Row],[expected_kwh]],0)</f>
        <v>0.92994911839575745</v>
      </c>
      <c r="K36" t="str">
        <f>IF(Table4[[#This Row],[Performance_Ratio]] &lt; 0.85, "Underperforming", "Performing")</f>
        <v>Performing</v>
      </c>
      <c r="L36">
        <f>Table4[[#This Row],[energy_kwh]] - Table4[[#This Row],[expected_kwh]]</f>
        <v>-24.266337210708002</v>
      </c>
      <c r="M36" t="str">
        <f>IF(Table4[[#This Row],[Performance_Deviation]] &lt; 0, "Underperforming", "Outperforming")</f>
        <v>Underperforming</v>
      </c>
      <c r="N36">
        <f>IF(Table4[[#This Row],[Performance_Ratio]] &lt; 0.85, Table4[[#This Row],[Performance_Deviation]] * 50 / 1000, 0)</f>
        <v>0</v>
      </c>
    </row>
    <row r="37" spans="1:14" x14ac:dyDescent="0.3">
      <c r="A37" s="6" t="s">
        <v>6</v>
      </c>
      <c r="B37" s="5">
        <v>45293.458333333336</v>
      </c>
      <c r="C37" s="6">
        <v>366.85221102171198</v>
      </c>
      <c r="D37" s="6">
        <v>350.33711318902903</v>
      </c>
      <c r="E37" s="6">
        <v>350.33711318902903</v>
      </c>
      <c r="F37" s="6">
        <v>47.583734953943903</v>
      </c>
      <c r="G37" s="6" t="str">
        <f t="shared" si="0"/>
        <v>OK</v>
      </c>
      <c r="H37" s="6" t="str">
        <f t="shared" si="1"/>
        <v>NON-ZERO</v>
      </c>
      <c r="I37">
        <v>386.37033051562702</v>
      </c>
      <c r="J37">
        <f>IFERROR(Table4[[#This Row],[energy_kwh]]/Table4[[#This Row],[expected_kwh]],0)</f>
        <v>0.90673917099558299</v>
      </c>
      <c r="K37" t="str">
        <f>IF(Table4[[#This Row],[Performance_Ratio]] &lt; 0.85, "Underperforming", "Performing")</f>
        <v>Performing</v>
      </c>
      <c r="L37">
        <f>Table4[[#This Row],[energy_kwh]] - Table4[[#This Row],[expected_kwh]]</f>
        <v>-36.033217326597992</v>
      </c>
      <c r="M37" t="str">
        <f>IF(Table4[[#This Row],[Performance_Deviation]] &lt; 0, "Underperforming", "Outperforming")</f>
        <v>Underperforming</v>
      </c>
      <c r="N37">
        <f>IF(Table4[[#This Row],[Performance_Ratio]] &lt; 0.85, Table4[[#This Row],[Performance_Deviation]] * 50 / 1000, 0)</f>
        <v>0</v>
      </c>
    </row>
    <row r="38" spans="1:14" x14ac:dyDescent="0.3">
      <c r="A38" s="4" t="s">
        <v>6</v>
      </c>
      <c r="B38" s="3">
        <v>45293.5</v>
      </c>
      <c r="C38" s="4">
        <v>419.34574856458897</v>
      </c>
      <c r="D38" s="4">
        <v>400.46747591093401</v>
      </c>
      <c r="E38" s="4">
        <v>400.46747591093401</v>
      </c>
      <c r="F38" s="4">
        <v>82.647687169192807</v>
      </c>
      <c r="G38" s="4" t="str">
        <f t="shared" si="0"/>
        <v>OK</v>
      </c>
      <c r="H38" s="4" t="str">
        <f t="shared" si="1"/>
        <v>NON-ZERO</v>
      </c>
      <c r="I38">
        <v>400</v>
      </c>
      <c r="J38">
        <f>IFERROR(Table4[[#This Row],[energy_kwh]]/Table4[[#This Row],[expected_kwh]],0)</f>
        <v>1.0011686897773351</v>
      </c>
      <c r="K38" t="str">
        <f>IF(Table4[[#This Row],[Performance_Ratio]] &lt; 0.85, "Underperforming", "Performing")</f>
        <v>Performing</v>
      </c>
      <c r="L38">
        <f>Table4[[#This Row],[energy_kwh]] - Table4[[#This Row],[expected_kwh]]</f>
        <v>0.46747591093401297</v>
      </c>
      <c r="M38" t="str">
        <f>IF(Table4[[#This Row],[Performance_Deviation]] &lt; 0, "Underperforming", "Outperforming")</f>
        <v>Outperforming</v>
      </c>
      <c r="N38">
        <f>IF(Table4[[#This Row],[Performance_Ratio]] &lt; 0.85, Table4[[#This Row],[Performance_Deviation]] * 50 / 1000, 0)</f>
        <v>0</v>
      </c>
    </row>
    <row r="39" spans="1:14" x14ac:dyDescent="0.3">
      <c r="A39" s="6" t="s">
        <v>6</v>
      </c>
      <c r="B39" s="5">
        <v>45293.541666666664</v>
      </c>
      <c r="C39" s="6">
        <v>404.70854929919199</v>
      </c>
      <c r="D39" s="6">
        <v>386.48921986736298</v>
      </c>
      <c r="E39" s="6">
        <v>386.48921986736298</v>
      </c>
      <c r="F39" s="6">
        <v>23.058135616607199</v>
      </c>
      <c r="G39" s="6" t="str">
        <f t="shared" si="0"/>
        <v>OK</v>
      </c>
      <c r="H39" s="6" t="str">
        <f t="shared" si="1"/>
        <v>NON-ZERO</v>
      </c>
      <c r="I39">
        <v>386.37033051562702</v>
      </c>
      <c r="J39">
        <f>IFERROR(Table4[[#This Row],[energy_kwh]]/Table4[[#This Row],[expected_kwh]],0)</f>
        <v>1.0003077082848917</v>
      </c>
      <c r="K39" t="str">
        <f>IF(Table4[[#This Row],[Performance_Ratio]] &lt; 0.85, "Underperforming", "Performing")</f>
        <v>Performing</v>
      </c>
      <c r="L39">
        <f>Table4[[#This Row],[energy_kwh]] - Table4[[#This Row],[expected_kwh]]</f>
        <v>0.11888935173595883</v>
      </c>
      <c r="M39" t="str">
        <f>IF(Table4[[#This Row],[Performance_Deviation]] &lt; 0, "Underperforming", "Outperforming")</f>
        <v>Outperforming</v>
      </c>
      <c r="N39">
        <f>IF(Table4[[#This Row],[Performance_Ratio]] &lt; 0.85, Table4[[#This Row],[Performance_Deviation]] * 50 / 1000, 0)</f>
        <v>0</v>
      </c>
    </row>
    <row r="40" spans="1:14" x14ac:dyDescent="0.3">
      <c r="A40" s="4" t="s">
        <v>6</v>
      </c>
      <c r="B40" s="3">
        <v>45293.583333333336</v>
      </c>
      <c r="C40" s="4">
        <v>370.472624273164</v>
      </c>
      <c r="D40" s="4">
        <v>353.794541245772</v>
      </c>
      <c r="E40" s="4">
        <v>353.794541245772</v>
      </c>
      <c r="F40" s="4">
        <v>36.9871831398453</v>
      </c>
      <c r="G40" s="4" t="str">
        <f t="shared" si="0"/>
        <v>OK</v>
      </c>
      <c r="H40" s="4" t="str">
        <f t="shared" si="1"/>
        <v>NON-ZERO</v>
      </c>
      <c r="I40">
        <v>346.41016151377499</v>
      </c>
      <c r="J40">
        <f>IFERROR(Table4[[#This Row],[energy_kwh]]/Table4[[#This Row],[expected_kwh]],0)</f>
        <v>1.0213168681303344</v>
      </c>
      <c r="K40" t="str">
        <f>IF(Table4[[#This Row],[Performance_Ratio]] &lt; 0.85, "Underperforming", "Performing")</f>
        <v>Performing</v>
      </c>
      <c r="L40">
        <f>Table4[[#This Row],[energy_kwh]] - Table4[[#This Row],[expected_kwh]]</f>
        <v>7.3843797319970008</v>
      </c>
      <c r="M40" t="str">
        <f>IF(Table4[[#This Row],[Performance_Deviation]] &lt; 0, "Underperforming", "Outperforming")</f>
        <v>Outperforming</v>
      </c>
      <c r="N40">
        <f>IF(Table4[[#This Row],[Performance_Ratio]] &lt; 0.85, Table4[[#This Row],[Performance_Deviation]] * 50 / 1000, 0)</f>
        <v>0</v>
      </c>
    </row>
    <row r="41" spans="1:14" x14ac:dyDescent="0.3">
      <c r="A41" s="6" t="s">
        <v>6</v>
      </c>
      <c r="B41" s="5">
        <v>45293.625</v>
      </c>
      <c r="C41" s="6">
        <v>285.99676484440801</v>
      </c>
      <c r="D41" s="6">
        <v>273.12164944553399</v>
      </c>
      <c r="E41" s="6">
        <v>273.12164944553399</v>
      </c>
      <c r="F41" s="6">
        <v>71.820330357684895</v>
      </c>
      <c r="G41" s="6" t="str">
        <f t="shared" si="0"/>
        <v>OK</v>
      </c>
      <c r="H41" s="6" t="str">
        <f t="shared" si="1"/>
        <v>NON-ZERO</v>
      </c>
      <c r="I41">
        <v>282.84271247461902</v>
      </c>
      <c r="J41">
        <f>IFERROR(Table4[[#This Row],[energy_kwh]]/Table4[[#This Row],[expected_kwh]],0)</f>
        <v>0.96563085205896071</v>
      </c>
      <c r="K41" t="str">
        <f>IF(Table4[[#This Row],[Performance_Ratio]] &lt; 0.85, "Underperforming", "Performing")</f>
        <v>Performing</v>
      </c>
      <c r="L41">
        <f>Table4[[#This Row],[energy_kwh]] - Table4[[#This Row],[expected_kwh]]</f>
        <v>-9.7210630290850304</v>
      </c>
      <c r="M41" t="str">
        <f>IF(Table4[[#This Row],[Performance_Deviation]] &lt; 0, "Underperforming", "Outperforming")</f>
        <v>Underperforming</v>
      </c>
      <c r="N41">
        <f>IF(Table4[[#This Row],[Performance_Ratio]] &lt; 0.85, Table4[[#This Row],[Performance_Deviation]] * 50 / 1000, 0)</f>
        <v>0</v>
      </c>
    </row>
    <row r="42" spans="1:14" x14ac:dyDescent="0.3">
      <c r="A42" s="4" t="s">
        <v>6</v>
      </c>
      <c r="B42" s="3">
        <v>45293.666666666664</v>
      </c>
      <c r="C42" s="4">
        <v>198.68767502346401</v>
      </c>
      <c r="D42" s="4">
        <v>189.74307473872801</v>
      </c>
      <c r="E42" s="4">
        <v>189.74307473872801</v>
      </c>
      <c r="F42" s="4">
        <v>28.510514093044101</v>
      </c>
      <c r="G42" s="4" t="str">
        <f t="shared" si="0"/>
        <v>OK</v>
      </c>
      <c r="H42" s="4" t="str">
        <f t="shared" si="1"/>
        <v>NON-ZERO</v>
      </c>
      <c r="I42">
        <v>199.99999999999901</v>
      </c>
      <c r="J42">
        <f>IFERROR(Table4[[#This Row],[energy_kwh]]/Table4[[#This Row],[expected_kwh]],0)</f>
        <v>0.94871537369364478</v>
      </c>
      <c r="K42" t="str">
        <f>IF(Table4[[#This Row],[Performance_Ratio]] &lt; 0.85, "Underperforming", "Performing")</f>
        <v>Performing</v>
      </c>
      <c r="L42">
        <f>Table4[[#This Row],[energy_kwh]] - Table4[[#This Row],[expected_kwh]]</f>
        <v>-10.256925261270993</v>
      </c>
      <c r="M42" t="str">
        <f>IF(Table4[[#This Row],[Performance_Deviation]] &lt; 0, "Underperforming", "Outperforming")</f>
        <v>Underperforming</v>
      </c>
      <c r="N42">
        <f>IF(Table4[[#This Row],[Performance_Ratio]] &lt; 0.85, Table4[[#This Row],[Performance_Deviation]] * 50 / 1000, 0)</f>
        <v>0</v>
      </c>
    </row>
    <row r="43" spans="1:14" x14ac:dyDescent="0.3">
      <c r="A43" s="6" t="s">
        <v>6</v>
      </c>
      <c r="B43" s="5">
        <v>45293.708333333336</v>
      </c>
      <c r="C43" s="6">
        <v>97.184934709329895</v>
      </c>
      <c r="D43" s="6">
        <v>92.809824906618303</v>
      </c>
      <c r="E43" s="6">
        <v>92.809824906618303</v>
      </c>
      <c r="F43" s="6">
        <v>39.345622078636602</v>
      </c>
      <c r="G43" s="6" t="str">
        <f t="shared" si="0"/>
        <v>OK</v>
      </c>
      <c r="H43" s="6" t="str">
        <f t="shared" si="1"/>
        <v>NON-ZERO</v>
      </c>
      <c r="I43">
        <v>103.527618041008</v>
      </c>
      <c r="J43">
        <f>IFERROR(Table4[[#This Row],[energy_kwh]]/Table4[[#This Row],[expected_kwh]],0)</f>
        <v>0.89647406810669306</v>
      </c>
      <c r="K43" t="str">
        <f>IF(Table4[[#This Row],[Performance_Ratio]] &lt; 0.85, "Underperforming", "Performing")</f>
        <v>Performing</v>
      </c>
      <c r="L43">
        <f>Table4[[#This Row],[energy_kwh]] - Table4[[#This Row],[expected_kwh]]</f>
        <v>-10.717793134389694</v>
      </c>
      <c r="M43" t="str">
        <f>IF(Table4[[#This Row],[Performance_Deviation]] &lt; 0, "Underperforming", "Outperforming")</f>
        <v>Underperforming</v>
      </c>
      <c r="N43">
        <f>IF(Table4[[#This Row],[Performance_Ratio]] &lt; 0.85, Table4[[#This Row],[Performance_Deviation]] * 50 / 1000, 0)</f>
        <v>0</v>
      </c>
    </row>
    <row r="44" spans="1:14" x14ac:dyDescent="0.3">
      <c r="A44" s="4" t="s">
        <v>6</v>
      </c>
      <c r="B44" s="3">
        <v>45293.75</v>
      </c>
      <c r="C44" s="7">
        <v>5.01159879241685E-14</v>
      </c>
      <c r="D44" s="7">
        <v>4.7859846571649197E-14</v>
      </c>
      <c r="E44" s="7">
        <v>4.7859846571649197E-14</v>
      </c>
      <c r="F44" s="4">
        <v>38.138921817533799</v>
      </c>
      <c r="G44" s="4" t="str">
        <f t="shared" si="0"/>
        <v>OK</v>
      </c>
      <c r="H44" s="4" t="str">
        <f t="shared" si="1"/>
        <v>NON-ZERO</v>
      </c>
      <c r="I44" s="2">
        <v>4.8985871965894097E-14</v>
      </c>
      <c r="J44">
        <f>IFERROR(Table4[[#This Row],[energy_kwh]]/Table4[[#This Row],[expected_kwh]],0)</f>
        <v>0.97701326221101292</v>
      </c>
      <c r="K44" t="str">
        <f>IF(Table4[[#This Row],[Performance_Ratio]] &lt; 0.85, "Underperforming", "Performing")</f>
        <v>Performing</v>
      </c>
      <c r="L44">
        <f>Table4[[#This Row],[energy_kwh]] - Table4[[#This Row],[expected_kwh]]</f>
        <v>-1.1260253942448999E-15</v>
      </c>
      <c r="M44" t="str">
        <f>IF(Table4[[#This Row],[Performance_Deviation]] &lt; 0, "Underperforming", "Outperforming")</f>
        <v>Underperforming</v>
      </c>
      <c r="N44">
        <f>IF(Table4[[#This Row],[Performance_Ratio]] &lt; 0.85, Table4[[#This Row],[Performance_Deviation]] * 50 / 1000, 0)</f>
        <v>0</v>
      </c>
    </row>
    <row r="45" spans="1:14" x14ac:dyDescent="0.3">
      <c r="A45" s="6" t="s">
        <v>6</v>
      </c>
      <c r="B45" s="5">
        <v>45293.791666666664</v>
      </c>
      <c r="C45" s="6">
        <v>0</v>
      </c>
      <c r="D45" s="6">
        <v>0</v>
      </c>
      <c r="E45" s="6">
        <v>0</v>
      </c>
      <c r="F45" s="6">
        <v>87.531354287249698</v>
      </c>
      <c r="G45" s="6" t="str">
        <f t="shared" si="0"/>
        <v>OK</v>
      </c>
      <c r="H45" s="6" t="str">
        <f t="shared" si="1"/>
        <v>ZERO</v>
      </c>
      <c r="I45">
        <v>0</v>
      </c>
      <c r="J45">
        <f>IFERROR(Table4[[#This Row],[energy_kwh]]/Table4[[#This Row],[expected_kwh]],0)</f>
        <v>0</v>
      </c>
      <c r="K45" t="str">
        <f>IF(Table4[[#This Row],[Performance_Ratio]] &lt; 0.85, "Underperforming", "Performing")</f>
        <v>Underperforming</v>
      </c>
      <c r="L45">
        <f>Table4[[#This Row],[energy_kwh]] - Table4[[#This Row],[expected_kwh]]</f>
        <v>0</v>
      </c>
      <c r="M45" t="str">
        <f>IF(Table4[[#This Row],[Performance_Deviation]] &lt; 0, "Underperforming", "Outperforming")</f>
        <v>Outperforming</v>
      </c>
      <c r="N45">
        <f>IF(Table4[[#This Row],[Performance_Ratio]] &lt; 0.85, Table4[[#This Row],[Performance_Deviation]] * 50 / 1000, 0)</f>
        <v>0</v>
      </c>
    </row>
    <row r="46" spans="1:14" x14ac:dyDescent="0.3">
      <c r="A46" s="4" t="s">
        <v>6</v>
      </c>
      <c r="B46" s="3">
        <v>45293.833333333336</v>
      </c>
      <c r="C46" s="4">
        <v>0</v>
      </c>
      <c r="D46" s="4">
        <v>0</v>
      </c>
      <c r="E46" s="4">
        <v>0</v>
      </c>
      <c r="F46" s="4">
        <v>87.283269496443197</v>
      </c>
      <c r="G46" s="4" t="str">
        <f t="shared" si="0"/>
        <v>OK</v>
      </c>
      <c r="H46" s="4" t="str">
        <f t="shared" si="1"/>
        <v>ZERO</v>
      </c>
      <c r="I46">
        <v>0</v>
      </c>
      <c r="J46">
        <f>IFERROR(Table4[[#This Row],[energy_kwh]]/Table4[[#This Row],[expected_kwh]],0)</f>
        <v>0</v>
      </c>
      <c r="K46" t="str">
        <f>IF(Table4[[#This Row],[Performance_Ratio]] &lt; 0.85, "Underperforming", "Performing")</f>
        <v>Underperforming</v>
      </c>
      <c r="L46">
        <f>Table4[[#This Row],[energy_kwh]] - Table4[[#This Row],[expected_kwh]]</f>
        <v>0</v>
      </c>
      <c r="M46" t="str">
        <f>IF(Table4[[#This Row],[Performance_Deviation]] &lt; 0, "Underperforming", "Outperforming")</f>
        <v>Outperforming</v>
      </c>
      <c r="N46">
        <f>IF(Table4[[#This Row],[Performance_Ratio]] &lt; 0.85, Table4[[#This Row],[Performance_Deviation]] * 50 / 1000, 0)</f>
        <v>0</v>
      </c>
    </row>
    <row r="47" spans="1:14" x14ac:dyDescent="0.3">
      <c r="A47" s="6" t="s">
        <v>6</v>
      </c>
      <c r="B47" s="5">
        <v>45293.875</v>
      </c>
      <c r="C47" s="6">
        <v>0</v>
      </c>
      <c r="D47" s="6">
        <v>0</v>
      </c>
      <c r="E47" s="6">
        <v>0</v>
      </c>
      <c r="F47" s="6">
        <v>68.1523734615715</v>
      </c>
      <c r="G47" s="6" t="str">
        <f t="shared" si="0"/>
        <v>OK</v>
      </c>
      <c r="H47" s="6" t="str">
        <f t="shared" si="1"/>
        <v>ZERO</v>
      </c>
      <c r="I47">
        <v>0</v>
      </c>
      <c r="J47">
        <f>IFERROR(Table4[[#This Row],[energy_kwh]]/Table4[[#This Row],[expected_kwh]],0)</f>
        <v>0</v>
      </c>
      <c r="K47" t="str">
        <f>IF(Table4[[#This Row],[Performance_Ratio]] &lt; 0.85, "Underperforming", "Performing")</f>
        <v>Underperforming</v>
      </c>
      <c r="L47">
        <f>Table4[[#This Row],[energy_kwh]] - Table4[[#This Row],[expected_kwh]]</f>
        <v>0</v>
      </c>
      <c r="M47" t="str">
        <f>IF(Table4[[#This Row],[Performance_Deviation]] &lt; 0, "Underperforming", "Outperforming")</f>
        <v>Outperforming</v>
      </c>
      <c r="N47">
        <f>IF(Table4[[#This Row],[Performance_Ratio]] &lt; 0.85, Table4[[#This Row],[Performance_Deviation]] * 50 / 1000, 0)</f>
        <v>0</v>
      </c>
    </row>
    <row r="48" spans="1:14" x14ac:dyDescent="0.3">
      <c r="A48" s="4" t="s">
        <v>6</v>
      </c>
      <c r="B48" s="3">
        <v>45293.916666666664</v>
      </c>
      <c r="C48" s="4">
        <v>0</v>
      </c>
      <c r="D48" s="4">
        <v>0</v>
      </c>
      <c r="E48" s="4">
        <v>0</v>
      </c>
      <c r="F48" s="4">
        <v>69.762632683104101</v>
      </c>
      <c r="G48" s="4" t="str">
        <f t="shared" si="0"/>
        <v>OK</v>
      </c>
      <c r="H48" s="4" t="str">
        <f t="shared" si="1"/>
        <v>ZERO</v>
      </c>
      <c r="I48">
        <v>0</v>
      </c>
      <c r="J48">
        <f>IFERROR(Table4[[#This Row],[energy_kwh]]/Table4[[#This Row],[expected_kwh]],0)</f>
        <v>0</v>
      </c>
      <c r="K48" t="str">
        <f>IF(Table4[[#This Row],[Performance_Ratio]] &lt; 0.85, "Underperforming", "Performing")</f>
        <v>Underperforming</v>
      </c>
      <c r="L48">
        <f>Table4[[#This Row],[energy_kwh]] - Table4[[#This Row],[expected_kwh]]</f>
        <v>0</v>
      </c>
      <c r="M48" t="str">
        <f>IF(Table4[[#This Row],[Performance_Deviation]] &lt; 0, "Underperforming", "Outperforming")</f>
        <v>Outperforming</v>
      </c>
      <c r="N48">
        <f>IF(Table4[[#This Row],[Performance_Ratio]] &lt; 0.85, Table4[[#This Row],[Performance_Deviation]] * 50 / 1000, 0)</f>
        <v>0</v>
      </c>
    </row>
    <row r="49" spans="1:14" x14ac:dyDescent="0.3">
      <c r="A49" s="6" t="s">
        <v>6</v>
      </c>
      <c r="B49" s="5">
        <v>45293.958333333336</v>
      </c>
      <c r="C49" s="6">
        <v>0</v>
      </c>
      <c r="D49" s="6">
        <v>0</v>
      </c>
      <c r="E49" s="6">
        <v>0</v>
      </c>
      <c r="F49" s="6">
        <v>61.155034202493901</v>
      </c>
      <c r="G49" s="6" t="str">
        <f t="shared" si="0"/>
        <v>OK</v>
      </c>
      <c r="H49" s="6" t="str">
        <f t="shared" si="1"/>
        <v>ZERO</v>
      </c>
      <c r="I49">
        <v>0</v>
      </c>
      <c r="J49">
        <f>IFERROR(Table4[[#This Row],[energy_kwh]]/Table4[[#This Row],[expected_kwh]],0)</f>
        <v>0</v>
      </c>
      <c r="K49" t="str">
        <f>IF(Table4[[#This Row],[Performance_Ratio]] &lt; 0.85, "Underperforming", "Performing")</f>
        <v>Underperforming</v>
      </c>
      <c r="L49">
        <f>Table4[[#This Row],[energy_kwh]] - Table4[[#This Row],[expected_kwh]]</f>
        <v>0</v>
      </c>
      <c r="M49" t="str">
        <f>IF(Table4[[#This Row],[Performance_Deviation]] &lt; 0, "Underperforming", "Outperforming")</f>
        <v>Outperforming</v>
      </c>
      <c r="N49">
        <f>IF(Table4[[#This Row],[Performance_Ratio]] &lt; 0.85, Table4[[#This Row],[Performance_Deviation]] * 50 / 1000, 0)</f>
        <v>0</v>
      </c>
    </row>
    <row r="50" spans="1:14" x14ac:dyDescent="0.3">
      <c r="A50" s="4" t="s">
        <v>6</v>
      </c>
      <c r="B50" s="3">
        <v>45294</v>
      </c>
      <c r="C50" s="4">
        <v>0</v>
      </c>
      <c r="D50" s="4">
        <v>0</v>
      </c>
      <c r="E50" s="4">
        <v>0</v>
      </c>
      <c r="F50" s="4">
        <v>37.793681562259998</v>
      </c>
      <c r="G50" s="4" t="str">
        <f t="shared" si="0"/>
        <v>OK</v>
      </c>
      <c r="H50" s="4" t="str">
        <f t="shared" si="1"/>
        <v>ZERO</v>
      </c>
      <c r="I50">
        <v>0</v>
      </c>
      <c r="J50">
        <f>IFERROR(Table4[[#This Row],[energy_kwh]]/Table4[[#This Row],[expected_kwh]],0)</f>
        <v>0</v>
      </c>
      <c r="K50" t="str">
        <f>IF(Table4[[#This Row],[Performance_Ratio]] &lt; 0.85, "Underperforming", "Performing")</f>
        <v>Underperforming</v>
      </c>
      <c r="L50">
        <f>Table4[[#This Row],[energy_kwh]] - Table4[[#This Row],[expected_kwh]]</f>
        <v>0</v>
      </c>
      <c r="M50" t="str">
        <f>IF(Table4[[#This Row],[Performance_Deviation]] &lt; 0, "Underperforming", "Outperforming")</f>
        <v>Outperforming</v>
      </c>
      <c r="N50">
        <f>IF(Table4[[#This Row],[Performance_Ratio]] &lt; 0.85, Table4[[#This Row],[Performance_Deviation]] * 50 / 1000, 0)</f>
        <v>0</v>
      </c>
    </row>
    <row r="51" spans="1:14" x14ac:dyDescent="0.3">
      <c r="A51" s="6" t="s">
        <v>6</v>
      </c>
      <c r="B51" s="5">
        <v>45294.041666666664</v>
      </c>
      <c r="C51" s="6">
        <v>0</v>
      </c>
      <c r="D51" s="6">
        <v>0</v>
      </c>
      <c r="E51" s="6">
        <v>0</v>
      </c>
      <c r="F51" s="6">
        <v>68.722467428541094</v>
      </c>
      <c r="G51" s="6" t="str">
        <f t="shared" si="0"/>
        <v>OK</v>
      </c>
      <c r="H51" s="6" t="str">
        <f t="shared" si="1"/>
        <v>ZERO</v>
      </c>
      <c r="I51">
        <v>0</v>
      </c>
      <c r="J51">
        <f>IFERROR(Table4[[#This Row],[energy_kwh]]/Table4[[#This Row],[expected_kwh]],0)</f>
        <v>0</v>
      </c>
      <c r="K51" t="str">
        <f>IF(Table4[[#This Row],[Performance_Ratio]] &lt; 0.85, "Underperforming", "Performing")</f>
        <v>Underperforming</v>
      </c>
      <c r="L51">
        <f>Table4[[#This Row],[energy_kwh]] - Table4[[#This Row],[expected_kwh]]</f>
        <v>0</v>
      </c>
      <c r="M51" t="str">
        <f>IF(Table4[[#This Row],[Performance_Deviation]] &lt; 0, "Underperforming", "Outperforming")</f>
        <v>Outperforming</v>
      </c>
      <c r="N51">
        <f>IF(Table4[[#This Row],[Performance_Ratio]] &lt; 0.85, Table4[[#This Row],[Performance_Deviation]] * 50 / 1000, 0)</f>
        <v>0</v>
      </c>
    </row>
    <row r="52" spans="1:14" x14ac:dyDescent="0.3">
      <c r="A52" s="4" t="s">
        <v>6</v>
      </c>
      <c r="B52" s="3">
        <v>45294.083333333336</v>
      </c>
      <c r="C52" s="4">
        <v>0</v>
      </c>
      <c r="D52" s="4">
        <v>0</v>
      </c>
      <c r="E52" s="4">
        <v>0</v>
      </c>
      <c r="F52" s="4">
        <v>47.578685229457498</v>
      </c>
      <c r="G52" s="4" t="str">
        <f t="shared" si="0"/>
        <v>OK</v>
      </c>
      <c r="H52" s="4" t="str">
        <f t="shared" si="1"/>
        <v>ZERO</v>
      </c>
      <c r="I52">
        <v>0</v>
      </c>
      <c r="J52">
        <f>IFERROR(Table4[[#This Row],[energy_kwh]]/Table4[[#This Row],[expected_kwh]],0)</f>
        <v>0</v>
      </c>
      <c r="K52" t="str">
        <f>IF(Table4[[#This Row],[Performance_Ratio]] &lt; 0.85, "Underperforming", "Performing")</f>
        <v>Underperforming</v>
      </c>
      <c r="L52">
        <f>Table4[[#This Row],[energy_kwh]] - Table4[[#This Row],[expected_kwh]]</f>
        <v>0</v>
      </c>
      <c r="M52" t="str">
        <f>IF(Table4[[#This Row],[Performance_Deviation]] &lt; 0, "Underperforming", "Outperforming")</f>
        <v>Outperforming</v>
      </c>
      <c r="N52">
        <f>IF(Table4[[#This Row],[Performance_Ratio]] &lt; 0.85, Table4[[#This Row],[Performance_Deviation]] * 50 / 1000, 0)</f>
        <v>0</v>
      </c>
    </row>
    <row r="53" spans="1:14" x14ac:dyDescent="0.3">
      <c r="A53" s="6" t="s">
        <v>6</v>
      </c>
      <c r="B53" s="5">
        <v>45294.125</v>
      </c>
      <c r="C53" s="6">
        <v>0</v>
      </c>
      <c r="D53" s="6">
        <v>0</v>
      </c>
      <c r="E53" s="6">
        <v>0</v>
      </c>
      <c r="F53" s="6">
        <v>92.975791606433404</v>
      </c>
      <c r="G53" s="6" t="str">
        <f t="shared" si="0"/>
        <v>OK</v>
      </c>
      <c r="H53" s="6" t="str">
        <f t="shared" si="1"/>
        <v>ZERO</v>
      </c>
      <c r="I53">
        <v>0</v>
      </c>
      <c r="J53">
        <f>IFERROR(Table4[[#This Row],[energy_kwh]]/Table4[[#This Row],[expected_kwh]],0)</f>
        <v>0</v>
      </c>
      <c r="K53" t="str">
        <f>IF(Table4[[#This Row],[Performance_Ratio]] &lt; 0.85, "Underperforming", "Performing")</f>
        <v>Underperforming</v>
      </c>
      <c r="L53">
        <f>Table4[[#This Row],[energy_kwh]] - Table4[[#This Row],[expected_kwh]]</f>
        <v>0</v>
      </c>
      <c r="M53" t="str">
        <f>IF(Table4[[#This Row],[Performance_Deviation]] &lt; 0, "Underperforming", "Outperforming")</f>
        <v>Outperforming</v>
      </c>
      <c r="N53">
        <f>IF(Table4[[#This Row],[Performance_Ratio]] &lt; 0.85, Table4[[#This Row],[Performance_Deviation]] * 50 / 1000, 0)</f>
        <v>0</v>
      </c>
    </row>
    <row r="54" spans="1:14" x14ac:dyDescent="0.3">
      <c r="A54" s="4" t="s">
        <v>6</v>
      </c>
      <c r="B54" s="3">
        <v>45294.166666666664</v>
      </c>
      <c r="C54" s="4">
        <v>0</v>
      </c>
      <c r="D54" s="4">
        <v>0</v>
      </c>
      <c r="E54" s="4">
        <v>0</v>
      </c>
      <c r="F54" s="4">
        <v>57.697781982889403</v>
      </c>
      <c r="G54" s="4" t="str">
        <f t="shared" si="0"/>
        <v>OK</v>
      </c>
      <c r="H54" s="4" t="str">
        <f t="shared" si="1"/>
        <v>ZERO</v>
      </c>
      <c r="I54">
        <v>0</v>
      </c>
      <c r="J54">
        <f>IFERROR(Table4[[#This Row],[energy_kwh]]/Table4[[#This Row],[expected_kwh]],0)</f>
        <v>0</v>
      </c>
      <c r="K54" t="str">
        <f>IF(Table4[[#This Row],[Performance_Ratio]] &lt; 0.85, "Underperforming", "Performing")</f>
        <v>Underperforming</v>
      </c>
      <c r="L54">
        <f>Table4[[#This Row],[energy_kwh]] - Table4[[#This Row],[expected_kwh]]</f>
        <v>0</v>
      </c>
      <c r="M54" t="str">
        <f>IF(Table4[[#This Row],[Performance_Deviation]] &lt; 0, "Underperforming", "Outperforming")</f>
        <v>Outperforming</v>
      </c>
      <c r="N54">
        <f>IF(Table4[[#This Row],[Performance_Ratio]] &lt; 0.85, Table4[[#This Row],[Performance_Deviation]] * 50 / 1000, 0)</f>
        <v>0</v>
      </c>
    </row>
    <row r="55" spans="1:14" x14ac:dyDescent="0.3">
      <c r="A55" s="6" t="s">
        <v>6</v>
      </c>
      <c r="B55" s="5">
        <v>45294.208333333336</v>
      </c>
      <c r="C55" s="6">
        <v>0</v>
      </c>
      <c r="D55" s="6">
        <v>0</v>
      </c>
      <c r="E55" s="6">
        <v>0</v>
      </c>
      <c r="F55" s="6">
        <v>34.643224084853301</v>
      </c>
      <c r="G55" s="6" t="str">
        <f t="shared" si="0"/>
        <v>OK</v>
      </c>
      <c r="H55" s="6" t="str">
        <f t="shared" si="1"/>
        <v>ZERO</v>
      </c>
      <c r="I55">
        <v>0</v>
      </c>
      <c r="J55">
        <f>IFERROR(Table4[[#This Row],[energy_kwh]]/Table4[[#This Row],[expected_kwh]],0)</f>
        <v>0</v>
      </c>
      <c r="K55" t="str">
        <f>IF(Table4[[#This Row],[Performance_Ratio]] &lt; 0.85, "Underperforming", "Performing")</f>
        <v>Underperforming</v>
      </c>
      <c r="L55">
        <f>Table4[[#This Row],[energy_kwh]] - Table4[[#This Row],[expected_kwh]]</f>
        <v>0</v>
      </c>
      <c r="M55" t="str">
        <f>IF(Table4[[#This Row],[Performance_Deviation]] &lt; 0, "Underperforming", "Outperforming")</f>
        <v>Outperforming</v>
      </c>
      <c r="N55">
        <f>IF(Table4[[#This Row],[Performance_Ratio]] &lt; 0.85, Table4[[#This Row],[Performance_Deviation]] * 50 / 1000, 0)</f>
        <v>0</v>
      </c>
    </row>
    <row r="56" spans="1:14" x14ac:dyDescent="0.3">
      <c r="A56" s="4" t="s">
        <v>6</v>
      </c>
      <c r="B56" s="3">
        <v>45294.25</v>
      </c>
      <c r="C56" s="4">
        <v>0</v>
      </c>
      <c r="D56" s="4">
        <v>0</v>
      </c>
      <c r="E56" s="4">
        <v>0</v>
      </c>
      <c r="F56" s="4">
        <v>33.283300955528603</v>
      </c>
      <c r="G56" s="4" t="str">
        <f t="shared" si="0"/>
        <v>OK</v>
      </c>
      <c r="H56" s="4" t="str">
        <f t="shared" si="1"/>
        <v>ZERO</v>
      </c>
      <c r="I56">
        <v>0</v>
      </c>
      <c r="J56">
        <f>IFERROR(Table4[[#This Row],[energy_kwh]]/Table4[[#This Row],[expected_kwh]],0)</f>
        <v>0</v>
      </c>
      <c r="K56" t="str">
        <f>IF(Table4[[#This Row],[Performance_Ratio]] &lt; 0.85, "Underperforming", "Performing")</f>
        <v>Underperforming</v>
      </c>
      <c r="L56">
        <f>Table4[[#This Row],[energy_kwh]] - Table4[[#This Row],[expected_kwh]]</f>
        <v>0</v>
      </c>
      <c r="M56" t="str">
        <f>IF(Table4[[#This Row],[Performance_Deviation]] &lt; 0, "Underperforming", "Outperforming")</f>
        <v>Outperforming</v>
      </c>
      <c r="N56">
        <f>IF(Table4[[#This Row],[Performance_Ratio]] &lt; 0.85, Table4[[#This Row],[Performance_Deviation]] * 50 / 1000, 0)</f>
        <v>0</v>
      </c>
    </row>
    <row r="57" spans="1:14" x14ac:dyDescent="0.3">
      <c r="A57" s="6" t="s">
        <v>6</v>
      </c>
      <c r="B57" s="5">
        <v>45294.291666666664</v>
      </c>
      <c r="C57" s="6">
        <v>105.43279539066199</v>
      </c>
      <c r="D57" s="6">
        <v>100.686380135863</v>
      </c>
      <c r="E57" s="6">
        <v>100.686380135863</v>
      </c>
      <c r="F57" s="6">
        <v>88.614829266533604</v>
      </c>
      <c r="G57" s="6" t="str">
        <f t="shared" si="0"/>
        <v>OK</v>
      </c>
      <c r="H57" s="6" t="str">
        <f t="shared" si="1"/>
        <v>NON-ZERO</v>
      </c>
      <c r="I57">
        <v>103.527618041008</v>
      </c>
      <c r="J57">
        <f>IFERROR(Table4[[#This Row],[energy_kwh]]/Table4[[#This Row],[expected_kwh]],0)</f>
        <v>0.9725557492878899</v>
      </c>
      <c r="K57" t="str">
        <f>IF(Table4[[#This Row],[Performance_Ratio]] &lt; 0.85, "Underperforming", "Performing")</f>
        <v>Performing</v>
      </c>
      <c r="L57">
        <f>Table4[[#This Row],[energy_kwh]] - Table4[[#This Row],[expected_kwh]]</f>
        <v>-2.8412379051449932</v>
      </c>
      <c r="M57" t="str">
        <f>IF(Table4[[#This Row],[Performance_Deviation]] &lt; 0, "Underperforming", "Outperforming")</f>
        <v>Underperforming</v>
      </c>
      <c r="N57">
        <f>IF(Table4[[#This Row],[Performance_Ratio]] &lt; 0.85, Table4[[#This Row],[Performance_Deviation]] * 50 / 1000, 0)</f>
        <v>0</v>
      </c>
    </row>
    <row r="58" spans="1:14" x14ac:dyDescent="0.3">
      <c r="A58" s="4" t="s">
        <v>6</v>
      </c>
      <c r="B58" s="3">
        <v>45294.333333333336</v>
      </c>
      <c r="C58" s="4">
        <v>188.26214655565599</v>
      </c>
      <c r="D58" s="4">
        <v>179.78688683213301</v>
      </c>
      <c r="E58" s="4">
        <v>179.78688683213301</v>
      </c>
      <c r="F58" s="4">
        <v>83.975709160052006</v>
      </c>
      <c r="G58" s="4" t="str">
        <f t="shared" si="0"/>
        <v>OK</v>
      </c>
      <c r="H58" s="4" t="str">
        <f t="shared" si="1"/>
        <v>NON-ZERO</v>
      </c>
      <c r="I58">
        <v>199.99999999999901</v>
      </c>
      <c r="J58">
        <f>IFERROR(Table4[[#This Row],[energy_kwh]]/Table4[[#This Row],[expected_kwh]],0)</f>
        <v>0.89893443416066954</v>
      </c>
      <c r="K58" t="str">
        <f>IF(Table4[[#This Row],[Performance_Ratio]] &lt; 0.85, "Underperforming", "Performing")</f>
        <v>Performing</v>
      </c>
      <c r="L58">
        <f>Table4[[#This Row],[energy_kwh]] - Table4[[#This Row],[expected_kwh]]</f>
        <v>-20.213113167865998</v>
      </c>
      <c r="M58" t="str">
        <f>IF(Table4[[#This Row],[Performance_Deviation]] &lt; 0, "Underperforming", "Outperforming")</f>
        <v>Underperforming</v>
      </c>
      <c r="N58">
        <f>IF(Table4[[#This Row],[Performance_Ratio]] &lt; 0.85, Table4[[#This Row],[Performance_Deviation]] * 50 / 1000, 0)</f>
        <v>0</v>
      </c>
    </row>
    <row r="59" spans="1:14" x14ac:dyDescent="0.3">
      <c r="A59" s="6" t="s">
        <v>6</v>
      </c>
      <c r="B59" s="5">
        <v>45294.375</v>
      </c>
      <c r="C59" s="6">
        <v>283.35857720816898</v>
      </c>
      <c r="D59" s="6">
        <v>270.60222878303699</v>
      </c>
      <c r="E59" s="6">
        <v>270.60222878303699</v>
      </c>
      <c r="F59" s="6">
        <v>83.835250363764203</v>
      </c>
      <c r="G59" s="6" t="str">
        <f t="shared" si="0"/>
        <v>OK</v>
      </c>
      <c r="H59" s="6" t="str">
        <f t="shared" si="1"/>
        <v>NON-ZERO</v>
      </c>
      <c r="I59">
        <v>282.84271247461902</v>
      </c>
      <c r="J59">
        <f>IFERROR(Table4[[#This Row],[energy_kwh]]/Table4[[#This Row],[expected_kwh]],0)</f>
        <v>0.95672335488339499</v>
      </c>
      <c r="K59" t="str">
        <f>IF(Table4[[#This Row],[Performance_Ratio]] &lt; 0.85, "Underperforming", "Performing")</f>
        <v>Performing</v>
      </c>
      <c r="L59">
        <f>Table4[[#This Row],[energy_kwh]] - Table4[[#This Row],[expected_kwh]]</f>
        <v>-12.240483691582028</v>
      </c>
      <c r="M59" t="str">
        <f>IF(Table4[[#This Row],[Performance_Deviation]] &lt; 0, "Underperforming", "Outperforming")</f>
        <v>Underperforming</v>
      </c>
      <c r="N59">
        <f>IF(Table4[[#This Row],[Performance_Ratio]] &lt; 0.85, Table4[[#This Row],[Performance_Deviation]] * 50 / 1000, 0)</f>
        <v>0</v>
      </c>
    </row>
    <row r="60" spans="1:14" x14ac:dyDescent="0.3">
      <c r="A60" s="4" t="s">
        <v>6</v>
      </c>
      <c r="B60" s="3">
        <v>45294.416666666664</v>
      </c>
      <c r="C60" s="4">
        <v>306.63421631296302</v>
      </c>
      <c r="D60" s="4">
        <v>292.83003596700598</v>
      </c>
      <c r="E60" s="4">
        <v>292.83003596700598</v>
      </c>
      <c r="F60" s="4">
        <v>72.202234750622907</v>
      </c>
      <c r="G60" s="4" t="str">
        <f t="shared" si="0"/>
        <v>OK</v>
      </c>
      <c r="H60" s="4" t="str">
        <f t="shared" si="1"/>
        <v>NON-ZERO</v>
      </c>
      <c r="I60">
        <v>346.41016151377499</v>
      </c>
      <c r="J60">
        <f>IFERROR(Table4[[#This Row],[energy_kwh]]/Table4[[#This Row],[expected_kwh]],0)</f>
        <v>0.84532750046179461</v>
      </c>
      <c r="K60" t="str">
        <f>IF(Table4[[#This Row],[Performance_Ratio]] &lt; 0.85, "Underperforming", "Performing")</f>
        <v>Underperforming</v>
      </c>
      <c r="L60">
        <f>Table4[[#This Row],[energy_kwh]] - Table4[[#This Row],[expected_kwh]]</f>
        <v>-53.580125546769011</v>
      </c>
      <c r="M60" t="str">
        <f>IF(Table4[[#This Row],[Performance_Deviation]] &lt; 0, "Underperforming", "Outperforming")</f>
        <v>Underperforming</v>
      </c>
      <c r="N60">
        <f>IF(Table4[[#This Row],[Performance_Ratio]] &lt; 0.85, Table4[[#This Row],[Performance_Deviation]] * 50 / 1000, 0)</f>
        <v>-2.6790062773384506</v>
      </c>
    </row>
    <row r="61" spans="1:14" x14ac:dyDescent="0.3">
      <c r="A61" s="6" t="s">
        <v>6</v>
      </c>
      <c r="B61" s="5">
        <v>45294.458333333336</v>
      </c>
      <c r="C61" s="6">
        <v>353.17819343758998</v>
      </c>
      <c r="D61" s="6">
        <v>337.278677933111</v>
      </c>
      <c r="E61" s="6">
        <v>337.278677933111</v>
      </c>
      <c r="F61" s="6">
        <v>66.125542002437697</v>
      </c>
      <c r="G61" s="6" t="str">
        <f t="shared" si="0"/>
        <v>OK</v>
      </c>
      <c r="H61" s="6" t="str">
        <f t="shared" si="1"/>
        <v>NON-ZERO</v>
      </c>
      <c r="I61">
        <v>386.37033051562702</v>
      </c>
      <c r="J61">
        <f>IFERROR(Table4[[#This Row],[energy_kwh]]/Table4[[#This Row],[expected_kwh]],0)</f>
        <v>0.87294145356088493</v>
      </c>
      <c r="K61" t="str">
        <f>IF(Table4[[#This Row],[Performance_Ratio]] &lt; 0.85, "Underperforming", "Performing")</f>
        <v>Performing</v>
      </c>
      <c r="L61">
        <f>Table4[[#This Row],[energy_kwh]] - Table4[[#This Row],[expected_kwh]]</f>
        <v>-49.091652582516019</v>
      </c>
      <c r="M61" t="str">
        <f>IF(Table4[[#This Row],[Performance_Deviation]] &lt; 0, "Underperforming", "Outperforming")</f>
        <v>Underperforming</v>
      </c>
      <c r="N61">
        <f>IF(Table4[[#This Row],[Performance_Ratio]] &lt; 0.85, Table4[[#This Row],[Performance_Deviation]] * 50 / 1000, 0)</f>
        <v>0</v>
      </c>
    </row>
    <row r="62" spans="1:14" x14ac:dyDescent="0.3">
      <c r="A62" s="4" t="s">
        <v>6</v>
      </c>
      <c r="B62" s="3">
        <v>45294.5</v>
      </c>
      <c r="C62" s="4">
        <v>409.60785824814599</v>
      </c>
      <c r="D62" s="4">
        <v>391.16796978961997</v>
      </c>
      <c r="E62" s="4">
        <v>391.16796978961997</v>
      </c>
      <c r="F62" s="4">
        <v>72.686306299033106</v>
      </c>
      <c r="G62" s="4" t="str">
        <f t="shared" si="0"/>
        <v>OK</v>
      </c>
      <c r="H62" s="4" t="str">
        <f t="shared" si="1"/>
        <v>NON-ZERO</v>
      </c>
      <c r="I62">
        <v>400</v>
      </c>
      <c r="J62">
        <f>IFERROR(Table4[[#This Row],[energy_kwh]]/Table4[[#This Row],[expected_kwh]],0)</f>
        <v>0.97791992447404996</v>
      </c>
      <c r="K62" t="str">
        <f>IF(Table4[[#This Row],[Performance_Ratio]] &lt; 0.85, "Underperforming", "Performing")</f>
        <v>Performing</v>
      </c>
      <c r="L62">
        <f>Table4[[#This Row],[energy_kwh]] - Table4[[#This Row],[expected_kwh]]</f>
        <v>-8.8320302103800259</v>
      </c>
      <c r="M62" t="str">
        <f>IF(Table4[[#This Row],[Performance_Deviation]] &lt; 0, "Underperforming", "Outperforming")</f>
        <v>Underperforming</v>
      </c>
      <c r="N62">
        <f>IF(Table4[[#This Row],[Performance_Ratio]] &lt; 0.85, Table4[[#This Row],[Performance_Deviation]] * 50 / 1000, 0)</f>
        <v>0</v>
      </c>
    </row>
    <row r="63" spans="1:14" x14ac:dyDescent="0.3">
      <c r="A63" s="6" t="s">
        <v>6</v>
      </c>
      <c r="B63" s="5">
        <v>45294.541666666664</v>
      </c>
      <c r="C63" s="6">
        <v>368.440915847535</v>
      </c>
      <c r="D63" s="6">
        <v>351.85429707307401</v>
      </c>
      <c r="E63" s="6">
        <v>351.85429707307401</v>
      </c>
      <c r="F63" s="6">
        <v>80.702086660888497</v>
      </c>
      <c r="G63" s="6" t="str">
        <f t="shared" si="0"/>
        <v>OK</v>
      </c>
      <c r="H63" s="6" t="str">
        <f t="shared" si="1"/>
        <v>NON-ZERO</v>
      </c>
      <c r="I63">
        <v>386.37033051562702</v>
      </c>
      <c r="J63">
        <f>IFERROR(Table4[[#This Row],[energy_kwh]]/Table4[[#This Row],[expected_kwh]],0)</f>
        <v>0.91066593183671751</v>
      </c>
      <c r="K63" t="str">
        <f>IF(Table4[[#This Row],[Performance_Ratio]] &lt; 0.85, "Underperforming", "Performing")</f>
        <v>Performing</v>
      </c>
      <c r="L63">
        <f>Table4[[#This Row],[energy_kwh]] - Table4[[#This Row],[expected_kwh]]</f>
        <v>-34.51603344255301</v>
      </c>
      <c r="M63" t="str">
        <f>IF(Table4[[#This Row],[Performance_Deviation]] &lt; 0, "Underperforming", "Outperforming")</f>
        <v>Underperforming</v>
      </c>
      <c r="N63">
        <f>IF(Table4[[#This Row],[Performance_Ratio]] &lt; 0.85, Table4[[#This Row],[Performance_Deviation]] * 50 / 1000, 0)</f>
        <v>0</v>
      </c>
    </row>
    <row r="64" spans="1:14" x14ac:dyDescent="0.3">
      <c r="A64" s="4" t="s">
        <v>6</v>
      </c>
      <c r="B64" s="3">
        <v>45294.583333333336</v>
      </c>
      <c r="C64" s="4">
        <v>336.47215225318899</v>
      </c>
      <c r="D64" s="4">
        <v>321.32471591374798</v>
      </c>
      <c r="E64" s="4">
        <v>321.32471591374798</v>
      </c>
      <c r="F64" s="4">
        <v>57.613722101539899</v>
      </c>
      <c r="G64" s="4" t="str">
        <f t="shared" si="0"/>
        <v>OK</v>
      </c>
      <c r="H64" s="4" t="str">
        <f t="shared" si="1"/>
        <v>NON-ZERO</v>
      </c>
      <c r="I64">
        <v>346.41016151377499</v>
      </c>
      <c r="J64">
        <f>IFERROR(Table4[[#This Row],[energy_kwh]]/Table4[[#This Row],[expected_kwh]],0)</f>
        <v>0.92758455615041335</v>
      </c>
      <c r="K64" t="str">
        <f>IF(Table4[[#This Row],[Performance_Ratio]] &lt; 0.85, "Underperforming", "Performing")</f>
        <v>Performing</v>
      </c>
      <c r="L64">
        <f>Table4[[#This Row],[energy_kwh]] - Table4[[#This Row],[expected_kwh]]</f>
        <v>-25.085445600027015</v>
      </c>
      <c r="M64" t="str">
        <f>IF(Table4[[#This Row],[Performance_Deviation]] &lt; 0, "Underperforming", "Outperforming")</f>
        <v>Underperforming</v>
      </c>
      <c r="N64">
        <f>IF(Table4[[#This Row],[Performance_Ratio]] &lt; 0.85, Table4[[#This Row],[Performance_Deviation]] * 50 / 1000, 0)</f>
        <v>0</v>
      </c>
    </row>
    <row r="65" spans="1:14" x14ac:dyDescent="0.3">
      <c r="A65" s="6" t="s">
        <v>6</v>
      </c>
      <c r="B65" s="5">
        <v>45294.625</v>
      </c>
      <c r="C65" s="6">
        <v>273.79302536012</v>
      </c>
      <c r="D65" s="6">
        <v>261.46730272883099</v>
      </c>
      <c r="E65" s="6">
        <v>261.46730272883099</v>
      </c>
      <c r="F65" s="6">
        <v>72.647515794327703</v>
      </c>
      <c r="G65" s="6" t="str">
        <f t="shared" si="0"/>
        <v>OK</v>
      </c>
      <c r="H65" s="6" t="str">
        <f t="shared" si="1"/>
        <v>NON-ZERO</v>
      </c>
      <c r="I65">
        <v>282.84271247461902</v>
      </c>
      <c r="J65">
        <f>IFERROR(Table4[[#This Row],[energy_kwh]]/Table4[[#This Row],[expected_kwh]],0)</f>
        <v>0.92442651409056131</v>
      </c>
      <c r="K65" t="str">
        <f>IF(Table4[[#This Row],[Performance_Ratio]] &lt; 0.85, "Underperforming", "Performing")</f>
        <v>Performing</v>
      </c>
      <c r="L65">
        <f>Table4[[#This Row],[energy_kwh]] - Table4[[#This Row],[expected_kwh]]</f>
        <v>-21.375409745788033</v>
      </c>
      <c r="M65" t="str">
        <f>IF(Table4[[#This Row],[Performance_Deviation]] &lt; 0, "Underperforming", "Outperforming")</f>
        <v>Underperforming</v>
      </c>
      <c r="N65">
        <f>IF(Table4[[#This Row],[Performance_Ratio]] &lt; 0.85, Table4[[#This Row],[Performance_Deviation]] * 50 / 1000, 0)</f>
        <v>0</v>
      </c>
    </row>
    <row r="66" spans="1:14" x14ac:dyDescent="0.3">
      <c r="A66" s="4" t="s">
        <v>6</v>
      </c>
      <c r="B66" s="3">
        <v>45294.666666666664</v>
      </c>
      <c r="C66" s="4">
        <v>193.25214621446901</v>
      </c>
      <c r="D66" s="4">
        <v>184.55224471402801</v>
      </c>
      <c r="E66" s="4">
        <v>184.55224471402801</v>
      </c>
      <c r="F66" s="4">
        <v>27.048645488065102</v>
      </c>
      <c r="G66" s="4" t="str">
        <f t="shared" ref="G66:G129" si="2">IF(D66 &gt; C66, "ERROR", "OK")</f>
        <v>OK</v>
      </c>
      <c r="H66" s="4" t="str">
        <f t="shared" ref="H66:H129" si="3">IF(E66=0,"ZERO","NON-ZERO")</f>
        <v>NON-ZERO</v>
      </c>
      <c r="I66">
        <v>199.99999999999901</v>
      </c>
      <c r="J66">
        <f>IFERROR(Table4[[#This Row],[energy_kwh]]/Table4[[#This Row],[expected_kwh]],0)</f>
        <v>0.92276122357014467</v>
      </c>
      <c r="K66" t="str">
        <f>IF(Table4[[#This Row],[Performance_Ratio]] &lt; 0.85, "Underperforming", "Performing")</f>
        <v>Performing</v>
      </c>
      <c r="L66">
        <f>Table4[[#This Row],[energy_kwh]] - Table4[[#This Row],[expected_kwh]]</f>
        <v>-15.447755285970999</v>
      </c>
      <c r="M66" t="str">
        <f>IF(Table4[[#This Row],[Performance_Deviation]] &lt; 0, "Underperforming", "Outperforming")</f>
        <v>Underperforming</v>
      </c>
      <c r="N66">
        <f>IF(Table4[[#This Row],[Performance_Ratio]] &lt; 0.85, Table4[[#This Row],[Performance_Deviation]] * 50 / 1000, 0)</f>
        <v>0</v>
      </c>
    </row>
    <row r="67" spans="1:14" x14ac:dyDescent="0.3">
      <c r="A67" s="6" t="s">
        <v>6</v>
      </c>
      <c r="B67" s="5">
        <v>45294.708333333336</v>
      </c>
      <c r="C67" s="6">
        <v>99.628008523262096</v>
      </c>
      <c r="D67" s="6">
        <v>95.142915457979498</v>
      </c>
      <c r="E67" s="6">
        <v>95.142915457979498</v>
      </c>
      <c r="F67" s="6">
        <v>54.919851359934498</v>
      </c>
      <c r="G67" s="6" t="str">
        <f t="shared" si="2"/>
        <v>OK</v>
      </c>
      <c r="H67" s="6" t="str">
        <f t="shared" si="3"/>
        <v>NON-ZERO</v>
      </c>
      <c r="I67">
        <v>103.527618041008</v>
      </c>
      <c r="J67">
        <f>IFERROR(Table4[[#This Row],[energy_kwh]]/Table4[[#This Row],[expected_kwh]],0)</f>
        <v>0.91900999229300084</v>
      </c>
      <c r="K67" t="str">
        <f>IF(Table4[[#This Row],[Performance_Ratio]] &lt; 0.85, "Underperforming", "Performing")</f>
        <v>Performing</v>
      </c>
      <c r="L67">
        <f>Table4[[#This Row],[energy_kwh]] - Table4[[#This Row],[expected_kwh]]</f>
        <v>-8.3847025830284991</v>
      </c>
      <c r="M67" t="str">
        <f>IF(Table4[[#This Row],[Performance_Deviation]] &lt; 0, "Underperforming", "Outperforming")</f>
        <v>Underperforming</v>
      </c>
      <c r="N67">
        <f>IF(Table4[[#This Row],[Performance_Ratio]] &lt; 0.85, Table4[[#This Row],[Performance_Deviation]] * 50 / 1000, 0)</f>
        <v>0</v>
      </c>
    </row>
    <row r="68" spans="1:14" x14ac:dyDescent="0.3">
      <c r="A68" s="4" t="s">
        <v>6</v>
      </c>
      <c r="B68" s="3">
        <v>45294.75</v>
      </c>
      <c r="C68" s="7">
        <v>4.0403804111289701E-14</v>
      </c>
      <c r="D68" s="7">
        <v>3.8584889688361403E-14</v>
      </c>
      <c r="E68" s="7">
        <v>3.8584889688361403E-14</v>
      </c>
      <c r="F68" s="4">
        <v>22.801114156191002</v>
      </c>
      <c r="G68" s="4" t="str">
        <f t="shared" si="2"/>
        <v>OK</v>
      </c>
      <c r="H68" s="4" t="str">
        <f t="shared" si="3"/>
        <v>NON-ZERO</v>
      </c>
      <c r="I68" s="2">
        <v>4.8985871965894097E-14</v>
      </c>
      <c r="J68">
        <f>IFERROR(Table4[[#This Row],[energy_kwh]]/Table4[[#This Row],[expected_kwh]],0)</f>
        <v>0.78767383614658792</v>
      </c>
      <c r="K68" t="str">
        <f>IF(Table4[[#This Row],[Performance_Ratio]] &lt; 0.85, "Underperforming", "Performing")</f>
        <v>Underperforming</v>
      </c>
      <c r="L68">
        <f>Table4[[#This Row],[energy_kwh]] - Table4[[#This Row],[expected_kwh]]</f>
        <v>-1.0400982277532694E-14</v>
      </c>
      <c r="M68" t="str">
        <f>IF(Table4[[#This Row],[Performance_Deviation]] &lt; 0, "Underperforming", "Outperforming")</f>
        <v>Underperforming</v>
      </c>
      <c r="N68">
        <f>IF(Table4[[#This Row],[Performance_Ratio]] &lt; 0.85, Table4[[#This Row],[Performance_Deviation]] * 50 / 1000, 0)</f>
        <v>-5.2004911387663476E-16</v>
      </c>
    </row>
    <row r="69" spans="1:14" x14ac:dyDescent="0.3">
      <c r="A69" s="6" t="s">
        <v>6</v>
      </c>
      <c r="B69" s="5">
        <v>45294.791666666664</v>
      </c>
      <c r="C69" s="6">
        <v>0</v>
      </c>
      <c r="D69" s="6">
        <v>0</v>
      </c>
      <c r="E69" s="6">
        <v>0</v>
      </c>
      <c r="F69" s="6">
        <v>29.529538448891302</v>
      </c>
      <c r="G69" s="6" t="str">
        <f t="shared" si="2"/>
        <v>OK</v>
      </c>
      <c r="H69" s="6" t="str">
        <f t="shared" si="3"/>
        <v>ZERO</v>
      </c>
      <c r="I69">
        <v>0</v>
      </c>
      <c r="J69">
        <f>IFERROR(Table4[[#This Row],[energy_kwh]]/Table4[[#This Row],[expected_kwh]],0)</f>
        <v>0</v>
      </c>
      <c r="K69" t="str">
        <f>IF(Table4[[#This Row],[Performance_Ratio]] &lt; 0.85, "Underperforming", "Performing")</f>
        <v>Underperforming</v>
      </c>
      <c r="L69">
        <f>Table4[[#This Row],[energy_kwh]] - Table4[[#This Row],[expected_kwh]]</f>
        <v>0</v>
      </c>
      <c r="M69" t="str">
        <f>IF(Table4[[#This Row],[Performance_Deviation]] &lt; 0, "Underperforming", "Outperforming")</f>
        <v>Outperforming</v>
      </c>
      <c r="N69">
        <f>IF(Table4[[#This Row],[Performance_Ratio]] &lt; 0.85, Table4[[#This Row],[Performance_Deviation]] * 50 / 1000, 0)</f>
        <v>0</v>
      </c>
    </row>
    <row r="70" spans="1:14" x14ac:dyDescent="0.3">
      <c r="A70" s="4" t="s">
        <v>6</v>
      </c>
      <c r="B70" s="3">
        <v>45294.833333333336</v>
      </c>
      <c r="C70" s="4">
        <v>0</v>
      </c>
      <c r="D70" s="4">
        <v>0</v>
      </c>
      <c r="E70" s="4">
        <v>0</v>
      </c>
      <c r="F70" s="4">
        <v>26.401059874532599</v>
      </c>
      <c r="G70" s="4" t="str">
        <f t="shared" si="2"/>
        <v>OK</v>
      </c>
      <c r="H70" s="4" t="str">
        <f t="shared" si="3"/>
        <v>ZERO</v>
      </c>
      <c r="I70">
        <v>0</v>
      </c>
      <c r="J70">
        <f>IFERROR(Table4[[#This Row],[energy_kwh]]/Table4[[#This Row],[expected_kwh]],0)</f>
        <v>0</v>
      </c>
      <c r="K70" t="str">
        <f>IF(Table4[[#This Row],[Performance_Ratio]] &lt; 0.85, "Underperforming", "Performing")</f>
        <v>Underperforming</v>
      </c>
      <c r="L70">
        <f>Table4[[#This Row],[energy_kwh]] - Table4[[#This Row],[expected_kwh]]</f>
        <v>0</v>
      </c>
      <c r="M70" t="str">
        <f>IF(Table4[[#This Row],[Performance_Deviation]] &lt; 0, "Underperforming", "Outperforming")</f>
        <v>Outperforming</v>
      </c>
      <c r="N70">
        <f>IF(Table4[[#This Row],[Performance_Ratio]] &lt; 0.85, Table4[[#This Row],[Performance_Deviation]] * 50 / 1000, 0)</f>
        <v>0</v>
      </c>
    </row>
    <row r="71" spans="1:14" x14ac:dyDescent="0.3">
      <c r="A71" s="6" t="s">
        <v>6</v>
      </c>
      <c r="B71" s="5">
        <v>45294.875</v>
      </c>
      <c r="C71" s="6">
        <v>0</v>
      </c>
      <c r="D71" s="6">
        <v>0</v>
      </c>
      <c r="E71" s="6">
        <v>0</v>
      </c>
      <c r="F71" s="6">
        <v>60.547634120757898</v>
      </c>
      <c r="G71" s="6" t="str">
        <f t="shared" si="2"/>
        <v>OK</v>
      </c>
      <c r="H71" s="6" t="str">
        <f t="shared" si="3"/>
        <v>ZERO</v>
      </c>
      <c r="I71">
        <v>0</v>
      </c>
      <c r="J71">
        <f>IFERROR(Table4[[#This Row],[energy_kwh]]/Table4[[#This Row],[expected_kwh]],0)</f>
        <v>0</v>
      </c>
      <c r="K71" t="str">
        <f>IF(Table4[[#This Row],[Performance_Ratio]] &lt; 0.85, "Underperforming", "Performing")</f>
        <v>Underperforming</v>
      </c>
      <c r="L71">
        <f>Table4[[#This Row],[energy_kwh]] - Table4[[#This Row],[expected_kwh]]</f>
        <v>0</v>
      </c>
      <c r="M71" t="str">
        <f>IF(Table4[[#This Row],[Performance_Deviation]] &lt; 0, "Underperforming", "Outperforming")</f>
        <v>Outperforming</v>
      </c>
      <c r="N71">
        <f>IF(Table4[[#This Row],[Performance_Ratio]] &lt; 0.85, Table4[[#This Row],[Performance_Deviation]] * 50 / 1000, 0)</f>
        <v>0</v>
      </c>
    </row>
    <row r="72" spans="1:14" x14ac:dyDescent="0.3">
      <c r="A72" s="4" t="s">
        <v>6</v>
      </c>
      <c r="B72" s="3">
        <v>45294.916666666664</v>
      </c>
      <c r="C72" s="4">
        <v>0</v>
      </c>
      <c r="D72" s="4">
        <v>0</v>
      </c>
      <c r="E72" s="4">
        <v>0</v>
      </c>
      <c r="F72" s="4">
        <v>44.221735470593401</v>
      </c>
      <c r="G72" s="4" t="str">
        <f t="shared" si="2"/>
        <v>OK</v>
      </c>
      <c r="H72" s="4" t="str">
        <f t="shared" si="3"/>
        <v>ZERO</v>
      </c>
      <c r="I72">
        <v>0</v>
      </c>
      <c r="J72">
        <f>IFERROR(Table4[[#This Row],[energy_kwh]]/Table4[[#This Row],[expected_kwh]],0)</f>
        <v>0</v>
      </c>
      <c r="K72" t="str">
        <f>IF(Table4[[#This Row],[Performance_Ratio]] &lt; 0.85, "Underperforming", "Performing")</f>
        <v>Underperforming</v>
      </c>
      <c r="L72">
        <f>Table4[[#This Row],[energy_kwh]] - Table4[[#This Row],[expected_kwh]]</f>
        <v>0</v>
      </c>
      <c r="M72" t="str">
        <f>IF(Table4[[#This Row],[Performance_Deviation]] &lt; 0, "Underperforming", "Outperforming")</f>
        <v>Outperforming</v>
      </c>
      <c r="N72">
        <f>IF(Table4[[#This Row],[Performance_Ratio]] &lt; 0.85, Table4[[#This Row],[Performance_Deviation]] * 50 / 1000, 0)</f>
        <v>0</v>
      </c>
    </row>
    <row r="73" spans="1:14" x14ac:dyDescent="0.3">
      <c r="A73" s="6" t="s">
        <v>6</v>
      </c>
      <c r="B73" s="5">
        <v>45294.958333333336</v>
      </c>
      <c r="C73" s="6">
        <v>0</v>
      </c>
      <c r="D73" s="6">
        <v>0</v>
      </c>
      <c r="E73" s="6">
        <v>0</v>
      </c>
      <c r="F73" s="6">
        <v>52.922856552922703</v>
      </c>
      <c r="G73" s="6" t="str">
        <f t="shared" si="2"/>
        <v>OK</v>
      </c>
      <c r="H73" s="6" t="str">
        <f t="shared" si="3"/>
        <v>ZERO</v>
      </c>
      <c r="I73">
        <v>0</v>
      </c>
      <c r="J73">
        <f>IFERROR(Table4[[#This Row],[energy_kwh]]/Table4[[#This Row],[expected_kwh]],0)</f>
        <v>0</v>
      </c>
      <c r="K73" t="str">
        <f>IF(Table4[[#This Row],[Performance_Ratio]] &lt; 0.85, "Underperforming", "Performing")</f>
        <v>Underperforming</v>
      </c>
      <c r="L73">
        <f>Table4[[#This Row],[energy_kwh]] - Table4[[#This Row],[expected_kwh]]</f>
        <v>0</v>
      </c>
      <c r="M73" t="str">
        <f>IF(Table4[[#This Row],[Performance_Deviation]] &lt; 0, "Underperforming", "Outperforming")</f>
        <v>Outperforming</v>
      </c>
      <c r="N73">
        <f>IF(Table4[[#This Row],[Performance_Ratio]] &lt; 0.85, Table4[[#This Row],[Performance_Deviation]] * 50 / 1000, 0)</f>
        <v>0</v>
      </c>
    </row>
    <row r="74" spans="1:14" x14ac:dyDescent="0.3">
      <c r="A74" s="4" t="s">
        <v>6</v>
      </c>
      <c r="B74" s="3">
        <v>45295</v>
      </c>
      <c r="C74" s="4">
        <v>0</v>
      </c>
      <c r="D74" s="4">
        <v>0</v>
      </c>
      <c r="E74" s="4">
        <v>0</v>
      </c>
      <c r="F74" s="4">
        <v>38.7682173623446</v>
      </c>
      <c r="G74" s="4" t="str">
        <f t="shared" si="2"/>
        <v>OK</v>
      </c>
      <c r="H74" s="4" t="str">
        <f t="shared" si="3"/>
        <v>ZERO</v>
      </c>
      <c r="I74">
        <v>0</v>
      </c>
      <c r="J74">
        <f>IFERROR(Table4[[#This Row],[energy_kwh]]/Table4[[#This Row],[expected_kwh]],0)</f>
        <v>0</v>
      </c>
      <c r="K74" t="str">
        <f>IF(Table4[[#This Row],[Performance_Ratio]] &lt; 0.85, "Underperforming", "Performing")</f>
        <v>Underperforming</v>
      </c>
      <c r="L74">
        <f>Table4[[#This Row],[energy_kwh]] - Table4[[#This Row],[expected_kwh]]</f>
        <v>0</v>
      </c>
      <c r="M74" t="str">
        <f>IF(Table4[[#This Row],[Performance_Deviation]] &lt; 0, "Underperforming", "Outperforming")</f>
        <v>Outperforming</v>
      </c>
      <c r="N74">
        <f>IF(Table4[[#This Row],[Performance_Ratio]] &lt; 0.85, Table4[[#This Row],[Performance_Deviation]] * 50 / 1000, 0)</f>
        <v>0</v>
      </c>
    </row>
    <row r="75" spans="1:14" x14ac:dyDescent="0.3">
      <c r="A75" s="6" t="s">
        <v>6</v>
      </c>
      <c r="B75" s="5">
        <v>45295.041666666664</v>
      </c>
      <c r="C75" s="6">
        <v>0</v>
      </c>
      <c r="D75" s="6">
        <v>0</v>
      </c>
      <c r="E75" s="6">
        <v>0</v>
      </c>
      <c r="F75" s="6">
        <v>69.514803253829797</v>
      </c>
      <c r="G75" s="6" t="str">
        <f t="shared" si="2"/>
        <v>OK</v>
      </c>
      <c r="H75" s="6" t="str">
        <f t="shared" si="3"/>
        <v>ZERO</v>
      </c>
      <c r="I75">
        <v>0</v>
      </c>
      <c r="J75">
        <f>IFERROR(Table4[[#This Row],[energy_kwh]]/Table4[[#This Row],[expected_kwh]],0)</f>
        <v>0</v>
      </c>
      <c r="K75" t="str">
        <f>IF(Table4[[#This Row],[Performance_Ratio]] &lt; 0.85, "Underperforming", "Performing")</f>
        <v>Underperforming</v>
      </c>
      <c r="L75">
        <f>Table4[[#This Row],[energy_kwh]] - Table4[[#This Row],[expected_kwh]]</f>
        <v>0</v>
      </c>
      <c r="M75" t="str">
        <f>IF(Table4[[#This Row],[Performance_Deviation]] &lt; 0, "Underperforming", "Outperforming")</f>
        <v>Outperforming</v>
      </c>
      <c r="N75">
        <f>IF(Table4[[#This Row],[Performance_Ratio]] &lt; 0.85, Table4[[#This Row],[Performance_Deviation]] * 50 / 1000, 0)</f>
        <v>0</v>
      </c>
    </row>
    <row r="76" spans="1:14" x14ac:dyDescent="0.3">
      <c r="A76" s="4" t="s">
        <v>6</v>
      </c>
      <c r="B76" s="3">
        <v>45295.083333333336</v>
      </c>
      <c r="C76" s="4">
        <v>0</v>
      </c>
      <c r="D76" s="4">
        <v>0</v>
      </c>
      <c r="E76" s="4">
        <v>0</v>
      </c>
      <c r="F76" s="4">
        <v>38.5798242125868</v>
      </c>
      <c r="G76" s="4" t="str">
        <f t="shared" si="2"/>
        <v>OK</v>
      </c>
      <c r="H76" s="4" t="str">
        <f t="shared" si="3"/>
        <v>ZERO</v>
      </c>
      <c r="I76">
        <v>0</v>
      </c>
      <c r="J76">
        <f>IFERROR(Table4[[#This Row],[energy_kwh]]/Table4[[#This Row],[expected_kwh]],0)</f>
        <v>0</v>
      </c>
      <c r="K76" t="str">
        <f>IF(Table4[[#This Row],[Performance_Ratio]] &lt; 0.85, "Underperforming", "Performing")</f>
        <v>Underperforming</v>
      </c>
      <c r="L76">
        <f>Table4[[#This Row],[energy_kwh]] - Table4[[#This Row],[expected_kwh]]</f>
        <v>0</v>
      </c>
      <c r="M76" t="str">
        <f>IF(Table4[[#This Row],[Performance_Deviation]] &lt; 0, "Underperforming", "Outperforming")</f>
        <v>Outperforming</v>
      </c>
      <c r="N76">
        <f>IF(Table4[[#This Row],[Performance_Ratio]] &lt; 0.85, Table4[[#This Row],[Performance_Deviation]] * 50 / 1000, 0)</f>
        <v>0</v>
      </c>
    </row>
    <row r="77" spans="1:14" x14ac:dyDescent="0.3">
      <c r="A77" s="6" t="s">
        <v>6</v>
      </c>
      <c r="B77" s="5">
        <v>45295.125</v>
      </c>
      <c r="C77" s="6">
        <v>0</v>
      </c>
      <c r="D77" s="6">
        <v>0</v>
      </c>
      <c r="E77" s="6">
        <v>0</v>
      </c>
      <c r="F77" s="6">
        <v>21.079511647231602</v>
      </c>
      <c r="G77" s="6" t="str">
        <f t="shared" si="2"/>
        <v>OK</v>
      </c>
      <c r="H77" s="6" t="str">
        <f t="shared" si="3"/>
        <v>ZERO</v>
      </c>
      <c r="I77">
        <v>0</v>
      </c>
      <c r="J77">
        <f>IFERROR(Table4[[#This Row],[energy_kwh]]/Table4[[#This Row],[expected_kwh]],0)</f>
        <v>0</v>
      </c>
      <c r="K77" t="str">
        <f>IF(Table4[[#This Row],[Performance_Ratio]] &lt; 0.85, "Underperforming", "Performing")</f>
        <v>Underperforming</v>
      </c>
      <c r="L77">
        <f>Table4[[#This Row],[energy_kwh]] - Table4[[#This Row],[expected_kwh]]</f>
        <v>0</v>
      </c>
      <c r="M77" t="str">
        <f>IF(Table4[[#This Row],[Performance_Deviation]] &lt; 0, "Underperforming", "Outperforming")</f>
        <v>Outperforming</v>
      </c>
      <c r="N77">
        <f>IF(Table4[[#This Row],[Performance_Ratio]] &lt; 0.85, Table4[[#This Row],[Performance_Deviation]] * 50 / 1000, 0)</f>
        <v>0</v>
      </c>
    </row>
    <row r="78" spans="1:14" x14ac:dyDescent="0.3">
      <c r="A78" s="4" t="s">
        <v>6</v>
      </c>
      <c r="B78" s="3">
        <v>45295.166666666664</v>
      </c>
      <c r="C78" s="4">
        <v>0</v>
      </c>
      <c r="D78" s="4">
        <v>0</v>
      </c>
      <c r="E78" s="4">
        <v>0</v>
      </c>
      <c r="F78" s="4">
        <v>55.510382808542403</v>
      </c>
      <c r="G78" s="4" t="str">
        <f t="shared" si="2"/>
        <v>OK</v>
      </c>
      <c r="H78" s="4" t="str">
        <f t="shared" si="3"/>
        <v>ZERO</v>
      </c>
      <c r="I78">
        <v>0</v>
      </c>
      <c r="J78">
        <f>IFERROR(Table4[[#This Row],[energy_kwh]]/Table4[[#This Row],[expected_kwh]],0)</f>
        <v>0</v>
      </c>
      <c r="K78" t="str">
        <f>IF(Table4[[#This Row],[Performance_Ratio]] &lt; 0.85, "Underperforming", "Performing")</f>
        <v>Underperforming</v>
      </c>
      <c r="L78">
        <f>Table4[[#This Row],[energy_kwh]] - Table4[[#This Row],[expected_kwh]]</f>
        <v>0</v>
      </c>
      <c r="M78" t="str">
        <f>IF(Table4[[#This Row],[Performance_Deviation]] &lt; 0, "Underperforming", "Outperforming")</f>
        <v>Outperforming</v>
      </c>
      <c r="N78">
        <f>IF(Table4[[#This Row],[Performance_Ratio]] &lt; 0.85, Table4[[#This Row],[Performance_Deviation]] * 50 / 1000, 0)</f>
        <v>0</v>
      </c>
    </row>
    <row r="79" spans="1:14" x14ac:dyDescent="0.3">
      <c r="A79" s="6" t="s">
        <v>6</v>
      </c>
      <c r="B79" s="5">
        <v>45295.208333333336</v>
      </c>
      <c r="C79" s="6">
        <v>0</v>
      </c>
      <c r="D79" s="6">
        <v>0</v>
      </c>
      <c r="E79" s="6">
        <v>0</v>
      </c>
      <c r="F79" s="6">
        <v>49.887855079803003</v>
      </c>
      <c r="G79" s="6" t="str">
        <f t="shared" si="2"/>
        <v>OK</v>
      </c>
      <c r="H79" s="6" t="str">
        <f t="shared" si="3"/>
        <v>ZERO</v>
      </c>
      <c r="I79">
        <v>0</v>
      </c>
      <c r="J79">
        <f>IFERROR(Table4[[#This Row],[energy_kwh]]/Table4[[#This Row],[expected_kwh]],0)</f>
        <v>0</v>
      </c>
      <c r="K79" t="str">
        <f>IF(Table4[[#This Row],[Performance_Ratio]] &lt; 0.85, "Underperforming", "Performing")</f>
        <v>Underperforming</v>
      </c>
      <c r="L79">
        <f>Table4[[#This Row],[energy_kwh]] - Table4[[#This Row],[expected_kwh]]</f>
        <v>0</v>
      </c>
      <c r="M79" t="str">
        <f>IF(Table4[[#This Row],[Performance_Deviation]] &lt; 0, "Underperforming", "Outperforming")</f>
        <v>Outperforming</v>
      </c>
      <c r="N79">
        <f>IF(Table4[[#This Row],[Performance_Ratio]] &lt; 0.85, Table4[[#This Row],[Performance_Deviation]] * 50 / 1000, 0)</f>
        <v>0</v>
      </c>
    </row>
    <row r="80" spans="1:14" x14ac:dyDescent="0.3">
      <c r="A80" s="4" t="s">
        <v>6</v>
      </c>
      <c r="B80" s="3">
        <v>45295.25</v>
      </c>
      <c r="C80" s="4">
        <v>0</v>
      </c>
      <c r="D80" s="4">
        <v>0</v>
      </c>
      <c r="E80" s="4">
        <v>0</v>
      </c>
      <c r="F80" s="4">
        <v>66.9394936785677</v>
      </c>
      <c r="G80" s="4" t="str">
        <f t="shared" si="2"/>
        <v>OK</v>
      </c>
      <c r="H80" s="4" t="str">
        <f t="shared" si="3"/>
        <v>ZERO</v>
      </c>
      <c r="I80">
        <v>0</v>
      </c>
      <c r="J80">
        <f>IFERROR(Table4[[#This Row],[energy_kwh]]/Table4[[#This Row],[expected_kwh]],0)</f>
        <v>0</v>
      </c>
      <c r="K80" t="str">
        <f>IF(Table4[[#This Row],[Performance_Ratio]] &lt; 0.85, "Underperforming", "Performing")</f>
        <v>Underperforming</v>
      </c>
      <c r="L80">
        <f>Table4[[#This Row],[energy_kwh]] - Table4[[#This Row],[expected_kwh]]</f>
        <v>0</v>
      </c>
      <c r="M80" t="str">
        <f>IF(Table4[[#This Row],[Performance_Deviation]] &lt; 0, "Underperforming", "Outperforming")</f>
        <v>Outperforming</v>
      </c>
      <c r="N80">
        <f>IF(Table4[[#This Row],[Performance_Ratio]] &lt; 0.85, Table4[[#This Row],[Performance_Deviation]] * 50 / 1000, 0)</f>
        <v>0</v>
      </c>
    </row>
    <row r="81" spans="1:14" x14ac:dyDescent="0.3">
      <c r="A81" s="6" t="s">
        <v>6</v>
      </c>
      <c r="B81" s="5">
        <v>45295.291666666664</v>
      </c>
      <c r="C81" s="6">
        <v>107.94084163855401</v>
      </c>
      <c r="D81" s="6">
        <v>103.081518166473</v>
      </c>
      <c r="E81" s="6">
        <v>103.081518166473</v>
      </c>
      <c r="F81" s="6">
        <v>69.402022371420799</v>
      </c>
      <c r="G81" s="6" t="str">
        <f t="shared" si="2"/>
        <v>OK</v>
      </c>
      <c r="H81" s="6" t="str">
        <f t="shared" si="3"/>
        <v>NON-ZERO</v>
      </c>
      <c r="I81">
        <v>103.527618041008</v>
      </c>
      <c r="J81">
        <f>IFERROR(Table4[[#This Row],[energy_kwh]]/Table4[[#This Row],[expected_kwh]],0)</f>
        <v>0.99569100610082339</v>
      </c>
      <c r="K81" t="str">
        <f>IF(Table4[[#This Row],[Performance_Ratio]] &lt; 0.85, "Underperforming", "Performing")</f>
        <v>Performing</v>
      </c>
      <c r="L81">
        <f>Table4[[#This Row],[energy_kwh]] - Table4[[#This Row],[expected_kwh]]</f>
        <v>-0.446099874534994</v>
      </c>
      <c r="M81" t="str">
        <f>IF(Table4[[#This Row],[Performance_Deviation]] &lt; 0, "Underperforming", "Outperforming")</f>
        <v>Underperforming</v>
      </c>
      <c r="N81">
        <f>IF(Table4[[#This Row],[Performance_Ratio]] &lt; 0.85, Table4[[#This Row],[Performance_Deviation]] * 50 / 1000, 0)</f>
        <v>0</v>
      </c>
    </row>
    <row r="82" spans="1:14" x14ac:dyDescent="0.3">
      <c r="A82" s="4" t="s">
        <v>6</v>
      </c>
      <c r="B82" s="3">
        <v>45295.333333333336</v>
      </c>
      <c r="C82" s="4">
        <v>187.16559463835799</v>
      </c>
      <c r="D82" s="4">
        <v>178.739699922456</v>
      </c>
      <c r="E82" s="4">
        <v>178.739699922456</v>
      </c>
      <c r="F82" s="4">
        <v>63.160563340690899</v>
      </c>
      <c r="G82" s="4" t="str">
        <f t="shared" si="2"/>
        <v>OK</v>
      </c>
      <c r="H82" s="4" t="str">
        <f t="shared" si="3"/>
        <v>NON-ZERO</v>
      </c>
      <c r="I82">
        <v>199.99999999999901</v>
      </c>
      <c r="J82">
        <f>IFERROR(Table4[[#This Row],[energy_kwh]]/Table4[[#This Row],[expected_kwh]],0)</f>
        <v>0.89369849961228442</v>
      </c>
      <c r="K82" t="str">
        <f>IF(Table4[[#This Row],[Performance_Ratio]] &lt; 0.85, "Underperforming", "Performing")</f>
        <v>Performing</v>
      </c>
      <c r="L82">
        <f>Table4[[#This Row],[energy_kwh]] - Table4[[#This Row],[expected_kwh]]</f>
        <v>-21.260300077543008</v>
      </c>
      <c r="M82" t="str">
        <f>IF(Table4[[#This Row],[Performance_Deviation]] &lt; 0, "Underperforming", "Outperforming")</f>
        <v>Underperforming</v>
      </c>
      <c r="N82">
        <f>IF(Table4[[#This Row],[Performance_Ratio]] &lt; 0.85, Table4[[#This Row],[Performance_Deviation]] * 50 / 1000, 0)</f>
        <v>0</v>
      </c>
    </row>
    <row r="83" spans="1:14" x14ac:dyDescent="0.3">
      <c r="A83" s="6" t="s">
        <v>6</v>
      </c>
      <c r="B83" s="5">
        <v>45295.375</v>
      </c>
      <c r="C83" s="6">
        <v>269.90626815851402</v>
      </c>
      <c r="D83" s="6">
        <v>257.75552109915299</v>
      </c>
      <c r="E83" s="6">
        <v>257.75552109915299</v>
      </c>
      <c r="F83" s="6">
        <v>54.368966786863702</v>
      </c>
      <c r="G83" s="6" t="str">
        <f t="shared" si="2"/>
        <v>OK</v>
      </c>
      <c r="H83" s="6" t="str">
        <f t="shared" si="3"/>
        <v>NON-ZERO</v>
      </c>
      <c r="I83">
        <v>282.84271247461902</v>
      </c>
      <c r="J83">
        <f>IFERROR(Table4[[#This Row],[energy_kwh]]/Table4[[#This Row],[expected_kwh]],0)</f>
        <v>0.91130338428741653</v>
      </c>
      <c r="K83" t="str">
        <f>IF(Table4[[#This Row],[Performance_Ratio]] &lt; 0.85, "Underperforming", "Performing")</f>
        <v>Performing</v>
      </c>
      <c r="L83">
        <f>Table4[[#This Row],[energy_kwh]] - Table4[[#This Row],[expected_kwh]]</f>
        <v>-25.087191375466034</v>
      </c>
      <c r="M83" t="str">
        <f>IF(Table4[[#This Row],[Performance_Deviation]] &lt; 0, "Underperforming", "Outperforming")</f>
        <v>Underperforming</v>
      </c>
      <c r="N83">
        <f>IF(Table4[[#This Row],[Performance_Ratio]] &lt; 0.85, Table4[[#This Row],[Performance_Deviation]] * 50 / 1000, 0)</f>
        <v>0</v>
      </c>
    </row>
    <row r="84" spans="1:14" x14ac:dyDescent="0.3">
      <c r="A84" s="4" t="s">
        <v>6</v>
      </c>
      <c r="B84" s="3">
        <v>45295.416666666664</v>
      </c>
      <c r="C84" s="4">
        <v>345.74484473507903</v>
      </c>
      <c r="D84" s="4">
        <v>330.17996666049203</v>
      </c>
      <c r="E84" s="4">
        <v>330.17996666049203</v>
      </c>
      <c r="F84" s="4">
        <v>87.901298146704704</v>
      </c>
      <c r="G84" s="4" t="str">
        <f t="shared" si="2"/>
        <v>OK</v>
      </c>
      <c r="H84" s="4" t="str">
        <f t="shared" si="3"/>
        <v>NON-ZERO</v>
      </c>
      <c r="I84">
        <v>346.41016151377499</v>
      </c>
      <c r="J84">
        <f>IFERROR(Table4[[#This Row],[energy_kwh]]/Table4[[#This Row],[expected_kwh]],0)</f>
        <v>0.95314746316228494</v>
      </c>
      <c r="K84" t="str">
        <f>IF(Table4[[#This Row],[Performance_Ratio]] &lt; 0.85, "Underperforming", "Performing")</f>
        <v>Performing</v>
      </c>
      <c r="L84">
        <f>Table4[[#This Row],[energy_kwh]] - Table4[[#This Row],[expected_kwh]]</f>
        <v>-16.230194853282967</v>
      </c>
      <c r="M84" t="str">
        <f>IF(Table4[[#This Row],[Performance_Deviation]] &lt; 0, "Underperforming", "Outperforming")</f>
        <v>Underperforming</v>
      </c>
      <c r="N84">
        <f>IF(Table4[[#This Row],[Performance_Ratio]] &lt; 0.85, Table4[[#This Row],[Performance_Deviation]] * 50 / 1000, 0)</f>
        <v>0</v>
      </c>
    </row>
    <row r="85" spans="1:14" x14ac:dyDescent="0.3">
      <c r="A85" s="6" t="s">
        <v>6</v>
      </c>
      <c r="B85" s="5">
        <v>45295.458333333336</v>
      </c>
      <c r="C85" s="6">
        <v>368.97132848802102</v>
      </c>
      <c r="D85" s="6">
        <v>352.36083138766702</v>
      </c>
      <c r="E85" s="6">
        <v>352.36083138766702</v>
      </c>
      <c r="F85" s="6">
        <v>27.558350103306999</v>
      </c>
      <c r="G85" s="6" t="str">
        <f t="shared" si="2"/>
        <v>OK</v>
      </c>
      <c r="H85" s="6" t="str">
        <f t="shared" si="3"/>
        <v>NON-ZERO</v>
      </c>
      <c r="I85">
        <v>386.37033051562702</v>
      </c>
      <c r="J85">
        <f>IFERROR(Table4[[#This Row],[energy_kwh]]/Table4[[#This Row],[expected_kwh]],0)</f>
        <v>0.9119769391128637</v>
      </c>
      <c r="K85" t="str">
        <f>IF(Table4[[#This Row],[Performance_Ratio]] &lt; 0.85, "Underperforming", "Performing")</f>
        <v>Performing</v>
      </c>
      <c r="L85">
        <f>Table4[[#This Row],[energy_kwh]] - Table4[[#This Row],[expected_kwh]]</f>
        <v>-34.009499127959998</v>
      </c>
      <c r="M85" t="str">
        <f>IF(Table4[[#This Row],[Performance_Deviation]] &lt; 0, "Underperforming", "Outperforming")</f>
        <v>Underperforming</v>
      </c>
      <c r="N85">
        <f>IF(Table4[[#This Row],[Performance_Ratio]] &lt; 0.85, Table4[[#This Row],[Performance_Deviation]] * 50 / 1000, 0)</f>
        <v>0</v>
      </c>
    </row>
    <row r="86" spans="1:14" x14ac:dyDescent="0.3">
      <c r="A86" s="4" t="s">
        <v>6</v>
      </c>
      <c r="B86" s="3">
        <v>45295.5</v>
      </c>
      <c r="C86" s="4">
        <v>366.37988255053301</v>
      </c>
      <c r="D86" s="4">
        <v>349.88604818765202</v>
      </c>
      <c r="E86" s="4">
        <v>349.88604818765202</v>
      </c>
      <c r="F86" s="4">
        <v>21.7453951801869</v>
      </c>
      <c r="G86" s="4" t="str">
        <f t="shared" si="2"/>
        <v>OK</v>
      </c>
      <c r="H86" s="4" t="str">
        <f t="shared" si="3"/>
        <v>NON-ZERO</v>
      </c>
      <c r="I86">
        <v>400</v>
      </c>
      <c r="J86">
        <f>IFERROR(Table4[[#This Row],[energy_kwh]]/Table4[[#This Row],[expected_kwh]],0)</f>
        <v>0.87471512046913003</v>
      </c>
      <c r="K86" t="str">
        <f>IF(Table4[[#This Row],[Performance_Ratio]] &lt; 0.85, "Underperforming", "Performing")</f>
        <v>Performing</v>
      </c>
      <c r="L86">
        <f>Table4[[#This Row],[energy_kwh]] - Table4[[#This Row],[expected_kwh]]</f>
        <v>-50.113951812347977</v>
      </c>
      <c r="M86" t="str">
        <f>IF(Table4[[#This Row],[Performance_Deviation]] &lt; 0, "Underperforming", "Outperforming")</f>
        <v>Underperforming</v>
      </c>
      <c r="N86">
        <f>IF(Table4[[#This Row],[Performance_Ratio]] &lt; 0.85, Table4[[#This Row],[Performance_Deviation]] * 50 / 1000, 0)</f>
        <v>0</v>
      </c>
    </row>
    <row r="87" spans="1:14" x14ac:dyDescent="0.3">
      <c r="A87" s="6" t="s">
        <v>6</v>
      </c>
      <c r="B87" s="5">
        <v>45295.541666666664</v>
      </c>
      <c r="C87" s="6">
        <v>372.66650060776601</v>
      </c>
      <c r="D87" s="6">
        <v>355.88965278842198</v>
      </c>
      <c r="E87" s="6">
        <v>355.88965278842198</v>
      </c>
      <c r="F87" s="6">
        <v>28.862362071624201</v>
      </c>
      <c r="G87" s="6" t="str">
        <f t="shared" si="2"/>
        <v>OK</v>
      </c>
      <c r="H87" s="6" t="str">
        <f t="shared" si="3"/>
        <v>NON-ZERO</v>
      </c>
      <c r="I87">
        <v>386.37033051562702</v>
      </c>
      <c r="J87">
        <f>IFERROR(Table4[[#This Row],[energy_kwh]]/Table4[[#This Row],[expected_kwh]],0)</f>
        <v>0.92111020096567109</v>
      </c>
      <c r="K87" t="str">
        <f>IF(Table4[[#This Row],[Performance_Ratio]] &lt; 0.85, "Underperforming", "Performing")</f>
        <v>Performing</v>
      </c>
      <c r="L87">
        <f>Table4[[#This Row],[energy_kwh]] - Table4[[#This Row],[expected_kwh]]</f>
        <v>-30.480677727205034</v>
      </c>
      <c r="M87" t="str">
        <f>IF(Table4[[#This Row],[Performance_Deviation]] &lt; 0, "Underperforming", "Outperforming")</f>
        <v>Underperforming</v>
      </c>
      <c r="N87">
        <f>IF(Table4[[#This Row],[Performance_Ratio]] &lt; 0.85, Table4[[#This Row],[Performance_Deviation]] * 50 / 1000, 0)</f>
        <v>0</v>
      </c>
    </row>
    <row r="88" spans="1:14" x14ac:dyDescent="0.3">
      <c r="A88" s="4" t="s">
        <v>6</v>
      </c>
      <c r="B88" s="3">
        <v>45295.583333333336</v>
      </c>
      <c r="C88" s="4">
        <v>352.17469561284997</v>
      </c>
      <c r="D88" s="4">
        <v>336.32035597007399</v>
      </c>
      <c r="E88" s="4">
        <v>336.32035597007399</v>
      </c>
      <c r="F88" s="4">
        <v>80.2610697788636</v>
      </c>
      <c r="G88" s="4" t="str">
        <f t="shared" si="2"/>
        <v>OK</v>
      </c>
      <c r="H88" s="4" t="str">
        <f t="shared" si="3"/>
        <v>NON-ZERO</v>
      </c>
      <c r="I88">
        <v>346.41016151377499</v>
      </c>
      <c r="J88">
        <f>IFERROR(Table4[[#This Row],[energy_kwh]]/Table4[[#This Row],[expected_kwh]],0)</f>
        <v>0.97087324026636623</v>
      </c>
      <c r="K88" t="str">
        <f>IF(Table4[[#This Row],[Performance_Ratio]] &lt; 0.85, "Underperforming", "Performing")</f>
        <v>Performing</v>
      </c>
      <c r="L88">
        <f>Table4[[#This Row],[energy_kwh]] - Table4[[#This Row],[expected_kwh]]</f>
        <v>-10.089805543701004</v>
      </c>
      <c r="M88" t="str">
        <f>IF(Table4[[#This Row],[Performance_Deviation]] &lt; 0, "Underperforming", "Outperforming")</f>
        <v>Underperforming</v>
      </c>
      <c r="N88">
        <f>IF(Table4[[#This Row],[Performance_Ratio]] &lt; 0.85, Table4[[#This Row],[Performance_Deviation]] * 50 / 1000, 0)</f>
        <v>0</v>
      </c>
    </row>
    <row r="89" spans="1:14" x14ac:dyDescent="0.3">
      <c r="A89" s="6" t="s">
        <v>6</v>
      </c>
      <c r="B89" s="5">
        <v>45295.625</v>
      </c>
      <c r="C89" s="6">
        <v>297.459604490743</v>
      </c>
      <c r="D89" s="6">
        <v>284.06845044602898</v>
      </c>
      <c r="E89" s="6">
        <v>284.06845044602898</v>
      </c>
      <c r="F89" s="6">
        <v>76.296106373064305</v>
      </c>
      <c r="G89" s="6" t="str">
        <f t="shared" si="2"/>
        <v>OK</v>
      </c>
      <c r="H89" s="6" t="str">
        <f t="shared" si="3"/>
        <v>NON-ZERO</v>
      </c>
      <c r="I89">
        <v>282.84271247461902</v>
      </c>
      <c r="J89">
        <f>IFERROR(Table4[[#This Row],[energy_kwh]]/Table4[[#This Row],[expected_kwh]],0)</f>
        <v>1.004333638157709</v>
      </c>
      <c r="K89" t="str">
        <f>IF(Table4[[#This Row],[Performance_Ratio]] &lt; 0.85, "Underperforming", "Performing")</f>
        <v>Performing</v>
      </c>
      <c r="L89">
        <f>Table4[[#This Row],[energy_kwh]] - Table4[[#This Row],[expected_kwh]]</f>
        <v>1.2257379714099557</v>
      </c>
      <c r="M89" t="str">
        <f>IF(Table4[[#This Row],[Performance_Deviation]] &lt; 0, "Underperforming", "Outperforming")</f>
        <v>Outperforming</v>
      </c>
      <c r="N89">
        <f>IF(Table4[[#This Row],[Performance_Ratio]] &lt; 0.85, Table4[[#This Row],[Performance_Deviation]] * 50 / 1000, 0)</f>
        <v>0</v>
      </c>
    </row>
    <row r="90" spans="1:14" x14ac:dyDescent="0.3">
      <c r="A90" s="4" t="s">
        <v>6</v>
      </c>
      <c r="B90" s="3">
        <v>45295.666666666664</v>
      </c>
      <c r="C90" s="4">
        <v>164.97259743295501</v>
      </c>
      <c r="D90" s="4">
        <v>157.54579583694101</v>
      </c>
      <c r="E90" s="4">
        <v>157.54579583694101</v>
      </c>
      <c r="F90" s="4">
        <v>89.806799420267296</v>
      </c>
      <c r="G90" s="4" t="str">
        <f t="shared" si="2"/>
        <v>OK</v>
      </c>
      <c r="H90" s="4" t="str">
        <f t="shared" si="3"/>
        <v>NON-ZERO</v>
      </c>
      <c r="I90">
        <v>199.99999999999901</v>
      </c>
      <c r="J90">
        <f>IFERROR(Table4[[#This Row],[energy_kwh]]/Table4[[#This Row],[expected_kwh]],0)</f>
        <v>0.78772897918470897</v>
      </c>
      <c r="K90" t="str">
        <f>IF(Table4[[#This Row],[Performance_Ratio]] &lt; 0.85, "Underperforming", "Performing")</f>
        <v>Underperforming</v>
      </c>
      <c r="L90">
        <f>Table4[[#This Row],[energy_kwh]] - Table4[[#This Row],[expected_kwh]]</f>
        <v>-42.454204163057994</v>
      </c>
      <c r="M90" t="str">
        <f>IF(Table4[[#This Row],[Performance_Deviation]] &lt; 0, "Underperforming", "Outperforming")</f>
        <v>Underperforming</v>
      </c>
      <c r="N90">
        <f>IF(Table4[[#This Row],[Performance_Ratio]] &lt; 0.85, Table4[[#This Row],[Performance_Deviation]] * 50 / 1000, 0)</f>
        <v>-2.1227102081528995</v>
      </c>
    </row>
    <row r="91" spans="1:14" x14ac:dyDescent="0.3">
      <c r="A91" s="6" t="s">
        <v>6</v>
      </c>
      <c r="B91" s="5">
        <v>45295.708333333336</v>
      </c>
      <c r="C91" s="6">
        <v>89.505847050572299</v>
      </c>
      <c r="D91" s="6">
        <v>85.476437451212206</v>
      </c>
      <c r="E91" s="6">
        <v>85.476437451212206</v>
      </c>
      <c r="F91" s="6">
        <v>76.315330084362301</v>
      </c>
      <c r="G91" s="6" t="str">
        <f t="shared" si="2"/>
        <v>OK</v>
      </c>
      <c r="H91" s="6" t="str">
        <f t="shared" si="3"/>
        <v>NON-ZERO</v>
      </c>
      <c r="I91">
        <v>103.527618041008</v>
      </c>
      <c r="J91">
        <f>IFERROR(Table4[[#This Row],[energy_kwh]]/Table4[[#This Row],[expected_kwh]],0)</f>
        <v>0.82563898473308261</v>
      </c>
      <c r="K91" t="str">
        <f>IF(Table4[[#This Row],[Performance_Ratio]] &lt; 0.85, "Underperforming", "Performing")</f>
        <v>Underperforming</v>
      </c>
      <c r="L91">
        <f>Table4[[#This Row],[energy_kwh]] - Table4[[#This Row],[expected_kwh]]</f>
        <v>-18.051180589795791</v>
      </c>
      <c r="M91" t="str">
        <f>IF(Table4[[#This Row],[Performance_Deviation]] &lt; 0, "Underperforming", "Outperforming")</f>
        <v>Underperforming</v>
      </c>
      <c r="N91">
        <f>IF(Table4[[#This Row],[Performance_Ratio]] &lt; 0.85, Table4[[#This Row],[Performance_Deviation]] * 50 / 1000, 0)</f>
        <v>-0.9025590294897895</v>
      </c>
    </row>
    <row r="92" spans="1:14" x14ac:dyDescent="0.3">
      <c r="A92" s="4" t="s">
        <v>6</v>
      </c>
      <c r="B92" s="3">
        <v>45295.75</v>
      </c>
      <c r="C92" s="7">
        <v>4.5137832120535002E-14</v>
      </c>
      <c r="D92" s="7">
        <v>4.3105799353580399E-14</v>
      </c>
      <c r="E92" s="7">
        <v>4.3105799353580399E-14</v>
      </c>
      <c r="F92" s="4">
        <v>81.984309958080601</v>
      </c>
      <c r="G92" s="4" t="str">
        <f t="shared" si="2"/>
        <v>OK</v>
      </c>
      <c r="H92" s="4" t="str">
        <f t="shared" si="3"/>
        <v>NON-ZERO</v>
      </c>
      <c r="I92" s="2">
        <v>4.8985871965894097E-14</v>
      </c>
      <c r="J92">
        <f>IFERROR(Table4[[#This Row],[energy_kwh]]/Table4[[#This Row],[expected_kwh]],0)</f>
        <v>0.87996390844267025</v>
      </c>
      <c r="K92" t="str">
        <f>IF(Table4[[#This Row],[Performance_Ratio]] &lt; 0.85, "Underperforming", "Performing")</f>
        <v>Performing</v>
      </c>
      <c r="L92">
        <f>Table4[[#This Row],[energy_kwh]] - Table4[[#This Row],[expected_kwh]]</f>
        <v>-5.8800726123136979E-15</v>
      </c>
      <c r="M92" t="str">
        <f>IF(Table4[[#This Row],[Performance_Deviation]] &lt; 0, "Underperforming", "Outperforming")</f>
        <v>Underperforming</v>
      </c>
      <c r="N92">
        <f>IF(Table4[[#This Row],[Performance_Ratio]] &lt; 0.85, Table4[[#This Row],[Performance_Deviation]] * 50 / 1000, 0)</f>
        <v>0</v>
      </c>
    </row>
    <row r="93" spans="1:14" x14ac:dyDescent="0.3">
      <c r="A93" s="6" t="s">
        <v>6</v>
      </c>
      <c r="B93" s="5">
        <v>45295.791666666664</v>
      </c>
      <c r="C93" s="6">
        <v>0</v>
      </c>
      <c r="D93" s="6">
        <v>0</v>
      </c>
      <c r="E93" s="6">
        <v>0</v>
      </c>
      <c r="F93" s="6">
        <v>49.190125905062203</v>
      </c>
      <c r="G93" s="6" t="str">
        <f t="shared" si="2"/>
        <v>OK</v>
      </c>
      <c r="H93" s="6" t="str">
        <f t="shared" si="3"/>
        <v>ZERO</v>
      </c>
      <c r="I93">
        <v>0</v>
      </c>
      <c r="J93">
        <f>IFERROR(Table4[[#This Row],[energy_kwh]]/Table4[[#This Row],[expected_kwh]],0)</f>
        <v>0</v>
      </c>
      <c r="K93" t="str">
        <f>IF(Table4[[#This Row],[Performance_Ratio]] &lt; 0.85, "Underperforming", "Performing")</f>
        <v>Underperforming</v>
      </c>
      <c r="L93">
        <f>Table4[[#This Row],[energy_kwh]] - Table4[[#This Row],[expected_kwh]]</f>
        <v>0</v>
      </c>
      <c r="M93" t="str">
        <f>IF(Table4[[#This Row],[Performance_Deviation]] &lt; 0, "Underperforming", "Outperforming")</f>
        <v>Outperforming</v>
      </c>
      <c r="N93">
        <f>IF(Table4[[#This Row],[Performance_Ratio]] &lt; 0.85, Table4[[#This Row],[Performance_Deviation]] * 50 / 1000, 0)</f>
        <v>0</v>
      </c>
    </row>
    <row r="94" spans="1:14" x14ac:dyDescent="0.3">
      <c r="A94" s="4" t="s">
        <v>6</v>
      </c>
      <c r="B94" s="3">
        <v>45295.833333333336</v>
      </c>
      <c r="C94" s="4">
        <v>0</v>
      </c>
      <c r="D94" s="4">
        <v>0</v>
      </c>
      <c r="E94" s="4">
        <v>0</v>
      </c>
      <c r="F94" s="4">
        <v>63.007841609246398</v>
      </c>
      <c r="G94" s="4" t="str">
        <f t="shared" si="2"/>
        <v>OK</v>
      </c>
      <c r="H94" s="4" t="str">
        <f t="shared" si="3"/>
        <v>ZERO</v>
      </c>
      <c r="I94">
        <v>0</v>
      </c>
      <c r="J94">
        <f>IFERROR(Table4[[#This Row],[energy_kwh]]/Table4[[#This Row],[expected_kwh]],0)</f>
        <v>0</v>
      </c>
      <c r="K94" t="str">
        <f>IF(Table4[[#This Row],[Performance_Ratio]] &lt; 0.85, "Underperforming", "Performing")</f>
        <v>Underperforming</v>
      </c>
      <c r="L94">
        <f>Table4[[#This Row],[energy_kwh]] - Table4[[#This Row],[expected_kwh]]</f>
        <v>0</v>
      </c>
      <c r="M94" t="str">
        <f>IF(Table4[[#This Row],[Performance_Deviation]] &lt; 0, "Underperforming", "Outperforming")</f>
        <v>Outperforming</v>
      </c>
      <c r="N94">
        <f>IF(Table4[[#This Row],[Performance_Ratio]] &lt; 0.85, Table4[[#This Row],[Performance_Deviation]] * 50 / 1000, 0)</f>
        <v>0</v>
      </c>
    </row>
    <row r="95" spans="1:14" x14ac:dyDescent="0.3">
      <c r="A95" s="6" t="s">
        <v>6</v>
      </c>
      <c r="B95" s="5">
        <v>45295.875</v>
      </c>
      <c r="C95" s="6">
        <v>0</v>
      </c>
      <c r="D95" s="6">
        <v>0</v>
      </c>
      <c r="E95" s="6">
        <v>0</v>
      </c>
      <c r="F95" s="6">
        <v>41.990807877354797</v>
      </c>
      <c r="G95" s="6" t="str">
        <f t="shared" si="2"/>
        <v>OK</v>
      </c>
      <c r="H95" s="6" t="str">
        <f t="shared" si="3"/>
        <v>ZERO</v>
      </c>
      <c r="I95">
        <v>0</v>
      </c>
      <c r="J95">
        <f>IFERROR(Table4[[#This Row],[energy_kwh]]/Table4[[#This Row],[expected_kwh]],0)</f>
        <v>0</v>
      </c>
      <c r="K95" t="str">
        <f>IF(Table4[[#This Row],[Performance_Ratio]] &lt; 0.85, "Underperforming", "Performing")</f>
        <v>Underperforming</v>
      </c>
      <c r="L95">
        <f>Table4[[#This Row],[energy_kwh]] - Table4[[#This Row],[expected_kwh]]</f>
        <v>0</v>
      </c>
      <c r="M95" t="str">
        <f>IF(Table4[[#This Row],[Performance_Deviation]] &lt; 0, "Underperforming", "Outperforming")</f>
        <v>Outperforming</v>
      </c>
      <c r="N95">
        <f>IF(Table4[[#This Row],[Performance_Ratio]] &lt; 0.85, Table4[[#This Row],[Performance_Deviation]] * 50 / 1000, 0)</f>
        <v>0</v>
      </c>
    </row>
    <row r="96" spans="1:14" x14ac:dyDescent="0.3">
      <c r="A96" s="4" t="s">
        <v>6</v>
      </c>
      <c r="B96" s="3">
        <v>45295.916666666664</v>
      </c>
      <c r="C96" s="4">
        <v>0</v>
      </c>
      <c r="D96" s="4">
        <v>0</v>
      </c>
      <c r="E96" s="4">
        <v>0</v>
      </c>
      <c r="F96" s="4">
        <v>79.221360709591494</v>
      </c>
      <c r="G96" s="4" t="str">
        <f t="shared" si="2"/>
        <v>OK</v>
      </c>
      <c r="H96" s="4" t="str">
        <f t="shared" si="3"/>
        <v>ZERO</v>
      </c>
      <c r="I96">
        <v>0</v>
      </c>
      <c r="J96">
        <f>IFERROR(Table4[[#This Row],[energy_kwh]]/Table4[[#This Row],[expected_kwh]],0)</f>
        <v>0</v>
      </c>
      <c r="K96" t="str">
        <f>IF(Table4[[#This Row],[Performance_Ratio]] &lt; 0.85, "Underperforming", "Performing")</f>
        <v>Underperforming</v>
      </c>
      <c r="L96">
        <f>Table4[[#This Row],[energy_kwh]] - Table4[[#This Row],[expected_kwh]]</f>
        <v>0</v>
      </c>
      <c r="M96" t="str">
        <f>IF(Table4[[#This Row],[Performance_Deviation]] &lt; 0, "Underperforming", "Outperforming")</f>
        <v>Outperforming</v>
      </c>
      <c r="N96">
        <f>IF(Table4[[#This Row],[Performance_Ratio]] &lt; 0.85, Table4[[#This Row],[Performance_Deviation]] * 50 / 1000, 0)</f>
        <v>0</v>
      </c>
    </row>
    <row r="97" spans="1:14" x14ac:dyDescent="0.3">
      <c r="A97" s="6" t="s">
        <v>6</v>
      </c>
      <c r="B97" s="5">
        <v>45295.958333333336</v>
      </c>
      <c r="C97" s="6">
        <v>0</v>
      </c>
      <c r="D97" s="6">
        <v>0</v>
      </c>
      <c r="E97" s="6">
        <v>0</v>
      </c>
      <c r="F97" s="6">
        <v>24.3169070012483</v>
      </c>
      <c r="G97" s="6" t="str">
        <f t="shared" si="2"/>
        <v>OK</v>
      </c>
      <c r="H97" s="6" t="str">
        <f t="shared" si="3"/>
        <v>ZERO</v>
      </c>
      <c r="I97">
        <v>0</v>
      </c>
      <c r="J97">
        <f>IFERROR(Table4[[#This Row],[energy_kwh]]/Table4[[#This Row],[expected_kwh]],0)</f>
        <v>0</v>
      </c>
      <c r="K97" t="str">
        <f>IF(Table4[[#This Row],[Performance_Ratio]] &lt; 0.85, "Underperforming", "Performing")</f>
        <v>Underperforming</v>
      </c>
      <c r="L97">
        <f>Table4[[#This Row],[energy_kwh]] - Table4[[#This Row],[expected_kwh]]</f>
        <v>0</v>
      </c>
      <c r="M97" t="str">
        <f>IF(Table4[[#This Row],[Performance_Deviation]] &lt; 0, "Underperforming", "Outperforming")</f>
        <v>Outperforming</v>
      </c>
      <c r="N97">
        <f>IF(Table4[[#This Row],[Performance_Ratio]] &lt; 0.85, Table4[[#This Row],[Performance_Deviation]] * 50 / 1000, 0)</f>
        <v>0</v>
      </c>
    </row>
    <row r="98" spans="1:14" x14ac:dyDescent="0.3">
      <c r="A98" s="4" t="s">
        <v>6</v>
      </c>
      <c r="B98" s="3">
        <v>45296</v>
      </c>
      <c r="C98" s="4">
        <v>0</v>
      </c>
      <c r="D98" s="4">
        <v>0</v>
      </c>
      <c r="E98" s="4">
        <v>0</v>
      </c>
      <c r="F98" s="4">
        <v>28.780026232070401</v>
      </c>
      <c r="G98" s="4" t="str">
        <f t="shared" si="2"/>
        <v>OK</v>
      </c>
      <c r="H98" s="4" t="str">
        <f t="shared" si="3"/>
        <v>ZERO</v>
      </c>
      <c r="I98">
        <v>0</v>
      </c>
      <c r="J98">
        <f>IFERROR(Table4[[#This Row],[energy_kwh]]/Table4[[#This Row],[expected_kwh]],0)</f>
        <v>0</v>
      </c>
      <c r="K98" t="str">
        <f>IF(Table4[[#This Row],[Performance_Ratio]] &lt; 0.85, "Underperforming", "Performing")</f>
        <v>Underperforming</v>
      </c>
      <c r="L98">
        <f>Table4[[#This Row],[energy_kwh]] - Table4[[#This Row],[expected_kwh]]</f>
        <v>0</v>
      </c>
      <c r="M98" t="str">
        <f>IF(Table4[[#This Row],[Performance_Deviation]] &lt; 0, "Underperforming", "Outperforming")</f>
        <v>Outperforming</v>
      </c>
      <c r="N98">
        <f>IF(Table4[[#This Row],[Performance_Ratio]] &lt; 0.85, Table4[[#This Row],[Performance_Deviation]] * 50 / 1000, 0)</f>
        <v>0</v>
      </c>
    </row>
    <row r="99" spans="1:14" x14ac:dyDescent="0.3">
      <c r="A99" s="6" t="s">
        <v>6</v>
      </c>
      <c r="B99" s="5">
        <v>45296.041666666664</v>
      </c>
      <c r="C99" s="6">
        <v>0</v>
      </c>
      <c r="D99" s="6">
        <v>0</v>
      </c>
      <c r="E99" s="6">
        <v>0</v>
      </c>
      <c r="F99" s="6">
        <v>66.366354748719502</v>
      </c>
      <c r="G99" s="6" t="str">
        <f t="shared" si="2"/>
        <v>OK</v>
      </c>
      <c r="H99" s="6" t="str">
        <f t="shared" si="3"/>
        <v>ZERO</v>
      </c>
      <c r="I99">
        <v>0</v>
      </c>
      <c r="J99">
        <f>IFERROR(Table4[[#This Row],[energy_kwh]]/Table4[[#This Row],[expected_kwh]],0)</f>
        <v>0</v>
      </c>
      <c r="K99" t="str">
        <f>IF(Table4[[#This Row],[Performance_Ratio]] &lt; 0.85, "Underperforming", "Performing")</f>
        <v>Underperforming</v>
      </c>
      <c r="L99">
        <f>Table4[[#This Row],[energy_kwh]] - Table4[[#This Row],[expected_kwh]]</f>
        <v>0</v>
      </c>
      <c r="M99" t="str">
        <f>IF(Table4[[#This Row],[Performance_Deviation]] &lt; 0, "Underperforming", "Outperforming")</f>
        <v>Outperforming</v>
      </c>
      <c r="N99">
        <f>IF(Table4[[#This Row],[Performance_Ratio]] &lt; 0.85, Table4[[#This Row],[Performance_Deviation]] * 50 / 1000, 0)</f>
        <v>0</v>
      </c>
    </row>
    <row r="100" spans="1:14" x14ac:dyDescent="0.3">
      <c r="A100" s="4" t="s">
        <v>6</v>
      </c>
      <c r="B100" s="3">
        <v>45296.083333333336</v>
      </c>
      <c r="C100" s="4">
        <v>0</v>
      </c>
      <c r="D100" s="4">
        <v>0</v>
      </c>
      <c r="E100" s="4">
        <v>0</v>
      </c>
      <c r="F100" s="4">
        <v>26.101158548142401</v>
      </c>
      <c r="G100" s="4" t="str">
        <f t="shared" si="2"/>
        <v>OK</v>
      </c>
      <c r="H100" s="4" t="str">
        <f t="shared" si="3"/>
        <v>ZERO</v>
      </c>
      <c r="I100">
        <v>0</v>
      </c>
      <c r="J100">
        <f>IFERROR(Table4[[#This Row],[energy_kwh]]/Table4[[#This Row],[expected_kwh]],0)</f>
        <v>0</v>
      </c>
      <c r="K100" t="str">
        <f>IF(Table4[[#This Row],[Performance_Ratio]] &lt; 0.85, "Underperforming", "Performing")</f>
        <v>Underperforming</v>
      </c>
      <c r="L100">
        <f>Table4[[#This Row],[energy_kwh]] - Table4[[#This Row],[expected_kwh]]</f>
        <v>0</v>
      </c>
      <c r="M100" t="str">
        <f>IF(Table4[[#This Row],[Performance_Deviation]] &lt; 0, "Underperforming", "Outperforming")</f>
        <v>Outperforming</v>
      </c>
      <c r="N100">
        <f>IF(Table4[[#This Row],[Performance_Ratio]] &lt; 0.85, Table4[[#This Row],[Performance_Deviation]] * 50 / 1000, 0)</f>
        <v>0</v>
      </c>
    </row>
    <row r="101" spans="1:14" x14ac:dyDescent="0.3">
      <c r="A101" s="6" t="s">
        <v>6</v>
      </c>
      <c r="B101" s="5">
        <v>45296.125</v>
      </c>
      <c r="C101" s="6">
        <v>0</v>
      </c>
      <c r="D101" s="6">
        <v>0</v>
      </c>
      <c r="E101" s="6">
        <v>0</v>
      </c>
      <c r="F101" s="6">
        <v>48.070309681708999</v>
      </c>
      <c r="G101" s="6" t="str">
        <f t="shared" si="2"/>
        <v>OK</v>
      </c>
      <c r="H101" s="6" t="str">
        <f t="shared" si="3"/>
        <v>ZERO</v>
      </c>
      <c r="I101">
        <v>0</v>
      </c>
      <c r="J101">
        <f>IFERROR(Table4[[#This Row],[energy_kwh]]/Table4[[#This Row],[expected_kwh]],0)</f>
        <v>0</v>
      </c>
      <c r="K101" t="str">
        <f>IF(Table4[[#This Row],[Performance_Ratio]] &lt; 0.85, "Underperforming", "Performing")</f>
        <v>Underperforming</v>
      </c>
      <c r="L101">
        <f>Table4[[#This Row],[energy_kwh]] - Table4[[#This Row],[expected_kwh]]</f>
        <v>0</v>
      </c>
      <c r="M101" t="str">
        <f>IF(Table4[[#This Row],[Performance_Deviation]] &lt; 0, "Underperforming", "Outperforming")</f>
        <v>Outperforming</v>
      </c>
      <c r="N101">
        <f>IF(Table4[[#This Row],[Performance_Ratio]] &lt; 0.85, Table4[[#This Row],[Performance_Deviation]] * 50 / 1000, 0)</f>
        <v>0</v>
      </c>
    </row>
    <row r="102" spans="1:14" x14ac:dyDescent="0.3">
      <c r="A102" s="4" t="s">
        <v>6</v>
      </c>
      <c r="B102" s="3">
        <v>45296.166666666664</v>
      </c>
      <c r="C102" s="4">
        <v>0</v>
      </c>
      <c r="D102" s="4">
        <v>0</v>
      </c>
      <c r="E102" s="4">
        <v>0</v>
      </c>
      <c r="F102" s="4">
        <v>76.503363894420602</v>
      </c>
      <c r="G102" s="4" t="str">
        <f t="shared" si="2"/>
        <v>OK</v>
      </c>
      <c r="H102" s="4" t="str">
        <f t="shared" si="3"/>
        <v>ZERO</v>
      </c>
      <c r="I102">
        <v>0</v>
      </c>
      <c r="J102">
        <f>IFERROR(Table4[[#This Row],[energy_kwh]]/Table4[[#This Row],[expected_kwh]],0)</f>
        <v>0</v>
      </c>
      <c r="K102" t="str">
        <f>IF(Table4[[#This Row],[Performance_Ratio]] &lt; 0.85, "Underperforming", "Performing")</f>
        <v>Underperforming</v>
      </c>
      <c r="L102">
        <f>Table4[[#This Row],[energy_kwh]] - Table4[[#This Row],[expected_kwh]]</f>
        <v>0</v>
      </c>
      <c r="M102" t="str">
        <f>IF(Table4[[#This Row],[Performance_Deviation]] &lt; 0, "Underperforming", "Outperforming")</f>
        <v>Outperforming</v>
      </c>
      <c r="N102">
        <f>IF(Table4[[#This Row],[Performance_Ratio]] &lt; 0.85, Table4[[#This Row],[Performance_Deviation]] * 50 / 1000, 0)</f>
        <v>0</v>
      </c>
    </row>
    <row r="103" spans="1:14" x14ac:dyDescent="0.3">
      <c r="A103" s="6" t="s">
        <v>6</v>
      </c>
      <c r="B103" s="5">
        <v>45296.208333333336</v>
      </c>
      <c r="C103" s="6">
        <v>0</v>
      </c>
      <c r="D103" s="6">
        <v>0</v>
      </c>
      <c r="E103" s="6">
        <v>0</v>
      </c>
      <c r="F103" s="6">
        <v>78.286018694557697</v>
      </c>
      <c r="G103" s="6" t="str">
        <f t="shared" si="2"/>
        <v>OK</v>
      </c>
      <c r="H103" s="6" t="str">
        <f t="shared" si="3"/>
        <v>ZERO</v>
      </c>
      <c r="I103">
        <v>0</v>
      </c>
      <c r="J103">
        <f>IFERROR(Table4[[#This Row],[energy_kwh]]/Table4[[#This Row],[expected_kwh]],0)</f>
        <v>0</v>
      </c>
      <c r="K103" t="str">
        <f>IF(Table4[[#This Row],[Performance_Ratio]] &lt; 0.85, "Underperforming", "Performing")</f>
        <v>Underperforming</v>
      </c>
      <c r="L103">
        <f>Table4[[#This Row],[energy_kwh]] - Table4[[#This Row],[expected_kwh]]</f>
        <v>0</v>
      </c>
      <c r="M103" t="str">
        <f>IF(Table4[[#This Row],[Performance_Deviation]] &lt; 0, "Underperforming", "Outperforming")</f>
        <v>Outperforming</v>
      </c>
      <c r="N103">
        <f>IF(Table4[[#This Row],[Performance_Ratio]] &lt; 0.85, Table4[[#This Row],[Performance_Deviation]] * 50 / 1000, 0)</f>
        <v>0</v>
      </c>
    </row>
    <row r="104" spans="1:14" x14ac:dyDescent="0.3">
      <c r="A104" s="4" t="s">
        <v>6</v>
      </c>
      <c r="B104" s="3">
        <v>45296.25</v>
      </c>
      <c r="C104" s="4">
        <v>0</v>
      </c>
      <c r="D104" s="4">
        <v>0</v>
      </c>
      <c r="E104" s="4">
        <v>0</v>
      </c>
      <c r="F104" s="4">
        <v>56.946882821814398</v>
      </c>
      <c r="G104" s="4" t="str">
        <f t="shared" si="2"/>
        <v>OK</v>
      </c>
      <c r="H104" s="4" t="str">
        <f t="shared" si="3"/>
        <v>ZERO</v>
      </c>
      <c r="I104">
        <v>0</v>
      </c>
      <c r="J104">
        <f>IFERROR(Table4[[#This Row],[energy_kwh]]/Table4[[#This Row],[expected_kwh]],0)</f>
        <v>0</v>
      </c>
      <c r="K104" t="str">
        <f>IF(Table4[[#This Row],[Performance_Ratio]] &lt; 0.85, "Underperforming", "Performing")</f>
        <v>Underperforming</v>
      </c>
      <c r="L104">
        <f>Table4[[#This Row],[energy_kwh]] - Table4[[#This Row],[expected_kwh]]</f>
        <v>0</v>
      </c>
      <c r="M104" t="str">
        <f>IF(Table4[[#This Row],[Performance_Deviation]] &lt; 0, "Underperforming", "Outperforming")</f>
        <v>Outperforming</v>
      </c>
      <c r="N104">
        <f>IF(Table4[[#This Row],[Performance_Ratio]] &lt; 0.85, Table4[[#This Row],[Performance_Deviation]] * 50 / 1000, 0)</f>
        <v>0</v>
      </c>
    </row>
    <row r="105" spans="1:14" x14ac:dyDescent="0.3">
      <c r="A105" s="6" t="s">
        <v>6</v>
      </c>
      <c r="B105" s="5">
        <v>45296.291666666664</v>
      </c>
      <c r="C105" s="6">
        <v>109.72915629660299</v>
      </c>
      <c r="D105" s="6">
        <v>104.78932576842</v>
      </c>
      <c r="E105" s="6">
        <v>104.78932576842</v>
      </c>
      <c r="F105" s="6">
        <v>24.222745676137801</v>
      </c>
      <c r="G105" s="6" t="str">
        <f t="shared" si="2"/>
        <v>OK</v>
      </c>
      <c r="H105" s="6" t="str">
        <f t="shared" si="3"/>
        <v>NON-ZERO</v>
      </c>
      <c r="I105">
        <v>103.527618041008</v>
      </c>
      <c r="J105">
        <f>IFERROR(Table4[[#This Row],[energy_kwh]]/Table4[[#This Row],[expected_kwh]],0)</f>
        <v>1.0121871607913575</v>
      </c>
      <c r="K105" t="str">
        <f>IF(Table4[[#This Row],[Performance_Ratio]] &lt; 0.85, "Underperforming", "Performing")</f>
        <v>Performing</v>
      </c>
      <c r="L105">
        <f>Table4[[#This Row],[energy_kwh]] - Table4[[#This Row],[expected_kwh]]</f>
        <v>1.2617077274120021</v>
      </c>
      <c r="M105" t="str">
        <f>IF(Table4[[#This Row],[Performance_Deviation]] &lt; 0, "Underperforming", "Outperforming")</f>
        <v>Outperforming</v>
      </c>
      <c r="N105">
        <f>IF(Table4[[#This Row],[Performance_Ratio]] &lt; 0.85, Table4[[#This Row],[Performance_Deviation]] * 50 / 1000, 0)</f>
        <v>0</v>
      </c>
    </row>
    <row r="106" spans="1:14" x14ac:dyDescent="0.3">
      <c r="A106" s="4" t="s">
        <v>6</v>
      </c>
      <c r="B106" s="3">
        <v>45296.333333333336</v>
      </c>
      <c r="C106" s="4">
        <v>207.795935163732</v>
      </c>
      <c r="D106" s="4">
        <v>198.44129562399701</v>
      </c>
      <c r="E106" s="4">
        <v>198.44129562399701</v>
      </c>
      <c r="F106" s="4">
        <v>48.115293464277798</v>
      </c>
      <c r="G106" s="4" t="str">
        <f t="shared" si="2"/>
        <v>OK</v>
      </c>
      <c r="H106" s="4" t="str">
        <f t="shared" si="3"/>
        <v>NON-ZERO</v>
      </c>
      <c r="I106">
        <v>199.99999999999901</v>
      </c>
      <c r="J106">
        <f>IFERROR(Table4[[#This Row],[energy_kwh]]/Table4[[#This Row],[expected_kwh]],0)</f>
        <v>0.99220647811998997</v>
      </c>
      <c r="K106" t="str">
        <f>IF(Table4[[#This Row],[Performance_Ratio]] &lt; 0.85, "Underperforming", "Performing")</f>
        <v>Performing</v>
      </c>
      <c r="L106">
        <f>Table4[[#This Row],[energy_kwh]] - Table4[[#This Row],[expected_kwh]]</f>
        <v>-1.5587043760019981</v>
      </c>
      <c r="M106" t="str">
        <f>IF(Table4[[#This Row],[Performance_Deviation]] &lt; 0, "Underperforming", "Outperforming")</f>
        <v>Underperforming</v>
      </c>
      <c r="N106">
        <f>IF(Table4[[#This Row],[Performance_Ratio]] &lt; 0.85, Table4[[#This Row],[Performance_Deviation]] * 50 / 1000, 0)</f>
        <v>0</v>
      </c>
    </row>
    <row r="107" spans="1:14" x14ac:dyDescent="0.3">
      <c r="A107" s="6" t="s">
        <v>6</v>
      </c>
      <c r="B107" s="5">
        <v>45296.375</v>
      </c>
      <c r="C107" s="6">
        <v>283.96288759041602</v>
      </c>
      <c r="D107" s="6">
        <v>271.17933408164498</v>
      </c>
      <c r="E107" s="6">
        <v>271.17933408164498</v>
      </c>
      <c r="F107" s="6">
        <v>36.769687888958899</v>
      </c>
      <c r="G107" s="6" t="str">
        <f t="shared" si="2"/>
        <v>OK</v>
      </c>
      <c r="H107" s="6" t="str">
        <f t="shared" si="3"/>
        <v>NON-ZERO</v>
      </c>
      <c r="I107">
        <v>282.84271247461902</v>
      </c>
      <c r="J107">
        <f>IFERROR(Table4[[#This Row],[energy_kwh]]/Table4[[#This Row],[expected_kwh]],0)</f>
        <v>0.95876373023391703</v>
      </c>
      <c r="K107" t="str">
        <f>IF(Table4[[#This Row],[Performance_Ratio]] &lt; 0.85, "Underperforming", "Performing")</f>
        <v>Performing</v>
      </c>
      <c r="L107">
        <f>Table4[[#This Row],[energy_kwh]] - Table4[[#This Row],[expected_kwh]]</f>
        <v>-11.663378392974039</v>
      </c>
      <c r="M107" t="str">
        <f>IF(Table4[[#This Row],[Performance_Deviation]] &lt; 0, "Underperforming", "Outperforming")</f>
        <v>Underperforming</v>
      </c>
      <c r="N107">
        <f>IF(Table4[[#This Row],[Performance_Ratio]] &lt; 0.85, Table4[[#This Row],[Performance_Deviation]] * 50 / 1000, 0)</f>
        <v>0</v>
      </c>
    </row>
    <row r="108" spans="1:14" x14ac:dyDescent="0.3">
      <c r="A108" s="4" t="s">
        <v>6</v>
      </c>
      <c r="B108" s="3">
        <v>45296.416666666664</v>
      </c>
      <c r="C108" s="4">
        <v>330.77864079169598</v>
      </c>
      <c r="D108" s="4">
        <v>315.88751720156603</v>
      </c>
      <c r="E108" s="4">
        <v>315.88751720156603</v>
      </c>
      <c r="F108" s="4">
        <v>61.539071330098999</v>
      </c>
      <c r="G108" s="4" t="str">
        <f t="shared" si="2"/>
        <v>OK</v>
      </c>
      <c r="H108" s="4" t="str">
        <f t="shared" si="3"/>
        <v>NON-ZERO</v>
      </c>
      <c r="I108">
        <v>346.41016151377499</v>
      </c>
      <c r="J108">
        <f>IFERROR(Table4[[#This Row],[energy_kwh]]/Table4[[#This Row],[expected_kwh]],0)</f>
        <v>0.91188871544983463</v>
      </c>
      <c r="K108" t="str">
        <f>IF(Table4[[#This Row],[Performance_Ratio]] &lt; 0.85, "Underperforming", "Performing")</f>
        <v>Performing</v>
      </c>
      <c r="L108">
        <f>Table4[[#This Row],[energy_kwh]] - Table4[[#This Row],[expected_kwh]]</f>
        <v>-30.522644312208968</v>
      </c>
      <c r="M108" t="str">
        <f>IF(Table4[[#This Row],[Performance_Deviation]] &lt; 0, "Underperforming", "Outperforming")</f>
        <v>Underperforming</v>
      </c>
      <c r="N108">
        <f>IF(Table4[[#This Row],[Performance_Ratio]] &lt; 0.85, Table4[[#This Row],[Performance_Deviation]] * 50 / 1000, 0)</f>
        <v>0</v>
      </c>
    </row>
    <row r="109" spans="1:14" x14ac:dyDescent="0.3">
      <c r="A109" s="6" t="s">
        <v>6</v>
      </c>
      <c r="B109" s="5">
        <v>45296.458333333336</v>
      </c>
      <c r="C109" s="6">
        <v>393.65159586363399</v>
      </c>
      <c r="D109" s="6">
        <v>375.93003273178499</v>
      </c>
      <c r="E109" s="6">
        <v>375.93003273178499</v>
      </c>
      <c r="F109" s="6">
        <v>67.204897860144598</v>
      </c>
      <c r="G109" s="6" t="str">
        <f t="shared" si="2"/>
        <v>OK</v>
      </c>
      <c r="H109" s="6" t="str">
        <f t="shared" si="3"/>
        <v>NON-ZERO</v>
      </c>
      <c r="I109">
        <v>386.37033051562702</v>
      </c>
      <c r="J109">
        <f>IFERROR(Table4[[#This Row],[energy_kwh]]/Table4[[#This Row],[expected_kwh]],0)</f>
        <v>0.97297852097000037</v>
      </c>
      <c r="K109" t="str">
        <f>IF(Table4[[#This Row],[Performance_Ratio]] &lt; 0.85, "Underperforming", "Performing")</f>
        <v>Performing</v>
      </c>
      <c r="L109">
        <f>Table4[[#This Row],[energy_kwh]] - Table4[[#This Row],[expected_kwh]]</f>
        <v>-10.440297783842027</v>
      </c>
      <c r="M109" t="str">
        <f>IF(Table4[[#This Row],[Performance_Deviation]] &lt; 0, "Underperforming", "Outperforming")</f>
        <v>Underperforming</v>
      </c>
      <c r="N109">
        <f>IF(Table4[[#This Row],[Performance_Ratio]] &lt; 0.85, Table4[[#This Row],[Performance_Deviation]] * 50 / 1000, 0)</f>
        <v>0</v>
      </c>
    </row>
    <row r="110" spans="1:14" x14ac:dyDescent="0.3">
      <c r="A110" s="4" t="s">
        <v>6</v>
      </c>
      <c r="B110" s="3">
        <v>45296.5</v>
      </c>
      <c r="C110" s="4">
        <v>367.90561835496499</v>
      </c>
      <c r="D110" s="4">
        <v>351.34309781459802</v>
      </c>
      <c r="E110" s="4">
        <v>351.34309781459802</v>
      </c>
      <c r="F110" s="4">
        <v>87.586850786824101</v>
      </c>
      <c r="G110" s="4" t="str">
        <f t="shared" si="2"/>
        <v>OK</v>
      </c>
      <c r="H110" s="4" t="str">
        <f t="shared" si="3"/>
        <v>NON-ZERO</v>
      </c>
      <c r="I110">
        <v>400</v>
      </c>
      <c r="J110">
        <f>IFERROR(Table4[[#This Row],[energy_kwh]]/Table4[[#This Row],[expected_kwh]],0)</f>
        <v>0.87835774453649507</v>
      </c>
      <c r="K110" t="str">
        <f>IF(Table4[[#This Row],[Performance_Ratio]] &lt; 0.85, "Underperforming", "Performing")</f>
        <v>Performing</v>
      </c>
      <c r="L110">
        <f>Table4[[#This Row],[energy_kwh]] - Table4[[#This Row],[expected_kwh]]</f>
        <v>-48.656902185401975</v>
      </c>
      <c r="M110" t="str">
        <f>IF(Table4[[#This Row],[Performance_Deviation]] &lt; 0, "Underperforming", "Outperforming")</f>
        <v>Underperforming</v>
      </c>
      <c r="N110">
        <f>IF(Table4[[#This Row],[Performance_Ratio]] &lt; 0.85, Table4[[#This Row],[Performance_Deviation]] * 50 / 1000, 0)</f>
        <v>0</v>
      </c>
    </row>
    <row r="111" spans="1:14" x14ac:dyDescent="0.3">
      <c r="A111" s="6" t="s">
        <v>6</v>
      </c>
      <c r="B111" s="5">
        <v>45296.541666666664</v>
      </c>
      <c r="C111" s="6">
        <v>417.35633868296202</v>
      </c>
      <c r="D111" s="6">
        <v>398.56762606966498</v>
      </c>
      <c r="E111" s="6">
        <v>398.56762606966498</v>
      </c>
      <c r="F111" s="6">
        <v>91.280861305741894</v>
      </c>
      <c r="G111" s="6" t="str">
        <f t="shared" si="2"/>
        <v>OK</v>
      </c>
      <c r="H111" s="6" t="str">
        <f t="shared" si="3"/>
        <v>NON-ZERO</v>
      </c>
      <c r="I111">
        <v>386.37033051562702</v>
      </c>
      <c r="J111">
        <f>IFERROR(Table4[[#This Row],[energy_kwh]]/Table4[[#This Row],[expected_kwh]],0)</f>
        <v>1.0315689238812933</v>
      </c>
      <c r="K111" t="str">
        <f>IF(Table4[[#This Row],[Performance_Ratio]] &lt; 0.85, "Underperforming", "Performing")</f>
        <v>Performing</v>
      </c>
      <c r="L111">
        <f>Table4[[#This Row],[energy_kwh]] - Table4[[#This Row],[expected_kwh]]</f>
        <v>12.197295554037964</v>
      </c>
      <c r="M111" t="str">
        <f>IF(Table4[[#This Row],[Performance_Deviation]] &lt; 0, "Underperforming", "Outperforming")</f>
        <v>Outperforming</v>
      </c>
      <c r="N111">
        <f>IF(Table4[[#This Row],[Performance_Ratio]] &lt; 0.85, Table4[[#This Row],[Performance_Deviation]] * 50 / 1000, 0)</f>
        <v>0</v>
      </c>
    </row>
    <row r="112" spans="1:14" x14ac:dyDescent="0.3">
      <c r="A112" s="4" t="s">
        <v>6</v>
      </c>
      <c r="B112" s="3">
        <v>45296.583333333336</v>
      </c>
      <c r="C112" s="4">
        <v>326.399696956394</v>
      </c>
      <c r="D112" s="4">
        <v>311.70570639060202</v>
      </c>
      <c r="E112" s="4">
        <v>311.70570639060202</v>
      </c>
      <c r="F112" s="4">
        <v>34.109086979282097</v>
      </c>
      <c r="G112" s="4" t="str">
        <f t="shared" si="2"/>
        <v>OK</v>
      </c>
      <c r="H112" s="4" t="str">
        <f t="shared" si="3"/>
        <v>NON-ZERO</v>
      </c>
      <c r="I112">
        <v>346.41016151377499</v>
      </c>
      <c r="J112">
        <f>IFERROR(Table4[[#This Row],[energy_kwh]]/Table4[[#This Row],[expected_kwh]],0)</f>
        <v>0.89981686746278389</v>
      </c>
      <c r="K112" t="str">
        <f>IF(Table4[[#This Row],[Performance_Ratio]] &lt; 0.85, "Underperforming", "Performing")</f>
        <v>Performing</v>
      </c>
      <c r="L112">
        <f>Table4[[#This Row],[energy_kwh]] - Table4[[#This Row],[expected_kwh]]</f>
        <v>-34.704455123172977</v>
      </c>
      <c r="M112" t="str">
        <f>IF(Table4[[#This Row],[Performance_Deviation]] &lt; 0, "Underperforming", "Outperforming")</f>
        <v>Underperforming</v>
      </c>
      <c r="N112">
        <f>IF(Table4[[#This Row],[Performance_Ratio]] &lt; 0.85, Table4[[#This Row],[Performance_Deviation]] * 50 / 1000, 0)</f>
        <v>0</v>
      </c>
    </row>
    <row r="113" spans="1:14" x14ac:dyDescent="0.3">
      <c r="A113" s="6" t="s">
        <v>6</v>
      </c>
      <c r="B113" s="5">
        <v>45296.625</v>
      </c>
      <c r="C113" s="6">
        <v>288.03051135922198</v>
      </c>
      <c r="D113" s="6">
        <v>275.063839955915</v>
      </c>
      <c r="E113" s="6">
        <v>275.063839955915</v>
      </c>
      <c r="F113" s="6">
        <v>63.774208388815403</v>
      </c>
      <c r="G113" s="6" t="str">
        <f t="shared" si="2"/>
        <v>OK</v>
      </c>
      <c r="H113" s="6" t="str">
        <f t="shared" si="3"/>
        <v>NON-ZERO</v>
      </c>
      <c r="I113">
        <v>282.84271247461902</v>
      </c>
      <c r="J113">
        <f>IFERROR(Table4[[#This Row],[energy_kwh]]/Table4[[#This Row],[expected_kwh]],0)</f>
        <v>0.97249753246019355</v>
      </c>
      <c r="K113" t="str">
        <f>IF(Table4[[#This Row],[Performance_Ratio]] &lt; 0.85, "Underperforming", "Performing")</f>
        <v>Performing</v>
      </c>
      <c r="L113">
        <f>Table4[[#This Row],[energy_kwh]] - Table4[[#This Row],[expected_kwh]]</f>
        <v>-7.77887251870402</v>
      </c>
      <c r="M113" t="str">
        <f>IF(Table4[[#This Row],[Performance_Deviation]] &lt; 0, "Underperforming", "Outperforming")</f>
        <v>Underperforming</v>
      </c>
      <c r="N113">
        <f>IF(Table4[[#This Row],[Performance_Ratio]] &lt; 0.85, Table4[[#This Row],[Performance_Deviation]] * 50 / 1000, 0)</f>
        <v>0</v>
      </c>
    </row>
    <row r="114" spans="1:14" x14ac:dyDescent="0.3">
      <c r="A114" s="4" t="s">
        <v>6</v>
      </c>
      <c r="B114" s="3">
        <v>45296.666666666664</v>
      </c>
      <c r="C114" s="4">
        <v>163.2221087611</v>
      </c>
      <c r="D114" s="4">
        <v>155.87411135599001</v>
      </c>
      <c r="E114" s="4">
        <v>155.87411135599001</v>
      </c>
      <c r="F114" s="4">
        <v>32.196270450866798</v>
      </c>
      <c r="G114" s="4" t="str">
        <f t="shared" si="2"/>
        <v>OK</v>
      </c>
      <c r="H114" s="4" t="str">
        <f t="shared" si="3"/>
        <v>NON-ZERO</v>
      </c>
      <c r="I114">
        <v>199.99999999999901</v>
      </c>
      <c r="J114">
        <f>IFERROR(Table4[[#This Row],[energy_kwh]]/Table4[[#This Row],[expected_kwh]],0)</f>
        <v>0.77937055677995393</v>
      </c>
      <c r="K114" t="str">
        <f>IF(Table4[[#This Row],[Performance_Ratio]] &lt; 0.85, "Underperforming", "Performing")</f>
        <v>Underperforming</v>
      </c>
      <c r="L114">
        <f>Table4[[#This Row],[energy_kwh]] - Table4[[#This Row],[expected_kwh]]</f>
        <v>-44.125888644008995</v>
      </c>
      <c r="M114" t="str">
        <f>IF(Table4[[#This Row],[Performance_Deviation]] &lt; 0, "Underperforming", "Outperforming")</f>
        <v>Underperforming</v>
      </c>
      <c r="N114">
        <f>IF(Table4[[#This Row],[Performance_Ratio]] &lt; 0.85, Table4[[#This Row],[Performance_Deviation]] * 50 / 1000, 0)</f>
        <v>-2.2062944322004494</v>
      </c>
    </row>
    <row r="115" spans="1:14" x14ac:dyDescent="0.3">
      <c r="A115" s="6" t="s">
        <v>6</v>
      </c>
      <c r="B115" s="5">
        <v>45296.708333333336</v>
      </c>
      <c r="C115" s="6">
        <v>100.978079845281</v>
      </c>
      <c r="D115" s="6">
        <v>96.432208735613898</v>
      </c>
      <c r="E115" s="6">
        <v>96.432208735613898</v>
      </c>
      <c r="F115" s="6">
        <v>91.234993496894305</v>
      </c>
      <c r="G115" s="6" t="str">
        <f t="shared" si="2"/>
        <v>OK</v>
      </c>
      <c r="H115" s="6" t="str">
        <f t="shared" si="3"/>
        <v>NON-ZERO</v>
      </c>
      <c r="I115">
        <v>103.527618041008</v>
      </c>
      <c r="J115">
        <f>IFERROR(Table4[[#This Row],[energy_kwh]]/Table4[[#This Row],[expected_kwh]],0)</f>
        <v>0.9314636090382804</v>
      </c>
      <c r="K115" t="str">
        <f>IF(Table4[[#This Row],[Performance_Ratio]] &lt; 0.85, "Underperforming", "Performing")</f>
        <v>Performing</v>
      </c>
      <c r="L115">
        <f>Table4[[#This Row],[energy_kwh]] - Table4[[#This Row],[expected_kwh]]</f>
        <v>-7.0954093053940994</v>
      </c>
      <c r="M115" t="str">
        <f>IF(Table4[[#This Row],[Performance_Deviation]] &lt; 0, "Underperforming", "Outperforming")</f>
        <v>Underperforming</v>
      </c>
      <c r="N115">
        <f>IF(Table4[[#This Row],[Performance_Ratio]] &lt; 0.85, Table4[[#This Row],[Performance_Deviation]] * 50 / 1000, 0)</f>
        <v>0</v>
      </c>
    </row>
    <row r="116" spans="1:14" x14ac:dyDescent="0.3">
      <c r="A116" s="4" t="s">
        <v>6</v>
      </c>
      <c r="B116" s="3">
        <v>45296.75</v>
      </c>
      <c r="C116" s="7">
        <v>4.9080777740779199E-14</v>
      </c>
      <c r="D116" s="7">
        <v>4.6871239889458598E-14</v>
      </c>
      <c r="E116" s="7">
        <v>4.6871239889458598E-14</v>
      </c>
      <c r="F116" s="4">
        <v>84.954791712530593</v>
      </c>
      <c r="G116" s="4" t="str">
        <f t="shared" si="2"/>
        <v>OK</v>
      </c>
      <c r="H116" s="4" t="str">
        <f t="shared" si="3"/>
        <v>NON-ZERO</v>
      </c>
      <c r="I116" s="2">
        <v>4.8985871965894097E-14</v>
      </c>
      <c r="J116">
        <f>IFERROR(Table4[[#This Row],[energy_kwh]]/Table4[[#This Row],[expected_kwh]],0)</f>
        <v>0.95683179676973418</v>
      </c>
      <c r="K116" t="str">
        <f>IF(Table4[[#This Row],[Performance_Ratio]] &lt; 0.85, "Underperforming", "Performing")</f>
        <v>Performing</v>
      </c>
      <c r="L116">
        <f>Table4[[#This Row],[energy_kwh]] - Table4[[#This Row],[expected_kwh]]</f>
        <v>-2.1146320764354995E-15</v>
      </c>
      <c r="M116" t="str">
        <f>IF(Table4[[#This Row],[Performance_Deviation]] &lt; 0, "Underperforming", "Outperforming")</f>
        <v>Underperforming</v>
      </c>
      <c r="N116">
        <f>IF(Table4[[#This Row],[Performance_Ratio]] &lt; 0.85, Table4[[#This Row],[Performance_Deviation]] * 50 / 1000, 0)</f>
        <v>0</v>
      </c>
    </row>
    <row r="117" spans="1:14" x14ac:dyDescent="0.3">
      <c r="A117" s="6" t="s">
        <v>6</v>
      </c>
      <c r="B117" s="5">
        <v>45296.791666666664</v>
      </c>
      <c r="C117" s="6">
        <v>0</v>
      </c>
      <c r="D117" s="6">
        <v>0</v>
      </c>
      <c r="E117" s="6">
        <v>0</v>
      </c>
      <c r="F117" s="6">
        <v>48.2347525158537</v>
      </c>
      <c r="G117" s="6" t="str">
        <f t="shared" si="2"/>
        <v>OK</v>
      </c>
      <c r="H117" s="6" t="str">
        <f t="shared" si="3"/>
        <v>ZERO</v>
      </c>
      <c r="I117">
        <v>0</v>
      </c>
      <c r="J117">
        <f>IFERROR(Table4[[#This Row],[energy_kwh]]/Table4[[#This Row],[expected_kwh]],0)</f>
        <v>0</v>
      </c>
      <c r="K117" t="str">
        <f>IF(Table4[[#This Row],[Performance_Ratio]] &lt; 0.85, "Underperforming", "Performing")</f>
        <v>Underperforming</v>
      </c>
      <c r="L117">
        <f>Table4[[#This Row],[energy_kwh]] - Table4[[#This Row],[expected_kwh]]</f>
        <v>0</v>
      </c>
      <c r="M117" t="str">
        <f>IF(Table4[[#This Row],[Performance_Deviation]] &lt; 0, "Underperforming", "Outperforming")</f>
        <v>Outperforming</v>
      </c>
      <c r="N117">
        <f>IF(Table4[[#This Row],[Performance_Ratio]] &lt; 0.85, Table4[[#This Row],[Performance_Deviation]] * 50 / 1000, 0)</f>
        <v>0</v>
      </c>
    </row>
    <row r="118" spans="1:14" x14ac:dyDescent="0.3">
      <c r="A118" s="4" t="s">
        <v>6</v>
      </c>
      <c r="B118" s="3">
        <v>45296.833333333336</v>
      </c>
      <c r="C118" s="4">
        <v>0</v>
      </c>
      <c r="D118" s="4">
        <v>0</v>
      </c>
      <c r="E118" s="4">
        <v>0</v>
      </c>
      <c r="F118" s="4">
        <v>83.158919235178104</v>
      </c>
      <c r="G118" s="4" t="str">
        <f t="shared" si="2"/>
        <v>OK</v>
      </c>
      <c r="H118" s="4" t="str">
        <f t="shared" si="3"/>
        <v>ZERO</v>
      </c>
      <c r="I118">
        <v>0</v>
      </c>
      <c r="J118">
        <f>IFERROR(Table4[[#This Row],[energy_kwh]]/Table4[[#This Row],[expected_kwh]],0)</f>
        <v>0</v>
      </c>
      <c r="K118" t="str">
        <f>IF(Table4[[#This Row],[Performance_Ratio]] &lt; 0.85, "Underperforming", "Performing")</f>
        <v>Underperforming</v>
      </c>
      <c r="L118">
        <f>Table4[[#This Row],[energy_kwh]] - Table4[[#This Row],[expected_kwh]]</f>
        <v>0</v>
      </c>
      <c r="M118" t="str">
        <f>IF(Table4[[#This Row],[Performance_Deviation]] &lt; 0, "Underperforming", "Outperforming")</f>
        <v>Outperforming</v>
      </c>
      <c r="N118">
        <f>IF(Table4[[#This Row],[Performance_Ratio]] &lt; 0.85, Table4[[#This Row],[Performance_Deviation]] * 50 / 1000, 0)</f>
        <v>0</v>
      </c>
    </row>
    <row r="119" spans="1:14" x14ac:dyDescent="0.3">
      <c r="A119" s="6" t="s">
        <v>6</v>
      </c>
      <c r="B119" s="5">
        <v>45296.875</v>
      </c>
      <c r="C119" s="6">
        <v>0</v>
      </c>
      <c r="D119" s="6">
        <v>0</v>
      </c>
      <c r="E119" s="6">
        <v>0</v>
      </c>
      <c r="F119" s="6">
        <v>51.111462675324802</v>
      </c>
      <c r="G119" s="6" t="str">
        <f t="shared" si="2"/>
        <v>OK</v>
      </c>
      <c r="H119" s="6" t="str">
        <f t="shared" si="3"/>
        <v>ZERO</v>
      </c>
      <c r="I119">
        <v>0</v>
      </c>
      <c r="J119">
        <f>IFERROR(Table4[[#This Row],[energy_kwh]]/Table4[[#This Row],[expected_kwh]],0)</f>
        <v>0</v>
      </c>
      <c r="K119" t="str">
        <f>IF(Table4[[#This Row],[Performance_Ratio]] &lt; 0.85, "Underperforming", "Performing")</f>
        <v>Underperforming</v>
      </c>
      <c r="L119">
        <f>Table4[[#This Row],[energy_kwh]] - Table4[[#This Row],[expected_kwh]]</f>
        <v>0</v>
      </c>
      <c r="M119" t="str">
        <f>IF(Table4[[#This Row],[Performance_Deviation]] &lt; 0, "Underperforming", "Outperforming")</f>
        <v>Outperforming</v>
      </c>
      <c r="N119">
        <f>IF(Table4[[#This Row],[Performance_Ratio]] &lt; 0.85, Table4[[#This Row],[Performance_Deviation]] * 50 / 1000, 0)</f>
        <v>0</v>
      </c>
    </row>
    <row r="120" spans="1:14" x14ac:dyDescent="0.3">
      <c r="A120" s="4" t="s">
        <v>6</v>
      </c>
      <c r="B120" s="3">
        <v>45296.916666666664</v>
      </c>
      <c r="C120" s="4">
        <v>0</v>
      </c>
      <c r="D120" s="4">
        <v>0</v>
      </c>
      <c r="E120" s="4">
        <v>0</v>
      </c>
      <c r="F120" s="4">
        <v>94.978825496459706</v>
      </c>
      <c r="G120" s="4" t="str">
        <f t="shared" si="2"/>
        <v>OK</v>
      </c>
      <c r="H120" s="4" t="str">
        <f t="shared" si="3"/>
        <v>ZERO</v>
      </c>
      <c r="I120">
        <v>0</v>
      </c>
      <c r="J120">
        <f>IFERROR(Table4[[#This Row],[energy_kwh]]/Table4[[#This Row],[expected_kwh]],0)</f>
        <v>0</v>
      </c>
      <c r="K120" t="str">
        <f>IF(Table4[[#This Row],[Performance_Ratio]] &lt; 0.85, "Underperforming", "Performing")</f>
        <v>Underperforming</v>
      </c>
      <c r="L120">
        <f>Table4[[#This Row],[energy_kwh]] - Table4[[#This Row],[expected_kwh]]</f>
        <v>0</v>
      </c>
      <c r="M120" t="str">
        <f>IF(Table4[[#This Row],[Performance_Deviation]] &lt; 0, "Underperforming", "Outperforming")</f>
        <v>Outperforming</v>
      </c>
      <c r="N120">
        <f>IF(Table4[[#This Row],[Performance_Ratio]] &lt; 0.85, Table4[[#This Row],[Performance_Deviation]] * 50 / 1000, 0)</f>
        <v>0</v>
      </c>
    </row>
    <row r="121" spans="1:14" x14ac:dyDescent="0.3">
      <c r="A121" s="6" t="s">
        <v>6</v>
      </c>
      <c r="B121" s="5">
        <v>45296.958333333336</v>
      </c>
      <c r="C121" s="6">
        <v>0</v>
      </c>
      <c r="D121" s="6">
        <v>0</v>
      </c>
      <c r="E121" s="6">
        <v>0</v>
      </c>
      <c r="F121" s="6">
        <v>77.674056138538205</v>
      </c>
      <c r="G121" s="6" t="str">
        <f t="shared" si="2"/>
        <v>OK</v>
      </c>
      <c r="H121" s="6" t="str">
        <f t="shared" si="3"/>
        <v>ZERO</v>
      </c>
      <c r="I121">
        <v>0</v>
      </c>
      <c r="J121">
        <f>IFERROR(Table4[[#This Row],[energy_kwh]]/Table4[[#This Row],[expected_kwh]],0)</f>
        <v>0</v>
      </c>
      <c r="K121" t="str">
        <f>IF(Table4[[#This Row],[Performance_Ratio]] &lt; 0.85, "Underperforming", "Performing")</f>
        <v>Underperforming</v>
      </c>
      <c r="L121">
        <f>Table4[[#This Row],[energy_kwh]] - Table4[[#This Row],[expected_kwh]]</f>
        <v>0</v>
      </c>
      <c r="M121" t="str">
        <f>IF(Table4[[#This Row],[Performance_Deviation]] &lt; 0, "Underperforming", "Outperforming")</f>
        <v>Outperforming</v>
      </c>
      <c r="N121">
        <f>IF(Table4[[#This Row],[Performance_Ratio]] &lt; 0.85, Table4[[#This Row],[Performance_Deviation]] * 50 / 1000, 0)</f>
        <v>0</v>
      </c>
    </row>
    <row r="122" spans="1:14" x14ac:dyDescent="0.3">
      <c r="A122" s="4" t="s">
        <v>6</v>
      </c>
      <c r="B122" s="3">
        <v>45297</v>
      </c>
      <c r="C122" s="4">
        <v>0</v>
      </c>
      <c r="D122" s="4">
        <v>0</v>
      </c>
      <c r="E122" s="4">
        <v>0</v>
      </c>
      <c r="F122" s="4">
        <v>65.463097583815994</v>
      </c>
      <c r="G122" s="4" t="str">
        <f t="shared" si="2"/>
        <v>OK</v>
      </c>
      <c r="H122" s="4" t="str">
        <f t="shared" si="3"/>
        <v>ZERO</v>
      </c>
      <c r="I122">
        <v>0</v>
      </c>
      <c r="J122">
        <f>IFERROR(Table4[[#This Row],[energy_kwh]]/Table4[[#This Row],[expected_kwh]],0)</f>
        <v>0</v>
      </c>
      <c r="K122" t="str">
        <f>IF(Table4[[#This Row],[Performance_Ratio]] &lt; 0.85, "Underperforming", "Performing")</f>
        <v>Underperforming</v>
      </c>
      <c r="L122">
        <f>Table4[[#This Row],[energy_kwh]] - Table4[[#This Row],[expected_kwh]]</f>
        <v>0</v>
      </c>
      <c r="M122" t="str">
        <f>IF(Table4[[#This Row],[Performance_Deviation]] &lt; 0, "Underperforming", "Outperforming")</f>
        <v>Outperforming</v>
      </c>
      <c r="N122">
        <f>IF(Table4[[#This Row],[Performance_Ratio]] &lt; 0.85, Table4[[#This Row],[Performance_Deviation]] * 50 / 1000, 0)</f>
        <v>0</v>
      </c>
    </row>
    <row r="123" spans="1:14" x14ac:dyDescent="0.3">
      <c r="A123" s="6" t="s">
        <v>6</v>
      </c>
      <c r="B123" s="5">
        <v>45297.041666666664</v>
      </c>
      <c r="C123" s="6">
        <v>0</v>
      </c>
      <c r="D123" s="6">
        <v>0</v>
      </c>
      <c r="E123" s="6">
        <v>0</v>
      </c>
      <c r="F123" s="6">
        <v>66.359618034342105</v>
      </c>
      <c r="G123" s="6" t="str">
        <f t="shared" si="2"/>
        <v>OK</v>
      </c>
      <c r="H123" s="6" t="str">
        <f t="shared" si="3"/>
        <v>ZERO</v>
      </c>
      <c r="I123">
        <v>0</v>
      </c>
      <c r="J123">
        <f>IFERROR(Table4[[#This Row],[energy_kwh]]/Table4[[#This Row],[expected_kwh]],0)</f>
        <v>0</v>
      </c>
      <c r="K123" t="str">
        <f>IF(Table4[[#This Row],[Performance_Ratio]] &lt; 0.85, "Underperforming", "Performing")</f>
        <v>Underperforming</v>
      </c>
      <c r="L123">
        <f>Table4[[#This Row],[energy_kwh]] - Table4[[#This Row],[expected_kwh]]</f>
        <v>0</v>
      </c>
      <c r="M123" t="str">
        <f>IF(Table4[[#This Row],[Performance_Deviation]] &lt; 0, "Underperforming", "Outperforming")</f>
        <v>Outperforming</v>
      </c>
      <c r="N123">
        <f>IF(Table4[[#This Row],[Performance_Ratio]] &lt; 0.85, Table4[[#This Row],[Performance_Deviation]] * 50 / 1000, 0)</f>
        <v>0</v>
      </c>
    </row>
    <row r="124" spans="1:14" x14ac:dyDescent="0.3">
      <c r="A124" s="4" t="s">
        <v>6</v>
      </c>
      <c r="B124" s="3">
        <v>45297.083333333336</v>
      </c>
      <c r="C124" s="4">
        <v>0</v>
      </c>
      <c r="D124" s="4">
        <v>0</v>
      </c>
      <c r="E124" s="4">
        <v>0</v>
      </c>
      <c r="F124" s="4">
        <v>77.923879380172906</v>
      </c>
      <c r="G124" s="4" t="str">
        <f t="shared" si="2"/>
        <v>OK</v>
      </c>
      <c r="H124" s="4" t="str">
        <f t="shared" si="3"/>
        <v>ZERO</v>
      </c>
      <c r="I124">
        <v>0</v>
      </c>
      <c r="J124">
        <f>IFERROR(Table4[[#This Row],[energy_kwh]]/Table4[[#This Row],[expected_kwh]],0)</f>
        <v>0</v>
      </c>
      <c r="K124" t="str">
        <f>IF(Table4[[#This Row],[Performance_Ratio]] &lt; 0.85, "Underperforming", "Performing")</f>
        <v>Underperforming</v>
      </c>
      <c r="L124">
        <f>Table4[[#This Row],[energy_kwh]] - Table4[[#This Row],[expected_kwh]]</f>
        <v>0</v>
      </c>
      <c r="M124" t="str">
        <f>IF(Table4[[#This Row],[Performance_Deviation]] &lt; 0, "Underperforming", "Outperforming")</f>
        <v>Outperforming</v>
      </c>
      <c r="N124">
        <f>IF(Table4[[#This Row],[Performance_Ratio]] &lt; 0.85, Table4[[#This Row],[Performance_Deviation]] * 50 / 1000, 0)</f>
        <v>0</v>
      </c>
    </row>
    <row r="125" spans="1:14" x14ac:dyDescent="0.3">
      <c r="A125" s="6" t="s">
        <v>6</v>
      </c>
      <c r="B125" s="5">
        <v>45297.125</v>
      </c>
      <c r="C125" s="6">
        <v>0</v>
      </c>
      <c r="D125" s="6">
        <v>0</v>
      </c>
      <c r="E125" s="6">
        <v>0</v>
      </c>
      <c r="F125" s="6">
        <v>61.393012908086398</v>
      </c>
      <c r="G125" s="6" t="str">
        <f t="shared" si="2"/>
        <v>OK</v>
      </c>
      <c r="H125" s="6" t="str">
        <f t="shared" si="3"/>
        <v>ZERO</v>
      </c>
      <c r="I125">
        <v>0</v>
      </c>
      <c r="J125">
        <f>IFERROR(Table4[[#This Row],[energy_kwh]]/Table4[[#This Row],[expected_kwh]],0)</f>
        <v>0</v>
      </c>
      <c r="K125" t="str">
        <f>IF(Table4[[#This Row],[Performance_Ratio]] &lt; 0.85, "Underperforming", "Performing")</f>
        <v>Underperforming</v>
      </c>
      <c r="L125">
        <f>Table4[[#This Row],[energy_kwh]] - Table4[[#This Row],[expected_kwh]]</f>
        <v>0</v>
      </c>
      <c r="M125" t="str">
        <f>IF(Table4[[#This Row],[Performance_Deviation]] &lt; 0, "Underperforming", "Outperforming")</f>
        <v>Outperforming</v>
      </c>
      <c r="N125">
        <f>IF(Table4[[#This Row],[Performance_Ratio]] &lt; 0.85, Table4[[#This Row],[Performance_Deviation]] * 50 / 1000, 0)</f>
        <v>0</v>
      </c>
    </row>
    <row r="126" spans="1:14" x14ac:dyDescent="0.3">
      <c r="A126" s="4" t="s">
        <v>6</v>
      </c>
      <c r="B126" s="3">
        <v>45297.166666666664</v>
      </c>
      <c r="C126" s="4">
        <v>0</v>
      </c>
      <c r="D126" s="4">
        <v>0</v>
      </c>
      <c r="E126" s="4">
        <v>0</v>
      </c>
      <c r="F126" s="4">
        <v>22.158700723500399</v>
      </c>
      <c r="G126" s="4" t="str">
        <f t="shared" si="2"/>
        <v>OK</v>
      </c>
      <c r="H126" s="4" t="str">
        <f t="shared" si="3"/>
        <v>ZERO</v>
      </c>
      <c r="I126">
        <v>0</v>
      </c>
      <c r="J126">
        <f>IFERROR(Table4[[#This Row],[energy_kwh]]/Table4[[#This Row],[expected_kwh]],0)</f>
        <v>0</v>
      </c>
      <c r="K126" t="str">
        <f>IF(Table4[[#This Row],[Performance_Ratio]] &lt; 0.85, "Underperforming", "Performing")</f>
        <v>Underperforming</v>
      </c>
      <c r="L126">
        <f>Table4[[#This Row],[energy_kwh]] - Table4[[#This Row],[expected_kwh]]</f>
        <v>0</v>
      </c>
      <c r="M126" t="str">
        <f>IF(Table4[[#This Row],[Performance_Deviation]] &lt; 0, "Underperforming", "Outperforming")</f>
        <v>Outperforming</v>
      </c>
      <c r="N126">
        <f>IF(Table4[[#This Row],[Performance_Ratio]] &lt; 0.85, Table4[[#This Row],[Performance_Deviation]] * 50 / 1000, 0)</f>
        <v>0</v>
      </c>
    </row>
    <row r="127" spans="1:14" x14ac:dyDescent="0.3">
      <c r="A127" s="6" t="s">
        <v>6</v>
      </c>
      <c r="B127" s="5">
        <v>45297.208333333336</v>
      </c>
      <c r="C127" s="6">
        <v>0</v>
      </c>
      <c r="D127" s="6">
        <v>0</v>
      </c>
      <c r="E127" s="6">
        <v>0</v>
      </c>
      <c r="F127" s="6">
        <v>72.805982607441706</v>
      </c>
      <c r="G127" s="6" t="str">
        <f t="shared" si="2"/>
        <v>OK</v>
      </c>
      <c r="H127" s="6" t="str">
        <f t="shared" si="3"/>
        <v>ZERO</v>
      </c>
      <c r="I127">
        <v>0</v>
      </c>
      <c r="J127">
        <f>IFERROR(Table4[[#This Row],[energy_kwh]]/Table4[[#This Row],[expected_kwh]],0)</f>
        <v>0</v>
      </c>
      <c r="K127" t="str">
        <f>IF(Table4[[#This Row],[Performance_Ratio]] &lt; 0.85, "Underperforming", "Performing")</f>
        <v>Underperforming</v>
      </c>
      <c r="L127">
        <f>Table4[[#This Row],[energy_kwh]] - Table4[[#This Row],[expected_kwh]]</f>
        <v>0</v>
      </c>
      <c r="M127" t="str">
        <f>IF(Table4[[#This Row],[Performance_Deviation]] &lt; 0, "Underperforming", "Outperforming")</f>
        <v>Outperforming</v>
      </c>
      <c r="N127">
        <f>IF(Table4[[#This Row],[Performance_Ratio]] &lt; 0.85, Table4[[#This Row],[Performance_Deviation]] * 50 / 1000, 0)</f>
        <v>0</v>
      </c>
    </row>
    <row r="128" spans="1:14" x14ac:dyDescent="0.3">
      <c r="A128" s="4" t="s">
        <v>6</v>
      </c>
      <c r="B128" s="3">
        <v>45297.25</v>
      </c>
      <c r="C128" s="4">
        <v>0</v>
      </c>
      <c r="D128" s="4">
        <v>0</v>
      </c>
      <c r="E128" s="4">
        <v>0</v>
      </c>
      <c r="F128" s="4">
        <v>64.243826514097407</v>
      </c>
      <c r="G128" s="4" t="str">
        <f t="shared" si="2"/>
        <v>OK</v>
      </c>
      <c r="H128" s="4" t="str">
        <f t="shared" si="3"/>
        <v>ZERO</v>
      </c>
      <c r="I128">
        <v>0</v>
      </c>
      <c r="J128">
        <f>IFERROR(Table4[[#This Row],[energy_kwh]]/Table4[[#This Row],[expected_kwh]],0)</f>
        <v>0</v>
      </c>
      <c r="K128" t="str">
        <f>IF(Table4[[#This Row],[Performance_Ratio]] &lt; 0.85, "Underperforming", "Performing")</f>
        <v>Underperforming</v>
      </c>
      <c r="L128">
        <f>Table4[[#This Row],[energy_kwh]] - Table4[[#This Row],[expected_kwh]]</f>
        <v>0</v>
      </c>
      <c r="M128" t="str">
        <f>IF(Table4[[#This Row],[Performance_Deviation]] &lt; 0, "Underperforming", "Outperforming")</f>
        <v>Outperforming</v>
      </c>
      <c r="N128">
        <f>IF(Table4[[#This Row],[Performance_Ratio]] &lt; 0.85, Table4[[#This Row],[Performance_Deviation]] * 50 / 1000, 0)</f>
        <v>0</v>
      </c>
    </row>
    <row r="129" spans="1:14" x14ac:dyDescent="0.3">
      <c r="A129" s="6" t="s">
        <v>6</v>
      </c>
      <c r="B129" s="5">
        <v>45297.291666666664</v>
      </c>
      <c r="C129" s="6">
        <v>95.870549279542701</v>
      </c>
      <c r="D129" s="6">
        <v>91.554610999614994</v>
      </c>
      <c r="E129" s="6">
        <v>91.554610999614994</v>
      </c>
      <c r="F129" s="6">
        <v>87.8119020870311</v>
      </c>
      <c r="G129" s="6" t="str">
        <f t="shared" si="2"/>
        <v>OK</v>
      </c>
      <c r="H129" s="6" t="str">
        <f t="shared" si="3"/>
        <v>NON-ZERO</v>
      </c>
      <c r="I129">
        <v>103.527618041008</v>
      </c>
      <c r="J129">
        <f>IFERROR(Table4[[#This Row],[energy_kwh]]/Table4[[#This Row],[expected_kwh]],0)</f>
        <v>0.88434963280377599</v>
      </c>
      <c r="K129" t="str">
        <f>IF(Table4[[#This Row],[Performance_Ratio]] &lt; 0.85, "Underperforming", "Performing")</f>
        <v>Performing</v>
      </c>
      <c r="L129">
        <f>Table4[[#This Row],[energy_kwh]] - Table4[[#This Row],[expected_kwh]]</f>
        <v>-11.973007041393004</v>
      </c>
      <c r="M129" t="str">
        <f>IF(Table4[[#This Row],[Performance_Deviation]] &lt; 0, "Underperforming", "Outperforming")</f>
        <v>Underperforming</v>
      </c>
      <c r="N129">
        <f>IF(Table4[[#This Row],[Performance_Ratio]] &lt; 0.85, Table4[[#This Row],[Performance_Deviation]] * 50 / 1000, 0)</f>
        <v>0</v>
      </c>
    </row>
    <row r="130" spans="1:14" x14ac:dyDescent="0.3">
      <c r="A130" s="4" t="s">
        <v>6</v>
      </c>
      <c r="B130" s="3">
        <v>45297.333333333336</v>
      </c>
      <c r="C130" s="4">
        <v>192.80188186842699</v>
      </c>
      <c r="D130" s="4">
        <v>184.122250546282</v>
      </c>
      <c r="E130" s="4">
        <v>184.122250546282</v>
      </c>
      <c r="F130" s="4">
        <v>66.656502517090502</v>
      </c>
      <c r="G130" s="4" t="str">
        <f t="shared" ref="G130:G193" si="4">IF(D130 &gt; C130, "ERROR", "OK")</f>
        <v>OK</v>
      </c>
      <c r="H130" s="4" t="str">
        <f t="shared" ref="H130:H193" si="5">IF(E130=0,"ZERO","NON-ZERO")</f>
        <v>NON-ZERO</v>
      </c>
      <c r="I130">
        <v>199.99999999999901</v>
      </c>
      <c r="J130">
        <f>IFERROR(Table4[[#This Row],[energy_kwh]]/Table4[[#This Row],[expected_kwh]],0)</f>
        <v>0.92061125273141464</v>
      </c>
      <c r="K130" t="str">
        <f>IF(Table4[[#This Row],[Performance_Ratio]] &lt; 0.85, "Underperforming", "Performing")</f>
        <v>Performing</v>
      </c>
      <c r="L130">
        <f>Table4[[#This Row],[energy_kwh]] - Table4[[#This Row],[expected_kwh]]</f>
        <v>-15.877749453717001</v>
      </c>
      <c r="M130" t="str">
        <f>IF(Table4[[#This Row],[Performance_Deviation]] &lt; 0, "Underperforming", "Outperforming")</f>
        <v>Underperforming</v>
      </c>
      <c r="N130">
        <f>IF(Table4[[#This Row],[Performance_Ratio]] &lt; 0.85, Table4[[#This Row],[Performance_Deviation]] * 50 / 1000, 0)</f>
        <v>0</v>
      </c>
    </row>
    <row r="131" spans="1:14" x14ac:dyDescent="0.3">
      <c r="A131" s="6" t="s">
        <v>6</v>
      </c>
      <c r="B131" s="5">
        <v>45297.375</v>
      </c>
      <c r="C131" s="6">
        <v>225.71962630360699</v>
      </c>
      <c r="D131" s="6">
        <v>215.558090951868</v>
      </c>
      <c r="E131" s="6">
        <v>215.558090951868</v>
      </c>
      <c r="F131" s="6">
        <v>31.0305110696778</v>
      </c>
      <c r="G131" s="6" t="str">
        <f t="shared" si="4"/>
        <v>OK</v>
      </c>
      <c r="H131" s="6" t="str">
        <f t="shared" si="5"/>
        <v>NON-ZERO</v>
      </c>
      <c r="I131">
        <v>282.84271247461902</v>
      </c>
      <c r="J131">
        <f>IFERROR(Table4[[#This Row],[energy_kwh]]/Table4[[#This Row],[expected_kwh]],0)</f>
        <v>0.76211293925846213</v>
      </c>
      <c r="K131" t="str">
        <f>IF(Table4[[#This Row],[Performance_Ratio]] &lt; 0.85, "Underperforming", "Performing")</f>
        <v>Underperforming</v>
      </c>
      <c r="L131">
        <f>Table4[[#This Row],[energy_kwh]] - Table4[[#This Row],[expected_kwh]]</f>
        <v>-67.284621522751024</v>
      </c>
      <c r="M131" t="str">
        <f>IF(Table4[[#This Row],[Performance_Deviation]] &lt; 0, "Underperforming", "Outperforming")</f>
        <v>Underperforming</v>
      </c>
      <c r="N131">
        <f>IF(Table4[[#This Row],[Performance_Ratio]] &lt; 0.85, Table4[[#This Row],[Performance_Deviation]] * 50 / 1000, 0)</f>
        <v>-3.3642310761375511</v>
      </c>
    </row>
    <row r="132" spans="1:14" x14ac:dyDescent="0.3">
      <c r="A132" s="4" t="s">
        <v>6</v>
      </c>
      <c r="B132" s="3">
        <v>45297.416666666664</v>
      </c>
      <c r="C132" s="4">
        <v>328.73275463352098</v>
      </c>
      <c r="D132" s="4">
        <v>313.933733555088</v>
      </c>
      <c r="E132" s="4">
        <v>313.933733555088</v>
      </c>
      <c r="F132" s="4">
        <v>93.502443146410698</v>
      </c>
      <c r="G132" s="4" t="str">
        <f t="shared" si="4"/>
        <v>OK</v>
      </c>
      <c r="H132" s="4" t="str">
        <f t="shared" si="5"/>
        <v>NON-ZERO</v>
      </c>
      <c r="I132">
        <v>346.41016151377499</v>
      </c>
      <c r="J132">
        <f>IFERROR(Table4[[#This Row],[energy_kwh]]/Table4[[#This Row],[expected_kwh]],0)</f>
        <v>0.90624862787867277</v>
      </c>
      <c r="K132" t="str">
        <f>IF(Table4[[#This Row],[Performance_Ratio]] &lt; 0.85, "Underperforming", "Performing")</f>
        <v>Performing</v>
      </c>
      <c r="L132">
        <f>Table4[[#This Row],[energy_kwh]] - Table4[[#This Row],[expected_kwh]]</f>
        <v>-32.476427958686997</v>
      </c>
      <c r="M132" t="str">
        <f>IF(Table4[[#This Row],[Performance_Deviation]] &lt; 0, "Underperforming", "Outperforming")</f>
        <v>Underperforming</v>
      </c>
      <c r="N132">
        <f>IF(Table4[[#This Row],[Performance_Ratio]] &lt; 0.85, Table4[[#This Row],[Performance_Deviation]] * 50 / 1000, 0)</f>
        <v>0</v>
      </c>
    </row>
    <row r="133" spans="1:14" x14ac:dyDescent="0.3">
      <c r="A133" s="6" t="s">
        <v>6</v>
      </c>
      <c r="B133" s="5">
        <v>45297.458333333336</v>
      </c>
      <c r="C133" s="6">
        <v>388.59133402658</v>
      </c>
      <c r="D133" s="6">
        <v>371.09757576215998</v>
      </c>
      <c r="E133" s="6">
        <v>371.09757576215998</v>
      </c>
      <c r="F133" s="6">
        <v>67.505064073754397</v>
      </c>
      <c r="G133" s="6" t="str">
        <f t="shared" si="4"/>
        <v>OK</v>
      </c>
      <c r="H133" s="6" t="str">
        <f t="shared" si="5"/>
        <v>NON-ZERO</v>
      </c>
      <c r="I133">
        <v>386.37033051562702</v>
      </c>
      <c r="J133">
        <f>IFERROR(Table4[[#This Row],[energy_kwh]]/Table4[[#This Row],[expected_kwh]],0)</f>
        <v>0.96047120198622671</v>
      </c>
      <c r="K133" t="str">
        <f>IF(Table4[[#This Row],[Performance_Ratio]] &lt; 0.85, "Underperforming", "Performing")</f>
        <v>Performing</v>
      </c>
      <c r="L133">
        <f>Table4[[#This Row],[energy_kwh]] - Table4[[#This Row],[expected_kwh]]</f>
        <v>-15.272754753467041</v>
      </c>
      <c r="M133" t="str">
        <f>IF(Table4[[#This Row],[Performance_Deviation]] &lt; 0, "Underperforming", "Outperforming")</f>
        <v>Underperforming</v>
      </c>
      <c r="N133">
        <f>IF(Table4[[#This Row],[Performance_Ratio]] &lt; 0.85, Table4[[#This Row],[Performance_Deviation]] * 50 / 1000, 0)</f>
        <v>0</v>
      </c>
    </row>
    <row r="134" spans="1:14" x14ac:dyDescent="0.3">
      <c r="A134" s="4" t="s">
        <v>6</v>
      </c>
      <c r="B134" s="3">
        <v>45297.5</v>
      </c>
      <c r="C134" s="4">
        <v>376.558483416559</v>
      </c>
      <c r="D134" s="4">
        <v>359.60642477683803</v>
      </c>
      <c r="E134" s="4">
        <v>359.60642477683803</v>
      </c>
      <c r="F134" s="4">
        <v>31.392702013421999</v>
      </c>
      <c r="G134" s="4" t="str">
        <f t="shared" si="4"/>
        <v>OK</v>
      </c>
      <c r="H134" s="4" t="str">
        <f t="shared" si="5"/>
        <v>NON-ZERO</v>
      </c>
      <c r="I134">
        <v>400</v>
      </c>
      <c r="J134">
        <f>IFERROR(Table4[[#This Row],[energy_kwh]]/Table4[[#This Row],[expected_kwh]],0)</f>
        <v>0.89901606194209505</v>
      </c>
      <c r="K134" t="str">
        <f>IF(Table4[[#This Row],[Performance_Ratio]] &lt; 0.85, "Underperforming", "Performing")</f>
        <v>Performing</v>
      </c>
      <c r="L134">
        <f>Table4[[#This Row],[energy_kwh]] - Table4[[#This Row],[expected_kwh]]</f>
        <v>-40.393575223161974</v>
      </c>
      <c r="M134" t="str">
        <f>IF(Table4[[#This Row],[Performance_Deviation]] &lt; 0, "Underperforming", "Outperforming")</f>
        <v>Underperforming</v>
      </c>
      <c r="N134">
        <f>IF(Table4[[#This Row],[Performance_Ratio]] &lt; 0.85, Table4[[#This Row],[Performance_Deviation]] * 50 / 1000, 0)</f>
        <v>0</v>
      </c>
    </row>
    <row r="135" spans="1:14" x14ac:dyDescent="0.3">
      <c r="A135" s="6" t="s">
        <v>6</v>
      </c>
      <c r="B135" s="5">
        <v>45297.541666666664</v>
      </c>
      <c r="C135" s="6">
        <v>365.01515713147103</v>
      </c>
      <c r="D135" s="6">
        <v>348.58276051690802</v>
      </c>
      <c r="E135" s="6">
        <v>348.58276051690802</v>
      </c>
      <c r="F135" s="6">
        <v>33.641006329935799</v>
      </c>
      <c r="G135" s="6" t="str">
        <f t="shared" si="4"/>
        <v>OK</v>
      </c>
      <c r="H135" s="6" t="str">
        <f t="shared" si="5"/>
        <v>NON-ZERO</v>
      </c>
      <c r="I135">
        <v>386.37033051562702</v>
      </c>
      <c r="J135">
        <f>IFERROR(Table4[[#This Row],[energy_kwh]]/Table4[[#This Row],[expected_kwh]],0)</f>
        <v>0.90219857216186883</v>
      </c>
      <c r="K135" t="str">
        <f>IF(Table4[[#This Row],[Performance_Ratio]] &lt; 0.85, "Underperforming", "Performing")</f>
        <v>Performing</v>
      </c>
      <c r="L135">
        <f>Table4[[#This Row],[energy_kwh]] - Table4[[#This Row],[expected_kwh]]</f>
        <v>-37.787569998718993</v>
      </c>
      <c r="M135" t="str">
        <f>IF(Table4[[#This Row],[Performance_Deviation]] &lt; 0, "Underperforming", "Outperforming")</f>
        <v>Underperforming</v>
      </c>
      <c r="N135">
        <f>IF(Table4[[#This Row],[Performance_Ratio]] &lt; 0.85, Table4[[#This Row],[Performance_Deviation]] * 50 / 1000, 0)</f>
        <v>0</v>
      </c>
    </row>
    <row r="136" spans="1:14" x14ac:dyDescent="0.3">
      <c r="A136" s="4" t="s">
        <v>6</v>
      </c>
      <c r="B136" s="3">
        <v>45297.583333333336</v>
      </c>
      <c r="C136" s="4">
        <v>347.21236507594801</v>
      </c>
      <c r="D136" s="4">
        <v>331.58142159062299</v>
      </c>
      <c r="E136" s="4">
        <v>331.58142159062299</v>
      </c>
      <c r="F136" s="4">
        <v>32.923990340122202</v>
      </c>
      <c r="G136" s="4" t="str">
        <f t="shared" si="4"/>
        <v>OK</v>
      </c>
      <c r="H136" s="4" t="str">
        <f t="shared" si="5"/>
        <v>NON-ZERO</v>
      </c>
      <c r="I136">
        <v>346.41016151377499</v>
      </c>
      <c r="J136">
        <f>IFERROR(Table4[[#This Row],[energy_kwh]]/Table4[[#This Row],[expected_kwh]],0)</f>
        <v>0.95719311506812621</v>
      </c>
      <c r="K136" t="str">
        <f>IF(Table4[[#This Row],[Performance_Ratio]] &lt; 0.85, "Underperforming", "Performing")</f>
        <v>Performing</v>
      </c>
      <c r="L136">
        <f>Table4[[#This Row],[energy_kwh]] - Table4[[#This Row],[expected_kwh]]</f>
        <v>-14.828739923152</v>
      </c>
      <c r="M136" t="str">
        <f>IF(Table4[[#This Row],[Performance_Deviation]] &lt; 0, "Underperforming", "Outperforming")</f>
        <v>Underperforming</v>
      </c>
      <c r="N136">
        <f>IF(Table4[[#This Row],[Performance_Ratio]] &lt; 0.85, Table4[[#This Row],[Performance_Deviation]] * 50 / 1000, 0)</f>
        <v>0</v>
      </c>
    </row>
    <row r="137" spans="1:14" x14ac:dyDescent="0.3">
      <c r="A137" s="6" t="s">
        <v>6</v>
      </c>
      <c r="B137" s="5">
        <v>45297.625</v>
      </c>
      <c r="C137" s="6">
        <v>262.94516278795697</v>
      </c>
      <c r="D137" s="6">
        <v>251.10779352151701</v>
      </c>
      <c r="E137" s="6">
        <v>251.10779352151701</v>
      </c>
      <c r="F137" s="6">
        <v>32.670129730412299</v>
      </c>
      <c r="G137" s="6" t="str">
        <f t="shared" si="4"/>
        <v>OK</v>
      </c>
      <c r="H137" s="6" t="str">
        <f t="shared" si="5"/>
        <v>NON-ZERO</v>
      </c>
      <c r="I137">
        <v>282.84271247461902</v>
      </c>
      <c r="J137">
        <f>IFERROR(Table4[[#This Row],[energy_kwh]]/Table4[[#This Row],[expected_kwh]],0)</f>
        <v>0.88780011803928038</v>
      </c>
      <c r="K137" t="str">
        <f>IF(Table4[[#This Row],[Performance_Ratio]] &lt; 0.85, "Underperforming", "Performing")</f>
        <v>Performing</v>
      </c>
      <c r="L137">
        <f>Table4[[#This Row],[energy_kwh]] - Table4[[#This Row],[expected_kwh]]</f>
        <v>-31.73491895310201</v>
      </c>
      <c r="M137" t="str">
        <f>IF(Table4[[#This Row],[Performance_Deviation]] &lt; 0, "Underperforming", "Outperforming")</f>
        <v>Underperforming</v>
      </c>
      <c r="N137">
        <f>IF(Table4[[#This Row],[Performance_Ratio]] &lt; 0.85, Table4[[#This Row],[Performance_Deviation]] * 50 / 1000, 0)</f>
        <v>0</v>
      </c>
    </row>
    <row r="138" spans="1:14" x14ac:dyDescent="0.3">
      <c r="A138" s="4" t="s">
        <v>6</v>
      </c>
      <c r="B138" s="3">
        <v>45297.666666666664</v>
      </c>
      <c r="C138" s="4">
        <v>178.58301297396099</v>
      </c>
      <c r="D138" s="4">
        <v>170.54349231165801</v>
      </c>
      <c r="E138" s="4">
        <v>170.54349231165801</v>
      </c>
      <c r="F138" s="4">
        <v>54.558407602454402</v>
      </c>
      <c r="G138" s="4" t="str">
        <f t="shared" si="4"/>
        <v>OK</v>
      </c>
      <c r="H138" s="4" t="str">
        <f t="shared" si="5"/>
        <v>NON-ZERO</v>
      </c>
      <c r="I138">
        <v>199.99999999999901</v>
      </c>
      <c r="J138">
        <f>IFERROR(Table4[[#This Row],[energy_kwh]]/Table4[[#This Row],[expected_kwh]],0)</f>
        <v>0.85271746155829431</v>
      </c>
      <c r="K138" t="str">
        <f>IF(Table4[[#This Row],[Performance_Ratio]] &lt; 0.85, "Underperforming", "Performing")</f>
        <v>Performing</v>
      </c>
      <c r="L138">
        <f>Table4[[#This Row],[energy_kwh]] - Table4[[#This Row],[expected_kwh]]</f>
        <v>-29.456507688340992</v>
      </c>
      <c r="M138" t="str">
        <f>IF(Table4[[#This Row],[Performance_Deviation]] &lt; 0, "Underperforming", "Outperforming")</f>
        <v>Underperforming</v>
      </c>
      <c r="N138">
        <f>IF(Table4[[#This Row],[Performance_Ratio]] &lt; 0.85, Table4[[#This Row],[Performance_Deviation]] * 50 / 1000, 0)</f>
        <v>0</v>
      </c>
    </row>
    <row r="139" spans="1:14" x14ac:dyDescent="0.3">
      <c r="A139" s="6" t="s">
        <v>6</v>
      </c>
      <c r="B139" s="5">
        <v>45297.708333333336</v>
      </c>
      <c r="C139" s="6">
        <v>94.300016697248907</v>
      </c>
      <c r="D139" s="6">
        <v>90.054781273857799</v>
      </c>
      <c r="E139" s="6">
        <v>90.054781273857799</v>
      </c>
      <c r="F139" s="6">
        <v>57.756295314114197</v>
      </c>
      <c r="G139" s="6" t="str">
        <f t="shared" si="4"/>
        <v>OK</v>
      </c>
      <c r="H139" s="6" t="str">
        <f t="shared" si="5"/>
        <v>NON-ZERO</v>
      </c>
      <c r="I139">
        <v>103.527618041008</v>
      </c>
      <c r="J139">
        <f>IFERROR(Table4[[#This Row],[energy_kwh]]/Table4[[#This Row],[expected_kwh]],0)</f>
        <v>0.86986239013232669</v>
      </c>
      <c r="K139" t="str">
        <f>IF(Table4[[#This Row],[Performance_Ratio]] &lt; 0.85, "Underperforming", "Performing")</f>
        <v>Performing</v>
      </c>
      <c r="L139">
        <f>Table4[[#This Row],[energy_kwh]] - Table4[[#This Row],[expected_kwh]]</f>
        <v>-13.472836767150199</v>
      </c>
      <c r="M139" t="str">
        <f>IF(Table4[[#This Row],[Performance_Deviation]] &lt; 0, "Underperforming", "Outperforming")</f>
        <v>Underperforming</v>
      </c>
      <c r="N139">
        <f>IF(Table4[[#This Row],[Performance_Ratio]] &lt; 0.85, Table4[[#This Row],[Performance_Deviation]] * 50 / 1000, 0)</f>
        <v>0</v>
      </c>
    </row>
    <row r="140" spans="1:14" x14ac:dyDescent="0.3">
      <c r="A140" s="4" t="s">
        <v>6</v>
      </c>
      <c r="B140" s="3">
        <v>45297.75</v>
      </c>
      <c r="C140" s="7">
        <v>4.6186992364026701E-14</v>
      </c>
      <c r="D140" s="7">
        <v>4.4107728086554102E-14</v>
      </c>
      <c r="E140" s="7">
        <v>4.4107728086554102E-14</v>
      </c>
      <c r="F140" s="4">
        <v>26.131927396165299</v>
      </c>
      <c r="G140" s="4" t="str">
        <f t="shared" si="4"/>
        <v>OK</v>
      </c>
      <c r="H140" s="4" t="str">
        <f t="shared" si="5"/>
        <v>NON-ZERO</v>
      </c>
      <c r="I140" s="2">
        <v>4.8985871965894097E-14</v>
      </c>
      <c r="J140">
        <f>IFERROR(Table4[[#This Row],[energy_kwh]]/Table4[[#This Row],[expected_kwh]],0)</f>
        <v>0.90041733088396692</v>
      </c>
      <c r="K140" t="str">
        <f>IF(Table4[[#This Row],[Performance_Ratio]] &lt; 0.85, "Underperforming", "Performing")</f>
        <v>Performing</v>
      </c>
      <c r="L140">
        <f>Table4[[#This Row],[energy_kwh]] - Table4[[#This Row],[expected_kwh]]</f>
        <v>-4.8781438793399949E-15</v>
      </c>
      <c r="M140" t="str">
        <f>IF(Table4[[#This Row],[Performance_Deviation]] &lt; 0, "Underperforming", "Outperforming")</f>
        <v>Underperforming</v>
      </c>
      <c r="N140">
        <f>IF(Table4[[#This Row],[Performance_Ratio]] &lt; 0.85, Table4[[#This Row],[Performance_Deviation]] * 50 / 1000, 0)</f>
        <v>0</v>
      </c>
    </row>
    <row r="141" spans="1:14" x14ac:dyDescent="0.3">
      <c r="A141" s="6" t="s">
        <v>6</v>
      </c>
      <c r="B141" s="5">
        <v>45297.791666666664</v>
      </c>
      <c r="C141" s="6">
        <v>0</v>
      </c>
      <c r="D141" s="6">
        <v>0</v>
      </c>
      <c r="E141" s="6">
        <v>0</v>
      </c>
      <c r="F141" s="6">
        <v>24.580846989114701</v>
      </c>
      <c r="G141" s="6" t="str">
        <f t="shared" si="4"/>
        <v>OK</v>
      </c>
      <c r="H141" s="6" t="str">
        <f t="shared" si="5"/>
        <v>ZERO</v>
      </c>
      <c r="I141">
        <v>0</v>
      </c>
      <c r="J141">
        <f>IFERROR(Table4[[#This Row],[energy_kwh]]/Table4[[#This Row],[expected_kwh]],0)</f>
        <v>0</v>
      </c>
      <c r="K141" t="str">
        <f>IF(Table4[[#This Row],[Performance_Ratio]] &lt; 0.85, "Underperforming", "Performing")</f>
        <v>Underperforming</v>
      </c>
      <c r="L141">
        <f>Table4[[#This Row],[energy_kwh]] - Table4[[#This Row],[expected_kwh]]</f>
        <v>0</v>
      </c>
      <c r="M141" t="str">
        <f>IF(Table4[[#This Row],[Performance_Deviation]] &lt; 0, "Underperforming", "Outperforming")</f>
        <v>Outperforming</v>
      </c>
      <c r="N141">
        <f>IF(Table4[[#This Row],[Performance_Ratio]] &lt; 0.85, Table4[[#This Row],[Performance_Deviation]] * 50 / 1000, 0)</f>
        <v>0</v>
      </c>
    </row>
    <row r="142" spans="1:14" x14ac:dyDescent="0.3">
      <c r="A142" s="4" t="s">
        <v>6</v>
      </c>
      <c r="B142" s="3">
        <v>45297.833333333336</v>
      </c>
      <c r="C142" s="4">
        <v>0</v>
      </c>
      <c r="D142" s="4">
        <v>0</v>
      </c>
      <c r="E142" s="4">
        <v>0</v>
      </c>
      <c r="F142" s="4">
        <v>35.701199250253197</v>
      </c>
      <c r="G142" s="4" t="str">
        <f t="shared" si="4"/>
        <v>OK</v>
      </c>
      <c r="H142" s="4" t="str">
        <f t="shared" si="5"/>
        <v>ZERO</v>
      </c>
      <c r="I142">
        <v>0</v>
      </c>
      <c r="J142">
        <f>IFERROR(Table4[[#This Row],[energy_kwh]]/Table4[[#This Row],[expected_kwh]],0)</f>
        <v>0</v>
      </c>
      <c r="K142" t="str">
        <f>IF(Table4[[#This Row],[Performance_Ratio]] &lt; 0.85, "Underperforming", "Performing")</f>
        <v>Underperforming</v>
      </c>
      <c r="L142">
        <f>Table4[[#This Row],[energy_kwh]] - Table4[[#This Row],[expected_kwh]]</f>
        <v>0</v>
      </c>
      <c r="M142" t="str">
        <f>IF(Table4[[#This Row],[Performance_Deviation]] &lt; 0, "Underperforming", "Outperforming")</f>
        <v>Outperforming</v>
      </c>
      <c r="N142">
        <f>IF(Table4[[#This Row],[Performance_Ratio]] &lt; 0.85, Table4[[#This Row],[Performance_Deviation]] * 50 / 1000, 0)</f>
        <v>0</v>
      </c>
    </row>
    <row r="143" spans="1:14" x14ac:dyDescent="0.3">
      <c r="A143" s="6" t="s">
        <v>6</v>
      </c>
      <c r="B143" s="5">
        <v>45297.875</v>
      </c>
      <c r="C143" s="6">
        <v>0</v>
      </c>
      <c r="D143" s="6">
        <v>0</v>
      </c>
      <c r="E143" s="6">
        <v>0</v>
      </c>
      <c r="F143" s="6">
        <v>66.369107864772104</v>
      </c>
      <c r="G143" s="6" t="str">
        <f t="shared" si="4"/>
        <v>OK</v>
      </c>
      <c r="H143" s="6" t="str">
        <f t="shared" si="5"/>
        <v>ZERO</v>
      </c>
      <c r="I143">
        <v>0</v>
      </c>
      <c r="J143">
        <f>IFERROR(Table4[[#This Row],[energy_kwh]]/Table4[[#This Row],[expected_kwh]],0)</f>
        <v>0</v>
      </c>
      <c r="K143" t="str">
        <f>IF(Table4[[#This Row],[Performance_Ratio]] &lt; 0.85, "Underperforming", "Performing")</f>
        <v>Underperforming</v>
      </c>
      <c r="L143">
        <f>Table4[[#This Row],[energy_kwh]] - Table4[[#This Row],[expected_kwh]]</f>
        <v>0</v>
      </c>
      <c r="M143" t="str">
        <f>IF(Table4[[#This Row],[Performance_Deviation]] &lt; 0, "Underperforming", "Outperforming")</f>
        <v>Outperforming</v>
      </c>
      <c r="N143">
        <f>IF(Table4[[#This Row],[Performance_Ratio]] &lt; 0.85, Table4[[#This Row],[Performance_Deviation]] * 50 / 1000, 0)</f>
        <v>0</v>
      </c>
    </row>
    <row r="144" spans="1:14" x14ac:dyDescent="0.3">
      <c r="A144" s="4" t="s">
        <v>6</v>
      </c>
      <c r="B144" s="3">
        <v>45297.916666666664</v>
      </c>
      <c r="C144" s="4">
        <v>0</v>
      </c>
      <c r="D144" s="4">
        <v>0</v>
      </c>
      <c r="E144" s="4">
        <v>0</v>
      </c>
      <c r="F144" s="4">
        <v>38.932770825801498</v>
      </c>
      <c r="G144" s="4" t="str">
        <f t="shared" si="4"/>
        <v>OK</v>
      </c>
      <c r="H144" s="4" t="str">
        <f t="shared" si="5"/>
        <v>ZERO</v>
      </c>
      <c r="I144">
        <v>0</v>
      </c>
      <c r="J144">
        <f>IFERROR(Table4[[#This Row],[energy_kwh]]/Table4[[#This Row],[expected_kwh]],0)</f>
        <v>0</v>
      </c>
      <c r="K144" t="str">
        <f>IF(Table4[[#This Row],[Performance_Ratio]] &lt; 0.85, "Underperforming", "Performing")</f>
        <v>Underperforming</v>
      </c>
      <c r="L144">
        <f>Table4[[#This Row],[energy_kwh]] - Table4[[#This Row],[expected_kwh]]</f>
        <v>0</v>
      </c>
      <c r="M144" t="str">
        <f>IF(Table4[[#This Row],[Performance_Deviation]] &lt; 0, "Underperforming", "Outperforming")</f>
        <v>Outperforming</v>
      </c>
      <c r="N144">
        <f>IF(Table4[[#This Row],[Performance_Ratio]] &lt; 0.85, Table4[[#This Row],[Performance_Deviation]] * 50 / 1000, 0)</f>
        <v>0</v>
      </c>
    </row>
    <row r="145" spans="1:14" x14ac:dyDescent="0.3">
      <c r="A145" s="6" t="s">
        <v>6</v>
      </c>
      <c r="B145" s="5">
        <v>45297.958333333336</v>
      </c>
      <c r="C145" s="6">
        <v>0</v>
      </c>
      <c r="D145" s="6">
        <v>0</v>
      </c>
      <c r="E145" s="6">
        <v>0</v>
      </c>
      <c r="F145" s="6">
        <v>58.3758081586749</v>
      </c>
      <c r="G145" s="6" t="str">
        <f t="shared" si="4"/>
        <v>OK</v>
      </c>
      <c r="H145" s="6" t="str">
        <f t="shared" si="5"/>
        <v>ZERO</v>
      </c>
      <c r="I145">
        <v>0</v>
      </c>
      <c r="J145">
        <f>IFERROR(Table4[[#This Row],[energy_kwh]]/Table4[[#This Row],[expected_kwh]],0)</f>
        <v>0</v>
      </c>
      <c r="K145" t="str">
        <f>IF(Table4[[#This Row],[Performance_Ratio]] &lt; 0.85, "Underperforming", "Performing")</f>
        <v>Underperforming</v>
      </c>
      <c r="L145">
        <f>Table4[[#This Row],[energy_kwh]] - Table4[[#This Row],[expected_kwh]]</f>
        <v>0</v>
      </c>
      <c r="M145" t="str">
        <f>IF(Table4[[#This Row],[Performance_Deviation]] &lt; 0, "Underperforming", "Outperforming")</f>
        <v>Outperforming</v>
      </c>
      <c r="N145">
        <f>IF(Table4[[#This Row],[Performance_Ratio]] &lt; 0.85, Table4[[#This Row],[Performance_Deviation]] * 50 / 1000, 0)</f>
        <v>0</v>
      </c>
    </row>
    <row r="146" spans="1:14" x14ac:dyDescent="0.3">
      <c r="A146" s="4" t="s">
        <v>6</v>
      </c>
      <c r="B146" s="3">
        <v>45298</v>
      </c>
      <c r="C146" s="4">
        <v>0</v>
      </c>
      <c r="D146" s="4">
        <v>0</v>
      </c>
      <c r="E146" s="4">
        <v>0</v>
      </c>
      <c r="F146" s="4">
        <v>38.185287772604703</v>
      </c>
      <c r="G146" s="4" t="str">
        <f t="shared" si="4"/>
        <v>OK</v>
      </c>
      <c r="H146" s="4" t="str">
        <f t="shared" si="5"/>
        <v>ZERO</v>
      </c>
      <c r="I146">
        <v>0</v>
      </c>
      <c r="J146">
        <f>IFERROR(Table4[[#This Row],[energy_kwh]]/Table4[[#This Row],[expected_kwh]],0)</f>
        <v>0</v>
      </c>
      <c r="K146" t="str">
        <f>IF(Table4[[#This Row],[Performance_Ratio]] &lt; 0.85, "Underperforming", "Performing")</f>
        <v>Underperforming</v>
      </c>
      <c r="L146">
        <f>Table4[[#This Row],[energy_kwh]] - Table4[[#This Row],[expected_kwh]]</f>
        <v>0</v>
      </c>
      <c r="M146" t="str">
        <f>IF(Table4[[#This Row],[Performance_Deviation]] &lt; 0, "Underperforming", "Outperforming")</f>
        <v>Outperforming</v>
      </c>
      <c r="N146">
        <f>IF(Table4[[#This Row],[Performance_Ratio]] &lt; 0.85, Table4[[#This Row],[Performance_Deviation]] * 50 / 1000, 0)</f>
        <v>0</v>
      </c>
    </row>
    <row r="147" spans="1:14" x14ac:dyDescent="0.3">
      <c r="A147" s="6" t="s">
        <v>6</v>
      </c>
      <c r="B147" s="5">
        <v>45298.041666666664</v>
      </c>
      <c r="C147" s="6">
        <v>0</v>
      </c>
      <c r="D147" s="6">
        <v>0</v>
      </c>
      <c r="E147" s="6">
        <v>0</v>
      </c>
      <c r="F147" s="6">
        <v>21.505339833329401</v>
      </c>
      <c r="G147" s="6" t="str">
        <f t="shared" si="4"/>
        <v>OK</v>
      </c>
      <c r="H147" s="6" t="str">
        <f t="shared" si="5"/>
        <v>ZERO</v>
      </c>
      <c r="I147">
        <v>0</v>
      </c>
      <c r="J147">
        <f>IFERROR(Table4[[#This Row],[energy_kwh]]/Table4[[#This Row],[expected_kwh]],0)</f>
        <v>0</v>
      </c>
      <c r="K147" t="str">
        <f>IF(Table4[[#This Row],[Performance_Ratio]] &lt; 0.85, "Underperforming", "Performing")</f>
        <v>Underperforming</v>
      </c>
      <c r="L147">
        <f>Table4[[#This Row],[energy_kwh]] - Table4[[#This Row],[expected_kwh]]</f>
        <v>0</v>
      </c>
      <c r="M147" t="str">
        <f>IF(Table4[[#This Row],[Performance_Deviation]] &lt; 0, "Underperforming", "Outperforming")</f>
        <v>Outperforming</v>
      </c>
      <c r="N147">
        <f>IF(Table4[[#This Row],[Performance_Ratio]] &lt; 0.85, Table4[[#This Row],[Performance_Deviation]] * 50 / 1000, 0)</f>
        <v>0</v>
      </c>
    </row>
    <row r="148" spans="1:14" x14ac:dyDescent="0.3">
      <c r="A148" s="4" t="s">
        <v>6</v>
      </c>
      <c r="B148" s="3">
        <v>45298.083333333336</v>
      </c>
      <c r="C148" s="4">
        <v>0</v>
      </c>
      <c r="D148" s="4">
        <v>0</v>
      </c>
      <c r="E148" s="4">
        <v>0</v>
      </c>
      <c r="F148" s="4">
        <v>86.789546055492096</v>
      </c>
      <c r="G148" s="4" t="str">
        <f t="shared" si="4"/>
        <v>OK</v>
      </c>
      <c r="H148" s="4" t="str">
        <f t="shared" si="5"/>
        <v>ZERO</v>
      </c>
      <c r="I148">
        <v>0</v>
      </c>
      <c r="J148">
        <f>IFERROR(Table4[[#This Row],[energy_kwh]]/Table4[[#This Row],[expected_kwh]],0)</f>
        <v>0</v>
      </c>
      <c r="K148" t="str">
        <f>IF(Table4[[#This Row],[Performance_Ratio]] &lt; 0.85, "Underperforming", "Performing")</f>
        <v>Underperforming</v>
      </c>
      <c r="L148">
        <f>Table4[[#This Row],[energy_kwh]] - Table4[[#This Row],[expected_kwh]]</f>
        <v>0</v>
      </c>
      <c r="M148" t="str">
        <f>IF(Table4[[#This Row],[Performance_Deviation]] &lt; 0, "Underperforming", "Outperforming")</f>
        <v>Outperforming</v>
      </c>
      <c r="N148">
        <f>IF(Table4[[#This Row],[Performance_Ratio]] &lt; 0.85, Table4[[#This Row],[Performance_Deviation]] * 50 / 1000, 0)</f>
        <v>0</v>
      </c>
    </row>
    <row r="149" spans="1:14" x14ac:dyDescent="0.3">
      <c r="A149" s="6" t="s">
        <v>6</v>
      </c>
      <c r="B149" s="5">
        <v>45298.125</v>
      </c>
      <c r="C149" s="6">
        <v>0</v>
      </c>
      <c r="D149" s="6">
        <v>0</v>
      </c>
      <c r="E149" s="6">
        <v>0</v>
      </c>
      <c r="F149" s="6">
        <v>79.187842895550304</v>
      </c>
      <c r="G149" s="6" t="str">
        <f t="shared" si="4"/>
        <v>OK</v>
      </c>
      <c r="H149" s="6" t="str">
        <f t="shared" si="5"/>
        <v>ZERO</v>
      </c>
      <c r="I149">
        <v>0</v>
      </c>
      <c r="J149">
        <f>IFERROR(Table4[[#This Row],[energy_kwh]]/Table4[[#This Row],[expected_kwh]],0)</f>
        <v>0</v>
      </c>
      <c r="K149" t="str">
        <f>IF(Table4[[#This Row],[Performance_Ratio]] &lt; 0.85, "Underperforming", "Performing")</f>
        <v>Underperforming</v>
      </c>
      <c r="L149">
        <f>Table4[[#This Row],[energy_kwh]] - Table4[[#This Row],[expected_kwh]]</f>
        <v>0</v>
      </c>
      <c r="M149" t="str">
        <f>IF(Table4[[#This Row],[Performance_Deviation]] &lt; 0, "Underperforming", "Outperforming")</f>
        <v>Outperforming</v>
      </c>
      <c r="N149">
        <f>IF(Table4[[#This Row],[Performance_Ratio]] &lt; 0.85, Table4[[#This Row],[Performance_Deviation]] * 50 / 1000, 0)</f>
        <v>0</v>
      </c>
    </row>
    <row r="150" spans="1:14" x14ac:dyDescent="0.3">
      <c r="A150" s="4" t="s">
        <v>6</v>
      </c>
      <c r="B150" s="3">
        <v>45298.166666666664</v>
      </c>
      <c r="C150" s="4">
        <v>0</v>
      </c>
      <c r="D150" s="4">
        <v>0</v>
      </c>
      <c r="E150" s="4">
        <v>0</v>
      </c>
      <c r="F150" s="4">
        <v>75.907960563824702</v>
      </c>
      <c r="G150" s="4" t="str">
        <f t="shared" si="4"/>
        <v>OK</v>
      </c>
      <c r="H150" s="4" t="str">
        <f t="shared" si="5"/>
        <v>ZERO</v>
      </c>
      <c r="I150">
        <v>0</v>
      </c>
      <c r="J150">
        <f>IFERROR(Table4[[#This Row],[energy_kwh]]/Table4[[#This Row],[expected_kwh]],0)</f>
        <v>0</v>
      </c>
      <c r="K150" t="str">
        <f>IF(Table4[[#This Row],[Performance_Ratio]] &lt; 0.85, "Underperforming", "Performing")</f>
        <v>Underperforming</v>
      </c>
      <c r="L150">
        <f>Table4[[#This Row],[energy_kwh]] - Table4[[#This Row],[expected_kwh]]</f>
        <v>0</v>
      </c>
      <c r="M150" t="str">
        <f>IF(Table4[[#This Row],[Performance_Deviation]] &lt; 0, "Underperforming", "Outperforming")</f>
        <v>Outperforming</v>
      </c>
      <c r="N150">
        <f>IF(Table4[[#This Row],[Performance_Ratio]] &lt; 0.85, Table4[[#This Row],[Performance_Deviation]] * 50 / 1000, 0)</f>
        <v>0</v>
      </c>
    </row>
    <row r="151" spans="1:14" x14ac:dyDescent="0.3">
      <c r="A151" s="6" t="s">
        <v>6</v>
      </c>
      <c r="B151" s="5">
        <v>45298.208333333336</v>
      </c>
      <c r="C151" s="6">
        <v>0</v>
      </c>
      <c r="D151" s="6">
        <v>0</v>
      </c>
      <c r="E151" s="6">
        <v>0</v>
      </c>
      <c r="F151" s="6">
        <v>41.283192934904299</v>
      </c>
      <c r="G151" s="6" t="str">
        <f t="shared" si="4"/>
        <v>OK</v>
      </c>
      <c r="H151" s="6" t="str">
        <f t="shared" si="5"/>
        <v>ZERO</v>
      </c>
      <c r="I151">
        <v>0</v>
      </c>
      <c r="J151">
        <f>IFERROR(Table4[[#This Row],[energy_kwh]]/Table4[[#This Row],[expected_kwh]],0)</f>
        <v>0</v>
      </c>
      <c r="K151" t="str">
        <f>IF(Table4[[#This Row],[Performance_Ratio]] &lt; 0.85, "Underperforming", "Performing")</f>
        <v>Underperforming</v>
      </c>
      <c r="L151">
        <f>Table4[[#This Row],[energy_kwh]] - Table4[[#This Row],[expected_kwh]]</f>
        <v>0</v>
      </c>
      <c r="M151" t="str">
        <f>IF(Table4[[#This Row],[Performance_Deviation]] &lt; 0, "Underperforming", "Outperforming")</f>
        <v>Outperforming</v>
      </c>
      <c r="N151">
        <f>IF(Table4[[#This Row],[Performance_Ratio]] &lt; 0.85, Table4[[#This Row],[Performance_Deviation]] * 50 / 1000, 0)</f>
        <v>0</v>
      </c>
    </row>
    <row r="152" spans="1:14" x14ac:dyDescent="0.3">
      <c r="A152" s="4" t="s">
        <v>6</v>
      </c>
      <c r="B152" s="3">
        <v>45298.25</v>
      </c>
      <c r="C152" s="4">
        <v>0</v>
      </c>
      <c r="D152" s="4">
        <v>0</v>
      </c>
      <c r="E152" s="4">
        <v>0</v>
      </c>
      <c r="F152" s="4">
        <v>93.988643659473396</v>
      </c>
      <c r="G152" s="4" t="str">
        <f t="shared" si="4"/>
        <v>OK</v>
      </c>
      <c r="H152" s="4" t="str">
        <f t="shared" si="5"/>
        <v>ZERO</v>
      </c>
      <c r="I152">
        <v>0</v>
      </c>
      <c r="J152">
        <f>IFERROR(Table4[[#This Row],[energy_kwh]]/Table4[[#This Row],[expected_kwh]],0)</f>
        <v>0</v>
      </c>
      <c r="K152" t="str">
        <f>IF(Table4[[#This Row],[Performance_Ratio]] &lt; 0.85, "Underperforming", "Performing")</f>
        <v>Underperforming</v>
      </c>
      <c r="L152">
        <f>Table4[[#This Row],[energy_kwh]] - Table4[[#This Row],[expected_kwh]]</f>
        <v>0</v>
      </c>
      <c r="M152" t="str">
        <f>IF(Table4[[#This Row],[Performance_Deviation]] &lt; 0, "Underperforming", "Outperforming")</f>
        <v>Outperforming</v>
      </c>
      <c r="N152">
        <f>IF(Table4[[#This Row],[Performance_Ratio]] &lt; 0.85, Table4[[#This Row],[Performance_Deviation]] * 50 / 1000, 0)</f>
        <v>0</v>
      </c>
    </row>
    <row r="153" spans="1:14" x14ac:dyDescent="0.3">
      <c r="A153" s="6" t="s">
        <v>6</v>
      </c>
      <c r="B153" s="5">
        <v>45298.291666666664</v>
      </c>
      <c r="C153" s="6">
        <v>88.860296136475796</v>
      </c>
      <c r="D153" s="6">
        <v>84.859948203317899</v>
      </c>
      <c r="E153" s="6">
        <v>84.859948203317899</v>
      </c>
      <c r="F153" s="6">
        <v>27.633685446530201</v>
      </c>
      <c r="G153" s="6" t="str">
        <f t="shared" si="4"/>
        <v>OK</v>
      </c>
      <c r="H153" s="6" t="str">
        <f t="shared" si="5"/>
        <v>NON-ZERO</v>
      </c>
      <c r="I153">
        <v>103.527618041008</v>
      </c>
      <c r="J153">
        <f>IFERROR(Table4[[#This Row],[energy_kwh]]/Table4[[#This Row],[expected_kwh]],0)</f>
        <v>0.81968415587137622</v>
      </c>
      <c r="K153" t="str">
        <f>IF(Table4[[#This Row],[Performance_Ratio]] &lt; 0.85, "Underperforming", "Performing")</f>
        <v>Underperforming</v>
      </c>
      <c r="L153">
        <f>Table4[[#This Row],[energy_kwh]] - Table4[[#This Row],[expected_kwh]]</f>
        <v>-18.667669837690099</v>
      </c>
      <c r="M153" t="str">
        <f>IF(Table4[[#This Row],[Performance_Deviation]] &lt; 0, "Underperforming", "Outperforming")</f>
        <v>Underperforming</v>
      </c>
      <c r="N153">
        <f>IF(Table4[[#This Row],[Performance_Ratio]] &lt; 0.85, Table4[[#This Row],[Performance_Deviation]] * 50 / 1000, 0)</f>
        <v>-0.93338349188450487</v>
      </c>
    </row>
    <row r="154" spans="1:14" x14ac:dyDescent="0.3">
      <c r="A154" s="4" t="s">
        <v>6</v>
      </c>
      <c r="B154" s="3">
        <v>45298.333333333336</v>
      </c>
      <c r="C154" s="4">
        <v>183.58646136036</v>
      </c>
      <c r="D154" s="4">
        <v>175.32169348100601</v>
      </c>
      <c r="E154" s="4">
        <v>175.32169348100601</v>
      </c>
      <c r="F154" s="4">
        <v>41.382137652038502</v>
      </c>
      <c r="G154" s="4" t="str">
        <f t="shared" si="4"/>
        <v>OK</v>
      </c>
      <c r="H154" s="4" t="str">
        <f t="shared" si="5"/>
        <v>NON-ZERO</v>
      </c>
      <c r="I154">
        <v>199.99999999999901</v>
      </c>
      <c r="J154">
        <f>IFERROR(Table4[[#This Row],[energy_kwh]]/Table4[[#This Row],[expected_kwh]],0)</f>
        <v>0.8766084674050344</v>
      </c>
      <c r="K154" t="str">
        <f>IF(Table4[[#This Row],[Performance_Ratio]] &lt; 0.85, "Underperforming", "Performing")</f>
        <v>Performing</v>
      </c>
      <c r="L154">
        <f>Table4[[#This Row],[energy_kwh]] - Table4[[#This Row],[expected_kwh]]</f>
        <v>-24.678306518992997</v>
      </c>
      <c r="M154" t="str">
        <f>IF(Table4[[#This Row],[Performance_Deviation]] &lt; 0, "Underperforming", "Outperforming")</f>
        <v>Underperforming</v>
      </c>
      <c r="N154">
        <f>IF(Table4[[#This Row],[Performance_Ratio]] &lt; 0.85, Table4[[#This Row],[Performance_Deviation]] * 50 / 1000, 0)</f>
        <v>0</v>
      </c>
    </row>
    <row r="155" spans="1:14" x14ac:dyDescent="0.3">
      <c r="A155" s="6" t="s">
        <v>6</v>
      </c>
      <c r="B155" s="5">
        <v>45298.375</v>
      </c>
      <c r="C155" s="6">
        <v>256.30654916407099</v>
      </c>
      <c r="D155" s="6">
        <v>244.768039629638</v>
      </c>
      <c r="E155" s="6">
        <v>244.768039629638</v>
      </c>
      <c r="F155" s="6">
        <v>26.017530924623099</v>
      </c>
      <c r="G155" s="6" t="str">
        <f t="shared" si="4"/>
        <v>OK</v>
      </c>
      <c r="H155" s="6" t="str">
        <f t="shared" si="5"/>
        <v>NON-ZERO</v>
      </c>
      <c r="I155">
        <v>282.84271247461902</v>
      </c>
      <c r="J155">
        <f>IFERROR(Table4[[#This Row],[energy_kwh]]/Table4[[#This Row],[expected_kwh]],0)</f>
        <v>0.8653857031992731</v>
      </c>
      <c r="K155" t="str">
        <f>IF(Table4[[#This Row],[Performance_Ratio]] &lt; 0.85, "Underperforming", "Performing")</f>
        <v>Performing</v>
      </c>
      <c r="L155">
        <f>Table4[[#This Row],[energy_kwh]] - Table4[[#This Row],[expected_kwh]]</f>
        <v>-38.074672844981023</v>
      </c>
      <c r="M155" t="str">
        <f>IF(Table4[[#This Row],[Performance_Deviation]] &lt; 0, "Underperforming", "Outperforming")</f>
        <v>Underperforming</v>
      </c>
      <c r="N155">
        <f>IF(Table4[[#This Row],[Performance_Ratio]] &lt; 0.85, Table4[[#This Row],[Performance_Deviation]] * 50 / 1000, 0)</f>
        <v>0</v>
      </c>
    </row>
    <row r="156" spans="1:14" x14ac:dyDescent="0.3">
      <c r="A156" s="4" t="s">
        <v>6</v>
      </c>
      <c r="B156" s="3">
        <v>45298.416666666664</v>
      </c>
      <c r="C156" s="4">
        <v>268.40096032904597</v>
      </c>
      <c r="D156" s="4">
        <v>256.31797981251901</v>
      </c>
      <c r="E156" s="4">
        <v>256.31797981251901</v>
      </c>
      <c r="F156" s="4">
        <v>49.8391699284306</v>
      </c>
      <c r="G156" s="4" t="str">
        <f t="shared" si="4"/>
        <v>OK</v>
      </c>
      <c r="H156" s="4" t="str">
        <f t="shared" si="5"/>
        <v>NON-ZERO</v>
      </c>
      <c r="I156">
        <v>346.41016151377499</v>
      </c>
      <c r="J156">
        <f>IFERROR(Table4[[#This Row],[energy_kwh]]/Table4[[#This Row],[expected_kwh]],0)</f>
        <v>0.73992627321449556</v>
      </c>
      <c r="K156" t="str">
        <f>IF(Table4[[#This Row],[Performance_Ratio]] &lt; 0.85, "Underperforming", "Performing")</f>
        <v>Underperforming</v>
      </c>
      <c r="L156">
        <f>Table4[[#This Row],[energy_kwh]] - Table4[[#This Row],[expected_kwh]]</f>
        <v>-90.092181701255981</v>
      </c>
      <c r="M156" t="str">
        <f>IF(Table4[[#This Row],[Performance_Deviation]] &lt; 0, "Underperforming", "Outperforming")</f>
        <v>Underperforming</v>
      </c>
      <c r="N156">
        <f>IF(Table4[[#This Row],[Performance_Ratio]] &lt; 0.85, Table4[[#This Row],[Performance_Deviation]] * 50 / 1000, 0)</f>
        <v>-4.5046090850627989</v>
      </c>
    </row>
    <row r="157" spans="1:14" x14ac:dyDescent="0.3">
      <c r="A157" s="6" t="s">
        <v>6</v>
      </c>
      <c r="B157" s="5">
        <v>45298.458333333336</v>
      </c>
      <c r="C157" s="6">
        <v>385.56859434883302</v>
      </c>
      <c r="D157" s="6">
        <v>368.21091497395201</v>
      </c>
      <c r="E157" s="6">
        <v>368.21091497395201</v>
      </c>
      <c r="F157" s="6">
        <v>81.2804053211959</v>
      </c>
      <c r="G157" s="6" t="str">
        <f t="shared" si="4"/>
        <v>OK</v>
      </c>
      <c r="H157" s="6" t="str">
        <f t="shared" si="5"/>
        <v>NON-ZERO</v>
      </c>
      <c r="I157">
        <v>386.37033051562702</v>
      </c>
      <c r="J157">
        <f>IFERROR(Table4[[#This Row],[energy_kwh]]/Table4[[#This Row],[expected_kwh]],0)</f>
        <v>0.95299997409883797</v>
      </c>
      <c r="K157" t="str">
        <f>IF(Table4[[#This Row],[Performance_Ratio]] &lt; 0.85, "Underperforming", "Performing")</f>
        <v>Performing</v>
      </c>
      <c r="L157">
        <f>Table4[[#This Row],[energy_kwh]] - Table4[[#This Row],[expected_kwh]]</f>
        <v>-18.159415541675003</v>
      </c>
      <c r="M157" t="str">
        <f>IF(Table4[[#This Row],[Performance_Deviation]] &lt; 0, "Underperforming", "Outperforming")</f>
        <v>Underperforming</v>
      </c>
      <c r="N157">
        <f>IF(Table4[[#This Row],[Performance_Ratio]] &lt; 0.85, Table4[[#This Row],[Performance_Deviation]] * 50 / 1000, 0)</f>
        <v>0</v>
      </c>
    </row>
    <row r="158" spans="1:14" x14ac:dyDescent="0.3">
      <c r="A158" s="4" t="s">
        <v>6</v>
      </c>
      <c r="B158" s="3">
        <v>45298.5</v>
      </c>
      <c r="C158" s="4">
        <v>359.72794969507902</v>
      </c>
      <c r="D158" s="4">
        <v>343.53357467463502</v>
      </c>
      <c r="E158" s="4">
        <v>343.53357467463502</v>
      </c>
      <c r="F158" s="4">
        <v>61.757216976044703</v>
      </c>
      <c r="G158" s="4" t="str">
        <f t="shared" si="4"/>
        <v>OK</v>
      </c>
      <c r="H158" s="4" t="str">
        <f t="shared" si="5"/>
        <v>NON-ZERO</v>
      </c>
      <c r="I158">
        <v>400</v>
      </c>
      <c r="J158">
        <f>IFERROR(Table4[[#This Row],[energy_kwh]]/Table4[[#This Row],[expected_kwh]],0)</f>
        <v>0.85883393668658758</v>
      </c>
      <c r="K158" t="str">
        <f>IF(Table4[[#This Row],[Performance_Ratio]] &lt; 0.85, "Underperforming", "Performing")</f>
        <v>Performing</v>
      </c>
      <c r="L158">
        <f>Table4[[#This Row],[energy_kwh]] - Table4[[#This Row],[expected_kwh]]</f>
        <v>-56.46642532536498</v>
      </c>
      <c r="M158" t="str">
        <f>IF(Table4[[#This Row],[Performance_Deviation]] &lt; 0, "Underperforming", "Outperforming")</f>
        <v>Underperforming</v>
      </c>
      <c r="N158">
        <f>IF(Table4[[#This Row],[Performance_Ratio]] &lt; 0.85, Table4[[#This Row],[Performance_Deviation]] * 50 / 1000, 0)</f>
        <v>0</v>
      </c>
    </row>
    <row r="159" spans="1:14" x14ac:dyDescent="0.3">
      <c r="A159" s="6" t="s">
        <v>6</v>
      </c>
      <c r="B159" s="5">
        <v>45298.541666666664</v>
      </c>
      <c r="C159" s="6">
        <v>352.64768807219502</v>
      </c>
      <c r="D159" s="6">
        <v>336.77205506793501</v>
      </c>
      <c r="E159" s="6">
        <v>336.77205506793501</v>
      </c>
      <c r="F159" s="6">
        <v>77.7119699893952</v>
      </c>
      <c r="G159" s="6" t="str">
        <f t="shared" si="4"/>
        <v>OK</v>
      </c>
      <c r="H159" s="6" t="str">
        <f t="shared" si="5"/>
        <v>NON-ZERO</v>
      </c>
      <c r="I159">
        <v>386.37033051562702</v>
      </c>
      <c r="J159">
        <f>IFERROR(Table4[[#This Row],[energy_kwh]]/Table4[[#This Row],[expected_kwh]],0)</f>
        <v>0.87163021709896549</v>
      </c>
      <c r="K159" t="str">
        <f>IF(Table4[[#This Row],[Performance_Ratio]] &lt; 0.85, "Underperforming", "Performing")</f>
        <v>Performing</v>
      </c>
      <c r="L159">
        <f>Table4[[#This Row],[energy_kwh]] - Table4[[#This Row],[expected_kwh]]</f>
        <v>-49.598275447692004</v>
      </c>
      <c r="M159" t="str">
        <f>IF(Table4[[#This Row],[Performance_Deviation]] &lt; 0, "Underperforming", "Outperforming")</f>
        <v>Underperforming</v>
      </c>
      <c r="N159">
        <f>IF(Table4[[#This Row],[Performance_Ratio]] &lt; 0.85, Table4[[#This Row],[Performance_Deviation]] * 50 / 1000, 0)</f>
        <v>0</v>
      </c>
    </row>
    <row r="160" spans="1:14" x14ac:dyDescent="0.3">
      <c r="A160" s="4" t="s">
        <v>6</v>
      </c>
      <c r="B160" s="3">
        <v>45298.583333333336</v>
      </c>
      <c r="C160" s="4">
        <v>315.39987365004203</v>
      </c>
      <c r="D160" s="4">
        <v>301.20107747749302</v>
      </c>
      <c r="E160" s="4">
        <v>301.20107747749302</v>
      </c>
      <c r="F160" s="4">
        <v>38.180729931130998</v>
      </c>
      <c r="G160" s="4" t="str">
        <f t="shared" si="4"/>
        <v>OK</v>
      </c>
      <c r="H160" s="4" t="str">
        <f t="shared" si="5"/>
        <v>NON-ZERO</v>
      </c>
      <c r="I160">
        <v>346.41016151377499</v>
      </c>
      <c r="J160">
        <f>IFERROR(Table4[[#This Row],[energy_kwh]]/Table4[[#This Row],[expected_kwh]],0)</f>
        <v>0.8694926158091808</v>
      </c>
      <c r="K160" t="str">
        <f>IF(Table4[[#This Row],[Performance_Ratio]] &lt; 0.85, "Underperforming", "Performing")</f>
        <v>Performing</v>
      </c>
      <c r="L160">
        <f>Table4[[#This Row],[energy_kwh]] - Table4[[#This Row],[expected_kwh]]</f>
        <v>-45.209084036281979</v>
      </c>
      <c r="M160" t="str">
        <f>IF(Table4[[#This Row],[Performance_Deviation]] &lt; 0, "Underperforming", "Outperforming")</f>
        <v>Underperforming</v>
      </c>
      <c r="N160">
        <f>IF(Table4[[#This Row],[Performance_Ratio]] &lt; 0.85, Table4[[#This Row],[Performance_Deviation]] * 50 / 1000, 0)</f>
        <v>0</v>
      </c>
    </row>
    <row r="161" spans="1:14" x14ac:dyDescent="0.3">
      <c r="A161" s="6" t="s">
        <v>6</v>
      </c>
      <c r="B161" s="5">
        <v>45298.625</v>
      </c>
      <c r="C161" s="6">
        <v>248.86106391726599</v>
      </c>
      <c r="D161" s="6">
        <v>237.65773818047199</v>
      </c>
      <c r="E161" s="6">
        <v>237.65773818047199</v>
      </c>
      <c r="F161" s="6">
        <v>41.647291493019097</v>
      </c>
      <c r="G161" s="6" t="str">
        <f t="shared" si="4"/>
        <v>OK</v>
      </c>
      <c r="H161" s="6" t="str">
        <f t="shared" si="5"/>
        <v>NON-ZERO</v>
      </c>
      <c r="I161">
        <v>282.84271247461902</v>
      </c>
      <c r="J161">
        <f>IFERROR(Table4[[#This Row],[energy_kwh]]/Table4[[#This Row],[expected_kwh]],0)</f>
        <v>0.840246991344344</v>
      </c>
      <c r="K161" t="str">
        <f>IF(Table4[[#This Row],[Performance_Ratio]] &lt; 0.85, "Underperforming", "Performing")</f>
        <v>Underperforming</v>
      </c>
      <c r="L161">
        <f>Table4[[#This Row],[energy_kwh]] - Table4[[#This Row],[expected_kwh]]</f>
        <v>-45.184974294147025</v>
      </c>
      <c r="M161" t="str">
        <f>IF(Table4[[#This Row],[Performance_Deviation]] &lt; 0, "Underperforming", "Outperforming")</f>
        <v>Underperforming</v>
      </c>
      <c r="N161">
        <f>IF(Table4[[#This Row],[Performance_Ratio]] &lt; 0.85, Table4[[#This Row],[Performance_Deviation]] * 50 / 1000, 0)</f>
        <v>-2.259248714707351</v>
      </c>
    </row>
    <row r="162" spans="1:14" x14ac:dyDescent="0.3">
      <c r="A162" s="4" t="s">
        <v>6</v>
      </c>
      <c r="B162" s="3">
        <v>45298.666666666664</v>
      </c>
      <c r="C162" s="4">
        <v>174.05201579974101</v>
      </c>
      <c r="D162" s="4">
        <v>166.21647335908699</v>
      </c>
      <c r="E162" s="4">
        <v>166.21647335908699</v>
      </c>
      <c r="F162" s="4">
        <v>23.886765261682001</v>
      </c>
      <c r="G162" s="4" t="str">
        <f t="shared" si="4"/>
        <v>OK</v>
      </c>
      <c r="H162" s="4" t="str">
        <f t="shared" si="5"/>
        <v>NON-ZERO</v>
      </c>
      <c r="I162">
        <v>199.99999999999901</v>
      </c>
      <c r="J162">
        <f>IFERROR(Table4[[#This Row],[energy_kwh]]/Table4[[#This Row],[expected_kwh]],0)</f>
        <v>0.83108236679543912</v>
      </c>
      <c r="K162" t="str">
        <f>IF(Table4[[#This Row],[Performance_Ratio]] &lt; 0.85, "Underperforming", "Performing")</f>
        <v>Underperforming</v>
      </c>
      <c r="L162">
        <f>Table4[[#This Row],[energy_kwh]] - Table4[[#This Row],[expected_kwh]]</f>
        <v>-33.783526640912015</v>
      </c>
      <c r="M162" t="str">
        <f>IF(Table4[[#This Row],[Performance_Deviation]] &lt; 0, "Underperforming", "Outperforming")</f>
        <v>Underperforming</v>
      </c>
      <c r="N162">
        <f>IF(Table4[[#This Row],[Performance_Ratio]] &lt; 0.85, Table4[[#This Row],[Performance_Deviation]] * 50 / 1000, 0)</f>
        <v>-1.6891763320456008</v>
      </c>
    </row>
    <row r="163" spans="1:14" x14ac:dyDescent="0.3">
      <c r="A163" s="6" t="s">
        <v>6</v>
      </c>
      <c r="B163" s="5">
        <v>45298.708333333336</v>
      </c>
      <c r="C163" s="6">
        <v>100.29155036893199</v>
      </c>
      <c r="D163" s="6">
        <v>95.776585714579198</v>
      </c>
      <c r="E163" s="6">
        <v>95.776585714579198</v>
      </c>
      <c r="F163" s="6">
        <v>24.753122785457499</v>
      </c>
      <c r="G163" s="6" t="str">
        <f t="shared" si="4"/>
        <v>OK</v>
      </c>
      <c r="H163" s="6" t="str">
        <f t="shared" si="5"/>
        <v>NON-ZERO</v>
      </c>
      <c r="I163">
        <v>103.527618041008</v>
      </c>
      <c r="J163">
        <f>IFERROR(Table4[[#This Row],[energy_kwh]]/Table4[[#This Row],[expected_kwh]],0)</f>
        <v>0.92513077695500956</v>
      </c>
      <c r="K163" t="str">
        <f>IF(Table4[[#This Row],[Performance_Ratio]] &lt; 0.85, "Underperforming", "Performing")</f>
        <v>Performing</v>
      </c>
      <c r="L163">
        <f>Table4[[#This Row],[energy_kwh]] - Table4[[#This Row],[expected_kwh]]</f>
        <v>-7.751032326428799</v>
      </c>
      <c r="M163" t="str">
        <f>IF(Table4[[#This Row],[Performance_Deviation]] &lt; 0, "Underperforming", "Outperforming")</f>
        <v>Underperforming</v>
      </c>
      <c r="N163">
        <f>IF(Table4[[#This Row],[Performance_Ratio]] &lt; 0.85, Table4[[#This Row],[Performance_Deviation]] * 50 / 1000, 0)</f>
        <v>0</v>
      </c>
    </row>
    <row r="164" spans="1:14" x14ac:dyDescent="0.3">
      <c r="A164" s="4" t="s">
        <v>6</v>
      </c>
      <c r="B164" s="3">
        <v>45298.75</v>
      </c>
      <c r="C164" s="7">
        <v>4.4472421123366598E-14</v>
      </c>
      <c r="D164" s="7">
        <v>4.24703440916836E-14</v>
      </c>
      <c r="E164" s="7">
        <v>4.24703440916836E-14</v>
      </c>
      <c r="F164" s="4">
        <v>64.672905545588307</v>
      </c>
      <c r="G164" s="4" t="str">
        <f t="shared" si="4"/>
        <v>OK</v>
      </c>
      <c r="H164" s="4" t="str">
        <f t="shared" si="5"/>
        <v>NON-ZERO</v>
      </c>
      <c r="I164" s="2">
        <v>4.8985871965894097E-14</v>
      </c>
      <c r="J164">
        <f>IFERROR(Table4[[#This Row],[energy_kwh]]/Table4[[#This Row],[expected_kwh]],0)</f>
        <v>0.86699169346731508</v>
      </c>
      <c r="K164" t="str">
        <f>IF(Table4[[#This Row],[Performance_Ratio]] &lt; 0.85, "Underperforming", "Performing")</f>
        <v>Performing</v>
      </c>
      <c r="L164">
        <f>Table4[[#This Row],[energy_kwh]] - Table4[[#This Row],[expected_kwh]]</f>
        <v>-6.5155278742104969E-15</v>
      </c>
      <c r="M164" t="str">
        <f>IF(Table4[[#This Row],[Performance_Deviation]] &lt; 0, "Underperforming", "Outperforming")</f>
        <v>Underperforming</v>
      </c>
      <c r="N164">
        <f>IF(Table4[[#This Row],[Performance_Ratio]] &lt; 0.85, Table4[[#This Row],[Performance_Deviation]] * 50 / 1000, 0)</f>
        <v>0</v>
      </c>
    </row>
    <row r="165" spans="1:14" x14ac:dyDescent="0.3">
      <c r="A165" s="6" t="s">
        <v>6</v>
      </c>
      <c r="B165" s="5">
        <v>45298.791666666664</v>
      </c>
      <c r="C165" s="6">
        <v>0</v>
      </c>
      <c r="D165" s="6">
        <v>0</v>
      </c>
      <c r="E165" s="6">
        <v>0</v>
      </c>
      <c r="F165" s="6">
        <v>46.165119990724598</v>
      </c>
      <c r="G165" s="6" t="str">
        <f t="shared" si="4"/>
        <v>OK</v>
      </c>
      <c r="H165" s="6" t="str">
        <f t="shared" si="5"/>
        <v>ZERO</v>
      </c>
      <c r="I165">
        <v>0</v>
      </c>
      <c r="J165">
        <f>IFERROR(Table4[[#This Row],[energy_kwh]]/Table4[[#This Row],[expected_kwh]],0)</f>
        <v>0</v>
      </c>
      <c r="K165" t="str">
        <f>IF(Table4[[#This Row],[Performance_Ratio]] &lt; 0.85, "Underperforming", "Performing")</f>
        <v>Underperforming</v>
      </c>
      <c r="L165">
        <f>Table4[[#This Row],[energy_kwh]] - Table4[[#This Row],[expected_kwh]]</f>
        <v>0</v>
      </c>
      <c r="M165" t="str">
        <f>IF(Table4[[#This Row],[Performance_Deviation]] &lt; 0, "Underperforming", "Outperforming")</f>
        <v>Outperforming</v>
      </c>
      <c r="N165">
        <f>IF(Table4[[#This Row],[Performance_Ratio]] &lt; 0.85, Table4[[#This Row],[Performance_Deviation]] * 50 / 1000, 0)</f>
        <v>0</v>
      </c>
    </row>
    <row r="166" spans="1:14" x14ac:dyDescent="0.3">
      <c r="A166" s="4" t="s">
        <v>6</v>
      </c>
      <c r="B166" s="3">
        <v>45298.833333333336</v>
      </c>
      <c r="C166" s="4">
        <v>0</v>
      </c>
      <c r="D166" s="4">
        <v>0</v>
      </c>
      <c r="E166" s="4">
        <v>0</v>
      </c>
      <c r="F166" s="4">
        <v>75.584048696754394</v>
      </c>
      <c r="G166" s="4" t="str">
        <f t="shared" si="4"/>
        <v>OK</v>
      </c>
      <c r="H166" s="4" t="str">
        <f t="shared" si="5"/>
        <v>ZERO</v>
      </c>
      <c r="I166">
        <v>0</v>
      </c>
      <c r="J166">
        <f>IFERROR(Table4[[#This Row],[energy_kwh]]/Table4[[#This Row],[expected_kwh]],0)</f>
        <v>0</v>
      </c>
      <c r="K166" t="str">
        <f>IF(Table4[[#This Row],[Performance_Ratio]] &lt; 0.85, "Underperforming", "Performing")</f>
        <v>Underperforming</v>
      </c>
      <c r="L166">
        <f>Table4[[#This Row],[energy_kwh]] - Table4[[#This Row],[expected_kwh]]</f>
        <v>0</v>
      </c>
      <c r="M166" t="str">
        <f>IF(Table4[[#This Row],[Performance_Deviation]] &lt; 0, "Underperforming", "Outperforming")</f>
        <v>Outperforming</v>
      </c>
      <c r="N166">
        <f>IF(Table4[[#This Row],[Performance_Ratio]] &lt; 0.85, Table4[[#This Row],[Performance_Deviation]] * 50 / 1000, 0)</f>
        <v>0</v>
      </c>
    </row>
    <row r="167" spans="1:14" x14ac:dyDescent="0.3">
      <c r="A167" s="6" t="s">
        <v>6</v>
      </c>
      <c r="B167" s="5">
        <v>45298.875</v>
      </c>
      <c r="C167" s="6">
        <v>0</v>
      </c>
      <c r="D167" s="6">
        <v>0</v>
      </c>
      <c r="E167" s="6">
        <v>0</v>
      </c>
      <c r="F167" s="6">
        <v>30.482928246971699</v>
      </c>
      <c r="G167" s="6" t="str">
        <f t="shared" si="4"/>
        <v>OK</v>
      </c>
      <c r="H167" s="6" t="str">
        <f t="shared" si="5"/>
        <v>ZERO</v>
      </c>
      <c r="I167">
        <v>0</v>
      </c>
      <c r="J167">
        <f>IFERROR(Table4[[#This Row],[energy_kwh]]/Table4[[#This Row],[expected_kwh]],0)</f>
        <v>0</v>
      </c>
      <c r="K167" t="str">
        <f>IF(Table4[[#This Row],[Performance_Ratio]] &lt; 0.85, "Underperforming", "Performing")</f>
        <v>Underperforming</v>
      </c>
      <c r="L167">
        <f>Table4[[#This Row],[energy_kwh]] - Table4[[#This Row],[expected_kwh]]</f>
        <v>0</v>
      </c>
      <c r="M167" t="str">
        <f>IF(Table4[[#This Row],[Performance_Deviation]] &lt; 0, "Underperforming", "Outperforming")</f>
        <v>Outperforming</v>
      </c>
      <c r="N167">
        <f>IF(Table4[[#This Row],[Performance_Ratio]] &lt; 0.85, Table4[[#This Row],[Performance_Deviation]] * 50 / 1000, 0)</f>
        <v>0</v>
      </c>
    </row>
    <row r="168" spans="1:14" x14ac:dyDescent="0.3">
      <c r="A168" s="4" t="s">
        <v>6</v>
      </c>
      <c r="B168" s="3">
        <v>45298.916666666664</v>
      </c>
      <c r="C168" s="4">
        <v>0</v>
      </c>
      <c r="D168" s="4">
        <v>0</v>
      </c>
      <c r="E168" s="4">
        <v>0</v>
      </c>
      <c r="F168" s="4">
        <v>81.093104017353596</v>
      </c>
      <c r="G168" s="4" t="str">
        <f t="shared" si="4"/>
        <v>OK</v>
      </c>
      <c r="H168" s="4" t="str">
        <f t="shared" si="5"/>
        <v>ZERO</v>
      </c>
      <c r="I168">
        <v>0</v>
      </c>
      <c r="J168">
        <f>IFERROR(Table4[[#This Row],[energy_kwh]]/Table4[[#This Row],[expected_kwh]],0)</f>
        <v>0</v>
      </c>
      <c r="K168" t="str">
        <f>IF(Table4[[#This Row],[Performance_Ratio]] &lt; 0.85, "Underperforming", "Performing")</f>
        <v>Underperforming</v>
      </c>
      <c r="L168">
        <f>Table4[[#This Row],[energy_kwh]] - Table4[[#This Row],[expected_kwh]]</f>
        <v>0</v>
      </c>
      <c r="M168" t="str">
        <f>IF(Table4[[#This Row],[Performance_Deviation]] &lt; 0, "Underperforming", "Outperforming")</f>
        <v>Outperforming</v>
      </c>
      <c r="N168">
        <f>IF(Table4[[#This Row],[Performance_Ratio]] &lt; 0.85, Table4[[#This Row],[Performance_Deviation]] * 50 / 1000, 0)</f>
        <v>0</v>
      </c>
    </row>
    <row r="169" spans="1:14" x14ac:dyDescent="0.3">
      <c r="A169" s="6" t="s">
        <v>6</v>
      </c>
      <c r="B169" s="5">
        <v>45298.958333333336</v>
      </c>
      <c r="C169" s="6">
        <v>0</v>
      </c>
      <c r="D169" s="6">
        <v>0</v>
      </c>
      <c r="E169" s="6">
        <v>0</v>
      </c>
      <c r="F169" s="6">
        <v>46.912286309262598</v>
      </c>
      <c r="G169" s="6" t="str">
        <f t="shared" si="4"/>
        <v>OK</v>
      </c>
      <c r="H169" s="6" t="str">
        <f t="shared" si="5"/>
        <v>ZERO</v>
      </c>
      <c r="I169">
        <v>0</v>
      </c>
      <c r="J169">
        <f>IFERROR(Table4[[#This Row],[energy_kwh]]/Table4[[#This Row],[expected_kwh]],0)</f>
        <v>0</v>
      </c>
      <c r="K169" t="str">
        <f>IF(Table4[[#This Row],[Performance_Ratio]] &lt; 0.85, "Underperforming", "Performing")</f>
        <v>Underperforming</v>
      </c>
      <c r="L169">
        <f>Table4[[#This Row],[energy_kwh]] - Table4[[#This Row],[expected_kwh]]</f>
        <v>0</v>
      </c>
      <c r="M169" t="str">
        <f>IF(Table4[[#This Row],[Performance_Deviation]] &lt; 0, "Underperforming", "Outperforming")</f>
        <v>Outperforming</v>
      </c>
      <c r="N169">
        <f>IF(Table4[[#This Row],[Performance_Ratio]] &lt; 0.85, Table4[[#This Row],[Performance_Deviation]] * 50 / 1000, 0)</f>
        <v>0</v>
      </c>
    </row>
    <row r="170" spans="1:14" x14ac:dyDescent="0.3">
      <c r="A170" s="4" t="s">
        <v>6</v>
      </c>
      <c r="B170" s="3">
        <v>45299</v>
      </c>
      <c r="C170" s="4">
        <v>0</v>
      </c>
      <c r="D170" s="4">
        <v>0</v>
      </c>
      <c r="E170" s="4">
        <v>0</v>
      </c>
      <c r="F170" s="4">
        <v>48.270832206868</v>
      </c>
      <c r="G170" s="4" t="str">
        <f t="shared" si="4"/>
        <v>OK</v>
      </c>
      <c r="H170" s="4" t="str">
        <f t="shared" si="5"/>
        <v>ZERO</v>
      </c>
      <c r="I170">
        <v>0</v>
      </c>
      <c r="J170">
        <f>IFERROR(Table4[[#This Row],[energy_kwh]]/Table4[[#This Row],[expected_kwh]],0)</f>
        <v>0</v>
      </c>
      <c r="K170" t="str">
        <f>IF(Table4[[#This Row],[Performance_Ratio]] &lt; 0.85, "Underperforming", "Performing")</f>
        <v>Underperforming</v>
      </c>
      <c r="L170">
        <f>Table4[[#This Row],[energy_kwh]] - Table4[[#This Row],[expected_kwh]]</f>
        <v>0</v>
      </c>
      <c r="M170" t="str">
        <f>IF(Table4[[#This Row],[Performance_Deviation]] &lt; 0, "Underperforming", "Outperforming")</f>
        <v>Outperforming</v>
      </c>
      <c r="N170">
        <f>IF(Table4[[#This Row],[Performance_Ratio]] &lt; 0.85, Table4[[#This Row],[Performance_Deviation]] * 50 / 1000, 0)</f>
        <v>0</v>
      </c>
    </row>
    <row r="171" spans="1:14" x14ac:dyDescent="0.3">
      <c r="A171" s="6" t="s">
        <v>6</v>
      </c>
      <c r="B171" s="5">
        <v>45299.041666666664</v>
      </c>
      <c r="C171" s="6">
        <v>0</v>
      </c>
      <c r="D171" s="6">
        <v>0</v>
      </c>
      <c r="E171" s="6">
        <v>0</v>
      </c>
      <c r="F171" s="6">
        <v>76.070703513218803</v>
      </c>
      <c r="G171" s="6" t="str">
        <f t="shared" si="4"/>
        <v>OK</v>
      </c>
      <c r="H171" s="6" t="str">
        <f t="shared" si="5"/>
        <v>ZERO</v>
      </c>
      <c r="I171">
        <v>0</v>
      </c>
      <c r="J171">
        <f>IFERROR(Table4[[#This Row],[energy_kwh]]/Table4[[#This Row],[expected_kwh]],0)</f>
        <v>0</v>
      </c>
      <c r="K171" t="str">
        <f>IF(Table4[[#This Row],[Performance_Ratio]] &lt; 0.85, "Underperforming", "Performing")</f>
        <v>Underperforming</v>
      </c>
      <c r="L171">
        <f>Table4[[#This Row],[energy_kwh]] - Table4[[#This Row],[expected_kwh]]</f>
        <v>0</v>
      </c>
      <c r="M171" t="str">
        <f>IF(Table4[[#This Row],[Performance_Deviation]] &lt; 0, "Underperforming", "Outperforming")</f>
        <v>Outperforming</v>
      </c>
      <c r="N171">
        <f>IF(Table4[[#This Row],[Performance_Ratio]] &lt; 0.85, Table4[[#This Row],[Performance_Deviation]] * 50 / 1000, 0)</f>
        <v>0</v>
      </c>
    </row>
    <row r="172" spans="1:14" x14ac:dyDescent="0.3">
      <c r="A172" s="4" t="s">
        <v>6</v>
      </c>
      <c r="B172" s="3">
        <v>45299.083333333336</v>
      </c>
      <c r="C172" s="4">
        <v>0</v>
      </c>
      <c r="D172" s="4">
        <v>0</v>
      </c>
      <c r="E172" s="4">
        <v>0</v>
      </c>
      <c r="F172" s="4">
        <v>60.766464583549102</v>
      </c>
      <c r="G172" s="4" t="str">
        <f t="shared" si="4"/>
        <v>OK</v>
      </c>
      <c r="H172" s="4" t="str">
        <f t="shared" si="5"/>
        <v>ZERO</v>
      </c>
      <c r="I172">
        <v>0</v>
      </c>
      <c r="J172">
        <f>IFERROR(Table4[[#This Row],[energy_kwh]]/Table4[[#This Row],[expected_kwh]],0)</f>
        <v>0</v>
      </c>
      <c r="K172" t="str">
        <f>IF(Table4[[#This Row],[Performance_Ratio]] &lt; 0.85, "Underperforming", "Performing")</f>
        <v>Underperforming</v>
      </c>
      <c r="L172">
        <f>Table4[[#This Row],[energy_kwh]] - Table4[[#This Row],[expected_kwh]]</f>
        <v>0</v>
      </c>
      <c r="M172" t="str">
        <f>IF(Table4[[#This Row],[Performance_Deviation]] &lt; 0, "Underperforming", "Outperforming")</f>
        <v>Outperforming</v>
      </c>
      <c r="N172">
        <f>IF(Table4[[#This Row],[Performance_Ratio]] &lt; 0.85, Table4[[#This Row],[Performance_Deviation]] * 50 / 1000, 0)</f>
        <v>0</v>
      </c>
    </row>
    <row r="173" spans="1:14" x14ac:dyDescent="0.3">
      <c r="A173" s="6" t="s">
        <v>6</v>
      </c>
      <c r="B173" s="5">
        <v>45299.125</v>
      </c>
      <c r="C173" s="6">
        <v>0</v>
      </c>
      <c r="D173" s="6">
        <v>0</v>
      </c>
      <c r="E173" s="6">
        <v>0</v>
      </c>
      <c r="F173" s="6">
        <v>28.767353053127302</v>
      </c>
      <c r="G173" s="6" t="str">
        <f t="shared" si="4"/>
        <v>OK</v>
      </c>
      <c r="H173" s="6" t="str">
        <f t="shared" si="5"/>
        <v>ZERO</v>
      </c>
      <c r="I173">
        <v>0</v>
      </c>
      <c r="J173">
        <f>IFERROR(Table4[[#This Row],[energy_kwh]]/Table4[[#This Row],[expected_kwh]],0)</f>
        <v>0</v>
      </c>
      <c r="K173" t="str">
        <f>IF(Table4[[#This Row],[Performance_Ratio]] &lt; 0.85, "Underperforming", "Performing")</f>
        <v>Underperforming</v>
      </c>
      <c r="L173">
        <f>Table4[[#This Row],[energy_kwh]] - Table4[[#This Row],[expected_kwh]]</f>
        <v>0</v>
      </c>
      <c r="M173" t="str">
        <f>IF(Table4[[#This Row],[Performance_Deviation]] &lt; 0, "Underperforming", "Outperforming")</f>
        <v>Outperforming</v>
      </c>
      <c r="N173">
        <f>IF(Table4[[#This Row],[Performance_Ratio]] &lt; 0.85, Table4[[#This Row],[Performance_Deviation]] * 50 / 1000, 0)</f>
        <v>0</v>
      </c>
    </row>
    <row r="174" spans="1:14" x14ac:dyDescent="0.3">
      <c r="A174" s="4" t="s">
        <v>6</v>
      </c>
      <c r="B174" s="3">
        <v>45299.166666666664</v>
      </c>
      <c r="C174" s="4">
        <v>0</v>
      </c>
      <c r="D174" s="4">
        <v>0</v>
      </c>
      <c r="E174" s="4">
        <v>0</v>
      </c>
      <c r="F174" s="4">
        <v>79.551889195272196</v>
      </c>
      <c r="G174" s="4" t="str">
        <f t="shared" si="4"/>
        <v>OK</v>
      </c>
      <c r="H174" s="4" t="str">
        <f t="shared" si="5"/>
        <v>ZERO</v>
      </c>
      <c r="I174">
        <v>0</v>
      </c>
      <c r="J174">
        <f>IFERROR(Table4[[#This Row],[energy_kwh]]/Table4[[#This Row],[expected_kwh]],0)</f>
        <v>0</v>
      </c>
      <c r="K174" t="str">
        <f>IF(Table4[[#This Row],[Performance_Ratio]] &lt; 0.85, "Underperforming", "Performing")</f>
        <v>Underperforming</v>
      </c>
      <c r="L174">
        <f>Table4[[#This Row],[energy_kwh]] - Table4[[#This Row],[expected_kwh]]</f>
        <v>0</v>
      </c>
      <c r="M174" t="str">
        <f>IF(Table4[[#This Row],[Performance_Deviation]] &lt; 0, "Underperforming", "Outperforming")</f>
        <v>Outperforming</v>
      </c>
      <c r="N174">
        <f>IF(Table4[[#This Row],[Performance_Ratio]] &lt; 0.85, Table4[[#This Row],[Performance_Deviation]] * 50 / 1000, 0)</f>
        <v>0</v>
      </c>
    </row>
    <row r="175" spans="1:14" x14ac:dyDescent="0.3">
      <c r="A175" s="6" t="s">
        <v>6</v>
      </c>
      <c r="B175" s="5">
        <v>45299.208333333336</v>
      </c>
      <c r="C175" s="6">
        <v>0</v>
      </c>
      <c r="D175" s="6">
        <v>0</v>
      </c>
      <c r="E175" s="6">
        <v>0</v>
      </c>
      <c r="F175" s="6">
        <v>87.041943728821806</v>
      </c>
      <c r="G175" s="6" t="str">
        <f t="shared" si="4"/>
        <v>OK</v>
      </c>
      <c r="H175" s="6" t="str">
        <f t="shared" si="5"/>
        <v>ZERO</v>
      </c>
      <c r="I175">
        <v>0</v>
      </c>
      <c r="J175">
        <f>IFERROR(Table4[[#This Row],[energy_kwh]]/Table4[[#This Row],[expected_kwh]],0)</f>
        <v>0</v>
      </c>
      <c r="K175" t="str">
        <f>IF(Table4[[#This Row],[Performance_Ratio]] &lt; 0.85, "Underperforming", "Performing")</f>
        <v>Underperforming</v>
      </c>
      <c r="L175">
        <f>Table4[[#This Row],[energy_kwh]] - Table4[[#This Row],[expected_kwh]]</f>
        <v>0</v>
      </c>
      <c r="M175" t="str">
        <f>IF(Table4[[#This Row],[Performance_Deviation]] &lt; 0, "Underperforming", "Outperforming")</f>
        <v>Outperforming</v>
      </c>
      <c r="N175">
        <f>IF(Table4[[#This Row],[Performance_Ratio]] &lt; 0.85, Table4[[#This Row],[Performance_Deviation]] * 50 / 1000, 0)</f>
        <v>0</v>
      </c>
    </row>
    <row r="176" spans="1:14" x14ac:dyDescent="0.3">
      <c r="A176" s="4" t="s">
        <v>6</v>
      </c>
      <c r="B176" s="3">
        <v>45299.25</v>
      </c>
      <c r="C176" s="4">
        <v>0</v>
      </c>
      <c r="D176" s="4">
        <v>0</v>
      </c>
      <c r="E176" s="4">
        <v>0</v>
      </c>
      <c r="F176" s="4">
        <v>75.7959719429507</v>
      </c>
      <c r="G176" s="4" t="str">
        <f t="shared" si="4"/>
        <v>OK</v>
      </c>
      <c r="H176" s="4" t="str">
        <f t="shared" si="5"/>
        <v>ZERO</v>
      </c>
      <c r="I176">
        <v>0</v>
      </c>
      <c r="J176">
        <f>IFERROR(Table4[[#This Row],[energy_kwh]]/Table4[[#This Row],[expected_kwh]],0)</f>
        <v>0</v>
      </c>
      <c r="K176" t="str">
        <f>IF(Table4[[#This Row],[Performance_Ratio]] &lt; 0.85, "Underperforming", "Performing")</f>
        <v>Underperforming</v>
      </c>
      <c r="L176">
        <f>Table4[[#This Row],[energy_kwh]] - Table4[[#This Row],[expected_kwh]]</f>
        <v>0</v>
      </c>
      <c r="M176" t="str">
        <f>IF(Table4[[#This Row],[Performance_Deviation]] &lt; 0, "Underperforming", "Outperforming")</f>
        <v>Outperforming</v>
      </c>
      <c r="N176">
        <f>IF(Table4[[#This Row],[Performance_Ratio]] &lt; 0.85, Table4[[#This Row],[Performance_Deviation]] * 50 / 1000, 0)</f>
        <v>0</v>
      </c>
    </row>
    <row r="177" spans="1:14" x14ac:dyDescent="0.3">
      <c r="A177" s="6" t="s">
        <v>6</v>
      </c>
      <c r="B177" s="5">
        <v>45299.291666666664</v>
      </c>
      <c r="C177" s="6">
        <v>101.277697777881</v>
      </c>
      <c r="D177" s="6">
        <v>96.718338349701597</v>
      </c>
      <c r="E177" s="6">
        <v>96.718338349701597</v>
      </c>
      <c r="F177" s="6">
        <v>77.184401430551702</v>
      </c>
      <c r="G177" s="6" t="str">
        <f t="shared" si="4"/>
        <v>OK</v>
      </c>
      <c r="H177" s="6" t="str">
        <f t="shared" si="5"/>
        <v>NON-ZERO</v>
      </c>
      <c r="I177">
        <v>103.527618041008</v>
      </c>
      <c r="J177">
        <f>IFERROR(Table4[[#This Row],[energy_kwh]]/Table4[[#This Row],[expected_kwh]],0)</f>
        <v>0.93422740887741473</v>
      </c>
      <c r="K177" t="str">
        <f>IF(Table4[[#This Row],[Performance_Ratio]] &lt; 0.85, "Underperforming", "Performing")</f>
        <v>Performing</v>
      </c>
      <c r="L177">
        <f>Table4[[#This Row],[energy_kwh]] - Table4[[#This Row],[expected_kwh]]</f>
        <v>-6.8092796913064007</v>
      </c>
      <c r="M177" t="str">
        <f>IF(Table4[[#This Row],[Performance_Deviation]] &lt; 0, "Underperforming", "Outperforming")</f>
        <v>Underperforming</v>
      </c>
      <c r="N177">
        <f>IF(Table4[[#This Row],[Performance_Ratio]] &lt; 0.85, Table4[[#This Row],[Performance_Deviation]] * 50 / 1000, 0)</f>
        <v>0</v>
      </c>
    </row>
    <row r="178" spans="1:14" x14ac:dyDescent="0.3">
      <c r="A178" s="4" t="s">
        <v>6</v>
      </c>
      <c r="B178" s="3">
        <v>45299.333333333336</v>
      </c>
      <c r="C178" s="4">
        <v>185.13462572717799</v>
      </c>
      <c r="D178" s="4">
        <v>176.800161972452</v>
      </c>
      <c r="E178" s="4">
        <v>176.800161972452</v>
      </c>
      <c r="F178" s="4">
        <v>83.483921880088801</v>
      </c>
      <c r="G178" s="4" t="str">
        <f t="shared" si="4"/>
        <v>OK</v>
      </c>
      <c r="H178" s="4" t="str">
        <f t="shared" si="5"/>
        <v>NON-ZERO</v>
      </c>
      <c r="I178">
        <v>199.99999999999901</v>
      </c>
      <c r="J178">
        <f>IFERROR(Table4[[#This Row],[energy_kwh]]/Table4[[#This Row],[expected_kwh]],0)</f>
        <v>0.88400080986226437</v>
      </c>
      <c r="K178" t="str">
        <f>IF(Table4[[#This Row],[Performance_Ratio]] &lt; 0.85, "Underperforming", "Performing")</f>
        <v>Performing</v>
      </c>
      <c r="L178">
        <f>Table4[[#This Row],[energy_kwh]] - Table4[[#This Row],[expected_kwh]]</f>
        <v>-23.199838027547003</v>
      </c>
      <c r="M178" t="str">
        <f>IF(Table4[[#This Row],[Performance_Deviation]] &lt; 0, "Underperforming", "Outperforming")</f>
        <v>Underperforming</v>
      </c>
      <c r="N178">
        <f>IF(Table4[[#This Row],[Performance_Ratio]] &lt; 0.85, Table4[[#This Row],[Performance_Deviation]] * 50 / 1000, 0)</f>
        <v>0</v>
      </c>
    </row>
    <row r="179" spans="1:14" x14ac:dyDescent="0.3">
      <c r="A179" s="6" t="s">
        <v>6</v>
      </c>
      <c r="B179" s="5">
        <v>45299.375</v>
      </c>
      <c r="C179" s="6">
        <v>285.11668527048897</v>
      </c>
      <c r="D179" s="6">
        <v>272.28118964172302</v>
      </c>
      <c r="E179" s="6">
        <v>272.28118964172302</v>
      </c>
      <c r="F179" s="6">
        <v>79.797152433466493</v>
      </c>
      <c r="G179" s="6" t="str">
        <f t="shared" si="4"/>
        <v>OK</v>
      </c>
      <c r="H179" s="6" t="str">
        <f t="shared" si="5"/>
        <v>NON-ZERO</v>
      </c>
      <c r="I179">
        <v>282.84271247461902</v>
      </c>
      <c r="J179">
        <f>IFERROR(Table4[[#This Row],[energy_kwh]]/Table4[[#This Row],[expected_kwh]],0)</f>
        <v>0.96265937792601342</v>
      </c>
      <c r="K179" t="str">
        <f>IF(Table4[[#This Row],[Performance_Ratio]] &lt; 0.85, "Underperforming", "Performing")</f>
        <v>Performing</v>
      </c>
      <c r="L179">
        <f>Table4[[#This Row],[energy_kwh]] - Table4[[#This Row],[expected_kwh]]</f>
        <v>-10.561522832896003</v>
      </c>
      <c r="M179" t="str">
        <f>IF(Table4[[#This Row],[Performance_Deviation]] &lt; 0, "Underperforming", "Outperforming")</f>
        <v>Underperforming</v>
      </c>
      <c r="N179">
        <f>IF(Table4[[#This Row],[Performance_Ratio]] &lt; 0.85, Table4[[#This Row],[Performance_Deviation]] * 50 / 1000, 0)</f>
        <v>0</v>
      </c>
    </row>
    <row r="180" spans="1:14" x14ac:dyDescent="0.3">
      <c r="A180" s="4" t="s">
        <v>6</v>
      </c>
      <c r="B180" s="3">
        <v>45299.416666666664</v>
      </c>
      <c r="C180" s="4">
        <v>318.72556163175301</v>
      </c>
      <c r="D180" s="4">
        <v>304.37704832317701</v>
      </c>
      <c r="E180" s="4">
        <v>304.37704832317701</v>
      </c>
      <c r="F180" s="4">
        <v>68.086072466397297</v>
      </c>
      <c r="G180" s="4" t="str">
        <f t="shared" si="4"/>
        <v>OK</v>
      </c>
      <c r="H180" s="4" t="str">
        <f t="shared" si="5"/>
        <v>NON-ZERO</v>
      </c>
      <c r="I180">
        <v>346.41016151377499</v>
      </c>
      <c r="J180">
        <f>IFERROR(Table4[[#This Row],[energy_kwh]]/Table4[[#This Row],[expected_kwh]],0)</f>
        <v>0.87866085392265103</v>
      </c>
      <c r="K180" t="str">
        <f>IF(Table4[[#This Row],[Performance_Ratio]] &lt; 0.85, "Underperforming", "Performing")</f>
        <v>Performing</v>
      </c>
      <c r="L180">
        <f>Table4[[#This Row],[energy_kwh]] - Table4[[#This Row],[expected_kwh]]</f>
        <v>-42.033113190597987</v>
      </c>
      <c r="M180" t="str">
        <f>IF(Table4[[#This Row],[Performance_Deviation]] &lt; 0, "Underperforming", "Outperforming")</f>
        <v>Underperforming</v>
      </c>
      <c r="N180">
        <f>IF(Table4[[#This Row],[Performance_Ratio]] &lt; 0.85, Table4[[#This Row],[Performance_Deviation]] * 50 / 1000, 0)</f>
        <v>0</v>
      </c>
    </row>
    <row r="181" spans="1:14" x14ac:dyDescent="0.3">
      <c r="A181" s="6" t="s">
        <v>6</v>
      </c>
      <c r="B181" s="5">
        <v>45299.458333333336</v>
      </c>
      <c r="C181" s="6">
        <v>352.10499888241498</v>
      </c>
      <c r="D181" s="6">
        <v>336.25379687459701</v>
      </c>
      <c r="E181" s="6">
        <v>336.25379687459701</v>
      </c>
      <c r="F181" s="6">
        <v>38.8849294180214</v>
      </c>
      <c r="G181" s="6" t="str">
        <f t="shared" si="4"/>
        <v>OK</v>
      </c>
      <c r="H181" s="6" t="str">
        <f t="shared" si="5"/>
        <v>NON-ZERO</v>
      </c>
      <c r="I181">
        <v>386.37033051562702</v>
      </c>
      <c r="J181">
        <f>IFERROR(Table4[[#This Row],[energy_kwh]]/Table4[[#This Row],[expected_kwh]],0)</f>
        <v>0.87028886619180246</v>
      </c>
      <c r="K181" t="str">
        <f>IF(Table4[[#This Row],[Performance_Ratio]] &lt; 0.85, "Underperforming", "Performing")</f>
        <v>Performing</v>
      </c>
      <c r="L181">
        <f>Table4[[#This Row],[energy_kwh]] - Table4[[#This Row],[expected_kwh]]</f>
        <v>-50.116533641030003</v>
      </c>
      <c r="M181" t="str">
        <f>IF(Table4[[#This Row],[Performance_Deviation]] &lt; 0, "Underperforming", "Outperforming")</f>
        <v>Underperforming</v>
      </c>
      <c r="N181">
        <f>IF(Table4[[#This Row],[Performance_Ratio]] &lt; 0.85, Table4[[#This Row],[Performance_Deviation]] * 50 / 1000, 0)</f>
        <v>0</v>
      </c>
    </row>
    <row r="182" spans="1:14" x14ac:dyDescent="0.3">
      <c r="A182" s="4" t="s">
        <v>6</v>
      </c>
      <c r="B182" s="3">
        <v>45299.5</v>
      </c>
      <c r="C182" s="4">
        <v>350.365208720282</v>
      </c>
      <c r="D182" s="4">
        <v>334.59232927362802</v>
      </c>
      <c r="E182" s="4">
        <v>334.59232927362802</v>
      </c>
      <c r="F182" s="4">
        <v>50.063856257272903</v>
      </c>
      <c r="G182" s="4" t="str">
        <f t="shared" si="4"/>
        <v>OK</v>
      </c>
      <c r="H182" s="4" t="str">
        <f t="shared" si="5"/>
        <v>NON-ZERO</v>
      </c>
      <c r="I182">
        <v>400</v>
      </c>
      <c r="J182">
        <f>IFERROR(Table4[[#This Row],[energy_kwh]]/Table4[[#This Row],[expected_kwh]],0)</f>
        <v>0.83648082318407002</v>
      </c>
      <c r="K182" t="str">
        <f>IF(Table4[[#This Row],[Performance_Ratio]] &lt; 0.85, "Underperforming", "Performing")</f>
        <v>Underperforming</v>
      </c>
      <c r="L182">
        <f>Table4[[#This Row],[energy_kwh]] - Table4[[#This Row],[expected_kwh]]</f>
        <v>-65.407670726371975</v>
      </c>
      <c r="M182" t="str">
        <f>IF(Table4[[#This Row],[Performance_Deviation]] &lt; 0, "Underperforming", "Outperforming")</f>
        <v>Underperforming</v>
      </c>
      <c r="N182">
        <f>IF(Table4[[#This Row],[Performance_Ratio]] &lt; 0.85, Table4[[#This Row],[Performance_Deviation]] * 50 / 1000, 0)</f>
        <v>-3.2703835363185991</v>
      </c>
    </row>
    <row r="183" spans="1:14" x14ac:dyDescent="0.3">
      <c r="A183" s="6" t="s">
        <v>6</v>
      </c>
      <c r="B183" s="5">
        <v>45299.541666666664</v>
      </c>
      <c r="C183" s="6">
        <v>353.17957122897099</v>
      </c>
      <c r="D183" s="6">
        <v>337.27999369853501</v>
      </c>
      <c r="E183" s="6">
        <v>337.27999369853501</v>
      </c>
      <c r="F183" s="6">
        <v>31.501355233706001</v>
      </c>
      <c r="G183" s="6" t="str">
        <f t="shared" si="4"/>
        <v>OK</v>
      </c>
      <c r="H183" s="6" t="str">
        <f t="shared" si="5"/>
        <v>NON-ZERO</v>
      </c>
      <c r="I183">
        <v>386.37033051562702</v>
      </c>
      <c r="J183">
        <f>IFERROR(Table4[[#This Row],[energy_kwh]]/Table4[[#This Row],[expected_kwh]],0)</f>
        <v>0.87294485901239116</v>
      </c>
      <c r="K183" t="str">
        <f>IF(Table4[[#This Row],[Performance_Ratio]] &lt; 0.85, "Underperforming", "Performing")</f>
        <v>Performing</v>
      </c>
      <c r="L183">
        <f>Table4[[#This Row],[energy_kwh]] - Table4[[#This Row],[expected_kwh]]</f>
        <v>-49.090336817092009</v>
      </c>
      <c r="M183" t="str">
        <f>IF(Table4[[#This Row],[Performance_Deviation]] &lt; 0, "Underperforming", "Outperforming")</f>
        <v>Underperforming</v>
      </c>
      <c r="N183">
        <f>IF(Table4[[#This Row],[Performance_Ratio]] &lt; 0.85, Table4[[#This Row],[Performance_Deviation]] * 50 / 1000, 0)</f>
        <v>0</v>
      </c>
    </row>
    <row r="184" spans="1:14" x14ac:dyDescent="0.3">
      <c r="A184" s="4" t="s">
        <v>6</v>
      </c>
      <c r="B184" s="3">
        <v>45299.583333333336</v>
      </c>
      <c r="C184" s="4">
        <v>333.46729370284902</v>
      </c>
      <c r="D184" s="4">
        <v>318.45513127328502</v>
      </c>
      <c r="E184" s="4">
        <v>318.45513127328502</v>
      </c>
      <c r="F184" s="4">
        <v>85.409293170811296</v>
      </c>
      <c r="G184" s="4" t="str">
        <f t="shared" si="4"/>
        <v>OK</v>
      </c>
      <c r="H184" s="4" t="str">
        <f t="shared" si="5"/>
        <v>NON-ZERO</v>
      </c>
      <c r="I184">
        <v>346.41016151377499</v>
      </c>
      <c r="J184">
        <f>IFERROR(Table4[[#This Row],[energy_kwh]]/Table4[[#This Row],[expected_kwh]],0)</f>
        <v>0.91930077882724481</v>
      </c>
      <c r="K184" t="str">
        <f>IF(Table4[[#This Row],[Performance_Ratio]] &lt; 0.85, "Underperforming", "Performing")</f>
        <v>Performing</v>
      </c>
      <c r="L184">
        <f>Table4[[#This Row],[energy_kwh]] - Table4[[#This Row],[expected_kwh]]</f>
        <v>-27.955030240489975</v>
      </c>
      <c r="M184" t="str">
        <f>IF(Table4[[#This Row],[Performance_Deviation]] &lt; 0, "Underperforming", "Outperforming")</f>
        <v>Underperforming</v>
      </c>
      <c r="N184">
        <f>IF(Table4[[#This Row],[Performance_Ratio]] &lt; 0.85, Table4[[#This Row],[Performance_Deviation]] * 50 / 1000, 0)</f>
        <v>0</v>
      </c>
    </row>
    <row r="185" spans="1:14" x14ac:dyDescent="0.3">
      <c r="A185" s="6" t="s">
        <v>6</v>
      </c>
      <c r="B185" s="5">
        <v>45299.625</v>
      </c>
      <c r="C185" s="6">
        <v>321.040623859736</v>
      </c>
      <c r="D185" s="6">
        <v>306.587890164763</v>
      </c>
      <c r="E185" s="6">
        <v>306.587890164763</v>
      </c>
      <c r="F185" s="6">
        <v>72.248811790766894</v>
      </c>
      <c r="G185" s="6" t="str">
        <f t="shared" si="4"/>
        <v>OK</v>
      </c>
      <c r="H185" s="6" t="str">
        <f t="shared" si="5"/>
        <v>NON-ZERO</v>
      </c>
      <c r="I185">
        <v>282.84271247461902</v>
      </c>
      <c r="J185">
        <f>IFERROR(Table4[[#This Row],[energy_kwh]]/Table4[[#This Row],[expected_kwh]],0)</f>
        <v>1.0839518808259017</v>
      </c>
      <c r="K185" t="str">
        <f>IF(Table4[[#This Row],[Performance_Ratio]] &lt; 0.85, "Underperforming", "Performing")</f>
        <v>Performing</v>
      </c>
      <c r="L185">
        <f>Table4[[#This Row],[energy_kwh]] - Table4[[#This Row],[expected_kwh]]</f>
        <v>23.745177690143976</v>
      </c>
      <c r="M185" t="str">
        <f>IF(Table4[[#This Row],[Performance_Deviation]] &lt; 0, "Underperforming", "Outperforming")</f>
        <v>Outperforming</v>
      </c>
      <c r="N185">
        <f>IF(Table4[[#This Row],[Performance_Ratio]] &lt; 0.85, Table4[[#This Row],[Performance_Deviation]] * 50 / 1000, 0)</f>
        <v>0</v>
      </c>
    </row>
    <row r="186" spans="1:14" x14ac:dyDescent="0.3">
      <c r="A186" s="4" t="s">
        <v>6</v>
      </c>
      <c r="B186" s="3">
        <v>45299.666666666664</v>
      </c>
      <c r="C186" s="4">
        <v>193.03605451776099</v>
      </c>
      <c r="D186" s="4">
        <v>184.345881118731</v>
      </c>
      <c r="E186" s="4">
        <v>184.345881118731</v>
      </c>
      <c r="F186" s="4">
        <v>65.503628478714106</v>
      </c>
      <c r="G186" s="4" t="str">
        <f t="shared" si="4"/>
        <v>OK</v>
      </c>
      <c r="H186" s="4" t="str">
        <f t="shared" si="5"/>
        <v>NON-ZERO</v>
      </c>
      <c r="I186">
        <v>199.99999999999901</v>
      </c>
      <c r="J186">
        <f>IFERROR(Table4[[#This Row],[energy_kwh]]/Table4[[#This Row],[expected_kwh]],0)</f>
        <v>0.92172940559365957</v>
      </c>
      <c r="K186" t="str">
        <f>IF(Table4[[#This Row],[Performance_Ratio]] &lt; 0.85, "Underperforming", "Performing")</f>
        <v>Performing</v>
      </c>
      <c r="L186">
        <f>Table4[[#This Row],[energy_kwh]] - Table4[[#This Row],[expected_kwh]]</f>
        <v>-15.654118881268005</v>
      </c>
      <c r="M186" t="str">
        <f>IF(Table4[[#This Row],[Performance_Deviation]] &lt; 0, "Underperforming", "Outperforming")</f>
        <v>Underperforming</v>
      </c>
      <c r="N186">
        <f>IF(Table4[[#This Row],[Performance_Ratio]] &lt; 0.85, Table4[[#This Row],[Performance_Deviation]] * 50 / 1000, 0)</f>
        <v>0</v>
      </c>
    </row>
    <row r="187" spans="1:14" x14ac:dyDescent="0.3">
      <c r="A187" s="6" t="s">
        <v>6</v>
      </c>
      <c r="B187" s="5">
        <v>45299.708333333336</v>
      </c>
      <c r="C187" s="6">
        <v>101.555227106887</v>
      </c>
      <c r="D187" s="6">
        <v>96.983373753681704</v>
      </c>
      <c r="E187" s="6">
        <v>96.983373753681704</v>
      </c>
      <c r="F187" s="6">
        <v>90.077526107676107</v>
      </c>
      <c r="G187" s="6" t="str">
        <f t="shared" si="4"/>
        <v>OK</v>
      </c>
      <c r="H187" s="6" t="str">
        <f t="shared" si="5"/>
        <v>NON-ZERO</v>
      </c>
      <c r="I187">
        <v>103.527618041008</v>
      </c>
      <c r="J187">
        <f>IFERROR(Table4[[#This Row],[energy_kwh]]/Table4[[#This Row],[expected_kwh]],0)</f>
        <v>0.93678745429326815</v>
      </c>
      <c r="K187" t="str">
        <f>IF(Table4[[#This Row],[Performance_Ratio]] &lt; 0.85, "Underperforming", "Performing")</f>
        <v>Performing</v>
      </c>
      <c r="L187">
        <f>Table4[[#This Row],[energy_kwh]] - Table4[[#This Row],[expected_kwh]]</f>
        <v>-6.5442442873262934</v>
      </c>
      <c r="M187" t="str">
        <f>IF(Table4[[#This Row],[Performance_Deviation]] &lt; 0, "Underperforming", "Outperforming")</f>
        <v>Underperforming</v>
      </c>
      <c r="N187">
        <f>IF(Table4[[#This Row],[Performance_Ratio]] &lt; 0.85, Table4[[#This Row],[Performance_Deviation]] * 50 / 1000, 0)</f>
        <v>0</v>
      </c>
    </row>
    <row r="188" spans="1:14" x14ac:dyDescent="0.3">
      <c r="A188" s="4" t="s">
        <v>6</v>
      </c>
      <c r="B188" s="3">
        <v>45299.75</v>
      </c>
      <c r="C188" s="7">
        <v>4.62271867116526E-14</v>
      </c>
      <c r="D188" s="7">
        <v>4.41461129491519E-14</v>
      </c>
      <c r="E188" s="7">
        <v>4.41461129491519E-14</v>
      </c>
      <c r="F188" s="4">
        <v>82.917356483445005</v>
      </c>
      <c r="G188" s="4" t="str">
        <f t="shared" si="4"/>
        <v>OK</v>
      </c>
      <c r="H188" s="4" t="str">
        <f t="shared" si="5"/>
        <v>NON-ZERO</v>
      </c>
      <c r="I188" s="2">
        <v>4.8985871965894097E-14</v>
      </c>
      <c r="J188">
        <f>IFERROR(Table4[[#This Row],[energy_kwh]]/Table4[[#This Row],[expected_kwh]],0)</f>
        <v>0.90120092135724705</v>
      </c>
      <c r="K188" t="str">
        <f>IF(Table4[[#This Row],[Performance_Ratio]] &lt; 0.85, "Underperforming", "Performing")</f>
        <v>Performing</v>
      </c>
      <c r="L188">
        <f>Table4[[#This Row],[energy_kwh]] - Table4[[#This Row],[expected_kwh]]</f>
        <v>-4.8397590167421975E-15</v>
      </c>
      <c r="M188" t="str">
        <f>IF(Table4[[#This Row],[Performance_Deviation]] &lt; 0, "Underperforming", "Outperforming")</f>
        <v>Underperforming</v>
      </c>
      <c r="N188">
        <f>IF(Table4[[#This Row],[Performance_Ratio]] &lt; 0.85, Table4[[#This Row],[Performance_Deviation]] * 50 / 1000, 0)</f>
        <v>0</v>
      </c>
    </row>
    <row r="189" spans="1:14" x14ac:dyDescent="0.3">
      <c r="A189" s="6" t="s">
        <v>6</v>
      </c>
      <c r="B189" s="5">
        <v>45299.791666666664</v>
      </c>
      <c r="C189" s="6">
        <v>0</v>
      </c>
      <c r="D189" s="6">
        <v>0</v>
      </c>
      <c r="E189" s="6">
        <v>0</v>
      </c>
      <c r="F189" s="6">
        <v>85.242227154659602</v>
      </c>
      <c r="G189" s="6" t="str">
        <f t="shared" si="4"/>
        <v>OK</v>
      </c>
      <c r="H189" s="6" t="str">
        <f t="shared" si="5"/>
        <v>ZERO</v>
      </c>
      <c r="I189">
        <v>0</v>
      </c>
      <c r="J189">
        <f>IFERROR(Table4[[#This Row],[energy_kwh]]/Table4[[#This Row],[expected_kwh]],0)</f>
        <v>0</v>
      </c>
      <c r="K189" t="str">
        <f>IF(Table4[[#This Row],[Performance_Ratio]] &lt; 0.85, "Underperforming", "Performing")</f>
        <v>Underperforming</v>
      </c>
      <c r="L189">
        <f>Table4[[#This Row],[energy_kwh]] - Table4[[#This Row],[expected_kwh]]</f>
        <v>0</v>
      </c>
      <c r="M189" t="str">
        <f>IF(Table4[[#This Row],[Performance_Deviation]] &lt; 0, "Underperforming", "Outperforming")</f>
        <v>Outperforming</v>
      </c>
      <c r="N189">
        <f>IF(Table4[[#This Row],[Performance_Ratio]] &lt; 0.85, Table4[[#This Row],[Performance_Deviation]] * 50 / 1000, 0)</f>
        <v>0</v>
      </c>
    </row>
    <row r="190" spans="1:14" x14ac:dyDescent="0.3">
      <c r="A190" s="4" t="s">
        <v>6</v>
      </c>
      <c r="B190" s="3">
        <v>45299.833333333336</v>
      </c>
      <c r="C190" s="4">
        <v>0</v>
      </c>
      <c r="D190" s="4">
        <v>0</v>
      </c>
      <c r="E190" s="4">
        <v>0</v>
      </c>
      <c r="F190" s="4">
        <v>45.139793123442502</v>
      </c>
      <c r="G190" s="4" t="str">
        <f t="shared" si="4"/>
        <v>OK</v>
      </c>
      <c r="H190" s="4" t="str">
        <f t="shared" si="5"/>
        <v>ZERO</v>
      </c>
      <c r="I190">
        <v>0</v>
      </c>
      <c r="J190">
        <f>IFERROR(Table4[[#This Row],[energy_kwh]]/Table4[[#This Row],[expected_kwh]],0)</f>
        <v>0</v>
      </c>
      <c r="K190" t="str">
        <f>IF(Table4[[#This Row],[Performance_Ratio]] &lt; 0.85, "Underperforming", "Performing")</f>
        <v>Underperforming</v>
      </c>
      <c r="L190">
        <f>Table4[[#This Row],[energy_kwh]] - Table4[[#This Row],[expected_kwh]]</f>
        <v>0</v>
      </c>
      <c r="M190" t="str">
        <f>IF(Table4[[#This Row],[Performance_Deviation]] &lt; 0, "Underperforming", "Outperforming")</f>
        <v>Outperforming</v>
      </c>
      <c r="N190">
        <f>IF(Table4[[#This Row],[Performance_Ratio]] &lt; 0.85, Table4[[#This Row],[Performance_Deviation]] * 50 / 1000, 0)</f>
        <v>0</v>
      </c>
    </row>
    <row r="191" spans="1:14" x14ac:dyDescent="0.3">
      <c r="A191" s="6" t="s">
        <v>6</v>
      </c>
      <c r="B191" s="5">
        <v>45299.875</v>
      </c>
      <c r="C191" s="6">
        <v>0</v>
      </c>
      <c r="D191" s="6">
        <v>0</v>
      </c>
      <c r="E191" s="6">
        <v>0</v>
      </c>
      <c r="F191" s="6">
        <v>45.012437876835797</v>
      </c>
      <c r="G191" s="6" t="str">
        <f t="shared" si="4"/>
        <v>OK</v>
      </c>
      <c r="H191" s="6" t="str">
        <f t="shared" si="5"/>
        <v>ZERO</v>
      </c>
      <c r="I191">
        <v>0</v>
      </c>
      <c r="J191">
        <f>IFERROR(Table4[[#This Row],[energy_kwh]]/Table4[[#This Row],[expected_kwh]],0)</f>
        <v>0</v>
      </c>
      <c r="K191" t="str">
        <f>IF(Table4[[#This Row],[Performance_Ratio]] &lt; 0.85, "Underperforming", "Performing")</f>
        <v>Underperforming</v>
      </c>
      <c r="L191">
        <f>Table4[[#This Row],[energy_kwh]] - Table4[[#This Row],[expected_kwh]]</f>
        <v>0</v>
      </c>
      <c r="M191" t="str">
        <f>IF(Table4[[#This Row],[Performance_Deviation]] &lt; 0, "Underperforming", "Outperforming")</f>
        <v>Outperforming</v>
      </c>
      <c r="N191">
        <f>IF(Table4[[#This Row],[Performance_Ratio]] &lt; 0.85, Table4[[#This Row],[Performance_Deviation]] * 50 / 1000, 0)</f>
        <v>0</v>
      </c>
    </row>
    <row r="192" spans="1:14" x14ac:dyDescent="0.3">
      <c r="A192" s="4" t="s">
        <v>6</v>
      </c>
      <c r="B192" s="3">
        <v>45299.916666666664</v>
      </c>
      <c r="C192" s="4">
        <v>0</v>
      </c>
      <c r="D192" s="4">
        <v>0</v>
      </c>
      <c r="E192" s="4">
        <v>0</v>
      </c>
      <c r="F192" s="4">
        <v>46.021490142216997</v>
      </c>
      <c r="G192" s="4" t="str">
        <f t="shared" si="4"/>
        <v>OK</v>
      </c>
      <c r="H192" s="4" t="str">
        <f t="shared" si="5"/>
        <v>ZERO</v>
      </c>
      <c r="I192">
        <v>0</v>
      </c>
      <c r="J192">
        <f>IFERROR(Table4[[#This Row],[energy_kwh]]/Table4[[#This Row],[expected_kwh]],0)</f>
        <v>0</v>
      </c>
      <c r="K192" t="str">
        <f>IF(Table4[[#This Row],[Performance_Ratio]] &lt; 0.85, "Underperforming", "Performing")</f>
        <v>Underperforming</v>
      </c>
      <c r="L192">
        <f>Table4[[#This Row],[energy_kwh]] - Table4[[#This Row],[expected_kwh]]</f>
        <v>0</v>
      </c>
      <c r="M192" t="str">
        <f>IF(Table4[[#This Row],[Performance_Deviation]] &lt; 0, "Underperforming", "Outperforming")</f>
        <v>Outperforming</v>
      </c>
      <c r="N192">
        <f>IF(Table4[[#This Row],[Performance_Ratio]] &lt; 0.85, Table4[[#This Row],[Performance_Deviation]] * 50 / 1000, 0)</f>
        <v>0</v>
      </c>
    </row>
    <row r="193" spans="1:14" x14ac:dyDescent="0.3">
      <c r="A193" s="6" t="s">
        <v>6</v>
      </c>
      <c r="B193" s="5">
        <v>45299.958333333336</v>
      </c>
      <c r="C193" s="6">
        <v>0</v>
      </c>
      <c r="D193" s="6">
        <v>0</v>
      </c>
      <c r="E193" s="6">
        <v>0</v>
      </c>
      <c r="F193" s="6">
        <v>36.845361720498602</v>
      </c>
      <c r="G193" s="6" t="str">
        <f t="shared" si="4"/>
        <v>OK</v>
      </c>
      <c r="H193" s="6" t="str">
        <f t="shared" si="5"/>
        <v>ZERO</v>
      </c>
      <c r="I193">
        <v>0</v>
      </c>
      <c r="J193">
        <f>IFERROR(Table4[[#This Row],[energy_kwh]]/Table4[[#This Row],[expected_kwh]],0)</f>
        <v>0</v>
      </c>
      <c r="K193" t="str">
        <f>IF(Table4[[#This Row],[Performance_Ratio]] &lt; 0.85, "Underperforming", "Performing")</f>
        <v>Underperforming</v>
      </c>
      <c r="L193">
        <f>Table4[[#This Row],[energy_kwh]] - Table4[[#This Row],[expected_kwh]]</f>
        <v>0</v>
      </c>
      <c r="M193" t="str">
        <f>IF(Table4[[#This Row],[Performance_Deviation]] &lt; 0, "Underperforming", "Outperforming")</f>
        <v>Outperforming</v>
      </c>
      <c r="N193">
        <f>IF(Table4[[#This Row],[Performance_Ratio]] &lt; 0.85, Table4[[#This Row],[Performance_Deviation]] * 50 / 1000, 0)</f>
        <v>0</v>
      </c>
    </row>
    <row r="194" spans="1:14" x14ac:dyDescent="0.3">
      <c r="A194" s="4" t="s">
        <v>6</v>
      </c>
      <c r="B194" s="3">
        <v>45300</v>
      </c>
      <c r="C194" s="4">
        <v>0</v>
      </c>
      <c r="D194" s="4">
        <v>0</v>
      </c>
      <c r="E194" s="4">
        <v>0</v>
      </c>
      <c r="F194" s="4">
        <v>51.419408712840998</v>
      </c>
      <c r="G194" s="4" t="str">
        <f t="shared" ref="G194:G257" si="6">IF(D194 &gt; C194, "ERROR", "OK")</f>
        <v>OK</v>
      </c>
      <c r="H194" s="4" t="str">
        <f t="shared" ref="H194:H257" si="7">IF(E194=0,"ZERO","NON-ZERO")</f>
        <v>ZERO</v>
      </c>
      <c r="I194">
        <v>0</v>
      </c>
      <c r="J194">
        <f>IFERROR(Table4[[#This Row],[energy_kwh]]/Table4[[#This Row],[expected_kwh]],0)</f>
        <v>0</v>
      </c>
      <c r="K194" t="str">
        <f>IF(Table4[[#This Row],[Performance_Ratio]] &lt; 0.85, "Underperforming", "Performing")</f>
        <v>Underperforming</v>
      </c>
      <c r="L194">
        <f>Table4[[#This Row],[energy_kwh]] - Table4[[#This Row],[expected_kwh]]</f>
        <v>0</v>
      </c>
      <c r="M194" t="str">
        <f>IF(Table4[[#This Row],[Performance_Deviation]] &lt; 0, "Underperforming", "Outperforming")</f>
        <v>Outperforming</v>
      </c>
      <c r="N194">
        <f>IF(Table4[[#This Row],[Performance_Ratio]] &lt; 0.85, Table4[[#This Row],[Performance_Deviation]] * 50 / 1000, 0)</f>
        <v>0</v>
      </c>
    </row>
    <row r="195" spans="1:14" x14ac:dyDescent="0.3">
      <c r="A195" s="6" t="s">
        <v>6</v>
      </c>
      <c r="B195" s="5">
        <v>45300.041666666664</v>
      </c>
      <c r="C195" s="6">
        <v>0</v>
      </c>
      <c r="D195" s="6">
        <v>0</v>
      </c>
      <c r="E195" s="6">
        <v>0</v>
      </c>
      <c r="F195" s="6">
        <v>63.544126270853198</v>
      </c>
      <c r="G195" s="6" t="str">
        <f t="shared" si="6"/>
        <v>OK</v>
      </c>
      <c r="H195" s="6" t="str">
        <f t="shared" si="7"/>
        <v>ZERO</v>
      </c>
      <c r="I195">
        <v>0</v>
      </c>
      <c r="J195">
        <f>IFERROR(Table4[[#This Row],[energy_kwh]]/Table4[[#This Row],[expected_kwh]],0)</f>
        <v>0</v>
      </c>
      <c r="K195" t="str">
        <f>IF(Table4[[#This Row],[Performance_Ratio]] &lt; 0.85, "Underperforming", "Performing")</f>
        <v>Underperforming</v>
      </c>
      <c r="L195">
        <f>Table4[[#This Row],[energy_kwh]] - Table4[[#This Row],[expected_kwh]]</f>
        <v>0</v>
      </c>
      <c r="M195" t="str">
        <f>IF(Table4[[#This Row],[Performance_Deviation]] &lt; 0, "Underperforming", "Outperforming")</f>
        <v>Outperforming</v>
      </c>
      <c r="N195">
        <f>IF(Table4[[#This Row],[Performance_Ratio]] &lt; 0.85, Table4[[#This Row],[Performance_Deviation]] * 50 / 1000, 0)</f>
        <v>0</v>
      </c>
    </row>
    <row r="196" spans="1:14" x14ac:dyDescent="0.3">
      <c r="A196" s="4" t="s">
        <v>6</v>
      </c>
      <c r="B196" s="3">
        <v>45300.083333333336</v>
      </c>
      <c r="C196" s="4">
        <v>0</v>
      </c>
      <c r="D196" s="4">
        <v>0</v>
      </c>
      <c r="E196" s="4">
        <v>0</v>
      </c>
      <c r="F196" s="4">
        <v>51.096809279526703</v>
      </c>
      <c r="G196" s="4" t="str">
        <f t="shared" si="6"/>
        <v>OK</v>
      </c>
      <c r="H196" s="4" t="str">
        <f t="shared" si="7"/>
        <v>ZERO</v>
      </c>
      <c r="I196">
        <v>0</v>
      </c>
      <c r="J196">
        <f>IFERROR(Table4[[#This Row],[energy_kwh]]/Table4[[#This Row],[expected_kwh]],0)</f>
        <v>0</v>
      </c>
      <c r="K196" t="str">
        <f>IF(Table4[[#This Row],[Performance_Ratio]] &lt; 0.85, "Underperforming", "Performing")</f>
        <v>Underperforming</v>
      </c>
      <c r="L196">
        <f>Table4[[#This Row],[energy_kwh]] - Table4[[#This Row],[expected_kwh]]</f>
        <v>0</v>
      </c>
      <c r="M196" t="str">
        <f>IF(Table4[[#This Row],[Performance_Deviation]] &lt; 0, "Underperforming", "Outperforming")</f>
        <v>Outperforming</v>
      </c>
      <c r="N196">
        <f>IF(Table4[[#This Row],[Performance_Ratio]] &lt; 0.85, Table4[[#This Row],[Performance_Deviation]] * 50 / 1000, 0)</f>
        <v>0</v>
      </c>
    </row>
    <row r="197" spans="1:14" x14ac:dyDescent="0.3">
      <c r="A197" s="6" t="s">
        <v>6</v>
      </c>
      <c r="B197" s="5">
        <v>45300.125</v>
      </c>
      <c r="C197" s="6">
        <v>0</v>
      </c>
      <c r="D197" s="6">
        <v>0</v>
      </c>
      <c r="E197" s="6">
        <v>0</v>
      </c>
      <c r="F197" s="6">
        <v>57.664625774843103</v>
      </c>
      <c r="G197" s="6" t="str">
        <f t="shared" si="6"/>
        <v>OK</v>
      </c>
      <c r="H197" s="6" t="str">
        <f t="shared" si="7"/>
        <v>ZERO</v>
      </c>
      <c r="I197">
        <v>0</v>
      </c>
      <c r="J197">
        <f>IFERROR(Table4[[#This Row],[energy_kwh]]/Table4[[#This Row],[expected_kwh]],0)</f>
        <v>0</v>
      </c>
      <c r="K197" t="str">
        <f>IF(Table4[[#This Row],[Performance_Ratio]] &lt; 0.85, "Underperforming", "Performing")</f>
        <v>Underperforming</v>
      </c>
      <c r="L197">
        <f>Table4[[#This Row],[energy_kwh]] - Table4[[#This Row],[expected_kwh]]</f>
        <v>0</v>
      </c>
      <c r="M197" t="str">
        <f>IF(Table4[[#This Row],[Performance_Deviation]] &lt; 0, "Underperforming", "Outperforming")</f>
        <v>Outperforming</v>
      </c>
      <c r="N197">
        <f>IF(Table4[[#This Row],[Performance_Ratio]] &lt; 0.85, Table4[[#This Row],[Performance_Deviation]] * 50 / 1000, 0)</f>
        <v>0</v>
      </c>
    </row>
    <row r="198" spans="1:14" x14ac:dyDescent="0.3">
      <c r="A198" s="4" t="s">
        <v>6</v>
      </c>
      <c r="B198" s="3">
        <v>45300.166666666664</v>
      </c>
      <c r="C198" s="4">
        <v>0</v>
      </c>
      <c r="D198" s="4">
        <v>0</v>
      </c>
      <c r="E198" s="4">
        <v>0</v>
      </c>
      <c r="F198" s="4">
        <v>87.354071708053496</v>
      </c>
      <c r="G198" s="4" t="str">
        <f t="shared" si="6"/>
        <v>OK</v>
      </c>
      <c r="H198" s="4" t="str">
        <f t="shared" si="7"/>
        <v>ZERO</v>
      </c>
      <c r="I198">
        <v>0</v>
      </c>
      <c r="J198">
        <f>IFERROR(Table4[[#This Row],[energy_kwh]]/Table4[[#This Row],[expected_kwh]],0)</f>
        <v>0</v>
      </c>
      <c r="K198" t="str">
        <f>IF(Table4[[#This Row],[Performance_Ratio]] &lt; 0.85, "Underperforming", "Performing")</f>
        <v>Underperforming</v>
      </c>
      <c r="L198">
        <f>Table4[[#This Row],[energy_kwh]] - Table4[[#This Row],[expected_kwh]]</f>
        <v>0</v>
      </c>
      <c r="M198" t="str">
        <f>IF(Table4[[#This Row],[Performance_Deviation]] &lt; 0, "Underperforming", "Outperforming")</f>
        <v>Outperforming</v>
      </c>
      <c r="N198">
        <f>IF(Table4[[#This Row],[Performance_Ratio]] &lt; 0.85, Table4[[#This Row],[Performance_Deviation]] * 50 / 1000, 0)</f>
        <v>0</v>
      </c>
    </row>
    <row r="199" spans="1:14" x14ac:dyDescent="0.3">
      <c r="A199" s="6" t="s">
        <v>6</v>
      </c>
      <c r="B199" s="5">
        <v>45300.208333333336</v>
      </c>
      <c r="C199" s="6">
        <v>0</v>
      </c>
      <c r="D199" s="6">
        <v>0</v>
      </c>
      <c r="E199" s="6">
        <v>0</v>
      </c>
      <c r="F199" s="6">
        <v>22.741225088607099</v>
      </c>
      <c r="G199" s="6" t="str">
        <f t="shared" si="6"/>
        <v>OK</v>
      </c>
      <c r="H199" s="6" t="str">
        <f t="shared" si="7"/>
        <v>ZERO</v>
      </c>
      <c r="I199">
        <v>0</v>
      </c>
      <c r="J199">
        <f>IFERROR(Table4[[#This Row],[energy_kwh]]/Table4[[#This Row],[expected_kwh]],0)</f>
        <v>0</v>
      </c>
      <c r="K199" t="str">
        <f>IF(Table4[[#This Row],[Performance_Ratio]] &lt; 0.85, "Underperforming", "Performing")</f>
        <v>Underperforming</v>
      </c>
      <c r="L199">
        <f>Table4[[#This Row],[energy_kwh]] - Table4[[#This Row],[expected_kwh]]</f>
        <v>0</v>
      </c>
      <c r="M199" t="str">
        <f>IF(Table4[[#This Row],[Performance_Deviation]] &lt; 0, "Underperforming", "Outperforming")</f>
        <v>Outperforming</v>
      </c>
      <c r="N199">
        <f>IF(Table4[[#This Row],[Performance_Ratio]] &lt; 0.85, Table4[[#This Row],[Performance_Deviation]] * 50 / 1000, 0)</f>
        <v>0</v>
      </c>
    </row>
    <row r="200" spans="1:14" x14ac:dyDescent="0.3">
      <c r="A200" s="4" t="s">
        <v>6</v>
      </c>
      <c r="B200" s="3">
        <v>45300.25</v>
      </c>
      <c r="C200" s="4">
        <v>0</v>
      </c>
      <c r="D200" s="4">
        <v>0</v>
      </c>
      <c r="E200" s="4">
        <v>0</v>
      </c>
      <c r="F200" s="4">
        <v>53.996662606101999</v>
      </c>
      <c r="G200" s="4" t="str">
        <f t="shared" si="6"/>
        <v>OK</v>
      </c>
      <c r="H200" s="4" t="str">
        <f t="shared" si="7"/>
        <v>ZERO</v>
      </c>
      <c r="I200">
        <v>0</v>
      </c>
      <c r="J200">
        <f>IFERROR(Table4[[#This Row],[energy_kwh]]/Table4[[#This Row],[expected_kwh]],0)</f>
        <v>0</v>
      </c>
      <c r="K200" t="str">
        <f>IF(Table4[[#This Row],[Performance_Ratio]] &lt; 0.85, "Underperforming", "Performing")</f>
        <v>Underperforming</v>
      </c>
      <c r="L200">
        <f>Table4[[#This Row],[energy_kwh]] - Table4[[#This Row],[expected_kwh]]</f>
        <v>0</v>
      </c>
      <c r="M200" t="str">
        <f>IF(Table4[[#This Row],[Performance_Deviation]] &lt; 0, "Underperforming", "Outperforming")</f>
        <v>Outperforming</v>
      </c>
      <c r="N200">
        <f>IF(Table4[[#This Row],[Performance_Ratio]] &lt; 0.85, Table4[[#This Row],[Performance_Deviation]] * 50 / 1000, 0)</f>
        <v>0</v>
      </c>
    </row>
    <row r="201" spans="1:14" x14ac:dyDescent="0.3">
      <c r="A201" s="6" t="s">
        <v>6</v>
      </c>
      <c r="B201" s="5">
        <v>45300.291666666664</v>
      </c>
      <c r="C201" s="6">
        <v>90.328125041444693</v>
      </c>
      <c r="D201" s="6">
        <v>86.261697806489394</v>
      </c>
      <c r="E201" s="6">
        <v>86.261697806489394</v>
      </c>
      <c r="F201" s="6">
        <v>50.057229565649401</v>
      </c>
      <c r="G201" s="6" t="str">
        <f t="shared" si="6"/>
        <v>OK</v>
      </c>
      <c r="H201" s="6" t="str">
        <f t="shared" si="7"/>
        <v>NON-ZERO</v>
      </c>
      <c r="I201">
        <v>103.527618041008</v>
      </c>
      <c r="J201">
        <f>IFERROR(Table4[[#This Row],[energy_kwh]]/Table4[[#This Row],[expected_kwh]],0)</f>
        <v>0.8332240173083143</v>
      </c>
      <c r="K201" t="str">
        <f>IF(Table4[[#This Row],[Performance_Ratio]] &lt; 0.85, "Underperforming", "Performing")</f>
        <v>Underperforming</v>
      </c>
      <c r="L201">
        <f>Table4[[#This Row],[energy_kwh]] - Table4[[#This Row],[expected_kwh]]</f>
        <v>-17.265920234518603</v>
      </c>
      <c r="M201" t="str">
        <f>IF(Table4[[#This Row],[Performance_Deviation]] &lt; 0, "Underperforming", "Outperforming")</f>
        <v>Underperforming</v>
      </c>
      <c r="N201">
        <f>IF(Table4[[#This Row],[Performance_Ratio]] &lt; 0.85, Table4[[#This Row],[Performance_Deviation]] * 50 / 1000, 0)</f>
        <v>-0.86329601172593018</v>
      </c>
    </row>
    <row r="202" spans="1:14" x14ac:dyDescent="0.3">
      <c r="A202" s="4" t="s">
        <v>6</v>
      </c>
      <c r="B202" s="3">
        <v>45300.333333333336</v>
      </c>
      <c r="C202" s="4">
        <v>173.51460288614999</v>
      </c>
      <c r="D202" s="4">
        <v>165.703253912451</v>
      </c>
      <c r="E202" s="4">
        <v>165.703253912451</v>
      </c>
      <c r="F202" s="4">
        <v>90.958659660022406</v>
      </c>
      <c r="G202" s="4" t="str">
        <f t="shared" si="6"/>
        <v>OK</v>
      </c>
      <c r="H202" s="4" t="str">
        <f t="shared" si="7"/>
        <v>NON-ZERO</v>
      </c>
      <c r="I202">
        <v>199.99999999999901</v>
      </c>
      <c r="J202">
        <f>IFERROR(Table4[[#This Row],[energy_kwh]]/Table4[[#This Row],[expected_kwh]],0)</f>
        <v>0.8285162695622591</v>
      </c>
      <c r="K202" t="str">
        <f>IF(Table4[[#This Row],[Performance_Ratio]] &lt; 0.85, "Underperforming", "Performing")</f>
        <v>Underperforming</v>
      </c>
      <c r="L202">
        <f>Table4[[#This Row],[energy_kwh]] - Table4[[#This Row],[expected_kwh]]</f>
        <v>-34.296746087548001</v>
      </c>
      <c r="M202" t="str">
        <f>IF(Table4[[#This Row],[Performance_Deviation]] &lt; 0, "Underperforming", "Outperforming")</f>
        <v>Underperforming</v>
      </c>
      <c r="N202">
        <f>IF(Table4[[#This Row],[Performance_Ratio]] &lt; 0.85, Table4[[#This Row],[Performance_Deviation]] * 50 / 1000, 0)</f>
        <v>-1.7148373043773999</v>
      </c>
    </row>
    <row r="203" spans="1:14" x14ac:dyDescent="0.3">
      <c r="A203" s="6" t="s">
        <v>6</v>
      </c>
      <c r="B203" s="5">
        <v>45300.375</v>
      </c>
      <c r="C203" s="6">
        <v>272.73366668939599</v>
      </c>
      <c r="D203" s="6">
        <v>260.45563468545299</v>
      </c>
      <c r="E203" s="6">
        <v>260.45563468545299</v>
      </c>
      <c r="F203" s="6">
        <v>68.299965742926105</v>
      </c>
      <c r="G203" s="6" t="str">
        <f t="shared" si="6"/>
        <v>OK</v>
      </c>
      <c r="H203" s="6" t="str">
        <f t="shared" si="7"/>
        <v>NON-ZERO</v>
      </c>
      <c r="I203">
        <v>282.84271247461902</v>
      </c>
      <c r="J203">
        <f>IFERROR(Table4[[#This Row],[energy_kwh]]/Table4[[#This Row],[expected_kwh]],0)</f>
        <v>0.92084972742164983</v>
      </c>
      <c r="K203" t="str">
        <f>IF(Table4[[#This Row],[Performance_Ratio]] &lt; 0.85, "Underperforming", "Performing")</f>
        <v>Performing</v>
      </c>
      <c r="L203">
        <f>Table4[[#This Row],[energy_kwh]] - Table4[[#This Row],[expected_kwh]]</f>
        <v>-22.387077789166028</v>
      </c>
      <c r="M203" t="str">
        <f>IF(Table4[[#This Row],[Performance_Deviation]] &lt; 0, "Underperforming", "Outperforming")</f>
        <v>Underperforming</v>
      </c>
      <c r="N203">
        <f>IF(Table4[[#This Row],[Performance_Ratio]] &lt; 0.85, Table4[[#This Row],[Performance_Deviation]] * 50 / 1000, 0)</f>
        <v>0</v>
      </c>
    </row>
    <row r="204" spans="1:14" x14ac:dyDescent="0.3">
      <c r="A204" s="4" t="s">
        <v>6</v>
      </c>
      <c r="B204" s="3">
        <v>45300.416666666664</v>
      </c>
      <c r="C204" s="4">
        <v>320.31426375242199</v>
      </c>
      <c r="D204" s="4">
        <v>305.89422962384998</v>
      </c>
      <c r="E204" s="4">
        <v>305.89422962384998</v>
      </c>
      <c r="F204" s="4">
        <v>69.419295643261293</v>
      </c>
      <c r="G204" s="4" t="str">
        <f t="shared" si="6"/>
        <v>OK</v>
      </c>
      <c r="H204" s="4" t="str">
        <f t="shared" si="7"/>
        <v>NON-ZERO</v>
      </c>
      <c r="I204">
        <v>346.41016151377499</v>
      </c>
      <c r="J204">
        <f>IFERROR(Table4[[#This Row],[energy_kwh]]/Table4[[#This Row],[expected_kwh]],0)</f>
        <v>0.88304057908441613</v>
      </c>
      <c r="K204" t="str">
        <f>IF(Table4[[#This Row],[Performance_Ratio]] &lt; 0.85, "Underperforming", "Performing")</f>
        <v>Performing</v>
      </c>
      <c r="L204">
        <f>Table4[[#This Row],[energy_kwh]] - Table4[[#This Row],[expected_kwh]]</f>
        <v>-40.515931889925014</v>
      </c>
      <c r="M204" t="str">
        <f>IF(Table4[[#This Row],[Performance_Deviation]] &lt; 0, "Underperforming", "Outperforming")</f>
        <v>Underperforming</v>
      </c>
      <c r="N204">
        <f>IF(Table4[[#This Row],[Performance_Ratio]] &lt; 0.85, Table4[[#This Row],[Performance_Deviation]] * 50 / 1000, 0)</f>
        <v>0</v>
      </c>
    </row>
    <row r="205" spans="1:14" x14ac:dyDescent="0.3">
      <c r="A205" s="6" t="s">
        <v>6</v>
      </c>
      <c r="B205" s="5">
        <v>45300.458333333336</v>
      </c>
      <c r="C205" s="6">
        <v>365.16969298828599</v>
      </c>
      <c r="D205" s="6">
        <v>348.73033941744001</v>
      </c>
      <c r="E205" s="6">
        <v>348.73033941744001</v>
      </c>
      <c r="F205" s="6">
        <v>37.330609744105303</v>
      </c>
      <c r="G205" s="6" t="str">
        <f t="shared" si="6"/>
        <v>OK</v>
      </c>
      <c r="H205" s="6" t="str">
        <f t="shared" si="7"/>
        <v>NON-ZERO</v>
      </c>
      <c r="I205">
        <v>386.37033051562702</v>
      </c>
      <c r="J205">
        <f>IFERROR(Table4[[#This Row],[energy_kwh]]/Table4[[#This Row],[expected_kwh]],0)</f>
        <v>0.90258053446299846</v>
      </c>
      <c r="K205" t="str">
        <f>IF(Table4[[#This Row],[Performance_Ratio]] &lt; 0.85, "Underperforming", "Performing")</f>
        <v>Performing</v>
      </c>
      <c r="L205">
        <f>Table4[[#This Row],[energy_kwh]] - Table4[[#This Row],[expected_kwh]]</f>
        <v>-37.639991098187011</v>
      </c>
      <c r="M205" t="str">
        <f>IF(Table4[[#This Row],[Performance_Deviation]] &lt; 0, "Underperforming", "Outperforming")</f>
        <v>Underperforming</v>
      </c>
      <c r="N205">
        <f>IF(Table4[[#This Row],[Performance_Ratio]] &lt; 0.85, Table4[[#This Row],[Performance_Deviation]] * 50 / 1000, 0)</f>
        <v>0</v>
      </c>
    </row>
    <row r="206" spans="1:14" x14ac:dyDescent="0.3">
      <c r="A206" s="4" t="s">
        <v>6</v>
      </c>
      <c r="B206" s="3">
        <v>45300.5</v>
      </c>
      <c r="C206" s="4">
        <v>382.76488177384499</v>
      </c>
      <c r="D206" s="4">
        <v>365.53342103982101</v>
      </c>
      <c r="E206" s="4">
        <v>365.53342103982101</v>
      </c>
      <c r="F206" s="4">
        <v>37.863708578504401</v>
      </c>
      <c r="G206" s="4" t="str">
        <f t="shared" si="6"/>
        <v>OK</v>
      </c>
      <c r="H206" s="4" t="str">
        <f t="shared" si="7"/>
        <v>NON-ZERO</v>
      </c>
      <c r="I206">
        <v>400</v>
      </c>
      <c r="J206">
        <f>IFERROR(Table4[[#This Row],[energy_kwh]]/Table4[[#This Row],[expected_kwh]],0)</f>
        <v>0.91383355259955257</v>
      </c>
      <c r="K206" t="str">
        <f>IF(Table4[[#This Row],[Performance_Ratio]] &lt; 0.85, "Underperforming", "Performing")</f>
        <v>Performing</v>
      </c>
      <c r="L206">
        <f>Table4[[#This Row],[energy_kwh]] - Table4[[#This Row],[expected_kwh]]</f>
        <v>-34.466578960178992</v>
      </c>
      <c r="M206" t="str">
        <f>IF(Table4[[#This Row],[Performance_Deviation]] &lt; 0, "Underperforming", "Outperforming")</f>
        <v>Underperforming</v>
      </c>
      <c r="N206">
        <f>IF(Table4[[#This Row],[Performance_Ratio]] &lt; 0.85, Table4[[#This Row],[Performance_Deviation]] * 50 / 1000, 0)</f>
        <v>0</v>
      </c>
    </row>
    <row r="207" spans="1:14" x14ac:dyDescent="0.3">
      <c r="A207" s="6" t="s">
        <v>6</v>
      </c>
      <c r="B207" s="5">
        <v>45300.541666666664</v>
      </c>
      <c r="C207" s="6">
        <v>363.52650919031203</v>
      </c>
      <c r="D207" s="6">
        <v>347.161129117146</v>
      </c>
      <c r="E207" s="6">
        <v>347.161129117146</v>
      </c>
      <c r="F207" s="6">
        <v>74.170019889174398</v>
      </c>
      <c r="G207" s="6" t="str">
        <f t="shared" si="6"/>
        <v>OK</v>
      </c>
      <c r="H207" s="6" t="str">
        <f t="shared" si="7"/>
        <v>NON-ZERO</v>
      </c>
      <c r="I207">
        <v>386.37033051562702</v>
      </c>
      <c r="J207">
        <f>IFERROR(Table4[[#This Row],[energy_kwh]]/Table4[[#This Row],[expected_kwh]],0)</f>
        <v>0.89851911934812712</v>
      </c>
      <c r="K207" t="str">
        <f>IF(Table4[[#This Row],[Performance_Ratio]] &lt; 0.85, "Underperforming", "Performing")</f>
        <v>Performing</v>
      </c>
      <c r="L207">
        <f>Table4[[#This Row],[energy_kwh]] - Table4[[#This Row],[expected_kwh]]</f>
        <v>-39.209201398481014</v>
      </c>
      <c r="M207" t="str">
        <f>IF(Table4[[#This Row],[Performance_Deviation]] &lt; 0, "Underperforming", "Outperforming")</f>
        <v>Underperforming</v>
      </c>
      <c r="N207">
        <f>IF(Table4[[#This Row],[Performance_Ratio]] &lt; 0.85, Table4[[#This Row],[Performance_Deviation]] * 50 / 1000, 0)</f>
        <v>0</v>
      </c>
    </row>
    <row r="208" spans="1:14" x14ac:dyDescent="0.3">
      <c r="A208" s="4" t="s">
        <v>6</v>
      </c>
      <c r="B208" s="3">
        <v>45300.583333333336</v>
      </c>
      <c r="C208" s="4">
        <v>334.779662168458</v>
      </c>
      <c r="D208" s="4">
        <v>319.70841901659998</v>
      </c>
      <c r="E208" s="4">
        <v>319.70841901659998</v>
      </c>
      <c r="F208" s="4">
        <v>35.373822156186499</v>
      </c>
      <c r="G208" s="4" t="str">
        <f t="shared" si="6"/>
        <v>OK</v>
      </c>
      <c r="H208" s="4" t="str">
        <f t="shared" si="7"/>
        <v>NON-ZERO</v>
      </c>
      <c r="I208">
        <v>346.41016151377499</v>
      </c>
      <c r="J208">
        <f>IFERROR(Table4[[#This Row],[energy_kwh]]/Table4[[#This Row],[expected_kwh]],0)</f>
        <v>0.92291870890711958</v>
      </c>
      <c r="K208" t="str">
        <f>IF(Table4[[#This Row],[Performance_Ratio]] &lt; 0.85, "Underperforming", "Performing")</f>
        <v>Performing</v>
      </c>
      <c r="L208">
        <f>Table4[[#This Row],[energy_kwh]] - Table4[[#This Row],[expected_kwh]]</f>
        <v>-26.701742497175019</v>
      </c>
      <c r="M208" t="str">
        <f>IF(Table4[[#This Row],[Performance_Deviation]] &lt; 0, "Underperforming", "Outperforming")</f>
        <v>Underperforming</v>
      </c>
      <c r="N208">
        <f>IF(Table4[[#This Row],[Performance_Ratio]] &lt; 0.85, Table4[[#This Row],[Performance_Deviation]] * 50 / 1000, 0)</f>
        <v>0</v>
      </c>
    </row>
    <row r="209" spans="1:14" x14ac:dyDescent="0.3">
      <c r="A209" s="6" t="s">
        <v>6</v>
      </c>
      <c r="B209" s="5">
        <v>45300.625</v>
      </c>
      <c r="C209" s="6">
        <v>273.70488058503202</v>
      </c>
      <c r="D209" s="6">
        <v>261.38312609006698</v>
      </c>
      <c r="E209" s="6">
        <v>261.38312609006698</v>
      </c>
      <c r="F209" s="6">
        <v>20.9751442633052</v>
      </c>
      <c r="G209" s="6" t="str">
        <f t="shared" si="6"/>
        <v>OK</v>
      </c>
      <c r="H209" s="6" t="str">
        <f t="shared" si="7"/>
        <v>NON-ZERO</v>
      </c>
      <c r="I209">
        <v>282.84271247461902</v>
      </c>
      <c r="J209">
        <f>IFERROR(Table4[[#This Row],[energy_kwh]]/Table4[[#This Row],[expected_kwh]],0)</f>
        <v>0.92412890473012377</v>
      </c>
      <c r="K209" t="str">
        <f>IF(Table4[[#This Row],[Performance_Ratio]] &lt; 0.85, "Underperforming", "Performing")</f>
        <v>Performing</v>
      </c>
      <c r="L209">
        <f>Table4[[#This Row],[energy_kwh]] - Table4[[#This Row],[expected_kwh]]</f>
        <v>-21.45958638455204</v>
      </c>
      <c r="M209" t="str">
        <f>IF(Table4[[#This Row],[Performance_Deviation]] &lt; 0, "Underperforming", "Outperforming")</f>
        <v>Underperforming</v>
      </c>
      <c r="N209">
        <f>IF(Table4[[#This Row],[Performance_Ratio]] &lt; 0.85, Table4[[#This Row],[Performance_Deviation]] * 50 / 1000, 0)</f>
        <v>0</v>
      </c>
    </row>
    <row r="210" spans="1:14" x14ac:dyDescent="0.3">
      <c r="A210" s="4" t="s">
        <v>6</v>
      </c>
      <c r="B210" s="3">
        <v>45300.666666666664</v>
      </c>
      <c r="C210" s="4">
        <v>166.623091591042</v>
      </c>
      <c r="D210" s="4">
        <v>159.121987396668</v>
      </c>
      <c r="E210" s="4">
        <v>159.121987396668</v>
      </c>
      <c r="F210" s="4">
        <v>45.6363013773407</v>
      </c>
      <c r="G210" s="4" t="str">
        <f t="shared" si="6"/>
        <v>OK</v>
      </c>
      <c r="H210" s="4" t="str">
        <f t="shared" si="7"/>
        <v>NON-ZERO</v>
      </c>
      <c r="I210">
        <v>199.99999999999901</v>
      </c>
      <c r="J210">
        <f>IFERROR(Table4[[#This Row],[energy_kwh]]/Table4[[#This Row],[expected_kwh]],0)</f>
        <v>0.79560993698334392</v>
      </c>
      <c r="K210" t="str">
        <f>IF(Table4[[#This Row],[Performance_Ratio]] &lt; 0.85, "Underperforming", "Performing")</f>
        <v>Underperforming</v>
      </c>
      <c r="L210">
        <f>Table4[[#This Row],[energy_kwh]] - Table4[[#This Row],[expected_kwh]]</f>
        <v>-40.878012603331001</v>
      </c>
      <c r="M210" t="str">
        <f>IF(Table4[[#This Row],[Performance_Deviation]] &lt; 0, "Underperforming", "Outperforming")</f>
        <v>Underperforming</v>
      </c>
      <c r="N210">
        <f>IF(Table4[[#This Row],[Performance_Ratio]] &lt; 0.85, Table4[[#This Row],[Performance_Deviation]] * 50 / 1000, 0)</f>
        <v>-2.0439006301665499</v>
      </c>
    </row>
    <row r="211" spans="1:14" x14ac:dyDescent="0.3">
      <c r="A211" s="6" t="s">
        <v>6</v>
      </c>
      <c r="B211" s="5">
        <v>45300.708333333336</v>
      </c>
      <c r="C211" s="6">
        <v>111.139805581419</v>
      </c>
      <c r="D211" s="6">
        <v>106.136469886179</v>
      </c>
      <c r="E211" s="6">
        <v>106.136469886179</v>
      </c>
      <c r="F211" s="6">
        <v>64.272120688610499</v>
      </c>
      <c r="G211" s="6" t="str">
        <f t="shared" si="6"/>
        <v>OK</v>
      </c>
      <c r="H211" s="6" t="str">
        <f t="shared" si="7"/>
        <v>NON-ZERO</v>
      </c>
      <c r="I211">
        <v>103.527618041008</v>
      </c>
      <c r="J211">
        <f>IFERROR(Table4[[#This Row],[energy_kwh]]/Table4[[#This Row],[expected_kwh]],0)</f>
        <v>1.0251995737421258</v>
      </c>
      <c r="K211" t="str">
        <f>IF(Table4[[#This Row],[Performance_Ratio]] &lt; 0.85, "Underperforming", "Performing")</f>
        <v>Performing</v>
      </c>
      <c r="L211">
        <f>Table4[[#This Row],[energy_kwh]] - Table4[[#This Row],[expected_kwh]]</f>
        <v>2.608851845171003</v>
      </c>
      <c r="M211" t="str">
        <f>IF(Table4[[#This Row],[Performance_Deviation]] &lt; 0, "Underperforming", "Outperforming")</f>
        <v>Outperforming</v>
      </c>
      <c r="N211">
        <f>IF(Table4[[#This Row],[Performance_Ratio]] &lt; 0.85, Table4[[#This Row],[Performance_Deviation]] * 50 / 1000, 0)</f>
        <v>0</v>
      </c>
    </row>
    <row r="212" spans="1:14" x14ac:dyDescent="0.3">
      <c r="A212" s="4" t="s">
        <v>6</v>
      </c>
      <c r="B212" s="3">
        <v>45300.75</v>
      </c>
      <c r="C212" s="7">
        <v>4.9130116247001398E-14</v>
      </c>
      <c r="D212" s="7">
        <v>4.6918357255306801E-14</v>
      </c>
      <c r="E212" s="7">
        <v>4.6918357255306801E-14</v>
      </c>
      <c r="F212" s="4">
        <v>52.709489685148696</v>
      </c>
      <c r="G212" s="4" t="str">
        <f t="shared" si="6"/>
        <v>OK</v>
      </c>
      <c r="H212" s="4" t="str">
        <f t="shared" si="7"/>
        <v>NON-ZERO</v>
      </c>
      <c r="I212" s="2">
        <v>4.8985871965894097E-14</v>
      </c>
      <c r="J212">
        <f>IFERROR(Table4[[#This Row],[energy_kwh]]/Table4[[#This Row],[expected_kwh]],0)</f>
        <v>0.95779365299393304</v>
      </c>
      <c r="K212" t="str">
        <f>IF(Table4[[#This Row],[Performance_Ratio]] &lt; 0.85, "Underperforming", "Performing")</f>
        <v>Performing</v>
      </c>
      <c r="L212">
        <f>Table4[[#This Row],[energy_kwh]] - Table4[[#This Row],[expected_kwh]]</f>
        <v>-2.0675147105872962E-15</v>
      </c>
      <c r="M212" t="str">
        <f>IF(Table4[[#This Row],[Performance_Deviation]] &lt; 0, "Underperforming", "Outperforming")</f>
        <v>Underperforming</v>
      </c>
      <c r="N212">
        <f>IF(Table4[[#This Row],[Performance_Ratio]] &lt; 0.85, Table4[[#This Row],[Performance_Deviation]] * 50 / 1000, 0)</f>
        <v>0</v>
      </c>
    </row>
    <row r="213" spans="1:14" x14ac:dyDescent="0.3">
      <c r="A213" s="6" t="s">
        <v>6</v>
      </c>
      <c r="B213" s="5">
        <v>45300.791666666664</v>
      </c>
      <c r="C213" s="6">
        <v>0</v>
      </c>
      <c r="D213" s="6">
        <v>0</v>
      </c>
      <c r="E213" s="6">
        <v>0</v>
      </c>
      <c r="F213" s="6">
        <v>77.270434561982</v>
      </c>
      <c r="G213" s="6" t="str">
        <f t="shared" si="6"/>
        <v>OK</v>
      </c>
      <c r="H213" s="6" t="str">
        <f t="shared" si="7"/>
        <v>ZERO</v>
      </c>
      <c r="I213">
        <v>0</v>
      </c>
      <c r="J213">
        <f>IFERROR(Table4[[#This Row],[energy_kwh]]/Table4[[#This Row],[expected_kwh]],0)</f>
        <v>0</v>
      </c>
      <c r="K213" t="str">
        <f>IF(Table4[[#This Row],[Performance_Ratio]] &lt; 0.85, "Underperforming", "Performing")</f>
        <v>Underperforming</v>
      </c>
      <c r="L213">
        <f>Table4[[#This Row],[energy_kwh]] - Table4[[#This Row],[expected_kwh]]</f>
        <v>0</v>
      </c>
      <c r="M213" t="str">
        <f>IF(Table4[[#This Row],[Performance_Deviation]] &lt; 0, "Underperforming", "Outperforming")</f>
        <v>Outperforming</v>
      </c>
      <c r="N213">
        <f>IF(Table4[[#This Row],[Performance_Ratio]] &lt; 0.85, Table4[[#This Row],[Performance_Deviation]] * 50 / 1000, 0)</f>
        <v>0</v>
      </c>
    </row>
    <row r="214" spans="1:14" x14ac:dyDescent="0.3">
      <c r="A214" s="4" t="s">
        <v>6</v>
      </c>
      <c r="B214" s="3">
        <v>45300.833333333336</v>
      </c>
      <c r="C214" s="4">
        <v>0</v>
      </c>
      <c r="D214" s="4">
        <v>0</v>
      </c>
      <c r="E214" s="4">
        <v>0</v>
      </c>
      <c r="F214" s="4">
        <v>21.685198124008799</v>
      </c>
      <c r="G214" s="4" t="str">
        <f t="shared" si="6"/>
        <v>OK</v>
      </c>
      <c r="H214" s="4" t="str">
        <f t="shared" si="7"/>
        <v>ZERO</v>
      </c>
      <c r="I214">
        <v>0</v>
      </c>
      <c r="J214">
        <f>IFERROR(Table4[[#This Row],[energy_kwh]]/Table4[[#This Row],[expected_kwh]],0)</f>
        <v>0</v>
      </c>
      <c r="K214" t="str">
        <f>IF(Table4[[#This Row],[Performance_Ratio]] &lt; 0.85, "Underperforming", "Performing")</f>
        <v>Underperforming</v>
      </c>
      <c r="L214">
        <f>Table4[[#This Row],[energy_kwh]] - Table4[[#This Row],[expected_kwh]]</f>
        <v>0</v>
      </c>
      <c r="M214" t="str">
        <f>IF(Table4[[#This Row],[Performance_Deviation]] &lt; 0, "Underperforming", "Outperforming")</f>
        <v>Outperforming</v>
      </c>
      <c r="N214">
        <f>IF(Table4[[#This Row],[Performance_Ratio]] &lt; 0.85, Table4[[#This Row],[Performance_Deviation]] * 50 / 1000, 0)</f>
        <v>0</v>
      </c>
    </row>
    <row r="215" spans="1:14" x14ac:dyDescent="0.3">
      <c r="A215" s="6" t="s">
        <v>6</v>
      </c>
      <c r="B215" s="5">
        <v>45300.875</v>
      </c>
      <c r="C215" s="6">
        <v>0</v>
      </c>
      <c r="D215" s="6">
        <v>0</v>
      </c>
      <c r="E215" s="6">
        <v>0</v>
      </c>
      <c r="F215" s="6">
        <v>67.510866486961007</v>
      </c>
      <c r="G215" s="6" t="str">
        <f t="shared" si="6"/>
        <v>OK</v>
      </c>
      <c r="H215" s="6" t="str">
        <f t="shared" si="7"/>
        <v>ZERO</v>
      </c>
      <c r="I215">
        <v>0</v>
      </c>
      <c r="J215">
        <f>IFERROR(Table4[[#This Row],[energy_kwh]]/Table4[[#This Row],[expected_kwh]],0)</f>
        <v>0</v>
      </c>
      <c r="K215" t="str">
        <f>IF(Table4[[#This Row],[Performance_Ratio]] &lt; 0.85, "Underperforming", "Performing")</f>
        <v>Underperforming</v>
      </c>
      <c r="L215">
        <f>Table4[[#This Row],[energy_kwh]] - Table4[[#This Row],[expected_kwh]]</f>
        <v>0</v>
      </c>
      <c r="M215" t="str">
        <f>IF(Table4[[#This Row],[Performance_Deviation]] &lt; 0, "Underperforming", "Outperforming")</f>
        <v>Outperforming</v>
      </c>
      <c r="N215">
        <f>IF(Table4[[#This Row],[Performance_Ratio]] &lt; 0.85, Table4[[#This Row],[Performance_Deviation]] * 50 / 1000, 0)</f>
        <v>0</v>
      </c>
    </row>
    <row r="216" spans="1:14" x14ac:dyDescent="0.3">
      <c r="A216" s="4" t="s">
        <v>6</v>
      </c>
      <c r="B216" s="3">
        <v>45300.916666666664</v>
      </c>
      <c r="C216" s="4">
        <v>0</v>
      </c>
      <c r="D216" s="4">
        <v>0</v>
      </c>
      <c r="E216" s="4">
        <v>0</v>
      </c>
      <c r="F216" s="4">
        <v>59.426763672701398</v>
      </c>
      <c r="G216" s="4" t="str">
        <f t="shared" si="6"/>
        <v>OK</v>
      </c>
      <c r="H216" s="4" t="str">
        <f t="shared" si="7"/>
        <v>ZERO</v>
      </c>
      <c r="I216">
        <v>0</v>
      </c>
      <c r="J216">
        <f>IFERROR(Table4[[#This Row],[energy_kwh]]/Table4[[#This Row],[expected_kwh]],0)</f>
        <v>0</v>
      </c>
      <c r="K216" t="str">
        <f>IF(Table4[[#This Row],[Performance_Ratio]] &lt; 0.85, "Underperforming", "Performing")</f>
        <v>Underperforming</v>
      </c>
      <c r="L216">
        <f>Table4[[#This Row],[energy_kwh]] - Table4[[#This Row],[expected_kwh]]</f>
        <v>0</v>
      </c>
      <c r="M216" t="str">
        <f>IF(Table4[[#This Row],[Performance_Deviation]] &lt; 0, "Underperforming", "Outperforming")</f>
        <v>Outperforming</v>
      </c>
      <c r="N216">
        <f>IF(Table4[[#This Row],[Performance_Ratio]] &lt; 0.85, Table4[[#This Row],[Performance_Deviation]] * 50 / 1000, 0)</f>
        <v>0</v>
      </c>
    </row>
    <row r="217" spans="1:14" x14ac:dyDescent="0.3">
      <c r="A217" s="6" t="s">
        <v>6</v>
      </c>
      <c r="B217" s="5">
        <v>45300.958333333336</v>
      </c>
      <c r="C217" s="6">
        <v>0</v>
      </c>
      <c r="D217" s="6">
        <v>0</v>
      </c>
      <c r="E217" s="6">
        <v>0</v>
      </c>
      <c r="F217" s="6">
        <v>21.37930074106</v>
      </c>
      <c r="G217" s="6" t="str">
        <f t="shared" si="6"/>
        <v>OK</v>
      </c>
      <c r="H217" s="6" t="str">
        <f t="shared" si="7"/>
        <v>ZERO</v>
      </c>
      <c r="I217">
        <v>0</v>
      </c>
      <c r="J217">
        <f>IFERROR(Table4[[#This Row],[energy_kwh]]/Table4[[#This Row],[expected_kwh]],0)</f>
        <v>0</v>
      </c>
      <c r="K217" t="str">
        <f>IF(Table4[[#This Row],[Performance_Ratio]] &lt; 0.85, "Underperforming", "Performing")</f>
        <v>Underperforming</v>
      </c>
      <c r="L217">
        <f>Table4[[#This Row],[energy_kwh]] - Table4[[#This Row],[expected_kwh]]</f>
        <v>0</v>
      </c>
      <c r="M217" t="str">
        <f>IF(Table4[[#This Row],[Performance_Deviation]] &lt; 0, "Underperforming", "Outperforming")</f>
        <v>Outperforming</v>
      </c>
      <c r="N217">
        <f>IF(Table4[[#This Row],[Performance_Ratio]] &lt; 0.85, Table4[[#This Row],[Performance_Deviation]] * 50 / 1000, 0)</f>
        <v>0</v>
      </c>
    </row>
    <row r="218" spans="1:14" x14ac:dyDescent="0.3">
      <c r="A218" s="4" t="s">
        <v>6</v>
      </c>
      <c r="B218" s="3">
        <v>45301</v>
      </c>
      <c r="C218" s="4">
        <v>0</v>
      </c>
      <c r="D218" s="4">
        <v>0</v>
      </c>
      <c r="E218" s="4">
        <v>0</v>
      </c>
      <c r="F218" s="4">
        <v>82.230635278040097</v>
      </c>
      <c r="G218" s="4" t="str">
        <f t="shared" si="6"/>
        <v>OK</v>
      </c>
      <c r="H218" s="4" t="str">
        <f t="shared" si="7"/>
        <v>ZERO</v>
      </c>
      <c r="I218">
        <v>0</v>
      </c>
      <c r="J218">
        <f>IFERROR(Table4[[#This Row],[energy_kwh]]/Table4[[#This Row],[expected_kwh]],0)</f>
        <v>0</v>
      </c>
      <c r="K218" t="str">
        <f>IF(Table4[[#This Row],[Performance_Ratio]] &lt; 0.85, "Underperforming", "Performing")</f>
        <v>Underperforming</v>
      </c>
      <c r="L218">
        <f>Table4[[#This Row],[energy_kwh]] - Table4[[#This Row],[expected_kwh]]</f>
        <v>0</v>
      </c>
      <c r="M218" t="str">
        <f>IF(Table4[[#This Row],[Performance_Deviation]] &lt; 0, "Underperforming", "Outperforming")</f>
        <v>Outperforming</v>
      </c>
      <c r="N218">
        <f>IF(Table4[[#This Row],[Performance_Ratio]] &lt; 0.85, Table4[[#This Row],[Performance_Deviation]] * 50 / 1000, 0)</f>
        <v>0</v>
      </c>
    </row>
    <row r="219" spans="1:14" x14ac:dyDescent="0.3">
      <c r="A219" s="6" t="s">
        <v>6</v>
      </c>
      <c r="B219" s="5">
        <v>45301.041666666664</v>
      </c>
      <c r="C219" s="6">
        <v>0</v>
      </c>
      <c r="D219" s="6">
        <v>0</v>
      </c>
      <c r="E219" s="6">
        <v>0</v>
      </c>
      <c r="F219" s="6">
        <v>30.266422255160499</v>
      </c>
      <c r="G219" s="6" t="str">
        <f t="shared" si="6"/>
        <v>OK</v>
      </c>
      <c r="H219" s="6" t="str">
        <f t="shared" si="7"/>
        <v>ZERO</v>
      </c>
      <c r="I219">
        <v>0</v>
      </c>
      <c r="J219">
        <f>IFERROR(Table4[[#This Row],[energy_kwh]]/Table4[[#This Row],[expected_kwh]],0)</f>
        <v>0</v>
      </c>
      <c r="K219" t="str">
        <f>IF(Table4[[#This Row],[Performance_Ratio]] &lt; 0.85, "Underperforming", "Performing")</f>
        <v>Underperforming</v>
      </c>
      <c r="L219">
        <f>Table4[[#This Row],[energy_kwh]] - Table4[[#This Row],[expected_kwh]]</f>
        <v>0</v>
      </c>
      <c r="M219" t="str">
        <f>IF(Table4[[#This Row],[Performance_Deviation]] &lt; 0, "Underperforming", "Outperforming")</f>
        <v>Outperforming</v>
      </c>
      <c r="N219">
        <f>IF(Table4[[#This Row],[Performance_Ratio]] &lt; 0.85, Table4[[#This Row],[Performance_Deviation]] * 50 / 1000, 0)</f>
        <v>0</v>
      </c>
    </row>
    <row r="220" spans="1:14" x14ac:dyDescent="0.3">
      <c r="A220" s="4" t="s">
        <v>6</v>
      </c>
      <c r="B220" s="3">
        <v>45301.083333333336</v>
      </c>
      <c r="C220" s="4">
        <v>0</v>
      </c>
      <c r="D220" s="4">
        <v>0</v>
      </c>
      <c r="E220" s="4">
        <v>0</v>
      </c>
      <c r="F220" s="4">
        <v>88.580895944371903</v>
      </c>
      <c r="G220" s="4" t="str">
        <f t="shared" si="6"/>
        <v>OK</v>
      </c>
      <c r="H220" s="4" t="str">
        <f t="shared" si="7"/>
        <v>ZERO</v>
      </c>
      <c r="I220">
        <v>0</v>
      </c>
      <c r="J220">
        <f>IFERROR(Table4[[#This Row],[energy_kwh]]/Table4[[#This Row],[expected_kwh]],0)</f>
        <v>0</v>
      </c>
      <c r="K220" t="str">
        <f>IF(Table4[[#This Row],[Performance_Ratio]] &lt; 0.85, "Underperforming", "Performing")</f>
        <v>Underperforming</v>
      </c>
      <c r="L220">
        <f>Table4[[#This Row],[energy_kwh]] - Table4[[#This Row],[expected_kwh]]</f>
        <v>0</v>
      </c>
      <c r="M220" t="str">
        <f>IF(Table4[[#This Row],[Performance_Deviation]] &lt; 0, "Underperforming", "Outperforming")</f>
        <v>Outperforming</v>
      </c>
      <c r="N220">
        <f>IF(Table4[[#This Row],[Performance_Ratio]] &lt; 0.85, Table4[[#This Row],[Performance_Deviation]] * 50 / 1000, 0)</f>
        <v>0</v>
      </c>
    </row>
    <row r="221" spans="1:14" x14ac:dyDescent="0.3">
      <c r="A221" s="6" t="s">
        <v>6</v>
      </c>
      <c r="B221" s="5">
        <v>45301.125</v>
      </c>
      <c r="C221" s="6">
        <v>0</v>
      </c>
      <c r="D221" s="6">
        <v>0</v>
      </c>
      <c r="E221" s="6">
        <v>0</v>
      </c>
      <c r="F221" s="6">
        <v>58.918827896212797</v>
      </c>
      <c r="G221" s="6" t="str">
        <f t="shared" si="6"/>
        <v>OK</v>
      </c>
      <c r="H221" s="6" t="str">
        <f t="shared" si="7"/>
        <v>ZERO</v>
      </c>
      <c r="I221">
        <v>0</v>
      </c>
      <c r="J221">
        <f>IFERROR(Table4[[#This Row],[energy_kwh]]/Table4[[#This Row],[expected_kwh]],0)</f>
        <v>0</v>
      </c>
      <c r="K221" t="str">
        <f>IF(Table4[[#This Row],[Performance_Ratio]] &lt; 0.85, "Underperforming", "Performing")</f>
        <v>Underperforming</v>
      </c>
      <c r="L221">
        <f>Table4[[#This Row],[energy_kwh]] - Table4[[#This Row],[expected_kwh]]</f>
        <v>0</v>
      </c>
      <c r="M221" t="str">
        <f>IF(Table4[[#This Row],[Performance_Deviation]] &lt; 0, "Underperforming", "Outperforming")</f>
        <v>Outperforming</v>
      </c>
      <c r="N221">
        <f>IF(Table4[[#This Row],[Performance_Ratio]] &lt; 0.85, Table4[[#This Row],[Performance_Deviation]] * 50 / 1000, 0)</f>
        <v>0</v>
      </c>
    </row>
    <row r="222" spans="1:14" x14ac:dyDescent="0.3">
      <c r="A222" s="4" t="s">
        <v>6</v>
      </c>
      <c r="B222" s="3">
        <v>45301.166666666664</v>
      </c>
      <c r="C222" s="4">
        <v>0</v>
      </c>
      <c r="D222" s="4">
        <v>0</v>
      </c>
      <c r="E222" s="4">
        <v>0</v>
      </c>
      <c r="F222" s="4">
        <v>49.197171053148203</v>
      </c>
      <c r="G222" s="4" t="str">
        <f t="shared" si="6"/>
        <v>OK</v>
      </c>
      <c r="H222" s="4" t="str">
        <f t="shared" si="7"/>
        <v>ZERO</v>
      </c>
      <c r="I222">
        <v>0</v>
      </c>
      <c r="J222">
        <f>IFERROR(Table4[[#This Row],[energy_kwh]]/Table4[[#This Row],[expected_kwh]],0)</f>
        <v>0</v>
      </c>
      <c r="K222" t="str">
        <f>IF(Table4[[#This Row],[Performance_Ratio]] &lt; 0.85, "Underperforming", "Performing")</f>
        <v>Underperforming</v>
      </c>
      <c r="L222">
        <f>Table4[[#This Row],[energy_kwh]] - Table4[[#This Row],[expected_kwh]]</f>
        <v>0</v>
      </c>
      <c r="M222" t="str">
        <f>IF(Table4[[#This Row],[Performance_Deviation]] &lt; 0, "Underperforming", "Outperforming")</f>
        <v>Outperforming</v>
      </c>
      <c r="N222">
        <f>IF(Table4[[#This Row],[Performance_Ratio]] &lt; 0.85, Table4[[#This Row],[Performance_Deviation]] * 50 / 1000, 0)</f>
        <v>0</v>
      </c>
    </row>
    <row r="223" spans="1:14" x14ac:dyDescent="0.3">
      <c r="A223" s="6" t="s">
        <v>6</v>
      </c>
      <c r="B223" s="5">
        <v>45301.208333333336</v>
      </c>
      <c r="C223" s="6">
        <v>0</v>
      </c>
      <c r="D223" s="6">
        <v>0</v>
      </c>
      <c r="E223" s="6">
        <v>0</v>
      </c>
      <c r="F223" s="6">
        <v>73.928442888818395</v>
      </c>
      <c r="G223" s="6" t="str">
        <f t="shared" si="6"/>
        <v>OK</v>
      </c>
      <c r="H223" s="6" t="str">
        <f t="shared" si="7"/>
        <v>ZERO</v>
      </c>
      <c r="I223">
        <v>0</v>
      </c>
      <c r="J223">
        <f>IFERROR(Table4[[#This Row],[energy_kwh]]/Table4[[#This Row],[expected_kwh]],0)</f>
        <v>0</v>
      </c>
      <c r="K223" t="str">
        <f>IF(Table4[[#This Row],[Performance_Ratio]] &lt; 0.85, "Underperforming", "Performing")</f>
        <v>Underperforming</v>
      </c>
      <c r="L223">
        <f>Table4[[#This Row],[energy_kwh]] - Table4[[#This Row],[expected_kwh]]</f>
        <v>0</v>
      </c>
      <c r="M223" t="str">
        <f>IF(Table4[[#This Row],[Performance_Deviation]] &lt; 0, "Underperforming", "Outperforming")</f>
        <v>Outperforming</v>
      </c>
      <c r="N223">
        <f>IF(Table4[[#This Row],[Performance_Ratio]] &lt; 0.85, Table4[[#This Row],[Performance_Deviation]] * 50 / 1000, 0)</f>
        <v>0</v>
      </c>
    </row>
    <row r="224" spans="1:14" x14ac:dyDescent="0.3">
      <c r="A224" s="4" t="s">
        <v>6</v>
      </c>
      <c r="B224" s="3">
        <v>45301.25</v>
      </c>
      <c r="C224" s="4">
        <v>0</v>
      </c>
      <c r="D224" s="4">
        <v>0</v>
      </c>
      <c r="E224" s="4">
        <v>0</v>
      </c>
      <c r="F224" s="4">
        <v>90.262230449356807</v>
      </c>
      <c r="G224" s="4" t="str">
        <f t="shared" si="6"/>
        <v>OK</v>
      </c>
      <c r="H224" s="4" t="str">
        <f t="shared" si="7"/>
        <v>ZERO</v>
      </c>
      <c r="I224">
        <v>0</v>
      </c>
      <c r="J224">
        <f>IFERROR(Table4[[#This Row],[energy_kwh]]/Table4[[#This Row],[expected_kwh]],0)</f>
        <v>0</v>
      </c>
      <c r="K224" t="str">
        <f>IF(Table4[[#This Row],[Performance_Ratio]] &lt; 0.85, "Underperforming", "Performing")</f>
        <v>Underperforming</v>
      </c>
      <c r="L224">
        <f>Table4[[#This Row],[energy_kwh]] - Table4[[#This Row],[expected_kwh]]</f>
        <v>0</v>
      </c>
      <c r="M224" t="str">
        <f>IF(Table4[[#This Row],[Performance_Deviation]] &lt; 0, "Underperforming", "Outperforming")</f>
        <v>Outperforming</v>
      </c>
      <c r="N224">
        <f>IF(Table4[[#This Row],[Performance_Ratio]] &lt; 0.85, Table4[[#This Row],[Performance_Deviation]] * 50 / 1000, 0)</f>
        <v>0</v>
      </c>
    </row>
    <row r="225" spans="1:14" x14ac:dyDescent="0.3">
      <c r="A225" s="6" t="s">
        <v>6</v>
      </c>
      <c r="B225" s="5">
        <v>45301.291666666664</v>
      </c>
      <c r="C225" s="6">
        <v>85.643205433749699</v>
      </c>
      <c r="D225" s="6">
        <v>81.787685761389795</v>
      </c>
      <c r="E225" s="6">
        <v>81.787685761389795</v>
      </c>
      <c r="F225" s="6">
        <v>22.338735129596301</v>
      </c>
      <c r="G225" s="6" t="str">
        <f t="shared" si="6"/>
        <v>OK</v>
      </c>
      <c r="H225" s="6" t="str">
        <f t="shared" si="7"/>
        <v>NON-ZERO</v>
      </c>
      <c r="I225">
        <v>103.527618041008</v>
      </c>
      <c r="J225">
        <f>IFERROR(Table4[[#This Row],[energy_kwh]]/Table4[[#This Row],[expected_kwh]],0)</f>
        <v>0.7900083794934134</v>
      </c>
      <c r="K225" t="str">
        <f>IF(Table4[[#This Row],[Performance_Ratio]] &lt; 0.85, "Underperforming", "Performing")</f>
        <v>Underperforming</v>
      </c>
      <c r="L225">
        <f>Table4[[#This Row],[energy_kwh]] - Table4[[#This Row],[expected_kwh]]</f>
        <v>-21.739932279618202</v>
      </c>
      <c r="M225" t="str">
        <f>IF(Table4[[#This Row],[Performance_Deviation]] &lt; 0, "Underperforming", "Outperforming")</f>
        <v>Underperforming</v>
      </c>
      <c r="N225">
        <f>IF(Table4[[#This Row],[Performance_Ratio]] &lt; 0.85, Table4[[#This Row],[Performance_Deviation]] * 50 / 1000, 0)</f>
        <v>-1.08699661398091</v>
      </c>
    </row>
    <row r="226" spans="1:14" x14ac:dyDescent="0.3">
      <c r="A226" s="4" t="s">
        <v>6</v>
      </c>
      <c r="B226" s="3">
        <v>45301.333333333336</v>
      </c>
      <c r="C226" s="4">
        <v>198.505936100638</v>
      </c>
      <c r="D226" s="4">
        <v>189.56951741056201</v>
      </c>
      <c r="E226" s="4">
        <v>189.56951741056201</v>
      </c>
      <c r="F226" s="4">
        <v>64.763213668766696</v>
      </c>
      <c r="G226" s="4" t="str">
        <f t="shared" si="6"/>
        <v>OK</v>
      </c>
      <c r="H226" s="4" t="str">
        <f t="shared" si="7"/>
        <v>NON-ZERO</v>
      </c>
      <c r="I226">
        <v>199.99999999999901</v>
      </c>
      <c r="J226">
        <f>IFERROR(Table4[[#This Row],[energy_kwh]]/Table4[[#This Row],[expected_kwh]],0)</f>
        <v>0.9478475870528148</v>
      </c>
      <c r="K226" t="str">
        <f>IF(Table4[[#This Row],[Performance_Ratio]] &lt; 0.85, "Underperforming", "Performing")</f>
        <v>Performing</v>
      </c>
      <c r="L226">
        <f>Table4[[#This Row],[energy_kwh]] - Table4[[#This Row],[expected_kwh]]</f>
        <v>-10.430482589436991</v>
      </c>
      <c r="M226" t="str">
        <f>IF(Table4[[#This Row],[Performance_Deviation]] &lt; 0, "Underperforming", "Outperforming")</f>
        <v>Underperforming</v>
      </c>
      <c r="N226">
        <f>IF(Table4[[#This Row],[Performance_Ratio]] &lt; 0.85, Table4[[#This Row],[Performance_Deviation]] * 50 / 1000, 0)</f>
        <v>0</v>
      </c>
    </row>
    <row r="227" spans="1:14" x14ac:dyDescent="0.3">
      <c r="A227" s="6" t="s">
        <v>6</v>
      </c>
      <c r="B227" s="5">
        <v>45301.375</v>
      </c>
      <c r="C227" s="6">
        <v>238.622347752141</v>
      </c>
      <c r="D227" s="6">
        <v>227.87995258648101</v>
      </c>
      <c r="E227" s="6">
        <v>227.87995258648101</v>
      </c>
      <c r="F227" s="6">
        <v>27.994868985032799</v>
      </c>
      <c r="G227" s="6" t="str">
        <f t="shared" si="6"/>
        <v>OK</v>
      </c>
      <c r="H227" s="6" t="str">
        <f t="shared" si="7"/>
        <v>NON-ZERO</v>
      </c>
      <c r="I227">
        <v>282.84271247461902</v>
      </c>
      <c r="J227">
        <f>IFERROR(Table4[[#This Row],[energy_kwh]]/Table4[[#This Row],[expected_kwh]],0)</f>
        <v>0.80567729885184824</v>
      </c>
      <c r="K227" t="str">
        <f>IF(Table4[[#This Row],[Performance_Ratio]] &lt; 0.85, "Underperforming", "Performing")</f>
        <v>Underperforming</v>
      </c>
      <c r="L227">
        <f>Table4[[#This Row],[energy_kwh]] - Table4[[#This Row],[expected_kwh]]</f>
        <v>-54.96275988813801</v>
      </c>
      <c r="M227" t="str">
        <f>IF(Table4[[#This Row],[Performance_Deviation]] &lt; 0, "Underperforming", "Outperforming")</f>
        <v>Underperforming</v>
      </c>
      <c r="N227">
        <f>IF(Table4[[#This Row],[Performance_Ratio]] &lt; 0.85, Table4[[#This Row],[Performance_Deviation]] * 50 / 1000, 0)</f>
        <v>-2.7481379944069002</v>
      </c>
    </row>
    <row r="228" spans="1:14" x14ac:dyDescent="0.3">
      <c r="A228" s="4" t="s">
        <v>6</v>
      </c>
      <c r="B228" s="3">
        <v>45301.416666666664</v>
      </c>
      <c r="C228" s="4">
        <v>333.450673076523</v>
      </c>
      <c r="D228" s="4">
        <v>318.43925888088398</v>
      </c>
      <c r="E228" s="4">
        <v>318.43925888088398</v>
      </c>
      <c r="F228" s="4">
        <v>52.612050395280903</v>
      </c>
      <c r="G228" s="4" t="str">
        <f t="shared" si="6"/>
        <v>OK</v>
      </c>
      <c r="H228" s="4" t="str">
        <f t="shared" si="7"/>
        <v>NON-ZERO</v>
      </c>
      <c r="I228">
        <v>346.41016151377499</v>
      </c>
      <c r="J228">
        <f>IFERROR(Table4[[#This Row],[energy_kwh]]/Table4[[#This Row],[expected_kwh]],0)</f>
        <v>0.91925495917711775</v>
      </c>
      <c r="K228" t="str">
        <f>IF(Table4[[#This Row],[Performance_Ratio]] &lt; 0.85, "Underperforming", "Performing")</f>
        <v>Performing</v>
      </c>
      <c r="L228">
        <f>Table4[[#This Row],[energy_kwh]] - Table4[[#This Row],[expected_kwh]]</f>
        <v>-27.970902632891011</v>
      </c>
      <c r="M228" t="str">
        <f>IF(Table4[[#This Row],[Performance_Deviation]] &lt; 0, "Underperforming", "Outperforming")</f>
        <v>Underperforming</v>
      </c>
      <c r="N228">
        <f>IF(Table4[[#This Row],[Performance_Ratio]] &lt; 0.85, Table4[[#This Row],[Performance_Deviation]] * 50 / 1000, 0)</f>
        <v>0</v>
      </c>
    </row>
    <row r="229" spans="1:14" x14ac:dyDescent="0.3">
      <c r="A229" s="6" t="s">
        <v>6</v>
      </c>
      <c r="B229" s="5">
        <v>45301.458333333336</v>
      </c>
      <c r="C229" s="6">
        <v>357.99542516921503</v>
      </c>
      <c r="D229" s="6">
        <v>341.87904562264902</v>
      </c>
      <c r="E229" s="6">
        <v>341.87904562264902</v>
      </c>
      <c r="F229" s="6">
        <v>79.9561909226734</v>
      </c>
      <c r="G229" s="6" t="str">
        <f t="shared" si="6"/>
        <v>OK</v>
      </c>
      <c r="H229" s="6" t="str">
        <f t="shared" si="7"/>
        <v>NON-ZERO</v>
      </c>
      <c r="I229">
        <v>386.37033051562702</v>
      </c>
      <c r="J229">
        <f>IFERROR(Table4[[#This Row],[energy_kwh]]/Table4[[#This Row],[expected_kwh]],0)</f>
        <v>0.88484808128615222</v>
      </c>
      <c r="K229" t="str">
        <f>IF(Table4[[#This Row],[Performance_Ratio]] &lt; 0.85, "Underperforming", "Performing")</f>
        <v>Performing</v>
      </c>
      <c r="L229">
        <f>Table4[[#This Row],[energy_kwh]] - Table4[[#This Row],[expected_kwh]]</f>
        <v>-44.491284892978001</v>
      </c>
      <c r="M229" t="str">
        <f>IF(Table4[[#This Row],[Performance_Deviation]] &lt; 0, "Underperforming", "Outperforming")</f>
        <v>Underperforming</v>
      </c>
      <c r="N229">
        <f>IF(Table4[[#This Row],[Performance_Ratio]] &lt; 0.85, Table4[[#This Row],[Performance_Deviation]] * 50 / 1000, 0)</f>
        <v>0</v>
      </c>
    </row>
    <row r="230" spans="1:14" x14ac:dyDescent="0.3">
      <c r="A230" s="4" t="s">
        <v>6</v>
      </c>
      <c r="B230" s="3">
        <v>45301.5</v>
      </c>
      <c r="C230" s="4">
        <v>349.54213381266999</v>
      </c>
      <c r="D230" s="4">
        <v>333.80630787752398</v>
      </c>
      <c r="E230" s="4">
        <v>333.80630787752398</v>
      </c>
      <c r="F230" s="4">
        <v>26.8686554994975</v>
      </c>
      <c r="G230" s="4" t="str">
        <f t="shared" si="6"/>
        <v>OK</v>
      </c>
      <c r="H230" s="4" t="str">
        <f t="shared" si="7"/>
        <v>NON-ZERO</v>
      </c>
      <c r="I230">
        <v>400</v>
      </c>
      <c r="J230">
        <f>IFERROR(Table4[[#This Row],[energy_kwh]]/Table4[[#This Row],[expected_kwh]],0)</f>
        <v>0.83451576969380992</v>
      </c>
      <c r="K230" t="str">
        <f>IF(Table4[[#This Row],[Performance_Ratio]] &lt; 0.85, "Underperforming", "Performing")</f>
        <v>Underperforming</v>
      </c>
      <c r="L230">
        <f>Table4[[#This Row],[energy_kwh]] - Table4[[#This Row],[expected_kwh]]</f>
        <v>-66.193692122476023</v>
      </c>
      <c r="M230" t="str">
        <f>IF(Table4[[#This Row],[Performance_Deviation]] &lt; 0, "Underperforming", "Outperforming")</f>
        <v>Underperforming</v>
      </c>
      <c r="N230">
        <f>IF(Table4[[#This Row],[Performance_Ratio]] &lt; 0.85, Table4[[#This Row],[Performance_Deviation]] * 50 / 1000, 0)</f>
        <v>-3.3096846061238012</v>
      </c>
    </row>
    <row r="231" spans="1:14" x14ac:dyDescent="0.3">
      <c r="A231" s="6" t="s">
        <v>6</v>
      </c>
      <c r="B231" s="5">
        <v>45301.541666666664</v>
      </c>
      <c r="C231" s="6">
        <v>392.19052643983599</v>
      </c>
      <c r="D231" s="6">
        <v>374.53473830878897</v>
      </c>
      <c r="E231" s="6">
        <v>374.53473830878897</v>
      </c>
      <c r="F231" s="6">
        <v>91.2678015365601</v>
      </c>
      <c r="G231" s="6" t="str">
        <f t="shared" si="6"/>
        <v>OK</v>
      </c>
      <c r="H231" s="6" t="str">
        <f t="shared" si="7"/>
        <v>NON-ZERO</v>
      </c>
      <c r="I231">
        <v>386.37033051562702</v>
      </c>
      <c r="J231">
        <f>IFERROR(Table4[[#This Row],[energy_kwh]]/Table4[[#This Row],[expected_kwh]],0)</f>
        <v>0.96936723326803342</v>
      </c>
      <c r="K231" t="str">
        <f>IF(Table4[[#This Row],[Performance_Ratio]] &lt; 0.85, "Underperforming", "Performing")</f>
        <v>Performing</v>
      </c>
      <c r="L231">
        <f>Table4[[#This Row],[energy_kwh]] - Table4[[#This Row],[expected_kwh]]</f>
        <v>-11.835592206838044</v>
      </c>
      <c r="M231" t="str">
        <f>IF(Table4[[#This Row],[Performance_Deviation]] &lt; 0, "Underperforming", "Outperforming")</f>
        <v>Underperforming</v>
      </c>
      <c r="N231">
        <f>IF(Table4[[#This Row],[Performance_Ratio]] &lt; 0.85, Table4[[#This Row],[Performance_Deviation]] * 50 / 1000, 0)</f>
        <v>0</v>
      </c>
    </row>
    <row r="232" spans="1:14" x14ac:dyDescent="0.3">
      <c r="A232" s="4" t="s">
        <v>6</v>
      </c>
      <c r="B232" s="3">
        <v>45301.583333333336</v>
      </c>
      <c r="C232" s="4">
        <v>297.09716736226</v>
      </c>
      <c r="D232" s="4">
        <v>283.72232965544703</v>
      </c>
      <c r="E232" s="4">
        <v>283.72232965544703</v>
      </c>
      <c r="F232" s="4">
        <v>74.916866480717005</v>
      </c>
      <c r="G232" s="4" t="str">
        <f t="shared" si="6"/>
        <v>OK</v>
      </c>
      <c r="H232" s="4" t="str">
        <f t="shared" si="7"/>
        <v>NON-ZERO</v>
      </c>
      <c r="I232">
        <v>346.41016151377499</v>
      </c>
      <c r="J232">
        <f>IFERROR(Table4[[#This Row],[energy_kwh]]/Table4[[#This Row],[expected_kwh]],0)</f>
        <v>0.81903581700840156</v>
      </c>
      <c r="K232" t="str">
        <f>IF(Table4[[#This Row],[Performance_Ratio]] &lt; 0.85, "Underperforming", "Performing")</f>
        <v>Underperforming</v>
      </c>
      <c r="L232">
        <f>Table4[[#This Row],[energy_kwh]] - Table4[[#This Row],[expected_kwh]]</f>
        <v>-62.687831858327968</v>
      </c>
      <c r="M232" t="str">
        <f>IF(Table4[[#This Row],[Performance_Deviation]] &lt; 0, "Underperforming", "Outperforming")</f>
        <v>Underperforming</v>
      </c>
      <c r="N232">
        <f>IF(Table4[[#This Row],[Performance_Ratio]] &lt; 0.85, Table4[[#This Row],[Performance_Deviation]] * 50 / 1000, 0)</f>
        <v>-3.1343915929163986</v>
      </c>
    </row>
    <row r="233" spans="1:14" x14ac:dyDescent="0.3">
      <c r="A233" s="6" t="s">
        <v>6</v>
      </c>
      <c r="B233" s="5">
        <v>45301.625</v>
      </c>
      <c r="C233" s="6">
        <v>264.22115005086999</v>
      </c>
      <c r="D233" s="6">
        <v>252.32633788549899</v>
      </c>
      <c r="E233" s="6">
        <v>252.32633788549899</v>
      </c>
      <c r="F233" s="6">
        <v>71.920742338838906</v>
      </c>
      <c r="G233" s="6" t="str">
        <f t="shared" si="6"/>
        <v>OK</v>
      </c>
      <c r="H233" s="6" t="str">
        <f t="shared" si="7"/>
        <v>NON-ZERO</v>
      </c>
      <c r="I233">
        <v>282.84271247461902</v>
      </c>
      <c r="J233">
        <f>IFERROR(Table4[[#This Row],[energy_kwh]]/Table4[[#This Row],[expected_kwh]],0)</f>
        <v>0.89210832295402187</v>
      </c>
      <c r="K233" t="str">
        <f>IF(Table4[[#This Row],[Performance_Ratio]] &lt; 0.85, "Underperforming", "Performing")</f>
        <v>Performing</v>
      </c>
      <c r="L233">
        <f>Table4[[#This Row],[energy_kwh]] - Table4[[#This Row],[expected_kwh]]</f>
        <v>-30.516374589120034</v>
      </c>
      <c r="M233" t="str">
        <f>IF(Table4[[#This Row],[Performance_Deviation]] &lt; 0, "Underperforming", "Outperforming")</f>
        <v>Underperforming</v>
      </c>
      <c r="N233">
        <f>IF(Table4[[#This Row],[Performance_Ratio]] &lt; 0.85, Table4[[#This Row],[Performance_Deviation]] * 50 / 1000, 0)</f>
        <v>0</v>
      </c>
    </row>
    <row r="234" spans="1:14" x14ac:dyDescent="0.3">
      <c r="A234" s="4" t="s">
        <v>6</v>
      </c>
      <c r="B234" s="3">
        <v>45301.666666666664</v>
      </c>
      <c r="C234" s="4">
        <v>183.647579680489</v>
      </c>
      <c r="D234" s="4">
        <v>175.380060352442</v>
      </c>
      <c r="E234" s="4">
        <v>175.380060352442</v>
      </c>
      <c r="F234" s="4">
        <v>94.075100599748495</v>
      </c>
      <c r="G234" s="4" t="str">
        <f t="shared" si="6"/>
        <v>OK</v>
      </c>
      <c r="H234" s="4" t="str">
        <f t="shared" si="7"/>
        <v>NON-ZERO</v>
      </c>
      <c r="I234">
        <v>199.99999999999901</v>
      </c>
      <c r="J234">
        <f>IFERROR(Table4[[#This Row],[energy_kwh]]/Table4[[#This Row],[expected_kwh]],0)</f>
        <v>0.87690030176221434</v>
      </c>
      <c r="K234" t="str">
        <f>IF(Table4[[#This Row],[Performance_Ratio]] &lt; 0.85, "Underperforming", "Performing")</f>
        <v>Performing</v>
      </c>
      <c r="L234">
        <f>Table4[[#This Row],[energy_kwh]] - Table4[[#This Row],[expected_kwh]]</f>
        <v>-24.619939647557004</v>
      </c>
      <c r="M234" t="str">
        <f>IF(Table4[[#This Row],[Performance_Deviation]] &lt; 0, "Underperforming", "Outperforming")</f>
        <v>Underperforming</v>
      </c>
      <c r="N234">
        <f>IF(Table4[[#This Row],[Performance_Ratio]] &lt; 0.85, Table4[[#This Row],[Performance_Deviation]] * 50 / 1000, 0)</f>
        <v>0</v>
      </c>
    </row>
    <row r="235" spans="1:14" x14ac:dyDescent="0.3">
      <c r="A235" s="6" t="s">
        <v>6</v>
      </c>
      <c r="B235" s="5">
        <v>45301.708333333336</v>
      </c>
      <c r="C235" s="6">
        <v>102.938122918351</v>
      </c>
      <c r="D235" s="6">
        <v>98.304013814920907</v>
      </c>
      <c r="E235" s="6">
        <v>98.304013814920907</v>
      </c>
      <c r="F235" s="6">
        <v>72.918137938676594</v>
      </c>
      <c r="G235" s="6" t="str">
        <f t="shared" si="6"/>
        <v>OK</v>
      </c>
      <c r="H235" s="6" t="str">
        <f t="shared" si="7"/>
        <v>NON-ZERO</v>
      </c>
      <c r="I235">
        <v>103.527618041008</v>
      </c>
      <c r="J235">
        <f>IFERROR(Table4[[#This Row],[energy_kwh]]/Table4[[#This Row],[expected_kwh]],0)</f>
        <v>0.94954385771709748</v>
      </c>
      <c r="K235" t="str">
        <f>IF(Table4[[#This Row],[Performance_Ratio]] &lt; 0.85, "Underperforming", "Performing")</f>
        <v>Performing</v>
      </c>
      <c r="L235">
        <f>Table4[[#This Row],[energy_kwh]] - Table4[[#This Row],[expected_kwh]]</f>
        <v>-5.2236042260870903</v>
      </c>
      <c r="M235" t="str">
        <f>IF(Table4[[#This Row],[Performance_Deviation]] &lt; 0, "Underperforming", "Outperforming")</f>
        <v>Underperforming</v>
      </c>
      <c r="N235">
        <f>IF(Table4[[#This Row],[Performance_Ratio]] &lt; 0.85, Table4[[#This Row],[Performance_Deviation]] * 50 / 1000, 0)</f>
        <v>0</v>
      </c>
    </row>
    <row r="236" spans="1:14" x14ac:dyDescent="0.3">
      <c r="A236" s="4" t="s">
        <v>6</v>
      </c>
      <c r="B236" s="3">
        <v>45301.75</v>
      </c>
      <c r="C236" s="7">
        <v>4.93431715567923E-14</v>
      </c>
      <c r="D236" s="7">
        <v>4.7121821156952301E-14</v>
      </c>
      <c r="E236" s="7">
        <v>4.7121821156952301E-14</v>
      </c>
      <c r="F236" s="4">
        <v>42.301175552941302</v>
      </c>
      <c r="G236" s="4" t="str">
        <f t="shared" si="6"/>
        <v>OK</v>
      </c>
      <c r="H236" s="4" t="str">
        <f t="shared" si="7"/>
        <v>NON-ZERO</v>
      </c>
      <c r="I236" s="2">
        <v>4.8985871965894097E-14</v>
      </c>
      <c r="J236">
        <f>IFERROR(Table4[[#This Row],[energy_kwh]]/Table4[[#This Row],[expected_kwh]],0)</f>
        <v>0.96194717509081762</v>
      </c>
      <c r="K236" t="str">
        <f>IF(Table4[[#This Row],[Performance_Ratio]] &lt; 0.85, "Underperforming", "Performing")</f>
        <v>Performing</v>
      </c>
      <c r="L236">
        <f>Table4[[#This Row],[energy_kwh]] - Table4[[#This Row],[expected_kwh]]</f>
        <v>-1.8640508089417958E-15</v>
      </c>
      <c r="M236" t="str">
        <f>IF(Table4[[#This Row],[Performance_Deviation]] &lt; 0, "Underperforming", "Outperforming")</f>
        <v>Underperforming</v>
      </c>
      <c r="N236">
        <f>IF(Table4[[#This Row],[Performance_Ratio]] &lt; 0.85, Table4[[#This Row],[Performance_Deviation]] * 50 / 1000, 0)</f>
        <v>0</v>
      </c>
    </row>
    <row r="237" spans="1:14" x14ac:dyDescent="0.3">
      <c r="A237" s="6" t="s">
        <v>6</v>
      </c>
      <c r="B237" s="5">
        <v>45301.791666666664</v>
      </c>
      <c r="C237" s="6">
        <v>0</v>
      </c>
      <c r="D237" s="6">
        <v>0</v>
      </c>
      <c r="E237" s="6">
        <v>0</v>
      </c>
      <c r="F237" s="6">
        <v>90.819986683507494</v>
      </c>
      <c r="G237" s="6" t="str">
        <f t="shared" si="6"/>
        <v>OK</v>
      </c>
      <c r="H237" s="6" t="str">
        <f t="shared" si="7"/>
        <v>ZERO</v>
      </c>
      <c r="I237">
        <v>0</v>
      </c>
      <c r="J237">
        <f>IFERROR(Table4[[#This Row],[energy_kwh]]/Table4[[#This Row],[expected_kwh]],0)</f>
        <v>0</v>
      </c>
      <c r="K237" t="str">
        <f>IF(Table4[[#This Row],[Performance_Ratio]] &lt; 0.85, "Underperforming", "Performing")</f>
        <v>Underperforming</v>
      </c>
      <c r="L237">
        <f>Table4[[#This Row],[energy_kwh]] - Table4[[#This Row],[expected_kwh]]</f>
        <v>0</v>
      </c>
      <c r="M237" t="str">
        <f>IF(Table4[[#This Row],[Performance_Deviation]] &lt; 0, "Underperforming", "Outperforming")</f>
        <v>Outperforming</v>
      </c>
      <c r="N237">
        <f>IF(Table4[[#This Row],[Performance_Ratio]] &lt; 0.85, Table4[[#This Row],[Performance_Deviation]] * 50 / 1000, 0)</f>
        <v>0</v>
      </c>
    </row>
    <row r="238" spans="1:14" x14ac:dyDescent="0.3">
      <c r="A238" s="4" t="s">
        <v>6</v>
      </c>
      <c r="B238" s="3">
        <v>45301.833333333336</v>
      </c>
      <c r="C238" s="4">
        <v>0</v>
      </c>
      <c r="D238" s="4">
        <v>0</v>
      </c>
      <c r="E238" s="4">
        <v>0</v>
      </c>
      <c r="F238" s="4">
        <v>82.168660561300797</v>
      </c>
      <c r="G238" s="4" t="str">
        <f t="shared" si="6"/>
        <v>OK</v>
      </c>
      <c r="H238" s="4" t="str">
        <f t="shared" si="7"/>
        <v>ZERO</v>
      </c>
      <c r="I238">
        <v>0</v>
      </c>
      <c r="J238">
        <f>IFERROR(Table4[[#This Row],[energy_kwh]]/Table4[[#This Row],[expected_kwh]],0)</f>
        <v>0</v>
      </c>
      <c r="K238" t="str">
        <f>IF(Table4[[#This Row],[Performance_Ratio]] &lt; 0.85, "Underperforming", "Performing")</f>
        <v>Underperforming</v>
      </c>
      <c r="L238">
        <f>Table4[[#This Row],[energy_kwh]] - Table4[[#This Row],[expected_kwh]]</f>
        <v>0</v>
      </c>
      <c r="M238" t="str">
        <f>IF(Table4[[#This Row],[Performance_Deviation]] &lt; 0, "Underperforming", "Outperforming")</f>
        <v>Outperforming</v>
      </c>
      <c r="N238">
        <f>IF(Table4[[#This Row],[Performance_Ratio]] &lt; 0.85, Table4[[#This Row],[Performance_Deviation]] * 50 / 1000, 0)</f>
        <v>0</v>
      </c>
    </row>
    <row r="239" spans="1:14" x14ac:dyDescent="0.3">
      <c r="A239" s="6" t="s">
        <v>6</v>
      </c>
      <c r="B239" s="5">
        <v>45301.875</v>
      </c>
      <c r="C239" s="6">
        <v>0</v>
      </c>
      <c r="D239" s="6">
        <v>0</v>
      </c>
      <c r="E239" s="6">
        <v>0</v>
      </c>
      <c r="F239" s="6">
        <v>37.2506627965777</v>
      </c>
      <c r="G239" s="6" t="str">
        <f t="shared" si="6"/>
        <v>OK</v>
      </c>
      <c r="H239" s="6" t="str">
        <f t="shared" si="7"/>
        <v>ZERO</v>
      </c>
      <c r="I239">
        <v>0</v>
      </c>
      <c r="J239">
        <f>IFERROR(Table4[[#This Row],[energy_kwh]]/Table4[[#This Row],[expected_kwh]],0)</f>
        <v>0</v>
      </c>
      <c r="K239" t="str">
        <f>IF(Table4[[#This Row],[Performance_Ratio]] &lt; 0.85, "Underperforming", "Performing")</f>
        <v>Underperforming</v>
      </c>
      <c r="L239">
        <f>Table4[[#This Row],[energy_kwh]] - Table4[[#This Row],[expected_kwh]]</f>
        <v>0</v>
      </c>
      <c r="M239" t="str">
        <f>IF(Table4[[#This Row],[Performance_Deviation]] &lt; 0, "Underperforming", "Outperforming")</f>
        <v>Outperforming</v>
      </c>
      <c r="N239">
        <f>IF(Table4[[#This Row],[Performance_Ratio]] &lt; 0.85, Table4[[#This Row],[Performance_Deviation]] * 50 / 1000, 0)</f>
        <v>0</v>
      </c>
    </row>
    <row r="240" spans="1:14" x14ac:dyDescent="0.3">
      <c r="A240" s="4" t="s">
        <v>6</v>
      </c>
      <c r="B240" s="3">
        <v>45301.916666666664</v>
      </c>
      <c r="C240" s="4">
        <v>0</v>
      </c>
      <c r="D240" s="4">
        <v>0</v>
      </c>
      <c r="E240" s="4">
        <v>0</v>
      </c>
      <c r="F240" s="4">
        <v>43.646775337295701</v>
      </c>
      <c r="G240" s="4" t="str">
        <f t="shared" si="6"/>
        <v>OK</v>
      </c>
      <c r="H240" s="4" t="str">
        <f t="shared" si="7"/>
        <v>ZERO</v>
      </c>
      <c r="I240">
        <v>0</v>
      </c>
      <c r="J240">
        <f>IFERROR(Table4[[#This Row],[energy_kwh]]/Table4[[#This Row],[expected_kwh]],0)</f>
        <v>0</v>
      </c>
      <c r="K240" t="str">
        <f>IF(Table4[[#This Row],[Performance_Ratio]] &lt; 0.85, "Underperforming", "Performing")</f>
        <v>Underperforming</v>
      </c>
      <c r="L240">
        <f>Table4[[#This Row],[energy_kwh]] - Table4[[#This Row],[expected_kwh]]</f>
        <v>0</v>
      </c>
      <c r="M240" t="str">
        <f>IF(Table4[[#This Row],[Performance_Deviation]] &lt; 0, "Underperforming", "Outperforming")</f>
        <v>Outperforming</v>
      </c>
      <c r="N240">
        <f>IF(Table4[[#This Row],[Performance_Ratio]] &lt; 0.85, Table4[[#This Row],[Performance_Deviation]] * 50 / 1000, 0)</f>
        <v>0</v>
      </c>
    </row>
    <row r="241" spans="1:14" x14ac:dyDescent="0.3">
      <c r="A241" s="6" t="s">
        <v>6</v>
      </c>
      <c r="B241" s="5">
        <v>45301.958333333336</v>
      </c>
      <c r="C241" s="6">
        <v>0</v>
      </c>
      <c r="D241" s="6">
        <v>0</v>
      </c>
      <c r="E241" s="6">
        <v>0</v>
      </c>
      <c r="F241" s="6">
        <v>43.906437719905199</v>
      </c>
      <c r="G241" s="6" t="str">
        <f t="shared" si="6"/>
        <v>OK</v>
      </c>
      <c r="H241" s="6" t="str">
        <f t="shared" si="7"/>
        <v>ZERO</v>
      </c>
      <c r="I241">
        <v>0</v>
      </c>
      <c r="J241">
        <f>IFERROR(Table4[[#This Row],[energy_kwh]]/Table4[[#This Row],[expected_kwh]],0)</f>
        <v>0</v>
      </c>
      <c r="K241" t="str">
        <f>IF(Table4[[#This Row],[Performance_Ratio]] &lt; 0.85, "Underperforming", "Performing")</f>
        <v>Underperforming</v>
      </c>
      <c r="L241">
        <f>Table4[[#This Row],[energy_kwh]] - Table4[[#This Row],[expected_kwh]]</f>
        <v>0</v>
      </c>
      <c r="M241" t="str">
        <f>IF(Table4[[#This Row],[Performance_Deviation]] &lt; 0, "Underperforming", "Outperforming")</f>
        <v>Outperforming</v>
      </c>
      <c r="N241">
        <f>IF(Table4[[#This Row],[Performance_Ratio]] &lt; 0.85, Table4[[#This Row],[Performance_Deviation]] * 50 / 1000, 0)</f>
        <v>0</v>
      </c>
    </row>
    <row r="242" spans="1:14" x14ac:dyDescent="0.3">
      <c r="A242" s="4" t="s">
        <v>6</v>
      </c>
      <c r="B242" s="3">
        <v>45302</v>
      </c>
      <c r="C242" s="4">
        <v>0</v>
      </c>
      <c r="D242" s="4">
        <v>0</v>
      </c>
      <c r="E242" s="4">
        <v>0</v>
      </c>
      <c r="F242" s="4">
        <v>21.830058616740299</v>
      </c>
      <c r="G242" s="4" t="str">
        <f t="shared" si="6"/>
        <v>OK</v>
      </c>
      <c r="H242" s="4" t="str">
        <f t="shared" si="7"/>
        <v>ZERO</v>
      </c>
      <c r="I242">
        <v>0</v>
      </c>
      <c r="J242">
        <f>IFERROR(Table4[[#This Row],[energy_kwh]]/Table4[[#This Row],[expected_kwh]],0)</f>
        <v>0</v>
      </c>
      <c r="K242" t="str">
        <f>IF(Table4[[#This Row],[Performance_Ratio]] &lt; 0.85, "Underperforming", "Performing")</f>
        <v>Underperforming</v>
      </c>
      <c r="L242">
        <f>Table4[[#This Row],[energy_kwh]] - Table4[[#This Row],[expected_kwh]]</f>
        <v>0</v>
      </c>
      <c r="M242" t="str">
        <f>IF(Table4[[#This Row],[Performance_Deviation]] &lt; 0, "Underperforming", "Outperforming")</f>
        <v>Outperforming</v>
      </c>
      <c r="N242">
        <f>IF(Table4[[#This Row],[Performance_Ratio]] &lt; 0.85, Table4[[#This Row],[Performance_Deviation]] * 50 / 1000, 0)</f>
        <v>0</v>
      </c>
    </row>
    <row r="243" spans="1:14" x14ac:dyDescent="0.3">
      <c r="A243" s="6" t="s">
        <v>6</v>
      </c>
      <c r="B243" s="5">
        <v>45302.041666666664</v>
      </c>
      <c r="C243" s="6">
        <v>0</v>
      </c>
      <c r="D243" s="6">
        <v>0</v>
      </c>
      <c r="E243" s="6">
        <v>0</v>
      </c>
      <c r="F243" s="6">
        <v>85.602625451314907</v>
      </c>
      <c r="G243" s="6" t="str">
        <f t="shared" si="6"/>
        <v>OK</v>
      </c>
      <c r="H243" s="6" t="str">
        <f t="shared" si="7"/>
        <v>ZERO</v>
      </c>
      <c r="I243">
        <v>0</v>
      </c>
      <c r="J243">
        <f>IFERROR(Table4[[#This Row],[energy_kwh]]/Table4[[#This Row],[expected_kwh]],0)</f>
        <v>0</v>
      </c>
      <c r="K243" t="str">
        <f>IF(Table4[[#This Row],[Performance_Ratio]] &lt; 0.85, "Underperforming", "Performing")</f>
        <v>Underperforming</v>
      </c>
      <c r="L243">
        <f>Table4[[#This Row],[energy_kwh]] - Table4[[#This Row],[expected_kwh]]</f>
        <v>0</v>
      </c>
      <c r="M243" t="str">
        <f>IF(Table4[[#This Row],[Performance_Deviation]] &lt; 0, "Underperforming", "Outperforming")</f>
        <v>Outperforming</v>
      </c>
      <c r="N243">
        <f>IF(Table4[[#This Row],[Performance_Ratio]] &lt; 0.85, Table4[[#This Row],[Performance_Deviation]] * 50 / 1000, 0)</f>
        <v>0</v>
      </c>
    </row>
    <row r="244" spans="1:14" x14ac:dyDescent="0.3">
      <c r="A244" s="4" t="s">
        <v>6</v>
      </c>
      <c r="B244" s="3">
        <v>45302.083333333336</v>
      </c>
      <c r="C244" s="4">
        <v>0</v>
      </c>
      <c r="D244" s="4">
        <v>0</v>
      </c>
      <c r="E244" s="4">
        <v>0</v>
      </c>
      <c r="F244" s="4">
        <v>46.303386158878197</v>
      </c>
      <c r="G244" s="4" t="str">
        <f t="shared" si="6"/>
        <v>OK</v>
      </c>
      <c r="H244" s="4" t="str">
        <f t="shared" si="7"/>
        <v>ZERO</v>
      </c>
      <c r="I244">
        <v>0</v>
      </c>
      <c r="J244">
        <f>IFERROR(Table4[[#This Row],[energy_kwh]]/Table4[[#This Row],[expected_kwh]],0)</f>
        <v>0</v>
      </c>
      <c r="K244" t="str">
        <f>IF(Table4[[#This Row],[Performance_Ratio]] &lt; 0.85, "Underperforming", "Performing")</f>
        <v>Underperforming</v>
      </c>
      <c r="L244">
        <f>Table4[[#This Row],[energy_kwh]] - Table4[[#This Row],[expected_kwh]]</f>
        <v>0</v>
      </c>
      <c r="M244" t="str">
        <f>IF(Table4[[#This Row],[Performance_Deviation]] &lt; 0, "Underperforming", "Outperforming")</f>
        <v>Outperforming</v>
      </c>
      <c r="N244">
        <f>IF(Table4[[#This Row],[Performance_Ratio]] &lt; 0.85, Table4[[#This Row],[Performance_Deviation]] * 50 / 1000, 0)</f>
        <v>0</v>
      </c>
    </row>
    <row r="245" spans="1:14" x14ac:dyDescent="0.3">
      <c r="A245" s="6" t="s">
        <v>6</v>
      </c>
      <c r="B245" s="5">
        <v>45302.125</v>
      </c>
      <c r="C245" s="6">
        <v>0</v>
      </c>
      <c r="D245" s="6">
        <v>0</v>
      </c>
      <c r="E245" s="6">
        <v>0</v>
      </c>
      <c r="F245" s="6">
        <v>55.9906715227931</v>
      </c>
      <c r="G245" s="6" t="str">
        <f t="shared" si="6"/>
        <v>OK</v>
      </c>
      <c r="H245" s="6" t="str">
        <f t="shared" si="7"/>
        <v>ZERO</v>
      </c>
      <c r="I245">
        <v>0</v>
      </c>
      <c r="J245">
        <f>IFERROR(Table4[[#This Row],[energy_kwh]]/Table4[[#This Row],[expected_kwh]],0)</f>
        <v>0</v>
      </c>
      <c r="K245" t="str">
        <f>IF(Table4[[#This Row],[Performance_Ratio]] &lt; 0.85, "Underperforming", "Performing")</f>
        <v>Underperforming</v>
      </c>
      <c r="L245">
        <f>Table4[[#This Row],[energy_kwh]] - Table4[[#This Row],[expected_kwh]]</f>
        <v>0</v>
      </c>
      <c r="M245" t="str">
        <f>IF(Table4[[#This Row],[Performance_Deviation]] &lt; 0, "Underperforming", "Outperforming")</f>
        <v>Outperforming</v>
      </c>
      <c r="N245">
        <f>IF(Table4[[#This Row],[Performance_Ratio]] &lt; 0.85, Table4[[#This Row],[Performance_Deviation]] * 50 / 1000, 0)</f>
        <v>0</v>
      </c>
    </row>
    <row r="246" spans="1:14" x14ac:dyDescent="0.3">
      <c r="A246" s="4" t="s">
        <v>6</v>
      </c>
      <c r="B246" s="3">
        <v>45302.166666666664</v>
      </c>
      <c r="C246" s="4">
        <v>0</v>
      </c>
      <c r="D246" s="4">
        <v>0</v>
      </c>
      <c r="E246" s="4">
        <v>0</v>
      </c>
      <c r="F246" s="4">
        <v>51.332508662549998</v>
      </c>
      <c r="G246" s="4" t="str">
        <f t="shared" si="6"/>
        <v>OK</v>
      </c>
      <c r="H246" s="4" t="str">
        <f t="shared" si="7"/>
        <v>ZERO</v>
      </c>
      <c r="I246">
        <v>0</v>
      </c>
      <c r="J246">
        <f>IFERROR(Table4[[#This Row],[energy_kwh]]/Table4[[#This Row],[expected_kwh]],0)</f>
        <v>0</v>
      </c>
      <c r="K246" t="str">
        <f>IF(Table4[[#This Row],[Performance_Ratio]] &lt; 0.85, "Underperforming", "Performing")</f>
        <v>Underperforming</v>
      </c>
      <c r="L246">
        <f>Table4[[#This Row],[energy_kwh]] - Table4[[#This Row],[expected_kwh]]</f>
        <v>0</v>
      </c>
      <c r="M246" t="str">
        <f>IF(Table4[[#This Row],[Performance_Deviation]] &lt; 0, "Underperforming", "Outperforming")</f>
        <v>Outperforming</v>
      </c>
      <c r="N246">
        <f>IF(Table4[[#This Row],[Performance_Ratio]] &lt; 0.85, Table4[[#This Row],[Performance_Deviation]] * 50 / 1000, 0)</f>
        <v>0</v>
      </c>
    </row>
    <row r="247" spans="1:14" x14ac:dyDescent="0.3">
      <c r="A247" s="6" t="s">
        <v>6</v>
      </c>
      <c r="B247" s="5">
        <v>45302.208333333336</v>
      </c>
      <c r="C247" s="6">
        <v>0</v>
      </c>
      <c r="D247" s="6">
        <v>0</v>
      </c>
      <c r="E247" s="6">
        <v>0</v>
      </c>
      <c r="F247" s="6">
        <v>37.908285932622597</v>
      </c>
      <c r="G247" s="6" t="str">
        <f t="shared" si="6"/>
        <v>OK</v>
      </c>
      <c r="H247" s="6" t="str">
        <f t="shared" si="7"/>
        <v>ZERO</v>
      </c>
      <c r="I247">
        <v>0</v>
      </c>
      <c r="J247">
        <f>IFERROR(Table4[[#This Row],[energy_kwh]]/Table4[[#This Row],[expected_kwh]],0)</f>
        <v>0</v>
      </c>
      <c r="K247" t="str">
        <f>IF(Table4[[#This Row],[Performance_Ratio]] &lt; 0.85, "Underperforming", "Performing")</f>
        <v>Underperforming</v>
      </c>
      <c r="L247">
        <f>Table4[[#This Row],[energy_kwh]] - Table4[[#This Row],[expected_kwh]]</f>
        <v>0</v>
      </c>
      <c r="M247" t="str">
        <f>IF(Table4[[#This Row],[Performance_Deviation]] &lt; 0, "Underperforming", "Outperforming")</f>
        <v>Outperforming</v>
      </c>
      <c r="N247">
        <f>IF(Table4[[#This Row],[Performance_Ratio]] &lt; 0.85, Table4[[#This Row],[Performance_Deviation]] * 50 / 1000, 0)</f>
        <v>0</v>
      </c>
    </row>
    <row r="248" spans="1:14" x14ac:dyDescent="0.3">
      <c r="A248" s="4" t="s">
        <v>6</v>
      </c>
      <c r="B248" s="3">
        <v>45302.25</v>
      </c>
      <c r="C248" s="4">
        <v>0</v>
      </c>
      <c r="D248" s="4">
        <v>0</v>
      </c>
      <c r="E248" s="4">
        <v>0</v>
      </c>
      <c r="F248" s="4">
        <v>37.520581328743198</v>
      </c>
      <c r="G248" s="4" t="str">
        <f t="shared" si="6"/>
        <v>OK</v>
      </c>
      <c r="H248" s="4" t="str">
        <f t="shared" si="7"/>
        <v>ZERO</v>
      </c>
      <c r="I248">
        <v>0</v>
      </c>
      <c r="J248">
        <f>IFERROR(Table4[[#This Row],[energy_kwh]]/Table4[[#This Row],[expected_kwh]],0)</f>
        <v>0</v>
      </c>
      <c r="K248" t="str">
        <f>IF(Table4[[#This Row],[Performance_Ratio]] &lt; 0.85, "Underperforming", "Performing")</f>
        <v>Underperforming</v>
      </c>
      <c r="L248">
        <f>Table4[[#This Row],[energy_kwh]] - Table4[[#This Row],[expected_kwh]]</f>
        <v>0</v>
      </c>
      <c r="M248" t="str">
        <f>IF(Table4[[#This Row],[Performance_Deviation]] &lt; 0, "Underperforming", "Outperforming")</f>
        <v>Outperforming</v>
      </c>
      <c r="N248">
        <f>IF(Table4[[#This Row],[Performance_Ratio]] &lt; 0.85, Table4[[#This Row],[Performance_Deviation]] * 50 / 1000, 0)</f>
        <v>0</v>
      </c>
    </row>
    <row r="249" spans="1:14" x14ac:dyDescent="0.3">
      <c r="A249" s="6" t="s">
        <v>6</v>
      </c>
      <c r="B249" s="5">
        <v>45302.291666666664</v>
      </c>
      <c r="C249" s="6">
        <v>92.519000063089095</v>
      </c>
      <c r="D249" s="6">
        <v>88.353943150474507</v>
      </c>
      <c r="E249" s="6">
        <v>88.353943150474507</v>
      </c>
      <c r="F249" s="6">
        <v>94.0791792302023</v>
      </c>
      <c r="G249" s="6" t="str">
        <f t="shared" si="6"/>
        <v>OK</v>
      </c>
      <c r="H249" s="6" t="str">
        <f t="shared" si="7"/>
        <v>NON-ZERO</v>
      </c>
      <c r="I249">
        <v>103.527618041008</v>
      </c>
      <c r="J249">
        <f>IFERROR(Table4[[#This Row],[energy_kwh]]/Table4[[#This Row],[expected_kwh]],0)</f>
        <v>0.85343355543519706</v>
      </c>
      <c r="K249" t="str">
        <f>IF(Table4[[#This Row],[Performance_Ratio]] &lt; 0.85, "Underperforming", "Performing")</f>
        <v>Performing</v>
      </c>
      <c r="L249">
        <f>Table4[[#This Row],[energy_kwh]] - Table4[[#This Row],[expected_kwh]]</f>
        <v>-15.173674890533491</v>
      </c>
      <c r="M249" t="str">
        <f>IF(Table4[[#This Row],[Performance_Deviation]] &lt; 0, "Underperforming", "Outperforming")</f>
        <v>Underperforming</v>
      </c>
      <c r="N249">
        <f>IF(Table4[[#This Row],[Performance_Ratio]] &lt; 0.85, Table4[[#This Row],[Performance_Deviation]] * 50 / 1000, 0)</f>
        <v>0</v>
      </c>
    </row>
    <row r="250" spans="1:14" x14ac:dyDescent="0.3">
      <c r="A250" s="4" t="s">
        <v>6</v>
      </c>
      <c r="B250" s="3">
        <v>45302.333333333336</v>
      </c>
      <c r="C250" s="4">
        <v>162.92850378449401</v>
      </c>
      <c r="D250" s="4">
        <v>155.59372400426699</v>
      </c>
      <c r="E250" s="4">
        <v>155.59372400426699</v>
      </c>
      <c r="F250" s="4">
        <v>91.247088796266894</v>
      </c>
      <c r="G250" s="4" t="str">
        <f t="shared" si="6"/>
        <v>OK</v>
      </c>
      <c r="H250" s="4" t="str">
        <f t="shared" si="7"/>
        <v>NON-ZERO</v>
      </c>
      <c r="I250">
        <v>199.99999999999901</v>
      </c>
      <c r="J250">
        <f>IFERROR(Table4[[#This Row],[energy_kwh]]/Table4[[#This Row],[expected_kwh]],0)</f>
        <v>0.77796862002133882</v>
      </c>
      <c r="K250" t="str">
        <f>IF(Table4[[#This Row],[Performance_Ratio]] &lt; 0.85, "Underperforming", "Performing")</f>
        <v>Underperforming</v>
      </c>
      <c r="L250">
        <f>Table4[[#This Row],[energy_kwh]] - Table4[[#This Row],[expected_kwh]]</f>
        <v>-44.406275995732017</v>
      </c>
      <c r="M250" t="str">
        <f>IF(Table4[[#This Row],[Performance_Deviation]] &lt; 0, "Underperforming", "Outperforming")</f>
        <v>Underperforming</v>
      </c>
      <c r="N250">
        <f>IF(Table4[[#This Row],[Performance_Ratio]] &lt; 0.85, Table4[[#This Row],[Performance_Deviation]] * 50 / 1000, 0)</f>
        <v>-2.2203137997866005</v>
      </c>
    </row>
    <row r="251" spans="1:14" x14ac:dyDescent="0.3">
      <c r="A251" s="6" t="s">
        <v>6</v>
      </c>
      <c r="B251" s="5">
        <v>45302.375</v>
      </c>
      <c r="C251" s="6">
        <v>244.79535900714899</v>
      </c>
      <c r="D251" s="6">
        <v>233.77506478095299</v>
      </c>
      <c r="E251" s="6">
        <v>233.77506478095299</v>
      </c>
      <c r="F251" s="6">
        <v>51.318558183869598</v>
      </c>
      <c r="G251" s="6" t="str">
        <f t="shared" si="6"/>
        <v>OK</v>
      </c>
      <c r="H251" s="6" t="str">
        <f t="shared" si="7"/>
        <v>NON-ZERO</v>
      </c>
      <c r="I251">
        <v>282.84271247461902</v>
      </c>
      <c r="J251">
        <f>IFERROR(Table4[[#This Row],[energy_kwh]]/Table4[[#This Row],[expected_kwh]],0)</f>
        <v>0.82651966789468145</v>
      </c>
      <c r="K251" t="str">
        <f>IF(Table4[[#This Row],[Performance_Ratio]] &lt; 0.85, "Underperforming", "Performing")</f>
        <v>Underperforming</v>
      </c>
      <c r="L251">
        <f>Table4[[#This Row],[energy_kwh]] - Table4[[#This Row],[expected_kwh]]</f>
        <v>-49.067647693666032</v>
      </c>
      <c r="M251" t="str">
        <f>IF(Table4[[#This Row],[Performance_Deviation]] &lt; 0, "Underperforming", "Outperforming")</f>
        <v>Underperforming</v>
      </c>
      <c r="N251">
        <f>IF(Table4[[#This Row],[Performance_Ratio]] &lt; 0.85, Table4[[#This Row],[Performance_Deviation]] * 50 / 1000, 0)</f>
        <v>-2.4533823846833016</v>
      </c>
    </row>
    <row r="252" spans="1:14" x14ac:dyDescent="0.3">
      <c r="A252" s="4" t="s">
        <v>6</v>
      </c>
      <c r="B252" s="3">
        <v>45302.416666666664</v>
      </c>
      <c r="C252" s="4">
        <v>385.09745373074702</v>
      </c>
      <c r="D252" s="4">
        <v>367.76098435042798</v>
      </c>
      <c r="E252" s="4">
        <v>367.76098435042798</v>
      </c>
      <c r="F252" s="4">
        <v>37.375377603758203</v>
      </c>
      <c r="G252" s="4" t="str">
        <f t="shared" si="6"/>
        <v>OK</v>
      </c>
      <c r="H252" s="4" t="str">
        <f t="shared" si="7"/>
        <v>NON-ZERO</v>
      </c>
      <c r="I252">
        <v>346.41016151377499</v>
      </c>
      <c r="J252">
        <f>IFERROR(Table4[[#This Row],[energy_kwh]]/Table4[[#This Row],[expected_kwh]],0)</f>
        <v>1.0616345165608081</v>
      </c>
      <c r="K252" t="str">
        <f>IF(Table4[[#This Row],[Performance_Ratio]] &lt; 0.85, "Underperforming", "Performing")</f>
        <v>Performing</v>
      </c>
      <c r="L252">
        <f>Table4[[#This Row],[energy_kwh]] - Table4[[#This Row],[expected_kwh]]</f>
        <v>21.350822836652981</v>
      </c>
      <c r="M252" t="str">
        <f>IF(Table4[[#This Row],[Performance_Deviation]] &lt; 0, "Underperforming", "Outperforming")</f>
        <v>Outperforming</v>
      </c>
      <c r="N252">
        <f>IF(Table4[[#This Row],[Performance_Ratio]] &lt; 0.85, Table4[[#This Row],[Performance_Deviation]] * 50 / 1000, 0)</f>
        <v>0</v>
      </c>
    </row>
    <row r="253" spans="1:14" x14ac:dyDescent="0.3">
      <c r="A253" s="6" t="s">
        <v>6</v>
      </c>
      <c r="B253" s="5">
        <v>45302.458333333336</v>
      </c>
      <c r="C253" s="6">
        <v>349.09610909577202</v>
      </c>
      <c r="D253" s="6">
        <v>333.38036247762102</v>
      </c>
      <c r="E253" s="6">
        <v>333.38036247762102</v>
      </c>
      <c r="F253" s="6">
        <v>65.5802596159144</v>
      </c>
      <c r="G253" s="6" t="str">
        <f t="shared" si="6"/>
        <v>OK</v>
      </c>
      <c r="H253" s="6" t="str">
        <f t="shared" si="7"/>
        <v>NON-ZERO</v>
      </c>
      <c r="I253">
        <v>386.37033051562702</v>
      </c>
      <c r="J253">
        <f>IFERROR(Table4[[#This Row],[energy_kwh]]/Table4[[#This Row],[expected_kwh]],0)</f>
        <v>0.86285187072390179</v>
      </c>
      <c r="K253" t="str">
        <f>IF(Table4[[#This Row],[Performance_Ratio]] &lt; 0.85, "Underperforming", "Performing")</f>
        <v>Performing</v>
      </c>
      <c r="L253">
        <f>Table4[[#This Row],[energy_kwh]] - Table4[[#This Row],[expected_kwh]]</f>
        <v>-52.989968038005998</v>
      </c>
      <c r="M253" t="str">
        <f>IF(Table4[[#This Row],[Performance_Deviation]] &lt; 0, "Underperforming", "Outperforming")</f>
        <v>Underperforming</v>
      </c>
      <c r="N253">
        <f>IF(Table4[[#This Row],[Performance_Ratio]] &lt; 0.85, Table4[[#This Row],[Performance_Deviation]] * 50 / 1000, 0)</f>
        <v>0</v>
      </c>
    </row>
    <row r="254" spans="1:14" x14ac:dyDescent="0.3">
      <c r="A254" s="4" t="s">
        <v>6</v>
      </c>
      <c r="B254" s="3">
        <v>45302.5</v>
      </c>
      <c r="C254" s="4">
        <v>336.04111054559399</v>
      </c>
      <c r="D254" s="4">
        <v>320.91307901211201</v>
      </c>
      <c r="E254" s="4">
        <v>320.91307901211201</v>
      </c>
      <c r="F254" s="4">
        <v>33.982869660818999</v>
      </c>
      <c r="G254" s="4" t="str">
        <f t="shared" si="6"/>
        <v>OK</v>
      </c>
      <c r="H254" s="4" t="str">
        <f t="shared" si="7"/>
        <v>NON-ZERO</v>
      </c>
      <c r="I254">
        <v>400</v>
      </c>
      <c r="J254">
        <f>IFERROR(Table4[[#This Row],[energy_kwh]]/Table4[[#This Row],[expected_kwh]],0)</f>
        <v>0.80228269753028003</v>
      </c>
      <c r="K254" t="str">
        <f>IF(Table4[[#This Row],[Performance_Ratio]] &lt; 0.85, "Underperforming", "Performing")</f>
        <v>Underperforming</v>
      </c>
      <c r="L254">
        <f>Table4[[#This Row],[energy_kwh]] - Table4[[#This Row],[expected_kwh]]</f>
        <v>-79.086920987887993</v>
      </c>
      <c r="M254" t="str">
        <f>IF(Table4[[#This Row],[Performance_Deviation]] &lt; 0, "Underperforming", "Outperforming")</f>
        <v>Underperforming</v>
      </c>
      <c r="N254">
        <f>IF(Table4[[#This Row],[Performance_Ratio]] &lt; 0.85, Table4[[#This Row],[Performance_Deviation]] * 50 / 1000, 0)</f>
        <v>-3.9543460493943994</v>
      </c>
    </row>
    <row r="255" spans="1:14" x14ac:dyDescent="0.3">
      <c r="A255" s="6" t="s">
        <v>6</v>
      </c>
      <c r="B255" s="5">
        <v>45302.541666666664</v>
      </c>
      <c r="C255" s="6">
        <v>369.05221063109701</v>
      </c>
      <c r="D255" s="6">
        <v>352.43807234645698</v>
      </c>
      <c r="E255" s="6">
        <v>352.43807234645698</v>
      </c>
      <c r="F255" s="6">
        <v>24.338200742254699</v>
      </c>
      <c r="G255" s="6" t="str">
        <f t="shared" si="6"/>
        <v>OK</v>
      </c>
      <c r="H255" s="6" t="str">
        <f t="shared" si="7"/>
        <v>NON-ZERO</v>
      </c>
      <c r="I255">
        <v>386.37033051562702</v>
      </c>
      <c r="J255">
        <f>IFERROR(Table4[[#This Row],[energy_kwh]]/Table4[[#This Row],[expected_kwh]],0)</f>
        <v>0.9121768534248319</v>
      </c>
      <c r="K255" t="str">
        <f>IF(Table4[[#This Row],[Performance_Ratio]] &lt; 0.85, "Underperforming", "Performing")</f>
        <v>Performing</v>
      </c>
      <c r="L255">
        <f>Table4[[#This Row],[energy_kwh]] - Table4[[#This Row],[expected_kwh]]</f>
        <v>-33.932258169170041</v>
      </c>
      <c r="M255" t="str">
        <f>IF(Table4[[#This Row],[Performance_Deviation]] &lt; 0, "Underperforming", "Outperforming")</f>
        <v>Underperforming</v>
      </c>
      <c r="N255">
        <f>IF(Table4[[#This Row],[Performance_Ratio]] &lt; 0.85, Table4[[#This Row],[Performance_Deviation]] * 50 / 1000, 0)</f>
        <v>0</v>
      </c>
    </row>
    <row r="256" spans="1:14" x14ac:dyDescent="0.3">
      <c r="A256" s="4" t="s">
        <v>6</v>
      </c>
      <c r="B256" s="3">
        <v>45302.583333333336</v>
      </c>
      <c r="C256" s="4">
        <v>320.03520237736501</v>
      </c>
      <c r="D256" s="4">
        <v>305.62773114407298</v>
      </c>
      <c r="E256" s="4">
        <v>305.62773114407298</v>
      </c>
      <c r="F256" s="4">
        <v>31.542192975489101</v>
      </c>
      <c r="G256" s="4" t="str">
        <f t="shared" si="6"/>
        <v>OK</v>
      </c>
      <c r="H256" s="4" t="str">
        <f t="shared" si="7"/>
        <v>NON-ZERO</v>
      </c>
      <c r="I256">
        <v>346.41016151377499</v>
      </c>
      <c r="J256">
        <f>IFERROR(Table4[[#This Row],[energy_kwh]]/Table4[[#This Row],[expected_kwh]],0)</f>
        <v>0.88227126423922675</v>
      </c>
      <c r="K256" t="str">
        <f>IF(Table4[[#This Row],[Performance_Ratio]] &lt; 0.85, "Underperforming", "Performing")</f>
        <v>Performing</v>
      </c>
      <c r="L256">
        <f>Table4[[#This Row],[energy_kwh]] - Table4[[#This Row],[expected_kwh]]</f>
        <v>-40.782430369702013</v>
      </c>
      <c r="M256" t="str">
        <f>IF(Table4[[#This Row],[Performance_Deviation]] &lt; 0, "Underperforming", "Outperforming")</f>
        <v>Underperforming</v>
      </c>
      <c r="N256">
        <f>IF(Table4[[#This Row],[Performance_Ratio]] &lt; 0.85, Table4[[#This Row],[Performance_Deviation]] * 50 / 1000, 0)</f>
        <v>0</v>
      </c>
    </row>
    <row r="257" spans="1:14" x14ac:dyDescent="0.3">
      <c r="A257" s="6" t="s">
        <v>6</v>
      </c>
      <c r="B257" s="5">
        <v>45302.625</v>
      </c>
      <c r="C257" s="6">
        <v>245.465072206738</v>
      </c>
      <c r="D257" s="6">
        <v>234.414628567021</v>
      </c>
      <c r="E257" s="6">
        <v>234.414628567021</v>
      </c>
      <c r="F257" s="6">
        <v>36.786321111696701</v>
      </c>
      <c r="G257" s="6" t="str">
        <f t="shared" si="6"/>
        <v>OK</v>
      </c>
      <c r="H257" s="6" t="str">
        <f t="shared" si="7"/>
        <v>NON-ZERO</v>
      </c>
      <c r="I257">
        <v>282.84271247461902</v>
      </c>
      <c r="J257">
        <f>IFERROR(Table4[[#This Row],[energy_kwh]]/Table4[[#This Row],[expected_kwh]],0)</f>
        <v>0.82878086734533163</v>
      </c>
      <c r="K257" t="str">
        <f>IF(Table4[[#This Row],[Performance_Ratio]] &lt; 0.85, "Underperforming", "Performing")</f>
        <v>Underperforming</v>
      </c>
      <c r="L257">
        <f>Table4[[#This Row],[energy_kwh]] - Table4[[#This Row],[expected_kwh]]</f>
        <v>-48.428083907598023</v>
      </c>
      <c r="M257" t="str">
        <f>IF(Table4[[#This Row],[Performance_Deviation]] &lt; 0, "Underperforming", "Outperforming")</f>
        <v>Underperforming</v>
      </c>
      <c r="N257">
        <f>IF(Table4[[#This Row],[Performance_Ratio]] &lt; 0.85, Table4[[#This Row],[Performance_Deviation]] * 50 / 1000, 0)</f>
        <v>-2.421404195379901</v>
      </c>
    </row>
    <row r="258" spans="1:14" x14ac:dyDescent="0.3">
      <c r="A258" s="4" t="s">
        <v>6</v>
      </c>
      <c r="B258" s="3">
        <v>45302.666666666664</v>
      </c>
      <c r="C258" s="4">
        <v>223.00326911045701</v>
      </c>
      <c r="D258" s="4">
        <v>212.964019800469</v>
      </c>
      <c r="E258" s="4">
        <v>212.964019800469</v>
      </c>
      <c r="F258" s="4">
        <v>85.809564697278503</v>
      </c>
      <c r="G258" s="4" t="str">
        <f t="shared" ref="G258:G321" si="8">IF(D258 &gt; C258, "ERROR", "OK")</f>
        <v>OK</v>
      </c>
      <c r="H258" s="4" t="str">
        <f t="shared" ref="H258:H321" si="9">IF(E258=0,"ZERO","NON-ZERO")</f>
        <v>NON-ZERO</v>
      </c>
      <c r="I258">
        <v>199.99999999999901</v>
      </c>
      <c r="J258">
        <f>IFERROR(Table4[[#This Row],[energy_kwh]]/Table4[[#This Row],[expected_kwh]],0)</f>
        <v>1.0648200990023504</v>
      </c>
      <c r="K258" t="str">
        <f>IF(Table4[[#This Row],[Performance_Ratio]] &lt; 0.85, "Underperforming", "Performing")</f>
        <v>Performing</v>
      </c>
      <c r="L258">
        <f>Table4[[#This Row],[energy_kwh]] - Table4[[#This Row],[expected_kwh]]</f>
        <v>12.964019800469998</v>
      </c>
      <c r="M258" t="str">
        <f>IF(Table4[[#This Row],[Performance_Deviation]] &lt; 0, "Underperforming", "Outperforming")</f>
        <v>Outperforming</v>
      </c>
      <c r="N258">
        <f>IF(Table4[[#This Row],[Performance_Ratio]] &lt; 0.85, Table4[[#This Row],[Performance_Deviation]] * 50 / 1000, 0)</f>
        <v>0</v>
      </c>
    </row>
    <row r="259" spans="1:14" x14ac:dyDescent="0.3">
      <c r="A259" s="6" t="s">
        <v>6</v>
      </c>
      <c r="B259" s="5">
        <v>45302.708333333336</v>
      </c>
      <c r="C259" s="6">
        <v>105.147688721775</v>
      </c>
      <c r="D259" s="6">
        <v>100.41410851168401</v>
      </c>
      <c r="E259" s="6">
        <v>100.41410851168401</v>
      </c>
      <c r="F259" s="6">
        <v>86.656105990173202</v>
      </c>
      <c r="G259" s="6" t="str">
        <f t="shared" si="8"/>
        <v>OK</v>
      </c>
      <c r="H259" s="6" t="str">
        <f t="shared" si="9"/>
        <v>NON-ZERO</v>
      </c>
      <c r="I259">
        <v>103.527618041008</v>
      </c>
      <c r="J259">
        <f>IFERROR(Table4[[#This Row],[energy_kwh]]/Table4[[#This Row],[expected_kwh]],0)</f>
        <v>0.96992580735228828</v>
      </c>
      <c r="K259" t="str">
        <f>IF(Table4[[#This Row],[Performance_Ratio]] &lt; 0.85, "Underperforming", "Performing")</f>
        <v>Performing</v>
      </c>
      <c r="L259">
        <f>Table4[[#This Row],[energy_kwh]] - Table4[[#This Row],[expected_kwh]]</f>
        <v>-3.1135095293239914</v>
      </c>
      <c r="M259" t="str">
        <f>IF(Table4[[#This Row],[Performance_Deviation]] &lt; 0, "Underperforming", "Outperforming")</f>
        <v>Underperforming</v>
      </c>
      <c r="N259">
        <f>IF(Table4[[#This Row],[Performance_Ratio]] &lt; 0.85, Table4[[#This Row],[Performance_Deviation]] * 50 / 1000, 0)</f>
        <v>0</v>
      </c>
    </row>
    <row r="260" spans="1:14" x14ac:dyDescent="0.3">
      <c r="A260" s="4" t="s">
        <v>6</v>
      </c>
      <c r="B260" s="3">
        <v>45302.75</v>
      </c>
      <c r="C260" s="7">
        <v>4.8400242789996601E-14</v>
      </c>
      <c r="D260" s="7">
        <v>4.6221341530068998E-14</v>
      </c>
      <c r="E260" s="7">
        <v>4.6221341530068998E-14</v>
      </c>
      <c r="F260" s="4">
        <v>50.6339909803024</v>
      </c>
      <c r="G260" s="4" t="str">
        <f t="shared" si="8"/>
        <v>OK</v>
      </c>
      <c r="H260" s="4" t="str">
        <f t="shared" si="9"/>
        <v>NON-ZERO</v>
      </c>
      <c r="I260" s="2">
        <v>4.8985871965894097E-14</v>
      </c>
      <c r="J260">
        <f>IFERROR(Table4[[#This Row],[energy_kwh]]/Table4[[#This Row],[expected_kwh]],0)</f>
        <v>0.94356473969168342</v>
      </c>
      <c r="K260" t="str">
        <f>IF(Table4[[#This Row],[Performance_Ratio]] &lt; 0.85, "Underperforming", "Performing")</f>
        <v>Performing</v>
      </c>
      <c r="L260">
        <f>Table4[[#This Row],[energy_kwh]] - Table4[[#This Row],[expected_kwh]]</f>
        <v>-2.7645304358250995E-15</v>
      </c>
      <c r="M260" t="str">
        <f>IF(Table4[[#This Row],[Performance_Deviation]] &lt; 0, "Underperforming", "Outperforming")</f>
        <v>Underperforming</v>
      </c>
      <c r="N260">
        <f>IF(Table4[[#This Row],[Performance_Ratio]] &lt; 0.85, Table4[[#This Row],[Performance_Deviation]] * 50 / 1000, 0)</f>
        <v>0</v>
      </c>
    </row>
    <row r="261" spans="1:14" x14ac:dyDescent="0.3">
      <c r="A261" s="6" t="s">
        <v>6</v>
      </c>
      <c r="B261" s="5">
        <v>45302.791666666664</v>
      </c>
      <c r="C261" s="6">
        <v>0</v>
      </c>
      <c r="D261" s="6">
        <v>0</v>
      </c>
      <c r="E261" s="6">
        <v>0</v>
      </c>
      <c r="F261" s="6">
        <v>74.256508526643799</v>
      </c>
      <c r="G261" s="6" t="str">
        <f t="shared" si="8"/>
        <v>OK</v>
      </c>
      <c r="H261" s="6" t="str">
        <f t="shared" si="9"/>
        <v>ZERO</v>
      </c>
      <c r="I261">
        <v>0</v>
      </c>
      <c r="J261">
        <f>IFERROR(Table4[[#This Row],[energy_kwh]]/Table4[[#This Row],[expected_kwh]],0)</f>
        <v>0</v>
      </c>
      <c r="K261" t="str">
        <f>IF(Table4[[#This Row],[Performance_Ratio]] &lt; 0.85, "Underperforming", "Performing")</f>
        <v>Underperforming</v>
      </c>
      <c r="L261">
        <f>Table4[[#This Row],[energy_kwh]] - Table4[[#This Row],[expected_kwh]]</f>
        <v>0</v>
      </c>
      <c r="M261" t="str">
        <f>IF(Table4[[#This Row],[Performance_Deviation]] &lt; 0, "Underperforming", "Outperforming")</f>
        <v>Outperforming</v>
      </c>
      <c r="N261">
        <f>IF(Table4[[#This Row],[Performance_Ratio]] &lt; 0.85, Table4[[#This Row],[Performance_Deviation]] * 50 / 1000, 0)</f>
        <v>0</v>
      </c>
    </row>
    <row r="262" spans="1:14" x14ac:dyDescent="0.3">
      <c r="A262" s="4" t="s">
        <v>6</v>
      </c>
      <c r="B262" s="3">
        <v>45302.833333333336</v>
      </c>
      <c r="C262" s="4">
        <v>0</v>
      </c>
      <c r="D262" s="4">
        <v>0</v>
      </c>
      <c r="E262" s="4">
        <v>0</v>
      </c>
      <c r="F262" s="4">
        <v>25.709814461772499</v>
      </c>
      <c r="G262" s="4" t="str">
        <f t="shared" si="8"/>
        <v>OK</v>
      </c>
      <c r="H262" s="4" t="str">
        <f t="shared" si="9"/>
        <v>ZERO</v>
      </c>
      <c r="I262">
        <v>0</v>
      </c>
      <c r="J262">
        <f>IFERROR(Table4[[#This Row],[energy_kwh]]/Table4[[#This Row],[expected_kwh]],0)</f>
        <v>0</v>
      </c>
      <c r="K262" t="str">
        <f>IF(Table4[[#This Row],[Performance_Ratio]] &lt; 0.85, "Underperforming", "Performing")</f>
        <v>Underperforming</v>
      </c>
      <c r="L262">
        <f>Table4[[#This Row],[energy_kwh]] - Table4[[#This Row],[expected_kwh]]</f>
        <v>0</v>
      </c>
      <c r="M262" t="str">
        <f>IF(Table4[[#This Row],[Performance_Deviation]] &lt; 0, "Underperforming", "Outperforming")</f>
        <v>Outperforming</v>
      </c>
      <c r="N262">
        <f>IF(Table4[[#This Row],[Performance_Ratio]] &lt; 0.85, Table4[[#This Row],[Performance_Deviation]] * 50 / 1000, 0)</f>
        <v>0</v>
      </c>
    </row>
    <row r="263" spans="1:14" x14ac:dyDescent="0.3">
      <c r="A263" s="6" t="s">
        <v>6</v>
      </c>
      <c r="B263" s="5">
        <v>45302.875</v>
      </c>
      <c r="C263" s="6">
        <v>0</v>
      </c>
      <c r="D263" s="6">
        <v>0</v>
      </c>
      <c r="E263" s="6">
        <v>0</v>
      </c>
      <c r="F263" s="6">
        <v>56.043993299498602</v>
      </c>
      <c r="G263" s="6" t="str">
        <f t="shared" si="8"/>
        <v>OK</v>
      </c>
      <c r="H263" s="6" t="str">
        <f t="shared" si="9"/>
        <v>ZERO</v>
      </c>
      <c r="I263">
        <v>0</v>
      </c>
      <c r="J263">
        <f>IFERROR(Table4[[#This Row],[energy_kwh]]/Table4[[#This Row],[expected_kwh]],0)</f>
        <v>0</v>
      </c>
      <c r="K263" t="str">
        <f>IF(Table4[[#This Row],[Performance_Ratio]] &lt; 0.85, "Underperforming", "Performing")</f>
        <v>Underperforming</v>
      </c>
      <c r="L263">
        <f>Table4[[#This Row],[energy_kwh]] - Table4[[#This Row],[expected_kwh]]</f>
        <v>0</v>
      </c>
      <c r="M263" t="str">
        <f>IF(Table4[[#This Row],[Performance_Deviation]] &lt; 0, "Underperforming", "Outperforming")</f>
        <v>Outperforming</v>
      </c>
      <c r="N263">
        <f>IF(Table4[[#This Row],[Performance_Ratio]] &lt; 0.85, Table4[[#This Row],[Performance_Deviation]] * 50 / 1000, 0)</f>
        <v>0</v>
      </c>
    </row>
    <row r="264" spans="1:14" x14ac:dyDescent="0.3">
      <c r="A264" s="4" t="s">
        <v>6</v>
      </c>
      <c r="B264" s="3">
        <v>45302.916666666664</v>
      </c>
      <c r="C264" s="4">
        <v>0</v>
      </c>
      <c r="D264" s="4">
        <v>0</v>
      </c>
      <c r="E264" s="4">
        <v>0</v>
      </c>
      <c r="F264" s="4">
        <v>62.429897299684299</v>
      </c>
      <c r="G264" s="4" t="str">
        <f t="shared" si="8"/>
        <v>OK</v>
      </c>
      <c r="H264" s="4" t="str">
        <f t="shared" si="9"/>
        <v>ZERO</v>
      </c>
      <c r="I264">
        <v>0</v>
      </c>
      <c r="J264">
        <f>IFERROR(Table4[[#This Row],[energy_kwh]]/Table4[[#This Row],[expected_kwh]],0)</f>
        <v>0</v>
      </c>
      <c r="K264" t="str">
        <f>IF(Table4[[#This Row],[Performance_Ratio]] &lt; 0.85, "Underperforming", "Performing")</f>
        <v>Underperforming</v>
      </c>
      <c r="L264">
        <f>Table4[[#This Row],[energy_kwh]] - Table4[[#This Row],[expected_kwh]]</f>
        <v>0</v>
      </c>
      <c r="M264" t="str">
        <f>IF(Table4[[#This Row],[Performance_Deviation]] &lt; 0, "Underperforming", "Outperforming")</f>
        <v>Outperforming</v>
      </c>
      <c r="N264">
        <f>IF(Table4[[#This Row],[Performance_Ratio]] &lt; 0.85, Table4[[#This Row],[Performance_Deviation]] * 50 / 1000, 0)</f>
        <v>0</v>
      </c>
    </row>
    <row r="265" spans="1:14" x14ac:dyDescent="0.3">
      <c r="A265" s="6" t="s">
        <v>6</v>
      </c>
      <c r="B265" s="5">
        <v>45302.958333333336</v>
      </c>
      <c r="C265" s="6">
        <v>0</v>
      </c>
      <c r="D265" s="6">
        <v>0</v>
      </c>
      <c r="E265" s="6">
        <v>0</v>
      </c>
      <c r="F265" s="6">
        <v>79.806951620519598</v>
      </c>
      <c r="G265" s="6" t="str">
        <f t="shared" si="8"/>
        <v>OK</v>
      </c>
      <c r="H265" s="6" t="str">
        <f t="shared" si="9"/>
        <v>ZERO</v>
      </c>
      <c r="I265">
        <v>0</v>
      </c>
      <c r="J265">
        <f>IFERROR(Table4[[#This Row],[energy_kwh]]/Table4[[#This Row],[expected_kwh]],0)</f>
        <v>0</v>
      </c>
      <c r="K265" t="str">
        <f>IF(Table4[[#This Row],[Performance_Ratio]] &lt; 0.85, "Underperforming", "Performing")</f>
        <v>Underperforming</v>
      </c>
      <c r="L265">
        <f>Table4[[#This Row],[energy_kwh]] - Table4[[#This Row],[expected_kwh]]</f>
        <v>0</v>
      </c>
      <c r="M265" t="str">
        <f>IF(Table4[[#This Row],[Performance_Deviation]] &lt; 0, "Underperforming", "Outperforming")</f>
        <v>Outperforming</v>
      </c>
      <c r="N265">
        <f>IF(Table4[[#This Row],[Performance_Ratio]] &lt; 0.85, Table4[[#This Row],[Performance_Deviation]] * 50 / 1000, 0)</f>
        <v>0</v>
      </c>
    </row>
    <row r="266" spans="1:14" x14ac:dyDescent="0.3">
      <c r="A266" s="4" t="s">
        <v>6</v>
      </c>
      <c r="B266" s="3">
        <v>45303</v>
      </c>
      <c r="C266" s="4">
        <v>0</v>
      </c>
      <c r="D266" s="4">
        <v>0</v>
      </c>
      <c r="E266" s="4">
        <v>0</v>
      </c>
      <c r="F266" s="4">
        <v>82.775999627275397</v>
      </c>
      <c r="G266" s="4" t="str">
        <f t="shared" si="8"/>
        <v>OK</v>
      </c>
      <c r="H266" s="4" t="str">
        <f t="shared" si="9"/>
        <v>ZERO</v>
      </c>
      <c r="I266">
        <v>0</v>
      </c>
      <c r="J266">
        <f>IFERROR(Table4[[#This Row],[energy_kwh]]/Table4[[#This Row],[expected_kwh]],0)</f>
        <v>0</v>
      </c>
      <c r="K266" t="str">
        <f>IF(Table4[[#This Row],[Performance_Ratio]] &lt; 0.85, "Underperforming", "Performing")</f>
        <v>Underperforming</v>
      </c>
      <c r="L266">
        <f>Table4[[#This Row],[energy_kwh]] - Table4[[#This Row],[expected_kwh]]</f>
        <v>0</v>
      </c>
      <c r="M266" t="str">
        <f>IF(Table4[[#This Row],[Performance_Deviation]] &lt; 0, "Underperforming", "Outperforming")</f>
        <v>Outperforming</v>
      </c>
      <c r="N266">
        <f>IF(Table4[[#This Row],[Performance_Ratio]] &lt; 0.85, Table4[[#This Row],[Performance_Deviation]] * 50 / 1000, 0)</f>
        <v>0</v>
      </c>
    </row>
    <row r="267" spans="1:14" x14ac:dyDescent="0.3">
      <c r="A267" s="6" t="s">
        <v>6</v>
      </c>
      <c r="B267" s="5">
        <v>45303.041666666664</v>
      </c>
      <c r="C267" s="6">
        <v>0</v>
      </c>
      <c r="D267" s="6">
        <v>0</v>
      </c>
      <c r="E267" s="6">
        <v>0</v>
      </c>
      <c r="F267" s="6">
        <v>66.395853366138795</v>
      </c>
      <c r="G267" s="6" t="str">
        <f t="shared" si="8"/>
        <v>OK</v>
      </c>
      <c r="H267" s="6" t="str">
        <f t="shared" si="9"/>
        <v>ZERO</v>
      </c>
      <c r="I267">
        <v>0</v>
      </c>
      <c r="J267">
        <f>IFERROR(Table4[[#This Row],[energy_kwh]]/Table4[[#This Row],[expected_kwh]],0)</f>
        <v>0</v>
      </c>
      <c r="K267" t="str">
        <f>IF(Table4[[#This Row],[Performance_Ratio]] &lt; 0.85, "Underperforming", "Performing")</f>
        <v>Underperforming</v>
      </c>
      <c r="L267">
        <f>Table4[[#This Row],[energy_kwh]] - Table4[[#This Row],[expected_kwh]]</f>
        <v>0</v>
      </c>
      <c r="M267" t="str">
        <f>IF(Table4[[#This Row],[Performance_Deviation]] &lt; 0, "Underperforming", "Outperforming")</f>
        <v>Outperforming</v>
      </c>
      <c r="N267">
        <f>IF(Table4[[#This Row],[Performance_Ratio]] &lt; 0.85, Table4[[#This Row],[Performance_Deviation]] * 50 / 1000, 0)</f>
        <v>0</v>
      </c>
    </row>
    <row r="268" spans="1:14" x14ac:dyDescent="0.3">
      <c r="A268" s="4" t="s">
        <v>6</v>
      </c>
      <c r="B268" s="3">
        <v>45303.083333333336</v>
      </c>
      <c r="C268" s="4">
        <v>0</v>
      </c>
      <c r="D268" s="4">
        <v>0</v>
      </c>
      <c r="E268" s="4">
        <v>0</v>
      </c>
      <c r="F268" s="4">
        <v>22.193546227591899</v>
      </c>
      <c r="G268" s="4" t="str">
        <f t="shared" si="8"/>
        <v>OK</v>
      </c>
      <c r="H268" s="4" t="str">
        <f t="shared" si="9"/>
        <v>ZERO</v>
      </c>
      <c r="I268">
        <v>0</v>
      </c>
      <c r="J268">
        <f>IFERROR(Table4[[#This Row],[energy_kwh]]/Table4[[#This Row],[expected_kwh]],0)</f>
        <v>0</v>
      </c>
      <c r="K268" t="str">
        <f>IF(Table4[[#This Row],[Performance_Ratio]] &lt; 0.85, "Underperforming", "Performing")</f>
        <v>Underperforming</v>
      </c>
      <c r="L268">
        <f>Table4[[#This Row],[energy_kwh]] - Table4[[#This Row],[expected_kwh]]</f>
        <v>0</v>
      </c>
      <c r="M268" t="str">
        <f>IF(Table4[[#This Row],[Performance_Deviation]] &lt; 0, "Underperforming", "Outperforming")</f>
        <v>Outperforming</v>
      </c>
      <c r="N268">
        <f>IF(Table4[[#This Row],[Performance_Ratio]] &lt; 0.85, Table4[[#This Row],[Performance_Deviation]] * 50 / 1000, 0)</f>
        <v>0</v>
      </c>
    </row>
    <row r="269" spans="1:14" x14ac:dyDescent="0.3">
      <c r="A269" s="6" t="s">
        <v>6</v>
      </c>
      <c r="B269" s="5">
        <v>45303.125</v>
      </c>
      <c r="C269" s="6">
        <v>0</v>
      </c>
      <c r="D269" s="6">
        <v>0</v>
      </c>
      <c r="E269" s="6">
        <v>0</v>
      </c>
      <c r="F269" s="6">
        <v>45.133914069435598</v>
      </c>
      <c r="G269" s="6" t="str">
        <f t="shared" si="8"/>
        <v>OK</v>
      </c>
      <c r="H269" s="6" t="str">
        <f t="shared" si="9"/>
        <v>ZERO</v>
      </c>
      <c r="I269">
        <v>0</v>
      </c>
      <c r="J269">
        <f>IFERROR(Table4[[#This Row],[energy_kwh]]/Table4[[#This Row],[expected_kwh]],0)</f>
        <v>0</v>
      </c>
      <c r="K269" t="str">
        <f>IF(Table4[[#This Row],[Performance_Ratio]] &lt; 0.85, "Underperforming", "Performing")</f>
        <v>Underperforming</v>
      </c>
      <c r="L269">
        <f>Table4[[#This Row],[energy_kwh]] - Table4[[#This Row],[expected_kwh]]</f>
        <v>0</v>
      </c>
      <c r="M269" t="str">
        <f>IF(Table4[[#This Row],[Performance_Deviation]] &lt; 0, "Underperforming", "Outperforming")</f>
        <v>Outperforming</v>
      </c>
      <c r="N269">
        <f>IF(Table4[[#This Row],[Performance_Ratio]] &lt; 0.85, Table4[[#This Row],[Performance_Deviation]] * 50 / 1000, 0)</f>
        <v>0</v>
      </c>
    </row>
    <row r="270" spans="1:14" x14ac:dyDescent="0.3">
      <c r="A270" s="4" t="s">
        <v>6</v>
      </c>
      <c r="B270" s="3">
        <v>45303.166666666664</v>
      </c>
      <c r="C270" s="4">
        <v>0</v>
      </c>
      <c r="D270" s="4">
        <v>0</v>
      </c>
      <c r="E270" s="4">
        <v>0</v>
      </c>
      <c r="F270" s="4">
        <v>58.0600800320627</v>
      </c>
      <c r="G270" s="4" t="str">
        <f t="shared" si="8"/>
        <v>OK</v>
      </c>
      <c r="H270" s="4" t="str">
        <f t="shared" si="9"/>
        <v>ZERO</v>
      </c>
      <c r="I270">
        <v>0</v>
      </c>
      <c r="J270">
        <f>IFERROR(Table4[[#This Row],[energy_kwh]]/Table4[[#This Row],[expected_kwh]],0)</f>
        <v>0</v>
      </c>
      <c r="K270" t="str">
        <f>IF(Table4[[#This Row],[Performance_Ratio]] &lt; 0.85, "Underperforming", "Performing")</f>
        <v>Underperforming</v>
      </c>
      <c r="L270">
        <f>Table4[[#This Row],[energy_kwh]] - Table4[[#This Row],[expected_kwh]]</f>
        <v>0</v>
      </c>
      <c r="M270" t="str">
        <f>IF(Table4[[#This Row],[Performance_Deviation]] &lt; 0, "Underperforming", "Outperforming")</f>
        <v>Outperforming</v>
      </c>
      <c r="N270">
        <f>IF(Table4[[#This Row],[Performance_Ratio]] &lt; 0.85, Table4[[#This Row],[Performance_Deviation]] * 50 / 1000, 0)</f>
        <v>0</v>
      </c>
    </row>
    <row r="271" spans="1:14" x14ac:dyDescent="0.3">
      <c r="A271" s="6" t="s">
        <v>6</v>
      </c>
      <c r="B271" s="5">
        <v>45303.208333333336</v>
      </c>
      <c r="C271" s="6">
        <v>0</v>
      </c>
      <c r="D271" s="6">
        <v>0</v>
      </c>
      <c r="E271" s="6">
        <v>0</v>
      </c>
      <c r="F271" s="6">
        <v>66.269518878180605</v>
      </c>
      <c r="G271" s="6" t="str">
        <f t="shared" si="8"/>
        <v>OK</v>
      </c>
      <c r="H271" s="6" t="str">
        <f t="shared" si="9"/>
        <v>ZERO</v>
      </c>
      <c r="I271">
        <v>0</v>
      </c>
      <c r="J271">
        <f>IFERROR(Table4[[#This Row],[energy_kwh]]/Table4[[#This Row],[expected_kwh]],0)</f>
        <v>0</v>
      </c>
      <c r="K271" t="str">
        <f>IF(Table4[[#This Row],[Performance_Ratio]] &lt; 0.85, "Underperforming", "Performing")</f>
        <v>Underperforming</v>
      </c>
      <c r="L271">
        <f>Table4[[#This Row],[energy_kwh]] - Table4[[#This Row],[expected_kwh]]</f>
        <v>0</v>
      </c>
      <c r="M271" t="str">
        <f>IF(Table4[[#This Row],[Performance_Deviation]] &lt; 0, "Underperforming", "Outperforming")</f>
        <v>Outperforming</v>
      </c>
      <c r="N271">
        <f>IF(Table4[[#This Row],[Performance_Ratio]] &lt; 0.85, Table4[[#This Row],[Performance_Deviation]] * 50 / 1000, 0)</f>
        <v>0</v>
      </c>
    </row>
    <row r="272" spans="1:14" x14ac:dyDescent="0.3">
      <c r="A272" s="4" t="s">
        <v>6</v>
      </c>
      <c r="B272" s="3">
        <v>45303.25</v>
      </c>
      <c r="C272" s="4">
        <v>0</v>
      </c>
      <c r="D272" s="4">
        <v>0</v>
      </c>
      <c r="E272" s="4">
        <v>0</v>
      </c>
      <c r="F272" s="4">
        <v>60.498903478689101</v>
      </c>
      <c r="G272" s="4" t="str">
        <f t="shared" si="8"/>
        <v>OK</v>
      </c>
      <c r="H272" s="4" t="str">
        <f t="shared" si="9"/>
        <v>ZERO</v>
      </c>
      <c r="I272">
        <v>0</v>
      </c>
      <c r="J272">
        <f>IFERROR(Table4[[#This Row],[energy_kwh]]/Table4[[#This Row],[expected_kwh]],0)</f>
        <v>0</v>
      </c>
      <c r="K272" t="str">
        <f>IF(Table4[[#This Row],[Performance_Ratio]] &lt; 0.85, "Underperforming", "Performing")</f>
        <v>Underperforming</v>
      </c>
      <c r="L272">
        <f>Table4[[#This Row],[energy_kwh]] - Table4[[#This Row],[expected_kwh]]</f>
        <v>0</v>
      </c>
      <c r="M272" t="str">
        <f>IF(Table4[[#This Row],[Performance_Deviation]] &lt; 0, "Underperforming", "Outperforming")</f>
        <v>Outperforming</v>
      </c>
      <c r="N272">
        <f>IF(Table4[[#This Row],[Performance_Ratio]] &lt; 0.85, Table4[[#This Row],[Performance_Deviation]] * 50 / 1000, 0)</f>
        <v>0</v>
      </c>
    </row>
    <row r="273" spans="1:14" x14ac:dyDescent="0.3">
      <c r="A273" s="6" t="s">
        <v>6</v>
      </c>
      <c r="B273" s="5">
        <v>45303.291666666664</v>
      </c>
      <c r="C273" s="6">
        <v>99.003143341017605</v>
      </c>
      <c r="D273" s="6">
        <v>94.546180703484794</v>
      </c>
      <c r="E273" s="6">
        <v>94.546180703484794</v>
      </c>
      <c r="F273" s="6">
        <v>77.077092687652097</v>
      </c>
      <c r="G273" s="6" t="str">
        <f t="shared" si="8"/>
        <v>OK</v>
      </c>
      <c r="H273" s="6" t="str">
        <f t="shared" si="9"/>
        <v>NON-ZERO</v>
      </c>
      <c r="I273">
        <v>103.527618041008</v>
      </c>
      <c r="J273">
        <f>IFERROR(Table4[[#This Row],[energy_kwh]]/Table4[[#This Row],[expected_kwh]],0)</f>
        <v>0.91324597718489386</v>
      </c>
      <c r="K273" t="str">
        <f>IF(Table4[[#This Row],[Performance_Ratio]] &lt; 0.85, "Underperforming", "Performing")</f>
        <v>Performing</v>
      </c>
      <c r="L273">
        <f>Table4[[#This Row],[energy_kwh]] - Table4[[#This Row],[expected_kwh]]</f>
        <v>-8.9814373375232037</v>
      </c>
      <c r="M273" t="str">
        <f>IF(Table4[[#This Row],[Performance_Deviation]] &lt; 0, "Underperforming", "Outperforming")</f>
        <v>Underperforming</v>
      </c>
      <c r="N273">
        <f>IF(Table4[[#This Row],[Performance_Ratio]] &lt; 0.85, Table4[[#This Row],[Performance_Deviation]] * 50 / 1000, 0)</f>
        <v>0</v>
      </c>
    </row>
    <row r="274" spans="1:14" x14ac:dyDescent="0.3">
      <c r="A274" s="4" t="s">
        <v>6</v>
      </c>
      <c r="B274" s="3">
        <v>45303.333333333336</v>
      </c>
      <c r="C274" s="4">
        <v>197.53231296715501</v>
      </c>
      <c r="D274" s="4">
        <v>188.63972522812199</v>
      </c>
      <c r="E274" s="4">
        <v>188.63972522812199</v>
      </c>
      <c r="F274" s="4">
        <v>89.902107913251299</v>
      </c>
      <c r="G274" s="4" t="str">
        <f t="shared" si="8"/>
        <v>OK</v>
      </c>
      <c r="H274" s="4" t="str">
        <f t="shared" si="9"/>
        <v>NON-ZERO</v>
      </c>
      <c r="I274">
        <v>199.99999999999901</v>
      </c>
      <c r="J274">
        <f>IFERROR(Table4[[#This Row],[energy_kwh]]/Table4[[#This Row],[expected_kwh]],0)</f>
        <v>0.94319862614061467</v>
      </c>
      <c r="K274" t="str">
        <f>IF(Table4[[#This Row],[Performance_Ratio]] &lt; 0.85, "Underperforming", "Performing")</f>
        <v>Performing</v>
      </c>
      <c r="L274">
        <f>Table4[[#This Row],[energy_kwh]] - Table4[[#This Row],[expected_kwh]]</f>
        <v>-11.360274771877016</v>
      </c>
      <c r="M274" t="str">
        <f>IF(Table4[[#This Row],[Performance_Deviation]] &lt; 0, "Underperforming", "Outperforming")</f>
        <v>Underperforming</v>
      </c>
      <c r="N274">
        <f>IF(Table4[[#This Row],[Performance_Ratio]] &lt; 0.85, Table4[[#This Row],[Performance_Deviation]] * 50 / 1000, 0)</f>
        <v>0</v>
      </c>
    </row>
    <row r="275" spans="1:14" x14ac:dyDescent="0.3">
      <c r="A275" s="6" t="s">
        <v>6</v>
      </c>
      <c r="B275" s="5">
        <v>45303.375</v>
      </c>
      <c r="C275" s="6">
        <v>269.65001860682298</v>
      </c>
      <c r="D275" s="6">
        <v>257.51080749106097</v>
      </c>
      <c r="E275" s="6">
        <v>257.51080749106097</v>
      </c>
      <c r="F275" s="6">
        <v>71.591429172560893</v>
      </c>
      <c r="G275" s="6" t="str">
        <f t="shared" si="8"/>
        <v>OK</v>
      </c>
      <c r="H275" s="6" t="str">
        <f t="shared" si="9"/>
        <v>NON-ZERO</v>
      </c>
      <c r="I275">
        <v>282.84271247461902</v>
      </c>
      <c r="J275">
        <f>IFERROR(Table4[[#This Row],[energy_kwh]]/Table4[[#This Row],[expected_kwh]],0)</f>
        <v>0.910438191028764</v>
      </c>
      <c r="K275" t="str">
        <f>IF(Table4[[#This Row],[Performance_Ratio]] &lt; 0.85, "Underperforming", "Performing")</f>
        <v>Performing</v>
      </c>
      <c r="L275">
        <f>Table4[[#This Row],[energy_kwh]] - Table4[[#This Row],[expected_kwh]]</f>
        <v>-25.331904983558047</v>
      </c>
      <c r="M275" t="str">
        <f>IF(Table4[[#This Row],[Performance_Deviation]] &lt; 0, "Underperforming", "Outperforming")</f>
        <v>Underperforming</v>
      </c>
      <c r="N275">
        <f>IF(Table4[[#This Row],[Performance_Ratio]] &lt; 0.85, Table4[[#This Row],[Performance_Deviation]] * 50 / 1000, 0)</f>
        <v>0</v>
      </c>
    </row>
    <row r="276" spans="1:14" x14ac:dyDescent="0.3">
      <c r="A276" s="4" t="s">
        <v>6</v>
      </c>
      <c r="B276" s="3">
        <v>45303.416666666664</v>
      </c>
      <c r="C276" s="4">
        <v>324.570363051774</v>
      </c>
      <c r="D276" s="4">
        <v>309.958726162738</v>
      </c>
      <c r="E276" s="4">
        <v>309.958726162738</v>
      </c>
      <c r="F276" s="4">
        <v>63.662784513220402</v>
      </c>
      <c r="G276" s="4" t="str">
        <f t="shared" si="8"/>
        <v>OK</v>
      </c>
      <c r="H276" s="4" t="str">
        <f t="shared" si="9"/>
        <v>NON-ZERO</v>
      </c>
      <c r="I276">
        <v>346.41016151377499</v>
      </c>
      <c r="J276">
        <f>IFERROR(Table4[[#This Row],[energy_kwh]]/Table4[[#This Row],[expected_kwh]],0)</f>
        <v>0.89477376993865265</v>
      </c>
      <c r="K276" t="str">
        <f>IF(Table4[[#This Row],[Performance_Ratio]] &lt; 0.85, "Underperforming", "Performing")</f>
        <v>Performing</v>
      </c>
      <c r="L276">
        <f>Table4[[#This Row],[energy_kwh]] - Table4[[#This Row],[expected_kwh]]</f>
        <v>-36.451435351036992</v>
      </c>
      <c r="M276" t="str">
        <f>IF(Table4[[#This Row],[Performance_Deviation]] &lt; 0, "Underperforming", "Outperforming")</f>
        <v>Underperforming</v>
      </c>
      <c r="N276">
        <f>IF(Table4[[#This Row],[Performance_Ratio]] &lt; 0.85, Table4[[#This Row],[Performance_Deviation]] * 50 / 1000, 0)</f>
        <v>0</v>
      </c>
    </row>
    <row r="277" spans="1:14" x14ac:dyDescent="0.3">
      <c r="A277" s="6" t="s">
        <v>6</v>
      </c>
      <c r="B277" s="5">
        <v>45303.458333333336</v>
      </c>
      <c r="C277" s="6">
        <v>356.10725323687899</v>
      </c>
      <c r="D277" s="6">
        <v>340.07587616065598</v>
      </c>
      <c r="E277" s="6">
        <v>340.07587616065598</v>
      </c>
      <c r="F277" s="6">
        <v>23.4306525359384</v>
      </c>
      <c r="G277" s="6" t="str">
        <f t="shared" si="8"/>
        <v>OK</v>
      </c>
      <c r="H277" s="6" t="str">
        <f t="shared" si="9"/>
        <v>NON-ZERO</v>
      </c>
      <c r="I277">
        <v>386.37033051562702</v>
      </c>
      <c r="J277">
        <f>IFERROR(Table4[[#This Row],[energy_kwh]]/Table4[[#This Row],[expected_kwh]],0)</f>
        <v>0.88018113530304154</v>
      </c>
      <c r="K277" t="str">
        <f>IF(Table4[[#This Row],[Performance_Ratio]] &lt; 0.85, "Underperforming", "Performing")</f>
        <v>Performing</v>
      </c>
      <c r="L277">
        <f>Table4[[#This Row],[energy_kwh]] - Table4[[#This Row],[expected_kwh]]</f>
        <v>-46.294454354971037</v>
      </c>
      <c r="M277" t="str">
        <f>IF(Table4[[#This Row],[Performance_Deviation]] &lt; 0, "Underperforming", "Outperforming")</f>
        <v>Underperforming</v>
      </c>
      <c r="N277">
        <f>IF(Table4[[#This Row],[Performance_Ratio]] &lt; 0.85, Table4[[#This Row],[Performance_Deviation]] * 50 / 1000, 0)</f>
        <v>0</v>
      </c>
    </row>
    <row r="278" spans="1:14" x14ac:dyDescent="0.3">
      <c r="A278" s="4" t="s">
        <v>6</v>
      </c>
      <c r="B278" s="3">
        <v>45303.5</v>
      </c>
      <c r="C278" s="4">
        <v>390.27886347006501</v>
      </c>
      <c r="D278" s="4">
        <v>372.70913533816901</v>
      </c>
      <c r="E278" s="4">
        <v>372.70913533816901</v>
      </c>
      <c r="F278" s="4">
        <v>44.270766436215503</v>
      </c>
      <c r="G278" s="4" t="str">
        <f t="shared" si="8"/>
        <v>OK</v>
      </c>
      <c r="H278" s="4" t="str">
        <f t="shared" si="9"/>
        <v>NON-ZERO</v>
      </c>
      <c r="I278">
        <v>400</v>
      </c>
      <c r="J278">
        <f>IFERROR(Table4[[#This Row],[energy_kwh]]/Table4[[#This Row],[expected_kwh]],0)</f>
        <v>0.93177283834542246</v>
      </c>
      <c r="K278" t="str">
        <f>IF(Table4[[#This Row],[Performance_Ratio]] &lt; 0.85, "Underperforming", "Performing")</f>
        <v>Performing</v>
      </c>
      <c r="L278">
        <f>Table4[[#This Row],[energy_kwh]] - Table4[[#This Row],[expected_kwh]]</f>
        <v>-27.290864661830994</v>
      </c>
      <c r="M278" t="str">
        <f>IF(Table4[[#This Row],[Performance_Deviation]] &lt; 0, "Underperforming", "Outperforming")</f>
        <v>Underperforming</v>
      </c>
      <c r="N278">
        <f>IF(Table4[[#This Row],[Performance_Ratio]] &lt; 0.85, Table4[[#This Row],[Performance_Deviation]] * 50 / 1000, 0)</f>
        <v>0</v>
      </c>
    </row>
    <row r="279" spans="1:14" x14ac:dyDescent="0.3">
      <c r="A279" s="6" t="s">
        <v>6</v>
      </c>
      <c r="B279" s="5">
        <v>45303.541666666664</v>
      </c>
      <c r="C279" s="6">
        <v>352.83092190003498</v>
      </c>
      <c r="D279" s="6">
        <v>336.94704000289198</v>
      </c>
      <c r="E279" s="6">
        <v>336.94704000289198</v>
      </c>
      <c r="F279" s="6">
        <v>71.247153245487794</v>
      </c>
      <c r="G279" s="6" t="str">
        <f t="shared" si="8"/>
        <v>OK</v>
      </c>
      <c r="H279" s="6" t="str">
        <f t="shared" si="9"/>
        <v>NON-ZERO</v>
      </c>
      <c r="I279">
        <v>386.37033051562702</v>
      </c>
      <c r="J279">
        <f>IFERROR(Table4[[#This Row],[energy_kwh]]/Table4[[#This Row],[expected_kwh]],0)</f>
        <v>0.87208311143669437</v>
      </c>
      <c r="K279" t="str">
        <f>IF(Table4[[#This Row],[Performance_Ratio]] &lt; 0.85, "Underperforming", "Performing")</f>
        <v>Performing</v>
      </c>
      <c r="L279">
        <f>Table4[[#This Row],[energy_kwh]] - Table4[[#This Row],[expected_kwh]]</f>
        <v>-49.423290512735036</v>
      </c>
      <c r="M279" t="str">
        <f>IF(Table4[[#This Row],[Performance_Deviation]] &lt; 0, "Underperforming", "Outperforming")</f>
        <v>Underperforming</v>
      </c>
      <c r="N279">
        <f>IF(Table4[[#This Row],[Performance_Ratio]] &lt; 0.85, Table4[[#This Row],[Performance_Deviation]] * 50 / 1000, 0)</f>
        <v>0</v>
      </c>
    </row>
    <row r="280" spans="1:14" x14ac:dyDescent="0.3">
      <c r="A280" s="4" t="s">
        <v>6</v>
      </c>
      <c r="B280" s="3">
        <v>45303.583333333336</v>
      </c>
      <c r="C280" s="4">
        <v>287.842751863817</v>
      </c>
      <c r="D280" s="4">
        <v>274.884533091685</v>
      </c>
      <c r="E280" s="4">
        <v>274.884533091685</v>
      </c>
      <c r="F280" s="4">
        <v>53.854026824725601</v>
      </c>
      <c r="G280" s="4" t="str">
        <f t="shared" si="8"/>
        <v>OK</v>
      </c>
      <c r="H280" s="4" t="str">
        <f t="shared" si="9"/>
        <v>NON-ZERO</v>
      </c>
      <c r="I280">
        <v>346.41016151377499</v>
      </c>
      <c r="J280">
        <f>IFERROR(Table4[[#This Row],[energy_kwh]]/Table4[[#This Row],[expected_kwh]],0)</f>
        <v>0.79352329588274573</v>
      </c>
      <c r="K280" t="str">
        <f>IF(Table4[[#This Row],[Performance_Ratio]] &lt; 0.85, "Underperforming", "Performing")</f>
        <v>Underperforming</v>
      </c>
      <c r="L280">
        <f>Table4[[#This Row],[energy_kwh]] - Table4[[#This Row],[expected_kwh]]</f>
        <v>-71.525628422089994</v>
      </c>
      <c r="M280" t="str">
        <f>IF(Table4[[#This Row],[Performance_Deviation]] &lt; 0, "Underperforming", "Outperforming")</f>
        <v>Underperforming</v>
      </c>
      <c r="N280">
        <f>IF(Table4[[#This Row],[Performance_Ratio]] &lt; 0.85, Table4[[#This Row],[Performance_Deviation]] * 50 / 1000, 0)</f>
        <v>-3.5762814211044995</v>
      </c>
    </row>
    <row r="281" spans="1:14" x14ac:dyDescent="0.3">
      <c r="A281" s="6" t="s">
        <v>6</v>
      </c>
      <c r="B281" s="5">
        <v>45303.625</v>
      </c>
      <c r="C281" s="6">
        <v>260.652428501641</v>
      </c>
      <c r="D281" s="6">
        <v>248.91827445349699</v>
      </c>
      <c r="E281" s="6">
        <v>248.91827445349699</v>
      </c>
      <c r="F281" s="6">
        <v>72.026166933611606</v>
      </c>
      <c r="G281" s="6" t="str">
        <f t="shared" si="8"/>
        <v>OK</v>
      </c>
      <c r="H281" s="6" t="str">
        <f t="shared" si="9"/>
        <v>NON-ZERO</v>
      </c>
      <c r="I281">
        <v>282.84271247461902</v>
      </c>
      <c r="J281">
        <f>IFERROR(Table4[[#This Row],[energy_kwh]]/Table4[[#This Row],[expected_kwh]],0)</f>
        <v>0.88005899913660934</v>
      </c>
      <c r="K281" t="str">
        <f>IF(Table4[[#This Row],[Performance_Ratio]] &lt; 0.85, "Underperforming", "Performing")</f>
        <v>Performing</v>
      </c>
      <c r="L281">
        <f>Table4[[#This Row],[energy_kwh]] - Table4[[#This Row],[expected_kwh]]</f>
        <v>-33.924438021122029</v>
      </c>
      <c r="M281" t="str">
        <f>IF(Table4[[#This Row],[Performance_Deviation]] &lt; 0, "Underperforming", "Outperforming")</f>
        <v>Underperforming</v>
      </c>
      <c r="N281">
        <f>IF(Table4[[#This Row],[Performance_Ratio]] &lt; 0.85, Table4[[#This Row],[Performance_Deviation]] * 50 / 1000, 0)</f>
        <v>0</v>
      </c>
    </row>
    <row r="282" spans="1:14" x14ac:dyDescent="0.3">
      <c r="A282" s="4" t="s">
        <v>6</v>
      </c>
      <c r="B282" s="3">
        <v>45303.666666666664</v>
      </c>
      <c r="C282" s="4">
        <v>205.70594465197499</v>
      </c>
      <c r="D282" s="4">
        <v>196.44539313115899</v>
      </c>
      <c r="E282" s="4">
        <v>196.44539313115899</v>
      </c>
      <c r="F282" s="4">
        <v>31.329341883567501</v>
      </c>
      <c r="G282" s="4" t="str">
        <f t="shared" si="8"/>
        <v>OK</v>
      </c>
      <c r="H282" s="4" t="str">
        <f t="shared" si="9"/>
        <v>NON-ZERO</v>
      </c>
      <c r="I282">
        <v>199.99999999999901</v>
      </c>
      <c r="J282">
        <f>IFERROR(Table4[[#This Row],[energy_kwh]]/Table4[[#This Row],[expected_kwh]],0)</f>
        <v>0.98222696565579981</v>
      </c>
      <c r="K282" t="str">
        <f>IF(Table4[[#This Row],[Performance_Ratio]] &lt; 0.85, "Underperforming", "Performing")</f>
        <v>Performing</v>
      </c>
      <c r="L282">
        <f>Table4[[#This Row],[energy_kwh]] - Table4[[#This Row],[expected_kwh]]</f>
        <v>-3.5546068688400112</v>
      </c>
      <c r="M282" t="str">
        <f>IF(Table4[[#This Row],[Performance_Deviation]] &lt; 0, "Underperforming", "Outperforming")</f>
        <v>Underperforming</v>
      </c>
      <c r="N282">
        <f>IF(Table4[[#This Row],[Performance_Ratio]] &lt; 0.85, Table4[[#This Row],[Performance_Deviation]] * 50 / 1000, 0)</f>
        <v>0</v>
      </c>
    </row>
    <row r="283" spans="1:14" x14ac:dyDescent="0.3">
      <c r="A283" s="6" t="s">
        <v>6</v>
      </c>
      <c r="B283" s="5">
        <v>45303.708333333336</v>
      </c>
      <c r="C283" s="6">
        <v>107.848660774569</v>
      </c>
      <c r="D283" s="6">
        <v>102.99348713705599</v>
      </c>
      <c r="E283" s="6">
        <v>102.99348713705599</v>
      </c>
      <c r="F283" s="6">
        <v>51.4795487694591</v>
      </c>
      <c r="G283" s="6" t="str">
        <f t="shared" si="8"/>
        <v>OK</v>
      </c>
      <c r="H283" s="6" t="str">
        <f t="shared" si="9"/>
        <v>NON-ZERO</v>
      </c>
      <c r="I283">
        <v>103.527618041008</v>
      </c>
      <c r="J283">
        <f>IFERROR(Table4[[#This Row],[energy_kwh]]/Table4[[#This Row],[expected_kwh]],0)</f>
        <v>0.9948406916525363</v>
      </c>
      <c r="K283" t="str">
        <f>IF(Table4[[#This Row],[Performance_Ratio]] &lt; 0.85, "Underperforming", "Performing")</f>
        <v>Performing</v>
      </c>
      <c r="L283">
        <f>Table4[[#This Row],[energy_kwh]] - Table4[[#This Row],[expected_kwh]]</f>
        <v>-0.53413090395200413</v>
      </c>
      <c r="M283" t="str">
        <f>IF(Table4[[#This Row],[Performance_Deviation]] &lt; 0, "Underperforming", "Outperforming")</f>
        <v>Underperforming</v>
      </c>
      <c r="N283">
        <f>IF(Table4[[#This Row],[Performance_Ratio]] &lt; 0.85, Table4[[#This Row],[Performance_Deviation]] * 50 / 1000, 0)</f>
        <v>0</v>
      </c>
    </row>
    <row r="284" spans="1:14" x14ac:dyDescent="0.3">
      <c r="A284" s="4" t="s">
        <v>6</v>
      </c>
      <c r="B284" s="3">
        <v>45303.75</v>
      </c>
      <c r="C284" s="7">
        <v>4.2328291032803701E-14</v>
      </c>
      <c r="D284" s="7">
        <v>4.0422739296996802E-14</v>
      </c>
      <c r="E284" s="7">
        <v>4.0422739296996802E-14</v>
      </c>
      <c r="F284" s="4">
        <v>50.700050473628202</v>
      </c>
      <c r="G284" s="4" t="str">
        <f t="shared" si="8"/>
        <v>OK</v>
      </c>
      <c r="H284" s="4" t="str">
        <f t="shared" si="9"/>
        <v>NON-ZERO</v>
      </c>
      <c r="I284" s="2">
        <v>4.8985871965894097E-14</v>
      </c>
      <c r="J284">
        <f>IFERROR(Table4[[#This Row],[energy_kwh]]/Table4[[#This Row],[expected_kwh]],0)</f>
        <v>0.82519178846383934</v>
      </c>
      <c r="K284" t="str">
        <f>IF(Table4[[#This Row],[Performance_Ratio]] &lt; 0.85, "Underperforming", "Performing")</f>
        <v>Underperforming</v>
      </c>
      <c r="L284">
        <f>Table4[[#This Row],[energy_kwh]] - Table4[[#This Row],[expected_kwh]]</f>
        <v>-8.563132668897295E-15</v>
      </c>
      <c r="M284" t="str">
        <f>IF(Table4[[#This Row],[Performance_Deviation]] &lt; 0, "Underperforming", "Outperforming")</f>
        <v>Underperforming</v>
      </c>
      <c r="N284">
        <f>IF(Table4[[#This Row],[Performance_Ratio]] &lt; 0.85, Table4[[#This Row],[Performance_Deviation]] * 50 / 1000, 0)</f>
        <v>-4.2815663344486471E-16</v>
      </c>
    </row>
    <row r="285" spans="1:14" x14ac:dyDescent="0.3">
      <c r="A285" s="6" t="s">
        <v>6</v>
      </c>
      <c r="B285" s="5">
        <v>45303.791666666664</v>
      </c>
      <c r="C285" s="6">
        <v>0</v>
      </c>
      <c r="D285" s="6">
        <v>0</v>
      </c>
      <c r="E285" s="6">
        <v>0</v>
      </c>
      <c r="F285" s="6">
        <v>35.982852801881201</v>
      </c>
      <c r="G285" s="6" t="str">
        <f t="shared" si="8"/>
        <v>OK</v>
      </c>
      <c r="H285" s="6" t="str">
        <f t="shared" si="9"/>
        <v>ZERO</v>
      </c>
      <c r="I285">
        <v>0</v>
      </c>
      <c r="J285">
        <f>IFERROR(Table4[[#This Row],[energy_kwh]]/Table4[[#This Row],[expected_kwh]],0)</f>
        <v>0</v>
      </c>
      <c r="K285" t="str">
        <f>IF(Table4[[#This Row],[Performance_Ratio]] &lt; 0.85, "Underperforming", "Performing")</f>
        <v>Underperforming</v>
      </c>
      <c r="L285">
        <f>Table4[[#This Row],[energy_kwh]] - Table4[[#This Row],[expected_kwh]]</f>
        <v>0</v>
      </c>
      <c r="M285" t="str">
        <f>IF(Table4[[#This Row],[Performance_Deviation]] &lt; 0, "Underperforming", "Outperforming")</f>
        <v>Outperforming</v>
      </c>
      <c r="N285">
        <f>IF(Table4[[#This Row],[Performance_Ratio]] &lt; 0.85, Table4[[#This Row],[Performance_Deviation]] * 50 / 1000, 0)</f>
        <v>0</v>
      </c>
    </row>
    <row r="286" spans="1:14" x14ac:dyDescent="0.3">
      <c r="A286" s="4" t="s">
        <v>6</v>
      </c>
      <c r="B286" s="3">
        <v>45303.833333333336</v>
      </c>
      <c r="C286" s="4">
        <v>0</v>
      </c>
      <c r="D286" s="4">
        <v>0</v>
      </c>
      <c r="E286" s="4">
        <v>0</v>
      </c>
      <c r="F286" s="4">
        <v>55.490743001866697</v>
      </c>
      <c r="G286" s="4" t="str">
        <f t="shared" si="8"/>
        <v>OK</v>
      </c>
      <c r="H286" s="4" t="str">
        <f t="shared" si="9"/>
        <v>ZERO</v>
      </c>
      <c r="I286">
        <v>0</v>
      </c>
      <c r="J286">
        <f>IFERROR(Table4[[#This Row],[energy_kwh]]/Table4[[#This Row],[expected_kwh]],0)</f>
        <v>0</v>
      </c>
      <c r="K286" t="str">
        <f>IF(Table4[[#This Row],[Performance_Ratio]] &lt; 0.85, "Underperforming", "Performing")</f>
        <v>Underperforming</v>
      </c>
      <c r="L286">
        <f>Table4[[#This Row],[energy_kwh]] - Table4[[#This Row],[expected_kwh]]</f>
        <v>0</v>
      </c>
      <c r="M286" t="str">
        <f>IF(Table4[[#This Row],[Performance_Deviation]] &lt; 0, "Underperforming", "Outperforming")</f>
        <v>Outperforming</v>
      </c>
      <c r="N286">
        <f>IF(Table4[[#This Row],[Performance_Ratio]] &lt; 0.85, Table4[[#This Row],[Performance_Deviation]] * 50 / 1000, 0)</f>
        <v>0</v>
      </c>
    </row>
    <row r="287" spans="1:14" x14ac:dyDescent="0.3">
      <c r="A287" s="6" t="s">
        <v>6</v>
      </c>
      <c r="B287" s="5">
        <v>45303.875</v>
      </c>
      <c r="C287" s="6">
        <v>0</v>
      </c>
      <c r="D287" s="6">
        <v>0</v>
      </c>
      <c r="E287" s="6">
        <v>0</v>
      </c>
      <c r="F287" s="6">
        <v>85.146737596670803</v>
      </c>
      <c r="G287" s="6" t="str">
        <f t="shared" si="8"/>
        <v>OK</v>
      </c>
      <c r="H287" s="6" t="str">
        <f t="shared" si="9"/>
        <v>ZERO</v>
      </c>
      <c r="I287">
        <v>0</v>
      </c>
      <c r="J287">
        <f>IFERROR(Table4[[#This Row],[energy_kwh]]/Table4[[#This Row],[expected_kwh]],0)</f>
        <v>0</v>
      </c>
      <c r="K287" t="str">
        <f>IF(Table4[[#This Row],[Performance_Ratio]] &lt; 0.85, "Underperforming", "Performing")</f>
        <v>Underperforming</v>
      </c>
      <c r="L287">
        <f>Table4[[#This Row],[energy_kwh]] - Table4[[#This Row],[expected_kwh]]</f>
        <v>0</v>
      </c>
      <c r="M287" t="str">
        <f>IF(Table4[[#This Row],[Performance_Deviation]] &lt; 0, "Underperforming", "Outperforming")</f>
        <v>Outperforming</v>
      </c>
      <c r="N287">
        <f>IF(Table4[[#This Row],[Performance_Ratio]] &lt; 0.85, Table4[[#This Row],[Performance_Deviation]] * 50 / 1000, 0)</f>
        <v>0</v>
      </c>
    </row>
    <row r="288" spans="1:14" x14ac:dyDescent="0.3">
      <c r="A288" s="4" t="s">
        <v>6</v>
      </c>
      <c r="B288" s="3">
        <v>45303.916666666664</v>
      </c>
      <c r="C288" s="4">
        <v>0</v>
      </c>
      <c r="D288" s="4">
        <v>0</v>
      </c>
      <c r="E288" s="4">
        <v>0</v>
      </c>
      <c r="F288" s="4">
        <v>66.966524122356105</v>
      </c>
      <c r="G288" s="4" t="str">
        <f t="shared" si="8"/>
        <v>OK</v>
      </c>
      <c r="H288" s="4" t="str">
        <f t="shared" si="9"/>
        <v>ZERO</v>
      </c>
      <c r="I288">
        <v>0</v>
      </c>
      <c r="J288">
        <f>IFERROR(Table4[[#This Row],[energy_kwh]]/Table4[[#This Row],[expected_kwh]],0)</f>
        <v>0</v>
      </c>
      <c r="K288" t="str">
        <f>IF(Table4[[#This Row],[Performance_Ratio]] &lt; 0.85, "Underperforming", "Performing")</f>
        <v>Underperforming</v>
      </c>
      <c r="L288">
        <f>Table4[[#This Row],[energy_kwh]] - Table4[[#This Row],[expected_kwh]]</f>
        <v>0</v>
      </c>
      <c r="M288" t="str">
        <f>IF(Table4[[#This Row],[Performance_Deviation]] &lt; 0, "Underperforming", "Outperforming")</f>
        <v>Outperforming</v>
      </c>
      <c r="N288">
        <f>IF(Table4[[#This Row],[Performance_Ratio]] &lt; 0.85, Table4[[#This Row],[Performance_Deviation]] * 50 / 1000, 0)</f>
        <v>0</v>
      </c>
    </row>
    <row r="289" spans="1:14" x14ac:dyDescent="0.3">
      <c r="A289" s="6" t="s">
        <v>6</v>
      </c>
      <c r="B289" s="5">
        <v>45303.958333333336</v>
      </c>
      <c r="C289" s="6">
        <v>0</v>
      </c>
      <c r="D289" s="6">
        <v>0</v>
      </c>
      <c r="E289" s="6">
        <v>0</v>
      </c>
      <c r="F289" s="6">
        <v>89.063588586176493</v>
      </c>
      <c r="G289" s="6" t="str">
        <f t="shared" si="8"/>
        <v>OK</v>
      </c>
      <c r="H289" s="6" t="str">
        <f t="shared" si="9"/>
        <v>ZERO</v>
      </c>
      <c r="I289">
        <v>0</v>
      </c>
      <c r="J289">
        <f>IFERROR(Table4[[#This Row],[energy_kwh]]/Table4[[#This Row],[expected_kwh]],0)</f>
        <v>0</v>
      </c>
      <c r="K289" t="str">
        <f>IF(Table4[[#This Row],[Performance_Ratio]] &lt; 0.85, "Underperforming", "Performing")</f>
        <v>Underperforming</v>
      </c>
      <c r="L289">
        <f>Table4[[#This Row],[energy_kwh]] - Table4[[#This Row],[expected_kwh]]</f>
        <v>0</v>
      </c>
      <c r="M289" t="str">
        <f>IF(Table4[[#This Row],[Performance_Deviation]] &lt; 0, "Underperforming", "Outperforming")</f>
        <v>Outperforming</v>
      </c>
      <c r="N289">
        <f>IF(Table4[[#This Row],[Performance_Ratio]] &lt; 0.85, Table4[[#This Row],[Performance_Deviation]] * 50 / 1000, 0)</f>
        <v>0</v>
      </c>
    </row>
    <row r="290" spans="1:14" x14ac:dyDescent="0.3">
      <c r="A290" s="4" t="s">
        <v>6</v>
      </c>
      <c r="B290" s="3">
        <v>45304</v>
      </c>
      <c r="C290" s="4">
        <v>0</v>
      </c>
      <c r="D290" s="4">
        <v>0</v>
      </c>
      <c r="E290" s="4">
        <v>0</v>
      </c>
      <c r="F290" s="4">
        <v>29.388934415191201</v>
      </c>
      <c r="G290" s="4" t="str">
        <f t="shared" si="8"/>
        <v>OK</v>
      </c>
      <c r="H290" s="4" t="str">
        <f t="shared" si="9"/>
        <v>ZERO</v>
      </c>
      <c r="I290">
        <v>0</v>
      </c>
      <c r="J290">
        <f>IFERROR(Table4[[#This Row],[energy_kwh]]/Table4[[#This Row],[expected_kwh]],0)</f>
        <v>0</v>
      </c>
      <c r="K290" t="str">
        <f>IF(Table4[[#This Row],[Performance_Ratio]] &lt; 0.85, "Underperforming", "Performing")</f>
        <v>Underperforming</v>
      </c>
      <c r="L290">
        <f>Table4[[#This Row],[energy_kwh]] - Table4[[#This Row],[expected_kwh]]</f>
        <v>0</v>
      </c>
      <c r="M290" t="str">
        <f>IF(Table4[[#This Row],[Performance_Deviation]] &lt; 0, "Underperforming", "Outperforming")</f>
        <v>Outperforming</v>
      </c>
      <c r="N290">
        <f>IF(Table4[[#This Row],[Performance_Ratio]] &lt; 0.85, Table4[[#This Row],[Performance_Deviation]] * 50 / 1000, 0)</f>
        <v>0</v>
      </c>
    </row>
    <row r="291" spans="1:14" x14ac:dyDescent="0.3">
      <c r="A291" s="6" t="s">
        <v>6</v>
      </c>
      <c r="B291" s="5">
        <v>45304.041666666664</v>
      </c>
      <c r="C291" s="6">
        <v>0</v>
      </c>
      <c r="D291" s="6">
        <v>0</v>
      </c>
      <c r="E291" s="6">
        <v>0</v>
      </c>
      <c r="F291" s="6">
        <v>35.0393545025252</v>
      </c>
      <c r="G291" s="6" t="str">
        <f t="shared" si="8"/>
        <v>OK</v>
      </c>
      <c r="H291" s="6" t="str">
        <f t="shared" si="9"/>
        <v>ZERO</v>
      </c>
      <c r="I291">
        <v>0</v>
      </c>
      <c r="J291">
        <f>IFERROR(Table4[[#This Row],[energy_kwh]]/Table4[[#This Row],[expected_kwh]],0)</f>
        <v>0</v>
      </c>
      <c r="K291" t="str">
        <f>IF(Table4[[#This Row],[Performance_Ratio]] &lt; 0.85, "Underperforming", "Performing")</f>
        <v>Underperforming</v>
      </c>
      <c r="L291">
        <f>Table4[[#This Row],[energy_kwh]] - Table4[[#This Row],[expected_kwh]]</f>
        <v>0</v>
      </c>
      <c r="M291" t="str">
        <f>IF(Table4[[#This Row],[Performance_Deviation]] &lt; 0, "Underperforming", "Outperforming")</f>
        <v>Outperforming</v>
      </c>
      <c r="N291">
        <f>IF(Table4[[#This Row],[Performance_Ratio]] &lt; 0.85, Table4[[#This Row],[Performance_Deviation]] * 50 / 1000, 0)</f>
        <v>0</v>
      </c>
    </row>
    <row r="292" spans="1:14" x14ac:dyDescent="0.3">
      <c r="A292" s="4" t="s">
        <v>6</v>
      </c>
      <c r="B292" s="3">
        <v>45304.083333333336</v>
      </c>
      <c r="C292" s="4">
        <v>0</v>
      </c>
      <c r="D292" s="4">
        <v>0</v>
      </c>
      <c r="E292" s="4">
        <v>0</v>
      </c>
      <c r="F292" s="4">
        <v>79.816932547789094</v>
      </c>
      <c r="G292" s="4" t="str">
        <f t="shared" si="8"/>
        <v>OK</v>
      </c>
      <c r="H292" s="4" t="str">
        <f t="shared" si="9"/>
        <v>ZERO</v>
      </c>
      <c r="I292">
        <v>0</v>
      </c>
      <c r="J292">
        <f>IFERROR(Table4[[#This Row],[energy_kwh]]/Table4[[#This Row],[expected_kwh]],0)</f>
        <v>0</v>
      </c>
      <c r="K292" t="str">
        <f>IF(Table4[[#This Row],[Performance_Ratio]] &lt; 0.85, "Underperforming", "Performing")</f>
        <v>Underperforming</v>
      </c>
      <c r="L292">
        <f>Table4[[#This Row],[energy_kwh]] - Table4[[#This Row],[expected_kwh]]</f>
        <v>0</v>
      </c>
      <c r="M292" t="str">
        <f>IF(Table4[[#This Row],[Performance_Deviation]] &lt; 0, "Underperforming", "Outperforming")</f>
        <v>Outperforming</v>
      </c>
      <c r="N292">
        <f>IF(Table4[[#This Row],[Performance_Ratio]] &lt; 0.85, Table4[[#This Row],[Performance_Deviation]] * 50 / 1000, 0)</f>
        <v>0</v>
      </c>
    </row>
    <row r="293" spans="1:14" x14ac:dyDescent="0.3">
      <c r="A293" s="6" t="s">
        <v>6</v>
      </c>
      <c r="B293" s="5">
        <v>45304.125</v>
      </c>
      <c r="C293" s="6">
        <v>0</v>
      </c>
      <c r="D293" s="6">
        <v>0</v>
      </c>
      <c r="E293" s="6">
        <v>0</v>
      </c>
      <c r="F293" s="6">
        <v>20.871540493107499</v>
      </c>
      <c r="G293" s="6" t="str">
        <f t="shared" si="8"/>
        <v>OK</v>
      </c>
      <c r="H293" s="6" t="str">
        <f t="shared" si="9"/>
        <v>ZERO</v>
      </c>
      <c r="I293">
        <v>0</v>
      </c>
      <c r="J293">
        <f>IFERROR(Table4[[#This Row],[energy_kwh]]/Table4[[#This Row],[expected_kwh]],0)</f>
        <v>0</v>
      </c>
      <c r="K293" t="str">
        <f>IF(Table4[[#This Row],[Performance_Ratio]] &lt; 0.85, "Underperforming", "Performing")</f>
        <v>Underperforming</v>
      </c>
      <c r="L293">
        <f>Table4[[#This Row],[energy_kwh]] - Table4[[#This Row],[expected_kwh]]</f>
        <v>0</v>
      </c>
      <c r="M293" t="str">
        <f>IF(Table4[[#This Row],[Performance_Deviation]] &lt; 0, "Underperforming", "Outperforming")</f>
        <v>Outperforming</v>
      </c>
      <c r="N293">
        <f>IF(Table4[[#This Row],[Performance_Ratio]] &lt; 0.85, Table4[[#This Row],[Performance_Deviation]] * 50 / 1000, 0)</f>
        <v>0</v>
      </c>
    </row>
    <row r="294" spans="1:14" x14ac:dyDescent="0.3">
      <c r="A294" s="4" t="s">
        <v>6</v>
      </c>
      <c r="B294" s="3">
        <v>45304.166666666664</v>
      </c>
      <c r="C294" s="4">
        <v>0</v>
      </c>
      <c r="D294" s="4">
        <v>0</v>
      </c>
      <c r="E294" s="4">
        <v>0</v>
      </c>
      <c r="F294" s="4">
        <v>41.874693403197703</v>
      </c>
      <c r="G294" s="4" t="str">
        <f t="shared" si="8"/>
        <v>OK</v>
      </c>
      <c r="H294" s="4" t="str">
        <f t="shared" si="9"/>
        <v>ZERO</v>
      </c>
      <c r="I294">
        <v>0</v>
      </c>
      <c r="J294">
        <f>IFERROR(Table4[[#This Row],[energy_kwh]]/Table4[[#This Row],[expected_kwh]],0)</f>
        <v>0</v>
      </c>
      <c r="K294" t="str">
        <f>IF(Table4[[#This Row],[Performance_Ratio]] &lt; 0.85, "Underperforming", "Performing")</f>
        <v>Underperforming</v>
      </c>
      <c r="L294">
        <f>Table4[[#This Row],[energy_kwh]] - Table4[[#This Row],[expected_kwh]]</f>
        <v>0</v>
      </c>
      <c r="M294" t="str">
        <f>IF(Table4[[#This Row],[Performance_Deviation]] &lt; 0, "Underperforming", "Outperforming")</f>
        <v>Outperforming</v>
      </c>
      <c r="N294">
        <f>IF(Table4[[#This Row],[Performance_Ratio]] &lt; 0.85, Table4[[#This Row],[Performance_Deviation]] * 50 / 1000, 0)</f>
        <v>0</v>
      </c>
    </row>
    <row r="295" spans="1:14" x14ac:dyDescent="0.3">
      <c r="A295" s="6" t="s">
        <v>6</v>
      </c>
      <c r="B295" s="5">
        <v>45304.208333333336</v>
      </c>
      <c r="C295" s="6">
        <v>0</v>
      </c>
      <c r="D295" s="6">
        <v>0</v>
      </c>
      <c r="E295" s="6">
        <v>0</v>
      </c>
      <c r="F295" s="6">
        <v>78.488824167001198</v>
      </c>
      <c r="G295" s="6" t="str">
        <f t="shared" si="8"/>
        <v>OK</v>
      </c>
      <c r="H295" s="6" t="str">
        <f t="shared" si="9"/>
        <v>ZERO</v>
      </c>
      <c r="I295">
        <v>0</v>
      </c>
      <c r="J295">
        <f>IFERROR(Table4[[#This Row],[energy_kwh]]/Table4[[#This Row],[expected_kwh]],0)</f>
        <v>0</v>
      </c>
      <c r="K295" t="str">
        <f>IF(Table4[[#This Row],[Performance_Ratio]] &lt; 0.85, "Underperforming", "Performing")</f>
        <v>Underperforming</v>
      </c>
      <c r="L295">
        <f>Table4[[#This Row],[energy_kwh]] - Table4[[#This Row],[expected_kwh]]</f>
        <v>0</v>
      </c>
      <c r="M295" t="str">
        <f>IF(Table4[[#This Row],[Performance_Deviation]] &lt; 0, "Underperforming", "Outperforming")</f>
        <v>Outperforming</v>
      </c>
      <c r="N295">
        <f>IF(Table4[[#This Row],[Performance_Ratio]] &lt; 0.85, Table4[[#This Row],[Performance_Deviation]] * 50 / 1000, 0)</f>
        <v>0</v>
      </c>
    </row>
    <row r="296" spans="1:14" x14ac:dyDescent="0.3">
      <c r="A296" s="4" t="s">
        <v>6</v>
      </c>
      <c r="B296" s="3">
        <v>45304.25</v>
      </c>
      <c r="C296" s="4">
        <v>0</v>
      </c>
      <c r="D296" s="4">
        <v>0</v>
      </c>
      <c r="E296" s="4">
        <v>0</v>
      </c>
      <c r="F296" s="4">
        <v>93.999694495035897</v>
      </c>
      <c r="G296" s="4" t="str">
        <f t="shared" si="8"/>
        <v>OK</v>
      </c>
      <c r="H296" s="4" t="str">
        <f t="shared" si="9"/>
        <v>ZERO</v>
      </c>
      <c r="I296">
        <v>0</v>
      </c>
      <c r="J296">
        <f>IFERROR(Table4[[#This Row],[energy_kwh]]/Table4[[#This Row],[expected_kwh]],0)</f>
        <v>0</v>
      </c>
      <c r="K296" t="str">
        <f>IF(Table4[[#This Row],[Performance_Ratio]] &lt; 0.85, "Underperforming", "Performing")</f>
        <v>Underperforming</v>
      </c>
      <c r="L296">
        <f>Table4[[#This Row],[energy_kwh]] - Table4[[#This Row],[expected_kwh]]</f>
        <v>0</v>
      </c>
      <c r="M296" t="str">
        <f>IF(Table4[[#This Row],[Performance_Deviation]] &lt; 0, "Underperforming", "Outperforming")</f>
        <v>Outperforming</v>
      </c>
      <c r="N296">
        <f>IF(Table4[[#This Row],[Performance_Ratio]] &lt; 0.85, Table4[[#This Row],[Performance_Deviation]] * 50 / 1000, 0)</f>
        <v>0</v>
      </c>
    </row>
    <row r="297" spans="1:14" x14ac:dyDescent="0.3">
      <c r="A297" s="6" t="s">
        <v>6</v>
      </c>
      <c r="B297" s="5">
        <v>45304.291666666664</v>
      </c>
      <c r="C297" s="6">
        <v>94.213204042945705</v>
      </c>
      <c r="D297" s="6">
        <v>89.971876785938406</v>
      </c>
      <c r="E297" s="6">
        <v>89.971876785938406</v>
      </c>
      <c r="F297" s="6">
        <v>66.361680073858906</v>
      </c>
      <c r="G297" s="6" t="str">
        <f t="shared" si="8"/>
        <v>OK</v>
      </c>
      <c r="H297" s="6" t="str">
        <f t="shared" si="9"/>
        <v>NON-ZERO</v>
      </c>
      <c r="I297">
        <v>103.527618041008</v>
      </c>
      <c r="J297">
        <f>IFERROR(Table4[[#This Row],[energy_kwh]]/Table4[[#This Row],[expected_kwh]],0)</f>
        <v>0.86906159427236052</v>
      </c>
      <c r="K297" t="str">
        <f>IF(Table4[[#This Row],[Performance_Ratio]] &lt; 0.85, "Underperforming", "Performing")</f>
        <v>Performing</v>
      </c>
      <c r="L297">
        <f>Table4[[#This Row],[energy_kwh]] - Table4[[#This Row],[expected_kwh]]</f>
        <v>-13.555741255069591</v>
      </c>
      <c r="M297" t="str">
        <f>IF(Table4[[#This Row],[Performance_Deviation]] &lt; 0, "Underperforming", "Outperforming")</f>
        <v>Underperforming</v>
      </c>
      <c r="N297">
        <f>IF(Table4[[#This Row],[Performance_Ratio]] &lt; 0.85, Table4[[#This Row],[Performance_Deviation]] * 50 / 1000, 0)</f>
        <v>0</v>
      </c>
    </row>
    <row r="298" spans="1:14" x14ac:dyDescent="0.3">
      <c r="A298" s="4" t="s">
        <v>6</v>
      </c>
      <c r="B298" s="3">
        <v>45304.333333333336</v>
      </c>
      <c r="C298" s="4">
        <v>0</v>
      </c>
      <c r="D298" s="4">
        <v>0</v>
      </c>
      <c r="E298" s="4">
        <v>0</v>
      </c>
      <c r="F298" s="4">
        <v>58.8283732538533</v>
      </c>
      <c r="G298" s="4" t="str">
        <f t="shared" si="8"/>
        <v>OK</v>
      </c>
      <c r="H298" s="4" t="str">
        <f t="shared" si="9"/>
        <v>ZERO</v>
      </c>
      <c r="I298">
        <v>199.99999999999901</v>
      </c>
      <c r="J298">
        <f>IFERROR(Table4[[#This Row],[energy_kwh]]/Table4[[#This Row],[expected_kwh]],0)</f>
        <v>0</v>
      </c>
      <c r="K298" t="str">
        <f>IF(Table4[[#This Row],[Performance_Ratio]] &lt; 0.85, "Underperforming", "Performing")</f>
        <v>Underperforming</v>
      </c>
      <c r="L298">
        <f>Table4[[#This Row],[energy_kwh]] - Table4[[#This Row],[expected_kwh]]</f>
        <v>-199.99999999999901</v>
      </c>
      <c r="M298" t="str">
        <f>IF(Table4[[#This Row],[Performance_Deviation]] &lt; 0, "Underperforming", "Outperforming")</f>
        <v>Underperforming</v>
      </c>
      <c r="N298">
        <f>IF(Table4[[#This Row],[Performance_Ratio]] &lt; 0.85, Table4[[#This Row],[Performance_Deviation]] * 50 / 1000, 0)</f>
        <v>-9.9999999999999503</v>
      </c>
    </row>
    <row r="299" spans="1:14" x14ac:dyDescent="0.3">
      <c r="A299" s="6" t="s">
        <v>6</v>
      </c>
      <c r="B299" s="5">
        <v>45304.375</v>
      </c>
      <c r="C299" s="6">
        <v>303.9749539741</v>
      </c>
      <c r="D299" s="6">
        <v>290.29048935117697</v>
      </c>
      <c r="E299" s="6">
        <v>290.29048935117697</v>
      </c>
      <c r="F299" s="6">
        <v>22.4902331593524</v>
      </c>
      <c r="G299" s="6" t="str">
        <f t="shared" si="8"/>
        <v>OK</v>
      </c>
      <c r="H299" s="6" t="str">
        <f t="shared" si="9"/>
        <v>NON-ZERO</v>
      </c>
      <c r="I299">
        <v>282.84271247461902</v>
      </c>
      <c r="J299">
        <f>IFERROR(Table4[[#This Row],[energy_kwh]]/Table4[[#This Row],[expected_kwh]],0)</f>
        <v>1.0263318676708926</v>
      </c>
      <c r="K299" t="str">
        <f>IF(Table4[[#This Row],[Performance_Ratio]] &lt; 0.85, "Underperforming", "Performing")</f>
        <v>Performing</v>
      </c>
      <c r="L299">
        <f>Table4[[#This Row],[energy_kwh]] - Table4[[#This Row],[expected_kwh]]</f>
        <v>7.4477768765579526</v>
      </c>
      <c r="M299" t="str">
        <f>IF(Table4[[#This Row],[Performance_Deviation]] &lt; 0, "Underperforming", "Outperforming")</f>
        <v>Outperforming</v>
      </c>
      <c r="N299">
        <f>IF(Table4[[#This Row],[Performance_Ratio]] &lt; 0.85, Table4[[#This Row],[Performance_Deviation]] * 50 / 1000, 0)</f>
        <v>0</v>
      </c>
    </row>
    <row r="300" spans="1:14" x14ac:dyDescent="0.3">
      <c r="A300" s="4" t="s">
        <v>6</v>
      </c>
      <c r="B300" s="3">
        <v>45304.416666666664</v>
      </c>
      <c r="C300" s="4">
        <v>324.74884392714199</v>
      </c>
      <c r="D300" s="4">
        <v>310.129172115514</v>
      </c>
      <c r="E300" s="4">
        <v>310.129172115514</v>
      </c>
      <c r="F300" s="4">
        <v>71.709872685294897</v>
      </c>
      <c r="G300" s="4" t="str">
        <f t="shared" si="8"/>
        <v>OK</v>
      </c>
      <c r="H300" s="4" t="str">
        <f t="shared" si="9"/>
        <v>NON-ZERO</v>
      </c>
      <c r="I300">
        <v>346.41016151377499</v>
      </c>
      <c r="J300">
        <f>IFERROR(Table4[[#This Row],[energy_kwh]]/Table4[[#This Row],[expected_kwh]],0)</f>
        <v>0.89526580502224018</v>
      </c>
      <c r="K300" t="str">
        <f>IF(Table4[[#This Row],[Performance_Ratio]] &lt; 0.85, "Underperforming", "Performing")</f>
        <v>Performing</v>
      </c>
      <c r="L300">
        <f>Table4[[#This Row],[energy_kwh]] - Table4[[#This Row],[expected_kwh]]</f>
        <v>-36.280989398260999</v>
      </c>
      <c r="M300" t="str">
        <f>IF(Table4[[#This Row],[Performance_Deviation]] &lt; 0, "Underperforming", "Outperforming")</f>
        <v>Underperforming</v>
      </c>
      <c r="N300">
        <f>IF(Table4[[#This Row],[Performance_Ratio]] &lt; 0.85, Table4[[#This Row],[Performance_Deviation]] * 50 / 1000, 0)</f>
        <v>0</v>
      </c>
    </row>
    <row r="301" spans="1:14" x14ac:dyDescent="0.3">
      <c r="A301" s="6" t="s">
        <v>6</v>
      </c>
      <c r="B301" s="5">
        <v>45304.458333333336</v>
      </c>
      <c r="C301" s="6">
        <v>347.25752258682201</v>
      </c>
      <c r="D301" s="6">
        <v>331.62454618282499</v>
      </c>
      <c r="E301" s="6">
        <v>331.62454618282499</v>
      </c>
      <c r="F301" s="6">
        <v>32.561193669430203</v>
      </c>
      <c r="G301" s="6" t="str">
        <f t="shared" si="8"/>
        <v>OK</v>
      </c>
      <c r="H301" s="6" t="str">
        <f t="shared" si="9"/>
        <v>NON-ZERO</v>
      </c>
      <c r="I301">
        <v>386.37033051562702</v>
      </c>
      <c r="J301">
        <f>IFERROR(Table4[[#This Row],[energy_kwh]]/Table4[[#This Row],[expected_kwh]],0)</f>
        <v>0.85830748375595622</v>
      </c>
      <c r="K301" t="str">
        <f>IF(Table4[[#This Row],[Performance_Ratio]] &lt; 0.85, "Underperforming", "Performing")</f>
        <v>Performing</v>
      </c>
      <c r="L301">
        <f>Table4[[#This Row],[energy_kwh]] - Table4[[#This Row],[expected_kwh]]</f>
        <v>-54.745784332802032</v>
      </c>
      <c r="M301" t="str">
        <f>IF(Table4[[#This Row],[Performance_Deviation]] &lt; 0, "Underperforming", "Outperforming")</f>
        <v>Underperforming</v>
      </c>
      <c r="N301">
        <f>IF(Table4[[#This Row],[Performance_Ratio]] &lt; 0.85, Table4[[#This Row],[Performance_Deviation]] * 50 / 1000, 0)</f>
        <v>0</v>
      </c>
    </row>
    <row r="302" spans="1:14" x14ac:dyDescent="0.3">
      <c r="A302" s="4" t="s">
        <v>6</v>
      </c>
      <c r="B302" s="3">
        <v>45304.5</v>
      </c>
      <c r="C302" s="4">
        <v>387.71429574575097</v>
      </c>
      <c r="D302" s="4">
        <v>370.26002033730299</v>
      </c>
      <c r="E302" s="4">
        <v>370.26002033730299</v>
      </c>
      <c r="F302" s="4">
        <v>90.215918468276698</v>
      </c>
      <c r="G302" s="4" t="str">
        <f t="shared" si="8"/>
        <v>OK</v>
      </c>
      <c r="H302" s="4" t="str">
        <f t="shared" si="9"/>
        <v>NON-ZERO</v>
      </c>
      <c r="I302">
        <v>400</v>
      </c>
      <c r="J302">
        <f>IFERROR(Table4[[#This Row],[energy_kwh]]/Table4[[#This Row],[expected_kwh]],0)</f>
        <v>0.92565005084325747</v>
      </c>
      <c r="K302" t="str">
        <f>IF(Table4[[#This Row],[Performance_Ratio]] &lt; 0.85, "Underperforming", "Performing")</f>
        <v>Performing</v>
      </c>
      <c r="L302">
        <f>Table4[[#This Row],[energy_kwh]] - Table4[[#This Row],[expected_kwh]]</f>
        <v>-29.73997966269701</v>
      </c>
      <c r="M302" t="str">
        <f>IF(Table4[[#This Row],[Performance_Deviation]] &lt; 0, "Underperforming", "Outperforming")</f>
        <v>Underperforming</v>
      </c>
      <c r="N302">
        <f>IF(Table4[[#This Row],[Performance_Ratio]] &lt; 0.85, Table4[[#This Row],[Performance_Deviation]] * 50 / 1000, 0)</f>
        <v>0</v>
      </c>
    </row>
    <row r="303" spans="1:14" x14ac:dyDescent="0.3">
      <c r="A303" s="6" t="s">
        <v>6</v>
      </c>
      <c r="B303" s="5">
        <v>45304.541666666664</v>
      </c>
      <c r="C303" s="6">
        <v>345.454418763273</v>
      </c>
      <c r="D303" s="6">
        <v>329.90261519987399</v>
      </c>
      <c r="E303" s="6">
        <v>329.90261519987399</v>
      </c>
      <c r="F303" s="6">
        <v>73.179538958818696</v>
      </c>
      <c r="G303" s="6" t="str">
        <f t="shared" si="8"/>
        <v>OK</v>
      </c>
      <c r="H303" s="6" t="str">
        <f t="shared" si="9"/>
        <v>NON-ZERO</v>
      </c>
      <c r="I303">
        <v>386.37033051562702</v>
      </c>
      <c r="J303">
        <f>IFERROR(Table4[[#This Row],[energy_kwh]]/Table4[[#This Row],[expected_kwh]],0)</f>
        <v>0.85385079842855804</v>
      </c>
      <c r="K303" t="str">
        <f>IF(Table4[[#This Row],[Performance_Ratio]] &lt; 0.85, "Underperforming", "Performing")</f>
        <v>Performing</v>
      </c>
      <c r="L303">
        <f>Table4[[#This Row],[energy_kwh]] - Table4[[#This Row],[expected_kwh]]</f>
        <v>-56.467715315753026</v>
      </c>
      <c r="M303" t="str">
        <f>IF(Table4[[#This Row],[Performance_Deviation]] &lt; 0, "Underperforming", "Outperforming")</f>
        <v>Underperforming</v>
      </c>
      <c r="N303">
        <f>IF(Table4[[#This Row],[Performance_Ratio]] &lt; 0.85, Table4[[#This Row],[Performance_Deviation]] * 50 / 1000, 0)</f>
        <v>0</v>
      </c>
    </row>
    <row r="304" spans="1:14" x14ac:dyDescent="0.3">
      <c r="A304" s="4" t="s">
        <v>6</v>
      </c>
      <c r="B304" s="3">
        <v>45304.583333333336</v>
      </c>
      <c r="C304" s="4">
        <v>338.625778063263</v>
      </c>
      <c r="D304" s="4">
        <v>323.38138894589099</v>
      </c>
      <c r="E304" s="4">
        <v>323.38138894589099</v>
      </c>
      <c r="F304" s="4">
        <v>81.111883530988393</v>
      </c>
      <c r="G304" s="4" t="str">
        <f t="shared" si="8"/>
        <v>OK</v>
      </c>
      <c r="H304" s="4" t="str">
        <f t="shared" si="9"/>
        <v>NON-ZERO</v>
      </c>
      <c r="I304">
        <v>346.41016151377499</v>
      </c>
      <c r="J304">
        <f>IFERROR(Table4[[#This Row],[energy_kwh]]/Table4[[#This Row],[expected_kwh]],0)</f>
        <v>0.93352165979412738</v>
      </c>
      <c r="K304" t="str">
        <f>IF(Table4[[#This Row],[Performance_Ratio]] &lt; 0.85, "Underperforming", "Performing")</f>
        <v>Performing</v>
      </c>
      <c r="L304">
        <f>Table4[[#This Row],[energy_kwh]] - Table4[[#This Row],[expected_kwh]]</f>
        <v>-23.028772567884005</v>
      </c>
      <c r="M304" t="str">
        <f>IF(Table4[[#This Row],[Performance_Deviation]] &lt; 0, "Underperforming", "Outperforming")</f>
        <v>Underperforming</v>
      </c>
      <c r="N304">
        <f>IF(Table4[[#This Row],[Performance_Ratio]] &lt; 0.85, Table4[[#This Row],[Performance_Deviation]] * 50 / 1000, 0)</f>
        <v>0</v>
      </c>
    </row>
    <row r="305" spans="1:14" x14ac:dyDescent="0.3">
      <c r="A305" s="6" t="s">
        <v>6</v>
      </c>
      <c r="B305" s="5">
        <v>45304.625</v>
      </c>
      <c r="C305" s="6">
        <v>282.192501096039</v>
      </c>
      <c r="D305" s="6">
        <v>269.48864754621098</v>
      </c>
      <c r="E305" s="6">
        <v>269.48864754621098</v>
      </c>
      <c r="F305" s="6">
        <v>61.069428211530202</v>
      </c>
      <c r="G305" s="6" t="str">
        <f t="shared" si="8"/>
        <v>OK</v>
      </c>
      <c r="H305" s="6" t="str">
        <f t="shared" si="9"/>
        <v>NON-ZERO</v>
      </c>
      <c r="I305">
        <v>282.84271247461902</v>
      </c>
      <c r="J305">
        <f>IFERROR(Table4[[#This Row],[energy_kwh]]/Table4[[#This Row],[expected_kwh]],0)</f>
        <v>0.95278625066358613</v>
      </c>
      <c r="K305" t="str">
        <f>IF(Table4[[#This Row],[Performance_Ratio]] &lt; 0.85, "Underperforming", "Performing")</f>
        <v>Performing</v>
      </c>
      <c r="L305">
        <f>Table4[[#This Row],[energy_kwh]] - Table4[[#This Row],[expected_kwh]]</f>
        <v>-13.354064928408036</v>
      </c>
      <c r="M305" t="str">
        <f>IF(Table4[[#This Row],[Performance_Deviation]] &lt; 0, "Underperforming", "Outperforming")</f>
        <v>Underperforming</v>
      </c>
      <c r="N305">
        <f>IF(Table4[[#This Row],[Performance_Ratio]] &lt; 0.85, Table4[[#This Row],[Performance_Deviation]] * 50 / 1000, 0)</f>
        <v>0</v>
      </c>
    </row>
    <row r="306" spans="1:14" x14ac:dyDescent="0.3">
      <c r="A306" s="4" t="s">
        <v>6</v>
      </c>
      <c r="B306" s="3">
        <v>45304.666666666664</v>
      </c>
      <c r="C306" s="4">
        <v>187.22865622804301</v>
      </c>
      <c r="D306" s="4">
        <v>178.799922580572</v>
      </c>
      <c r="E306" s="4">
        <v>178.799922580572</v>
      </c>
      <c r="F306" s="4">
        <v>74.869214131649898</v>
      </c>
      <c r="G306" s="4" t="str">
        <f t="shared" si="8"/>
        <v>OK</v>
      </c>
      <c r="H306" s="4" t="str">
        <f t="shared" si="9"/>
        <v>NON-ZERO</v>
      </c>
      <c r="I306">
        <v>199.99999999999901</v>
      </c>
      <c r="J306">
        <f>IFERROR(Table4[[#This Row],[energy_kwh]]/Table4[[#This Row],[expected_kwh]],0)</f>
        <v>0.89399961290286445</v>
      </c>
      <c r="K306" t="str">
        <f>IF(Table4[[#This Row],[Performance_Ratio]] &lt; 0.85, "Underperforming", "Performing")</f>
        <v>Performing</v>
      </c>
      <c r="L306">
        <f>Table4[[#This Row],[energy_kwh]] - Table4[[#This Row],[expected_kwh]]</f>
        <v>-21.200077419427004</v>
      </c>
      <c r="M306" t="str">
        <f>IF(Table4[[#This Row],[Performance_Deviation]] &lt; 0, "Underperforming", "Outperforming")</f>
        <v>Underperforming</v>
      </c>
      <c r="N306">
        <f>IF(Table4[[#This Row],[Performance_Ratio]] &lt; 0.85, Table4[[#This Row],[Performance_Deviation]] * 50 / 1000, 0)</f>
        <v>0</v>
      </c>
    </row>
    <row r="307" spans="1:14" x14ac:dyDescent="0.3">
      <c r="A307" s="6" t="s">
        <v>6</v>
      </c>
      <c r="B307" s="5">
        <v>45304.708333333336</v>
      </c>
      <c r="C307" s="6">
        <v>107.897464536711</v>
      </c>
      <c r="D307" s="6">
        <v>103.040093832145</v>
      </c>
      <c r="E307" s="6">
        <v>103.040093832145</v>
      </c>
      <c r="F307" s="6">
        <v>38.532742550760901</v>
      </c>
      <c r="G307" s="6" t="str">
        <f t="shared" si="8"/>
        <v>OK</v>
      </c>
      <c r="H307" s="6" t="str">
        <f t="shared" si="9"/>
        <v>NON-ZERO</v>
      </c>
      <c r="I307">
        <v>103.527618041008</v>
      </c>
      <c r="J307">
        <f>IFERROR(Table4[[#This Row],[energy_kwh]]/Table4[[#This Row],[expected_kwh]],0)</f>
        <v>0.99529087775718084</v>
      </c>
      <c r="K307" t="str">
        <f>IF(Table4[[#This Row],[Performance_Ratio]] &lt; 0.85, "Underperforming", "Performing")</f>
        <v>Performing</v>
      </c>
      <c r="L307">
        <f>Table4[[#This Row],[energy_kwh]] - Table4[[#This Row],[expected_kwh]]</f>
        <v>-0.48752420886299319</v>
      </c>
      <c r="M307" t="str">
        <f>IF(Table4[[#This Row],[Performance_Deviation]] &lt; 0, "Underperforming", "Outperforming")</f>
        <v>Underperforming</v>
      </c>
      <c r="N307">
        <f>IF(Table4[[#This Row],[Performance_Ratio]] &lt; 0.85, Table4[[#This Row],[Performance_Deviation]] * 50 / 1000, 0)</f>
        <v>0</v>
      </c>
    </row>
    <row r="308" spans="1:14" x14ac:dyDescent="0.3">
      <c r="A308" s="4" t="s">
        <v>6</v>
      </c>
      <c r="B308" s="3">
        <v>45304.75</v>
      </c>
      <c r="C308" s="7">
        <v>4.2999292030942603E-14</v>
      </c>
      <c r="D308" s="7">
        <v>4.10635329069909E-14</v>
      </c>
      <c r="E308" s="7">
        <v>4.10635329069909E-14</v>
      </c>
      <c r="F308" s="4">
        <v>57.3646787339854</v>
      </c>
      <c r="G308" s="4" t="str">
        <f t="shared" si="8"/>
        <v>OK</v>
      </c>
      <c r="H308" s="4" t="str">
        <f t="shared" si="9"/>
        <v>NON-ZERO</v>
      </c>
      <c r="I308" s="2">
        <v>4.8985871965894097E-14</v>
      </c>
      <c r="J308">
        <f>IFERROR(Table4[[#This Row],[energy_kwh]]/Table4[[#This Row],[expected_kwh]],0)</f>
        <v>0.83827298073985412</v>
      </c>
      <c r="K308" t="str">
        <f>IF(Table4[[#This Row],[Performance_Ratio]] &lt; 0.85, "Underperforming", "Performing")</f>
        <v>Underperforming</v>
      </c>
      <c r="L308">
        <f>Table4[[#This Row],[energy_kwh]] - Table4[[#This Row],[expected_kwh]]</f>
        <v>-7.9223390589031972E-15</v>
      </c>
      <c r="M308" t="str">
        <f>IF(Table4[[#This Row],[Performance_Deviation]] &lt; 0, "Underperforming", "Outperforming")</f>
        <v>Underperforming</v>
      </c>
      <c r="N308">
        <f>IF(Table4[[#This Row],[Performance_Ratio]] &lt; 0.85, Table4[[#This Row],[Performance_Deviation]] * 50 / 1000, 0)</f>
        <v>-3.9611695294515985E-16</v>
      </c>
    </row>
    <row r="309" spans="1:14" x14ac:dyDescent="0.3">
      <c r="A309" s="6" t="s">
        <v>6</v>
      </c>
      <c r="B309" s="5">
        <v>45304.791666666664</v>
      </c>
      <c r="C309" s="6">
        <v>0</v>
      </c>
      <c r="D309" s="6">
        <v>0</v>
      </c>
      <c r="E309" s="6">
        <v>0</v>
      </c>
      <c r="F309" s="6">
        <v>37.134105599847402</v>
      </c>
      <c r="G309" s="6" t="str">
        <f t="shared" si="8"/>
        <v>OK</v>
      </c>
      <c r="H309" s="6" t="str">
        <f t="shared" si="9"/>
        <v>ZERO</v>
      </c>
      <c r="I309">
        <v>0</v>
      </c>
      <c r="J309">
        <f>IFERROR(Table4[[#This Row],[energy_kwh]]/Table4[[#This Row],[expected_kwh]],0)</f>
        <v>0</v>
      </c>
      <c r="K309" t="str">
        <f>IF(Table4[[#This Row],[Performance_Ratio]] &lt; 0.85, "Underperforming", "Performing")</f>
        <v>Underperforming</v>
      </c>
      <c r="L309">
        <f>Table4[[#This Row],[energy_kwh]] - Table4[[#This Row],[expected_kwh]]</f>
        <v>0</v>
      </c>
      <c r="M309" t="str">
        <f>IF(Table4[[#This Row],[Performance_Deviation]] &lt; 0, "Underperforming", "Outperforming")</f>
        <v>Outperforming</v>
      </c>
      <c r="N309">
        <f>IF(Table4[[#This Row],[Performance_Ratio]] &lt; 0.85, Table4[[#This Row],[Performance_Deviation]] * 50 / 1000, 0)</f>
        <v>0</v>
      </c>
    </row>
    <row r="310" spans="1:14" x14ac:dyDescent="0.3">
      <c r="A310" s="4" t="s">
        <v>6</v>
      </c>
      <c r="B310" s="3">
        <v>45304.833333333336</v>
      </c>
      <c r="C310" s="4">
        <v>0</v>
      </c>
      <c r="D310" s="4">
        <v>0</v>
      </c>
      <c r="E310" s="4">
        <v>0</v>
      </c>
      <c r="F310" s="4">
        <v>22.2989376654354</v>
      </c>
      <c r="G310" s="4" t="str">
        <f t="shared" si="8"/>
        <v>OK</v>
      </c>
      <c r="H310" s="4" t="str">
        <f t="shared" si="9"/>
        <v>ZERO</v>
      </c>
      <c r="I310">
        <v>0</v>
      </c>
      <c r="J310">
        <f>IFERROR(Table4[[#This Row],[energy_kwh]]/Table4[[#This Row],[expected_kwh]],0)</f>
        <v>0</v>
      </c>
      <c r="K310" t="str">
        <f>IF(Table4[[#This Row],[Performance_Ratio]] &lt; 0.85, "Underperforming", "Performing")</f>
        <v>Underperforming</v>
      </c>
      <c r="L310">
        <f>Table4[[#This Row],[energy_kwh]] - Table4[[#This Row],[expected_kwh]]</f>
        <v>0</v>
      </c>
      <c r="M310" t="str">
        <f>IF(Table4[[#This Row],[Performance_Deviation]] &lt; 0, "Underperforming", "Outperforming")</f>
        <v>Outperforming</v>
      </c>
      <c r="N310">
        <f>IF(Table4[[#This Row],[Performance_Ratio]] &lt; 0.85, Table4[[#This Row],[Performance_Deviation]] * 50 / 1000, 0)</f>
        <v>0</v>
      </c>
    </row>
    <row r="311" spans="1:14" x14ac:dyDescent="0.3">
      <c r="A311" s="6" t="s">
        <v>6</v>
      </c>
      <c r="B311" s="5">
        <v>45304.875</v>
      </c>
      <c r="C311" s="6">
        <v>0</v>
      </c>
      <c r="D311" s="6">
        <v>0</v>
      </c>
      <c r="E311" s="6">
        <v>0</v>
      </c>
      <c r="F311" s="6">
        <v>85.120437905628506</v>
      </c>
      <c r="G311" s="6" t="str">
        <f t="shared" si="8"/>
        <v>OK</v>
      </c>
      <c r="H311" s="6" t="str">
        <f t="shared" si="9"/>
        <v>ZERO</v>
      </c>
      <c r="I311">
        <v>0</v>
      </c>
      <c r="J311">
        <f>IFERROR(Table4[[#This Row],[energy_kwh]]/Table4[[#This Row],[expected_kwh]],0)</f>
        <v>0</v>
      </c>
      <c r="K311" t="str">
        <f>IF(Table4[[#This Row],[Performance_Ratio]] &lt; 0.85, "Underperforming", "Performing")</f>
        <v>Underperforming</v>
      </c>
      <c r="L311">
        <f>Table4[[#This Row],[energy_kwh]] - Table4[[#This Row],[expected_kwh]]</f>
        <v>0</v>
      </c>
      <c r="M311" t="str">
        <f>IF(Table4[[#This Row],[Performance_Deviation]] &lt; 0, "Underperforming", "Outperforming")</f>
        <v>Outperforming</v>
      </c>
      <c r="N311">
        <f>IF(Table4[[#This Row],[Performance_Ratio]] &lt; 0.85, Table4[[#This Row],[Performance_Deviation]] * 50 / 1000, 0)</f>
        <v>0</v>
      </c>
    </row>
    <row r="312" spans="1:14" x14ac:dyDescent="0.3">
      <c r="A312" s="4" t="s">
        <v>6</v>
      </c>
      <c r="B312" s="3">
        <v>45304.916666666664</v>
      </c>
      <c r="C312" s="4">
        <v>0</v>
      </c>
      <c r="D312" s="4">
        <v>0</v>
      </c>
      <c r="E312" s="4">
        <v>0</v>
      </c>
      <c r="F312" s="4">
        <v>47.827907223845202</v>
      </c>
      <c r="G312" s="4" t="str">
        <f t="shared" si="8"/>
        <v>OK</v>
      </c>
      <c r="H312" s="4" t="str">
        <f t="shared" si="9"/>
        <v>ZERO</v>
      </c>
      <c r="I312">
        <v>0</v>
      </c>
      <c r="J312">
        <f>IFERROR(Table4[[#This Row],[energy_kwh]]/Table4[[#This Row],[expected_kwh]],0)</f>
        <v>0</v>
      </c>
      <c r="K312" t="str">
        <f>IF(Table4[[#This Row],[Performance_Ratio]] &lt; 0.85, "Underperforming", "Performing")</f>
        <v>Underperforming</v>
      </c>
      <c r="L312">
        <f>Table4[[#This Row],[energy_kwh]] - Table4[[#This Row],[expected_kwh]]</f>
        <v>0</v>
      </c>
      <c r="M312" t="str">
        <f>IF(Table4[[#This Row],[Performance_Deviation]] &lt; 0, "Underperforming", "Outperforming")</f>
        <v>Outperforming</v>
      </c>
      <c r="N312">
        <f>IF(Table4[[#This Row],[Performance_Ratio]] &lt; 0.85, Table4[[#This Row],[Performance_Deviation]] * 50 / 1000, 0)</f>
        <v>0</v>
      </c>
    </row>
    <row r="313" spans="1:14" x14ac:dyDescent="0.3">
      <c r="A313" s="6" t="s">
        <v>6</v>
      </c>
      <c r="B313" s="5">
        <v>45304.958333333336</v>
      </c>
      <c r="C313" s="6">
        <v>0</v>
      </c>
      <c r="D313" s="6">
        <v>0</v>
      </c>
      <c r="E313" s="6">
        <v>0</v>
      </c>
      <c r="F313" s="6">
        <v>85.027362209183593</v>
      </c>
      <c r="G313" s="6" t="str">
        <f t="shared" si="8"/>
        <v>OK</v>
      </c>
      <c r="H313" s="6" t="str">
        <f t="shared" si="9"/>
        <v>ZERO</v>
      </c>
      <c r="I313">
        <v>0</v>
      </c>
      <c r="J313">
        <f>IFERROR(Table4[[#This Row],[energy_kwh]]/Table4[[#This Row],[expected_kwh]],0)</f>
        <v>0</v>
      </c>
      <c r="K313" t="str">
        <f>IF(Table4[[#This Row],[Performance_Ratio]] &lt; 0.85, "Underperforming", "Performing")</f>
        <v>Underperforming</v>
      </c>
      <c r="L313">
        <f>Table4[[#This Row],[energy_kwh]] - Table4[[#This Row],[expected_kwh]]</f>
        <v>0</v>
      </c>
      <c r="M313" t="str">
        <f>IF(Table4[[#This Row],[Performance_Deviation]] &lt; 0, "Underperforming", "Outperforming")</f>
        <v>Outperforming</v>
      </c>
      <c r="N313">
        <f>IF(Table4[[#This Row],[Performance_Ratio]] &lt; 0.85, Table4[[#This Row],[Performance_Deviation]] * 50 / 1000, 0)</f>
        <v>0</v>
      </c>
    </row>
    <row r="314" spans="1:14" x14ac:dyDescent="0.3">
      <c r="A314" s="4" t="s">
        <v>6</v>
      </c>
      <c r="B314" s="3">
        <v>45305</v>
      </c>
      <c r="C314" s="4">
        <v>0</v>
      </c>
      <c r="D314" s="4">
        <v>0</v>
      </c>
      <c r="E314" s="4">
        <v>0</v>
      </c>
      <c r="F314" s="4">
        <v>85.506742856124504</v>
      </c>
      <c r="G314" s="4" t="str">
        <f t="shared" si="8"/>
        <v>OK</v>
      </c>
      <c r="H314" s="4" t="str">
        <f t="shared" si="9"/>
        <v>ZERO</v>
      </c>
      <c r="I314">
        <v>0</v>
      </c>
      <c r="J314">
        <f>IFERROR(Table4[[#This Row],[energy_kwh]]/Table4[[#This Row],[expected_kwh]],0)</f>
        <v>0</v>
      </c>
      <c r="K314" t="str">
        <f>IF(Table4[[#This Row],[Performance_Ratio]] &lt; 0.85, "Underperforming", "Performing")</f>
        <v>Underperforming</v>
      </c>
      <c r="L314">
        <f>Table4[[#This Row],[energy_kwh]] - Table4[[#This Row],[expected_kwh]]</f>
        <v>0</v>
      </c>
      <c r="M314" t="str">
        <f>IF(Table4[[#This Row],[Performance_Deviation]] &lt; 0, "Underperforming", "Outperforming")</f>
        <v>Outperforming</v>
      </c>
      <c r="N314">
        <f>IF(Table4[[#This Row],[Performance_Ratio]] &lt; 0.85, Table4[[#This Row],[Performance_Deviation]] * 50 / 1000, 0)</f>
        <v>0</v>
      </c>
    </row>
    <row r="315" spans="1:14" x14ac:dyDescent="0.3">
      <c r="A315" s="6" t="s">
        <v>6</v>
      </c>
      <c r="B315" s="5">
        <v>45305.041666666664</v>
      </c>
      <c r="C315" s="6">
        <v>0</v>
      </c>
      <c r="D315" s="6">
        <v>0</v>
      </c>
      <c r="E315" s="6">
        <v>0</v>
      </c>
      <c r="F315" s="6">
        <v>40.762084792628798</v>
      </c>
      <c r="G315" s="6" t="str">
        <f t="shared" si="8"/>
        <v>OK</v>
      </c>
      <c r="H315" s="6" t="str">
        <f t="shared" si="9"/>
        <v>ZERO</v>
      </c>
      <c r="I315">
        <v>0</v>
      </c>
      <c r="J315">
        <f>IFERROR(Table4[[#This Row],[energy_kwh]]/Table4[[#This Row],[expected_kwh]],0)</f>
        <v>0</v>
      </c>
      <c r="K315" t="str">
        <f>IF(Table4[[#This Row],[Performance_Ratio]] &lt; 0.85, "Underperforming", "Performing")</f>
        <v>Underperforming</v>
      </c>
      <c r="L315">
        <f>Table4[[#This Row],[energy_kwh]] - Table4[[#This Row],[expected_kwh]]</f>
        <v>0</v>
      </c>
      <c r="M315" t="str">
        <f>IF(Table4[[#This Row],[Performance_Deviation]] &lt; 0, "Underperforming", "Outperforming")</f>
        <v>Outperforming</v>
      </c>
      <c r="N315">
        <f>IF(Table4[[#This Row],[Performance_Ratio]] &lt; 0.85, Table4[[#This Row],[Performance_Deviation]] * 50 / 1000, 0)</f>
        <v>0</v>
      </c>
    </row>
    <row r="316" spans="1:14" x14ac:dyDescent="0.3">
      <c r="A316" s="4" t="s">
        <v>6</v>
      </c>
      <c r="B316" s="3">
        <v>45305.083333333336</v>
      </c>
      <c r="C316" s="4">
        <v>0</v>
      </c>
      <c r="D316" s="4">
        <v>0</v>
      </c>
      <c r="E316" s="4">
        <v>0</v>
      </c>
      <c r="F316" s="4">
        <v>67.367016506938995</v>
      </c>
      <c r="G316" s="4" t="str">
        <f t="shared" si="8"/>
        <v>OK</v>
      </c>
      <c r="H316" s="4" t="str">
        <f t="shared" si="9"/>
        <v>ZERO</v>
      </c>
      <c r="I316">
        <v>0</v>
      </c>
      <c r="J316">
        <f>IFERROR(Table4[[#This Row],[energy_kwh]]/Table4[[#This Row],[expected_kwh]],0)</f>
        <v>0</v>
      </c>
      <c r="K316" t="str">
        <f>IF(Table4[[#This Row],[Performance_Ratio]] &lt; 0.85, "Underperforming", "Performing")</f>
        <v>Underperforming</v>
      </c>
      <c r="L316">
        <f>Table4[[#This Row],[energy_kwh]] - Table4[[#This Row],[expected_kwh]]</f>
        <v>0</v>
      </c>
      <c r="M316" t="str">
        <f>IF(Table4[[#This Row],[Performance_Deviation]] &lt; 0, "Underperforming", "Outperforming")</f>
        <v>Outperforming</v>
      </c>
      <c r="N316">
        <f>IF(Table4[[#This Row],[Performance_Ratio]] &lt; 0.85, Table4[[#This Row],[Performance_Deviation]] * 50 / 1000, 0)</f>
        <v>0</v>
      </c>
    </row>
    <row r="317" spans="1:14" x14ac:dyDescent="0.3">
      <c r="A317" s="6" t="s">
        <v>6</v>
      </c>
      <c r="B317" s="5">
        <v>45305.125</v>
      </c>
      <c r="C317" s="6">
        <v>0</v>
      </c>
      <c r="D317" s="6">
        <v>0</v>
      </c>
      <c r="E317" s="6">
        <v>0</v>
      </c>
      <c r="F317" s="6">
        <v>73.686872351156595</v>
      </c>
      <c r="G317" s="6" t="str">
        <f t="shared" si="8"/>
        <v>OK</v>
      </c>
      <c r="H317" s="6" t="str">
        <f t="shared" si="9"/>
        <v>ZERO</v>
      </c>
      <c r="I317">
        <v>0</v>
      </c>
      <c r="J317">
        <f>IFERROR(Table4[[#This Row],[energy_kwh]]/Table4[[#This Row],[expected_kwh]],0)</f>
        <v>0</v>
      </c>
      <c r="K317" t="str">
        <f>IF(Table4[[#This Row],[Performance_Ratio]] &lt; 0.85, "Underperforming", "Performing")</f>
        <v>Underperforming</v>
      </c>
      <c r="L317">
        <f>Table4[[#This Row],[energy_kwh]] - Table4[[#This Row],[expected_kwh]]</f>
        <v>0</v>
      </c>
      <c r="M317" t="str">
        <f>IF(Table4[[#This Row],[Performance_Deviation]] &lt; 0, "Underperforming", "Outperforming")</f>
        <v>Outperforming</v>
      </c>
      <c r="N317">
        <f>IF(Table4[[#This Row],[Performance_Ratio]] &lt; 0.85, Table4[[#This Row],[Performance_Deviation]] * 50 / 1000, 0)</f>
        <v>0</v>
      </c>
    </row>
    <row r="318" spans="1:14" x14ac:dyDescent="0.3">
      <c r="A318" s="4" t="s">
        <v>6</v>
      </c>
      <c r="B318" s="3">
        <v>45305.166666666664</v>
      </c>
      <c r="C318" s="4">
        <v>0</v>
      </c>
      <c r="D318" s="4">
        <v>0</v>
      </c>
      <c r="E318" s="4">
        <v>0</v>
      </c>
      <c r="F318" s="4">
        <v>85.306242595438306</v>
      </c>
      <c r="G318" s="4" t="str">
        <f t="shared" si="8"/>
        <v>OK</v>
      </c>
      <c r="H318" s="4" t="str">
        <f t="shared" si="9"/>
        <v>ZERO</v>
      </c>
      <c r="I318">
        <v>0</v>
      </c>
      <c r="J318">
        <f>IFERROR(Table4[[#This Row],[energy_kwh]]/Table4[[#This Row],[expected_kwh]],0)</f>
        <v>0</v>
      </c>
      <c r="K318" t="str">
        <f>IF(Table4[[#This Row],[Performance_Ratio]] &lt; 0.85, "Underperforming", "Performing")</f>
        <v>Underperforming</v>
      </c>
      <c r="L318">
        <f>Table4[[#This Row],[energy_kwh]] - Table4[[#This Row],[expected_kwh]]</f>
        <v>0</v>
      </c>
      <c r="M318" t="str">
        <f>IF(Table4[[#This Row],[Performance_Deviation]] &lt; 0, "Underperforming", "Outperforming")</f>
        <v>Outperforming</v>
      </c>
      <c r="N318">
        <f>IF(Table4[[#This Row],[Performance_Ratio]] &lt; 0.85, Table4[[#This Row],[Performance_Deviation]] * 50 / 1000, 0)</f>
        <v>0</v>
      </c>
    </row>
    <row r="319" spans="1:14" x14ac:dyDescent="0.3">
      <c r="A319" s="6" t="s">
        <v>6</v>
      </c>
      <c r="B319" s="5">
        <v>45305.208333333336</v>
      </c>
      <c r="C319" s="6">
        <v>0</v>
      </c>
      <c r="D319" s="6">
        <v>0</v>
      </c>
      <c r="E319" s="6">
        <v>0</v>
      </c>
      <c r="F319" s="6">
        <v>46.942502704982402</v>
      </c>
      <c r="G319" s="6" t="str">
        <f t="shared" si="8"/>
        <v>OK</v>
      </c>
      <c r="H319" s="6" t="str">
        <f t="shared" si="9"/>
        <v>ZERO</v>
      </c>
      <c r="I319">
        <v>0</v>
      </c>
      <c r="J319">
        <f>IFERROR(Table4[[#This Row],[energy_kwh]]/Table4[[#This Row],[expected_kwh]],0)</f>
        <v>0</v>
      </c>
      <c r="K319" t="str">
        <f>IF(Table4[[#This Row],[Performance_Ratio]] &lt; 0.85, "Underperforming", "Performing")</f>
        <v>Underperforming</v>
      </c>
      <c r="L319">
        <f>Table4[[#This Row],[energy_kwh]] - Table4[[#This Row],[expected_kwh]]</f>
        <v>0</v>
      </c>
      <c r="M319" t="str">
        <f>IF(Table4[[#This Row],[Performance_Deviation]] &lt; 0, "Underperforming", "Outperforming")</f>
        <v>Outperforming</v>
      </c>
      <c r="N319">
        <f>IF(Table4[[#This Row],[Performance_Ratio]] &lt; 0.85, Table4[[#This Row],[Performance_Deviation]] * 50 / 1000, 0)</f>
        <v>0</v>
      </c>
    </row>
    <row r="320" spans="1:14" x14ac:dyDescent="0.3">
      <c r="A320" s="4" t="s">
        <v>6</v>
      </c>
      <c r="B320" s="3">
        <v>45305.25</v>
      </c>
      <c r="C320" s="4">
        <v>0</v>
      </c>
      <c r="D320" s="4">
        <v>0</v>
      </c>
      <c r="E320" s="4">
        <v>0</v>
      </c>
      <c r="F320" s="4">
        <v>39.360007452584497</v>
      </c>
      <c r="G320" s="4" t="str">
        <f t="shared" si="8"/>
        <v>OK</v>
      </c>
      <c r="H320" s="4" t="str">
        <f t="shared" si="9"/>
        <v>ZERO</v>
      </c>
      <c r="I320">
        <v>0</v>
      </c>
      <c r="J320">
        <f>IFERROR(Table4[[#This Row],[energy_kwh]]/Table4[[#This Row],[expected_kwh]],0)</f>
        <v>0</v>
      </c>
      <c r="K320" t="str">
        <f>IF(Table4[[#This Row],[Performance_Ratio]] &lt; 0.85, "Underperforming", "Performing")</f>
        <v>Underperforming</v>
      </c>
      <c r="L320">
        <f>Table4[[#This Row],[energy_kwh]] - Table4[[#This Row],[expected_kwh]]</f>
        <v>0</v>
      </c>
      <c r="M320" t="str">
        <f>IF(Table4[[#This Row],[Performance_Deviation]] &lt; 0, "Underperforming", "Outperforming")</f>
        <v>Outperforming</v>
      </c>
      <c r="N320">
        <f>IF(Table4[[#This Row],[Performance_Ratio]] &lt; 0.85, Table4[[#This Row],[Performance_Deviation]] * 50 / 1000, 0)</f>
        <v>0</v>
      </c>
    </row>
    <row r="321" spans="1:14" x14ac:dyDescent="0.3">
      <c r="A321" s="6" t="s">
        <v>6</v>
      </c>
      <c r="B321" s="5">
        <v>45305.291666666664</v>
      </c>
      <c r="C321" s="6">
        <v>100.664627395799</v>
      </c>
      <c r="D321" s="6">
        <v>96.132867412393395</v>
      </c>
      <c r="E321" s="6">
        <v>96.132867412393395</v>
      </c>
      <c r="F321" s="6">
        <v>78.010484426494997</v>
      </c>
      <c r="G321" s="6" t="str">
        <f t="shared" si="8"/>
        <v>OK</v>
      </c>
      <c r="H321" s="6" t="str">
        <f t="shared" si="9"/>
        <v>NON-ZERO</v>
      </c>
      <c r="I321">
        <v>103.527618041008</v>
      </c>
      <c r="J321">
        <f>IFERROR(Table4[[#This Row],[energy_kwh]]/Table4[[#This Row],[expected_kwh]],0)</f>
        <v>0.92857219388853807</v>
      </c>
      <c r="K321" t="str">
        <f>IF(Table4[[#This Row],[Performance_Ratio]] &lt; 0.85, "Underperforming", "Performing")</f>
        <v>Performing</v>
      </c>
      <c r="L321">
        <f>Table4[[#This Row],[energy_kwh]] - Table4[[#This Row],[expected_kwh]]</f>
        <v>-7.3947506286146023</v>
      </c>
      <c r="M321" t="str">
        <f>IF(Table4[[#This Row],[Performance_Deviation]] &lt; 0, "Underperforming", "Outperforming")</f>
        <v>Underperforming</v>
      </c>
      <c r="N321">
        <f>IF(Table4[[#This Row],[Performance_Ratio]] &lt; 0.85, Table4[[#This Row],[Performance_Deviation]] * 50 / 1000, 0)</f>
        <v>0</v>
      </c>
    </row>
    <row r="322" spans="1:14" x14ac:dyDescent="0.3">
      <c r="A322" s="4" t="s">
        <v>6</v>
      </c>
      <c r="B322" s="3">
        <v>45305.333333333336</v>
      </c>
      <c r="C322" s="4">
        <v>168.217418893141</v>
      </c>
      <c r="D322" s="4">
        <v>160.64454064213001</v>
      </c>
      <c r="E322" s="4">
        <v>160.64454064213001</v>
      </c>
      <c r="F322" s="4">
        <v>58.983046141701301</v>
      </c>
      <c r="G322" s="4" t="str">
        <f t="shared" ref="G322:G385" si="10">IF(D322 &gt; C322, "ERROR", "OK")</f>
        <v>OK</v>
      </c>
      <c r="H322" s="4" t="str">
        <f t="shared" ref="H322:H385" si="11">IF(E322=0,"ZERO","NON-ZERO")</f>
        <v>NON-ZERO</v>
      </c>
      <c r="I322">
        <v>199.99999999999901</v>
      </c>
      <c r="J322">
        <f>IFERROR(Table4[[#This Row],[energy_kwh]]/Table4[[#This Row],[expected_kwh]],0)</f>
        <v>0.80322270321065403</v>
      </c>
      <c r="K322" t="str">
        <f>IF(Table4[[#This Row],[Performance_Ratio]] &lt; 0.85, "Underperforming", "Performing")</f>
        <v>Underperforming</v>
      </c>
      <c r="L322">
        <f>Table4[[#This Row],[energy_kwh]] - Table4[[#This Row],[expected_kwh]]</f>
        <v>-39.355459357868995</v>
      </c>
      <c r="M322" t="str">
        <f>IF(Table4[[#This Row],[Performance_Deviation]] &lt; 0, "Underperforming", "Outperforming")</f>
        <v>Underperforming</v>
      </c>
      <c r="N322">
        <f>IF(Table4[[#This Row],[Performance_Ratio]] &lt; 0.85, Table4[[#This Row],[Performance_Deviation]] * 50 / 1000, 0)</f>
        <v>-1.9677729678934497</v>
      </c>
    </row>
    <row r="323" spans="1:14" x14ac:dyDescent="0.3">
      <c r="A323" s="6" t="s">
        <v>6</v>
      </c>
      <c r="B323" s="5">
        <v>45305.375</v>
      </c>
      <c r="C323" s="6">
        <v>263.30741178945499</v>
      </c>
      <c r="D323" s="6">
        <v>251.45373465428801</v>
      </c>
      <c r="E323" s="6">
        <v>251.45373465428801</v>
      </c>
      <c r="F323" s="6">
        <v>52.316564274635397</v>
      </c>
      <c r="G323" s="6" t="str">
        <f t="shared" si="10"/>
        <v>OK</v>
      </c>
      <c r="H323" s="6" t="str">
        <f t="shared" si="11"/>
        <v>NON-ZERO</v>
      </c>
      <c r="I323">
        <v>282.84271247461902</v>
      </c>
      <c r="J323">
        <f>IFERROR(Table4[[#This Row],[energy_kwh]]/Table4[[#This Row],[expected_kwh]],0)</f>
        <v>0.88902320464364903</v>
      </c>
      <c r="K323" t="str">
        <f>IF(Table4[[#This Row],[Performance_Ratio]] &lt; 0.85, "Underperforming", "Performing")</f>
        <v>Performing</v>
      </c>
      <c r="L323">
        <f>Table4[[#This Row],[energy_kwh]] - Table4[[#This Row],[expected_kwh]]</f>
        <v>-31.388977820331007</v>
      </c>
      <c r="M323" t="str">
        <f>IF(Table4[[#This Row],[Performance_Deviation]] &lt; 0, "Underperforming", "Outperforming")</f>
        <v>Underperforming</v>
      </c>
      <c r="N323">
        <f>IF(Table4[[#This Row],[Performance_Ratio]] &lt; 0.85, Table4[[#This Row],[Performance_Deviation]] * 50 / 1000, 0)</f>
        <v>0</v>
      </c>
    </row>
    <row r="324" spans="1:14" x14ac:dyDescent="0.3">
      <c r="A324" s="4" t="s">
        <v>6</v>
      </c>
      <c r="B324" s="3">
        <v>45305.416666666664</v>
      </c>
      <c r="C324" s="4">
        <v>344.82522927812101</v>
      </c>
      <c r="D324" s="4">
        <v>329.30175081565</v>
      </c>
      <c r="E324" s="4">
        <v>329.30175081565</v>
      </c>
      <c r="F324" s="4">
        <v>32.5714412216238</v>
      </c>
      <c r="G324" s="4" t="str">
        <f t="shared" si="10"/>
        <v>OK</v>
      </c>
      <c r="H324" s="4" t="str">
        <f t="shared" si="11"/>
        <v>NON-ZERO</v>
      </c>
      <c r="I324">
        <v>346.41016151377499</v>
      </c>
      <c r="J324">
        <f>IFERROR(Table4[[#This Row],[energy_kwh]]/Table4[[#This Row],[expected_kwh]],0)</f>
        <v>0.95061227239015422</v>
      </c>
      <c r="K324" t="str">
        <f>IF(Table4[[#This Row],[Performance_Ratio]] &lt; 0.85, "Underperforming", "Performing")</f>
        <v>Performing</v>
      </c>
      <c r="L324">
        <f>Table4[[#This Row],[energy_kwh]] - Table4[[#This Row],[expected_kwh]]</f>
        <v>-17.108410698124999</v>
      </c>
      <c r="M324" t="str">
        <f>IF(Table4[[#This Row],[Performance_Deviation]] &lt; 0, "Underperforming", "Outperforming")</f>
        <v>Underperforming</v>
      </c>
      <c r="N324">
        <f>IF(Table4[[#This Row],[Performance_Ratio]] &lt; 0.85, Table4[[#This Row],[Performance_Deviation]] * 50 / 1000, 0)</f>
        <v>0</v>
      </c>
    </row>
    <row r="325" spans="1:14" x14ac:dyDescent="0.3">
      <c r="A325" s="6" t="s">
        <v>6</v>
      </c>
      <c r="B325" s="5">
        <v>45305.458333333336</v>
      </c>
      <c r="C325" s="6">
        <v>329.40398804853402</v>
      </c>
      <c r="D325" s="6">
        <v>314.574749118922</v>
      </c>
      <c r="E325" s="6">
        <v>314.574749118922</v>
      </c>
      <c r="F325" s="6">
        <v>69.785339571635305</v>
      </c>
      <c r="G325" s="6" t="str">
        <f t="shared" si="10"/>
        <v>OK</v>
      </c>
      <c r="H325" s="6" t="str">
        <f t="shared" si="11"/>
        <v>NON-ZERO</v>
      </c>
      <c r="I325">
        <v>386.37033051562702</v>
      </c>
      <c r="J325">
        <f>IFERROR(Table4[[#This Row],[energy_kwh]]/Table4[[#This Row],[expected_kwh]],0)</f>
        <v>0.81417936180324491</v>
      </c>
      <c r="K325" t="str">
        <f>IF(Table4[[#This Row],[Performance_Ratio]] &lt; 0.85, "Underperforming", "Performing")</f>
        <v>Underperforming</v>
      </c>
      <c r="L325">
        <f>Table4[[#This Row],[energy_kwh]] - Table4[[#This Row],[expected_kwh]]</f>
        <v>-71.795581396705018</v>
      </c>
      <c r="M325" t="str">
        <f>IF(Table4[[#This Row],[Performance_Deviation]] &lt; 0, "Underperforming", "Outperforming")</f>
        <v>Underperforming</v>
      </c>
      <c r="N325">
        <f>IF(Table4[[#This Row],[Performance_Ratio]] &lt; 0.85, Table4[[#This Row],[Performance_Deviation]] * 50 / 1000, 0)</f>
        <v>-3.589779069835251</v>
      </c>
    </row>
    <row r="326" spans="1:14" x14ac:dyDescent="0.3">
      <c r="A326" s="4" t="s">
        <v>6</v>
      </c>
      <c r="B326" s="3">
        <v>45305.5</v>
      </c>
      <c r="C326" s="4">
        <v>414.006259988549</v>
      </c>
      <c r="D326" s="4">
        <v>395.36836254202302</v>
      </c>
      <c r="E326" s="4">
        <v>395.36836254202302</v>
      </c>
      <c r="F326" s="4">
        <v>85.120346038494404</v>
      </c>
      <c r="G326" s="4" t="str">
        <f t="shared" si="10"/>
        <v>OK</v>
      </c>
      <c r="H326" s="4" t="str">
        <f t="shared" si="11"/>
        <v>NON-ZERO</v>
      </c>
      <c r="I326">
        <v>400</v>
      </c>
      <c r="J326">
        <f>IFERROR(Table4[[#This Row],[energy_kwh]]/Table4[[#This Row],[expected_kwh]],0)</f>
        <v>0.98842090635505753</v>
      </c>
      <c r="K326" t="str">
        <f>IF(Table4[[#This Row],[Performance_Ratio]] &lt; 0.85, "Underperforming", "Performing")</f>
        <v>Performing</v>
      </c>
      <c r="L326">
        <f>Table4[[#This Row],[energy_kwh]] - Table4[[#This Row],[expected_kwh]]</f>
        <v>-4.6316374579769786</v>
      </c>
      <c r="M326" t="str">
        <f>IF(Table4[[#This Row],[Performance_Deviation]] &lt; 0, "Underperforming", "Outperforming")</f>
        <v>Underperforming</v>
      </c>
      <c r="N326">
        <f>IF(Table4[[#This Row],[Performance_Ratio]] &lt; 0.85, Table4[[#This Row],[Performance_Deviation]] * 50 / 1000, 0)</f>
        <v>0</v>
      </c>
    </row>
    <row r="327" spans="1:14" x14ac:dyDescent="0.3">
      <c r="A327" s="6" t="s">
        <v>6</v>
      </c>
      <c r="B327" s="5">
        <v>45305.541666666664</v>
      </c>
      <c r="C327" s="6">
        <v>364.630592354138</v>
      </c>
      <c r="D327" s="6">
        <v>348.21550822871802</v>
      </c>
      <c r="E327" s="6">
        <v>348.21550822871802</v>
      </c>
      <c r="F327" s="6">
        <v>40.231220863774197</v>
      </c>
      <c r="G327" s="6" t="str">
        <f t="shared" si="10"/>
        <v>OK</v>
      </c>
      <c r="H327" s="6" t="str">
        <f t="shared" si="11"/>
        <v>NON-ZERO</v>
      </c>
      <c r="I327">
        <v>386.37033051562702</v>
      </c>
      <c r="J327">
        <f>IFERROR(Table4[[#This Row],[energy_kwh]]/Table4[[#This Row],[expected_kwh]],0)</f>
        <v>0.9012480532964583</v>
      </c>
      <c r="K327" t="str">
        <f>IF(Table4[[#This Row],[Performance_Ratio]] &lt; 0.85, "Underperforming", "Performing")</f>
        <v>Performing</v>
      </c>
      <c r="L327">
        <f>Table4[[#This Row],[energy_kwh]] - Table4[[#This Row],[expected_kwh]]</f>
        <v>-38.154822286908995</v>
      </c>
      <c r="M327" t="str">
        <f>IF(Table4[[#This Row],[Performance_Deviation]] &lt; 0, "Underperforming", "Outperforming")</f>
        <v>Underperforming</v>
      </c>
      <c r="N327">
        <f>IF(Table4[[#This Row],[Performance_Ratio]] &lt; 0.85, Table4[[#This Row],[Performance_Deviation]] * 50 / 1000, 0)</f>
        <v>0</v>
      </c>
    </row>
    <row r="328" spans="1:14" x14ac:dyDescent="0.3">
      <c r="A328" s="4" t="s">
        <v>6</v>
      </c>
      <c r="B328" s="3">
        <v>45305.583333333336</v>
      </c>
      <c r="C328" s="4">
        <v>330.26293020290399</v>
      </c>
      <c r="D328" s="4">
        <v>315.39502307589203</v>
      </c>
      <c r="E328" s="4">
        <v>315.39502307589203</v>
      </c>
      <c r="F328" s="4">
        <v>29.158243550752001</v>
      </c>
      <c r="G328" s="4" t="str">
        <f t="shared" si="10"/>
        <v>OK</v>
      </c>
      <c r="H328" s="4" t="str">
        <f t="shared" si="11"/>
        <v>NON-ZERO</v>
      </c>
      <c r="I328">
        <v>346.41016151377499</v>
      </c>
      <c r="J328">
        <f>IFERROR(Table4[[#This Row],[energy_kwh]]/Table4[[#This Row],[expected_kwh]],0)</f>
        <v>0.91046700736967368</v>
      </c>
      <c r="K328" t="str">
        <f>IF(Table4[[#This Row],[Performance_Ratio]] &lt; 0.85, "Underperforming", "Performing")</f>
        <v>Performing</v>
      </c>
      <c r="L328">
        <f>Table4[[#This Row],[energy_kwh]] - Table4[[#This Row],[expected_kwh]]</f>
        <v>-31.015138437882968</v>
      </c>
      <c r="M328" t="str">
        <f>IF(Table4[[#This Row],[Performance_Deviation]] &lt; 0, "Underperforming", "Outperforming")</f>
        <v>Underperforming</v>
      </c>
      <c r="N328">
        <f>IF(Table4[[#This Row],[Performance_Ratio]] &lt; 0.85, Table4[[#This Row],[Performance_Deviation]] * 50 / 1000, 0)</f>
        <v>0</v>
      </c>
    </row>
    <row r="329" spans="1:14" x14ac:dyDescent="0.3">
      <c r="A329" s="6" t="s">
        <v>6</v>
      </c>
      <c r="B329" s="5">
        <v>45305.625</v>
      </c>
      <c r="C329" s="6">
        <v>255.087911020414</v>
      </c>
      <c r="D329" s="6">
        <v>243.60426261959401</v>
      </c>
      <c r="E329" s="6">
        <v>243.60426261959401</v>
      </c>
      <c r="F329" s="6">
        <v>43.711707873256202</v>
      </c>
      <c r="G329" s="6" t="str">
        <f t="shared" si="10"/>
        <v>OK</v>
      </c>
      <c r="H329" s="6" t="str">
        <f t="shared" si="11"/>
        <v>NON-ZERO</v>
      </c>
      <c r="I329">
        <v>282.84271247461902</v>
      </c>
      <c r="J329">
        <f>IFERROR(Table4[[#This Row],[energy_kwh]]/Table4[[#This Row],[expected_kwh]],0)</f>
        <v>0.86127113012131762</v>
      </c>
      <c r="K329" t="str">
        <f>IF(Table4[[#This Row],[Performance_Ratio]] &lt; 0.85, "Underperforming", "Performing")</f>
        <v>Performing</v>
      </c>
      <c r="L329">
        <f>Table4[[#This Row],[energy_kwh]] - Table4[[#This Row],[expected_kwh]]</f>
        <v>-39.23844985502501</v>
      </c>
      <c r="M329" t="str">
        <f>IF(Table4[[#This Row],[Performance_Deviation]] &lt; 0, "Underperforming", "Outperforming")</f>
        <v>Underperforming</v>
      </c>
      <c r="N329">
        <f>IF(Table4[[#This Row],[Performance_Ratio]] &lt; 0.85, Table4[[#This Row],[Performance_Deviation]] * 50 / 1000, 0)</f>
        <v>0</v>
      </c>
    </row>
    <row r="330" spans="1:14" x14ac:dyDescent="0.3">
      <c r="A330" s="4" t="s">
        <v>6</v>
      </c>
      <c r="B330" s="3">
        <v>45305.666666666664</v>
      </c>
      <c r="C330" s="4">
        <v>181.757310493104</v>
      </c>
      <c r="D330" s="4">
        <v>173.57488805045699</v>
      </c>
      <c r="E330" s="4">
        <v>173.57488805045699</v>
      </c>
      <c r="F330" s="4">
        <v>92.383902232703406</v>
      </c>
      <c r="G330" s="4" t="str">
        <f t="shared" si="10"/>
        <v>OK</v>
      </c>
      <c r="H330" s="4" t="str">
        <f t="shared" si="11"/>
        <v>NON-ZERO</v>
      </c>
      <c r="I330">
        <v>199.99999999999901</v>
      </c>
      <c r="J330">
        <f>IFERROR(Table4[[#This Row],[energy_kwh]]/Table4[[#This Row],[expected_kwh]],0)</f>
        <v>0.86787444025228933</v>
      </c>
      <c r="K330" t="str">
        <f>IF(Table4[[#This Row],[Performance_Ratio]] &lt; 0.85, "Underperforming", "Performing")</f>
        <v>Performing</v>
      </c>
      <c r="L330">
        <f>Table4[[#This Row],[energy_kwh]] - Table4[[#This Row],[expected_kwh]]</f>
        <v>-26.425111949542014</v>
      </c>
      <c r="M330" t="str">
        <f>IF(Table4[[#This Row],[Performance_Deviation]] &lt; 0, "Underperforming", "Outperforming")</f>
        <v>Underperforming</v>
      </c>
      <c r="N330">
        <f>IF(Table4[[#This Row],[Performance_Ratio]] &lt; 0.85, Table4[[#This Row],[Performance_Deviation]] * 50 / 1000, 0)</f>
        <v>0</v>
      </c>
    </row>
    <row r="331" spans="1:14" x14ac:dyDescent="0.3">
      <c r="A331" s="6" t="s">
        <v>6</v>
      </c>
      <c r="B331" s="5">
        <v>45305.708333333336</v>
      </c>
      <c r="C331" s="6">
        <v>0</v>
      </c>
      <c r="D331" s="6">
        <v>0</v>
      </c>
      <c r="E331" s="6">
        <v>0</v>
      </c>
      <c r="F331" s="6">
        <v>67.933995336162496</v>
      </c>
      <c r="G331" s="6" t="str">
        <f t="shared" si="10"/>
        <v>OK</v>
      </c>
      <c r="H331" s="6" t="str">
        <f t="shared" si="11"/>
        <v>ZERO</v>
      </c>
      <c r="I331">
        <v>103.527618041008</v>
      </c>
      <c r="J331">
        <f>IFERROR(Table4[[#This Row],[energy_kwh]]/Table4[[#This Row],[expected_kwh]],0)</f>
        <v>0</v>
      </c>
      <c r="K331" t="str">
        <f>IF(Table4[[#This Row],[Performance_Ratio]] &lt; 0.85, "Underperforming", "Performing")</f>
        <v>Underperforming</v>
      </c>
      <c r="L331">
        <f>Table4[[#This Row],[energy_kwh]] - Table4[[#This Row],[expected_kwh]]</f>
        <v>-103.527618041008</v>
      </c>
      <c r="M331" t="str">
        <f>IF(Table4[[#This Row],[Performance_Deviation]] &lt; 0, "Underperforming", "Outperforming")</f>
        <v>Underperforming</v>
      </c>
      <c r="N331">
        <f>IF(Table4[[#This Row],[Performance_Ratio]] &lt; 0.85, Table4[[#This Row],[Performance_Deviation]] * 50 / 1000, 0)</f>
        <v>-5.1763809020503997</v>
      </c>
    </row>
    <row r="332" spans="1:14" x14ac:dyDescent="0.3">
      <c r="A332" s="4" t="s">
        <v>6</v>
      </c>
      <c r="B332" s="3">
        <v>45305.75</v>
      </c>
      <c r="C332" s="7">
        <v>4.6078531617361298E-14</v>
      </c>
      <c r="D332" s="7">
        <v>4.4004150068650702E-14</v>
      </c>
      <c r="E332" s="7">
        <v>4.4004150068650702E-14</v>
      </c>
      <c r="F332" s="4">
        <v>70.014819315957794</v>
      </c>
      <c r="G332" s="4" t="str">
        <f t="shared" si="10"/>
        <v>OK</v>
      </c>
      <c r="H332" s="4" t="str">
        <f t="shared" si="11"/>
        <v>NON-ZERO</v>
      </c>
      <c r="I332" s="2">
        <v>4.8985871965894097E-14</v>
      </c>
      <c r="J332">
        <f>IFERROR(Table4[[#This Row],[energy_kwh]]/Table4[[#This Row],[expected_kwh]],0)</f>
        <v>0.89830288413132942</v>
      </c>
      <c r="K332" t="str">
        <f>IF(Table4[[#This Row],[Performance_Ratio]] &lt; 0.85, "Underperforming", "Performing")</f>
        <v>Performing</v>
      </c>
      <c r="L332">
        <f>Table4[[#This Row],[energy_kwh]] - Table4[[#This Row],[expected_kwh]]</f>
        <v>-4.9817218972433955E-15</v>
      </c>
      <c r="M332" t="str">
        <f>IF(Table4[[#This Row],[Performance_Deviation]] &lt; 0, "Underperforming", "Outperforming")</f>
        <v>Underperforming</v>
      </c>
      <c r="N332">
        <f>IF(Table4[[#This Row],[Performance_Ratio]] &lt; 0.85, Table4[[#This Row],[Performance_Deviation]] * 50 / 1000, 0)</f>
        <v>0</v>
      </c>
    </row>
    <row r="333" spans="1:14" x14ac:dyDescent="0.3">
      <c r="A333" s="6" t="s">
        <v>6</v>
      </c>
      <c r="B333" s="5">
        <v>45305.791666666664</v>
      </c>
      <c r="C333" s="6">
        <v>0</v>
      </c>
      <c r="D333" s="6">
        <v>0</v>
      </c>
      <c r="E333" s="6">
        <v>0</v>
      </c>
      <c r="F333" s="6">
        <v>43.094745619339299</v>
      </c>
      <c r="G333" s="6" t="str">
        <f t="shared" si="10"/>
        <v>OK</v>
      </c>
      <c r="H333" s="6" t="str">
        <f t="shared" si="11"/>
        <v>ZERO</v>
      </c>
      <c r="I333">
        <v>0</v>
      </c>
      <c r="J333">
        <f>IFERROR(Table4[[#This Row],[energy_kwh]]/Table4[[#This Row],[expected_kwh]],0)</f>
        <v>0</v>
      </c>
      <c r="K333" t="str">
        <f>IF(Table4[[#This Row],[Performance_Ratio]] &lt; 0.85, "Underperforming", "Performing")</f>
        <v>Underperforming</v>
      </c>
      <c r="L333">
        <f>Table4[[#This Row],[energy_kwh]] - Table4[[#This Row],[expected_kwh]]</f>
        <v>0</v>
      </c>
      <c r="M333" t="str">
        <f>IF(Table4[[#This Row],[Performance_Deviation]] &lt; 0, "Underperforming", "Outperforming")</f>
        <v>Outperforming</v>
      </c>
      <c r="N333">
        <f>IF(Table4[[#This Row],[Performance_Ratio]] &lt; 0.85, Table4[[#This Row],[Performance_Deviation]] * 50 / 1000, 0)</f>
        <v>0</v>
      </c>
    </row>
    <row r="334" spans="1:14" x14ac:dyDescent="0.3">
      <c r="A334" s="4" t="s">
        <v>6</v>
      </c>
      <c r="B334" s="3">
        <v>45305.833333333336</v>
      </c>
      <c r="C334" s="4">
        <v>0</v>
      </c>
      <c r="D334" s="4">
        <v>0</v>
      </c>
      <c r="E334" s="4">
        <v>0</v>
      </c>
      <c r="F334" s="4">
        <v>27.0425536842063</v>
      </c>
      <c r="G334" s="4" t="str">
        <f t="shared" si="10"/>
        <v>OK</v>
      </c>
      <c r="H334" s="4" t="str">
        <f t="shared" si="11"/>
        <v>ZERO</v>
      </c>
      <c r="I334">
        <v>0</v>
      </c>
      <c r="J334">
        <f>IFERROR(Table4[[#This Row],[energy_kwh]]/Table4[[#This Row],[expected_kwh]],0)</f>
        <v>0</v>
      </c>
      <c r="K334" t="str">
        <f>IF(Table4[[#This Row],[Performance_Ratio]] &lt; 0.85, "Underperforming", "Performing")</f>
        <v>Underperforming</v>
      </c>
      <c r="L334">
        <f>Table4[[#This Row],[energy_kwh]] - Table4[[#This Row],[expected_kwh]]</f>
        <v>0</v>
      </c>
      <c r="M334" t="str">
        <f>IF(Table4[[#This Row],[Performance_Deviation]] &lt; 0, "Underperforming", "Outperforming")</f>
        <v>Outperforming</v>
      </c>
      <c r="N334">
        <f>IF(Table4[[#This Row],[Performance_Ratio]] &lt; 0.85, Table4[[#This Row],[Performance_Deviation]] * 50 / 1000, 0)</f>
        <v>0</v>
      </c>
    </row>
    <row r="335" spans="1:14" x14ac:dyDescent="0.3">
      <c r="A335" s="6" t="s">
        <v>6</v>
      </c>
      <c r="B335" s="5">
        <v>45305.875</v>
      </c>
      <c r="C335" s="6">
        <v>0</v>
      </c>
      <c r="D335" s="6">
        <v>0</v>
      </c>
      <c r="E335" s="6">
        <v>0</v>
      </c>
      <c r="F335" s="6">
        <v>85.110669078312895</v>
      </c>
      <c r="G335" s="6" t="str">
        <f t="shared" si="10"/>
        <v>OK</v>
      </c>
      <c r="H335" s="6" t="str">
        <f t="shared" si="11"/>
        <v>ZERO</v>
      </c>
      <c r="I335">
        <v>0</v>
      </c>
      <c r="J335">
        <f>IFERROR(Table4[[#This Row],[energy_kwh]]/Table4[[#This Row],[expected_kwh]],0)</f>
        <v>0</v>
      </c>
      <c r="K335" t="str">
        <f>IF(Table4[[#This Row],[Performance_Ratio]] &lt; 0.85, "Underperforming", "Performing")</f>
        <v>Underperforming</v>
      </c>
      <c r="L335">
        <f>Table4[[#This Row],[energy_kwh]] - Table4[[#This Row],[expected_kwh]]</f>
        <v>0</v>
      </c>
      <c r="M335" t="str">
        <f>IF(Table4[[#This Row],[Performance_Deviation]] &lt; 0, "Underperforming", "Outperforming")</f>
        <v>Outperforming</v>
      </c>
      <c r="N335">
        <f>IF(Table4[[#This Row],[Performance_Ratio]] &lt; 0.85, Table4[[#This Row],[Performance_Deviation]] * 50 / 1000, 0)</f>
        <v>0</v>
      </c>
    </row>
    <row r="336" spans="1:14" x14ac:dyDescent="0.3">
      <c r="A336" s="4" t="s">
        <v>6</v>
      </c>
      <c r="B336" s="3">
        <v>45305.916666666664</v>
      </c>
      <c r="C336" s="4">
        <v>0</v>
      </c>
      <c r="D336" s="4">
        <v>0</v>
      </c>
      <c r="E336" s="4">
        <v>0</v>
      </c>
      <c r="F336" s="4">
        <v>71.243602121723399</v>
      </c>
      <c r="G336" s="4" t="str">
        <f t="shared" si="10"/>
        <v>OK</v>
      </c>
      <c r="H336" s="4" t="str">
        <f t="shared" si="11"/>
        <v>ZERO</v>
      </c>
      <c r="I336">
        <v>0</v>
      </c>
      <c r="J336">
        <f>IFERROR(Table4[[#This Row],[energy_kwh]]/Table4[[#This Row],[expected_kwh]],0)</f>
        <v>0</v>
      </c>
      <c r="K336" t="str">
        <f>IF(Table4[[#This Row],[Performance_Ratio]] &lt; 0.85, "Underperforming", "Performing")</f>
        <v>Underperforming</v>
      </c>
      <c r="L336">
        <f>Table4[[#This Row],[energy_kwh]] - Table4[[#This Row],[expected_kwh]]</f>
        <v>0</v>
      </c>
      <c r="M336" t="str">
        <f>IF(Table4[[#This Row],[Performance_Deviation]] &lt; 0, "Underperforming", "Outperforming")</f>
        <v>Outperforming</v>
      </c>
      <c r="N336">
        <f>IF(Table4[[#This Row],[Performance_Ratio]] &lt; 0.85, Table4[[#This Row],[Performance_Deviation]] * 50 / 1000, 0)</f>
        <v>0</v>
      </c>
    </row>
    <row r="337" spans="1:14" x14ac:dyDescent="0.3">
      <c r="A337" s="6" t="s">
        <v>6</v>
      </c>
      <c r="B337" s="5">
        <v>45305.958333333336</v>
      </c>
      <c r="C337" s="6">
        <v>0</v>
      </c>
      <c r="D337" s="6">
        <v>0</v>
      </c>
      <c r="E337" s="6">
        <v>0</v>
      </c>
      <c r="F337" s="6">
        <v>85.167873835903805</v>
      </c>
      <c r="G337" s="6" t="str">
        <f t="shared" si="10"/>
        <v>OK</v>
      </c>
      <c r="H337" s="6" t="str">
        <f t="shared" si="11"/>
        <v>ZERO</v>
      </c>
      <c r="I337">
        <v>0</v>
      </c>
      <c r="J337">
        <f>IFERROR(Table4[[#This Row],[energy_kwh]]/Table4[[#This Row],[expected_kwh]],0)</f>
        <v>0</v>
      </c>
      <c r="K337" t="str">
        <f>IF(Table4[[#This Row],[Performance_Ratio]] &lt; 0.85, "Underperforming", "Performing")</f>
        <v>Underperforming</v>
      </c>
      <c r="L337">
        <f>Table4[[#This Row],[energy_kwh]] - Table4[[#This Row],[expected_kwh]]</f>
        <v>0</v>
      </c>
      <c r="M337" t="str">
        <f>IF(Table4[[#This Row],[Performance_Deviation]] &lt; 0, "Underperforming", "Outperforming")</f>
        <v>Outperforming</v>
      </c>
      <c r="N337">
        <f>IF(Table4[[#This Row],[Performance_Ratio]] &lt; 0.85, Table4[[#This Row],[Performance_Deviation]] * 50 / 1000, 0)</f>
        <v>0</v>
      </c>
    </row>
    <row r="338" spans="1:14" x14ac:dyDescent="0.3">
      <c r="A338" s="4" t="s">
        <v>6</v>
      </c>
      <c r="B338" s="3">
        <v>45306</v>
      </c>
      <c r="C338" s="4">
        <v>0</v>
      </c>
      <c r="D338" s="4">
        <v>0</v>
      </c>
      <c r="E338" s="4">
        <v>0</v>
      </c>
      <c r="F338" s="4">
        <v>70.738503933293401</v>
      </c>
      <c r="G338" s="4" t="str">
        <f t="shared" si="10"/>
        <v>OK</v>
      </c>
      <c r="H338" s="4" t="str">
        <f t="shared" si="11"/>
        <v>ZERO</v>
      </c>
      <c r="I338">
        <v>0</v>
      </c>
      <c r="J338">
        <f>IFERROR(Table4[[#This Row],[energy_kwh]]/Table4[[#This Row],[expected_kwh]],0)</f>
        <v>0</v>
      </c>
      <c r="K338" t="str">
        <f>IF(Table4[[#This Row],[Performance_Ratio]] &lt; 0.85, "Underperforming", "Performing")</f>
        <v>Underperforming</v>
      </c>
      <c r="L338">
        <f>Table4[[#This Row],[energy_kwh]] - Table4[[#This Row],[expected_kwh]]</f>
        <v>0</v>
      </c>
      <c r="M338" t="str">
        <f>IF(Table4[[#This Row],[Performance_Deviation]] &lt; 0, "Underperforming", "Outperforming")</f>
        <v>Outperforming</v>
      </c>
      <c r="N338">
        <f>IF(Table4[[#This Row],[Performance_Ratio]] &lt; 0.85, Table4[[#This Row],[Performance_Deviation]] * 50 / 1000, 0)</f>
        <v>0</v>
      </c>
    </row>
    <row r="339" spans="1:14" x14ac:dyDescent="0.3">
      <c r="A339" s="6" t="s">
        <v>6</v>
      </c>
      <c r="B339" s="5">
        <v>45306.041666666664</v>
      </c>
      <c r="C339" s="6">
        <v>0</v>
      </c>
      <c r="D339" s="6">
        <v>0</v>
      </c>
      <c r="E339" s="6">
        <v>0</v>
      </c>
      <c r="F339" s="6">
        <v>49.539830424061797</v>
      </c>
      <c r="G339" s="6" t="str">
        <f t="shared" si="10"/>
        <v>OK</v>
      </c>
      <c r="H339" s="6" t="str">
        <f t="shared" si="11"/>
        <v>ZERO</v>
      </c>
      <c r="I339">
        <v>0</v>
      </c>
      <c r="J339">
        <f>IFERROR(Table4[[#This Row],[energy_kwh]]/Table4[[#This Row],[expected_kwh]],0)</f>
        <v>0</v>
      </c>
      <c r="K339" t="str">
        <f>IF(Table4[[#This Row],[Performance_Ratio]] &lt; 0.85, "Underperforming", "Performing")</f>
        <v>Underperforming</v>
      </c>
      <c r="L339">
        <f>Table4[[#This Row],[energy_kwh]] - Table4[[#This Row],[expected_kwh]]</f>
        <v>0</v>
      </c>
      <c r="M339" t="str">
        <f>IF(Table4[[#This Row],[Performance_Deviation]] &lt; 0, "Underperforming", "Outperforming")</f>
        <v>Outperforming</v>
      </c>
      <c r="N339">
        <f>IF(Table4[[#This Row],[Performance_Ratio]] &lt; 0.85, Table4[[#This Row],[Performance_Deviation]] * 50 / 1000, 0)</f>
        <v>0</v>
      </c>
    </row>
    <row r="340" spans="1:14" x14ac:dyDescent="0.3">
      <c r="A340" s="4" t="s">
        <v>6</v>
      </c>
      <c r="B340" s="3">
        <v>45306.083333333336</v>
      </c>
      <c r="C340" s="4">
        <v>0</v>
      </c>
      <c r="D340" s="4">
        <v>0</v>
      </c>
      <c r="E340" s="4">
        <v>0</v>
      </c>
      <c r="F340" s="4">
        <v>23.615902914541699</v>
      </c>
      <c r="G340" s="4" t="str">
        <f t="shared" si="10"/>
        <v>OK</v>
      </c>
      <c r="H340" s="4" t="str">
        <f t="shared" si="11"/>
        <v>ZERO</v>
      </c>
      <c r="I340">
        <v>0</v>
      </c>
      <c r="J340">
        <f>IFERROR(Table4[[#This Row],[energy_kwh]]/Table4[[#This Row],[expected_kwh]],0)</f>
        <v>0</v>
      </c>
      <c r="K340" t="str">
        <f>IF(Table4[[#This Row],[Performance_Ratio]] &lt; 0.85, "Underperforming", "Performing")</f>
        <v>Underperforming</v>
      </c>
      <c r="L340">
        <f>Table4[[#This Row],[energy_kwh]] - Table4[[#This Row],[expected_kwh]]</f>
        <v>0</v>
      </c>
      <c r="M340" t="str">
        <f>IF(Table4[[#This Row],[Performance_Deviation]] &lt; 0, "Underperforming", "Outperforming")</f>
        <v>Outperforming</v>
      </c>
      <c r="N340">
        <f>IF(Table4[[#This Row],[Performance_Ratio]] &lt; 0.85, Table4[[#This Row],[Performance_Deviation]] * 50 / 1000, 0)</f>
        <v>0</v>
      </c>
    </row>
    <row r="341" spans="1:14" x14ac:dyDescent="0.3">
      <c r="A341" s="6" t="s">
        <v>6</v>
      </c>
      <c r="B341" s="5">
        <v>45306.125</v>
      </c>
      <c r="C341" s="6">
        <v>0</v>
      </c>
      <c r="D341" s="6">
        <v>0</v>
      </c>
      <c r="E341" s="6">
        <v>0</v>
      </c>
      <c r="F341" s="6">
        <v>85.306508775294404</v>
      </c>
      <c r="G341" s="6" t="str">
        <f t="shared" si="10"/>
        <v>OK</v>
      </c>
      <c r="H341" s="6" t="str">
        <f t="shared" si="11"/>
        <v>ZERO</v>
      </c>
      <c r="I341">
        <v>0</v>
      </c>
      <c r="J341">
        <f>IFERROR(Table4[[#This Row],[energy_kwh]]/Table4[[#This Row],[expected_kwh]],0)</f>
        <v>0</v>
      </c>
      <c r="K341" t="str">
        <f>IF(Table4[[#This Row],[Performance_Ratio]] &lt; 0.85, "Underperforming", "Performing")</f>
        <v>Underperforming</v>
      </c>
      <c r="L341">
        <f>Table4[[#This Row],[energy_kwh]] - Table4[[#This Row],[expected_kwh]]</f>
        <v>0</v>
      </c>
      <c r="M341" t="str">
        <f>IF(Table4[[#This Row],[Performance_Deviation]] &lt; 0, "Underperforming", "Outperforming")</f>
        <v>Outperforming</v>
      </c>
      <c r="N341">
        <f>IF(Table4[[#This Row],[Performance_Ratio]] &lt; 0.85, Table4[[#This Row],[Performance_Deviation]] * 50 / 1000, 0)</f>
        <v>0</v>
      </c>
    </row>
    <row r="342" spans="1:14" x14ac:dyDescent="0.3">
      <c r="A342" s="4" t="s">
        <v>6</v>
      </c>
      <c r="B342" s="3">
        <v>45306.166666666664</v>
      </c>
      <c r="C342" s="4">
        <v>0</v>
      </c>
      <c r="D342" s="4">
        <v>0</v>
      </c>
      <c r="E342" s="4">
        <v>0</v>
      </c>
      <c r="F342" s="4">
        <v>50.310524123827399</v>
      </c>
      <c r="G342" s="4" t="str">
        <f t="shared" si="10"/>
        <v>OK</v>
      </c>
      <c r="H342" s="4" t="str">
        <f t="shared" si="11"/>
        <v>ZERO</v>
      </c>
      <c r="I342">
        <v>0</v>
      </c>
      <c r="J342">
        <f>IFERROR(Table4[[#This Row],[energy_kwh]]/Table4[[#This Row],[expected_kwh]],0)</f>
        <v>0</v>
      </c>
      <c r="K342" t="str">
        <f>IF(Table4[[#This Row],[Performance_Ratio]] &lt; 0.85, "Underperforming", "Performing")</f>
        <v>Underperforming</v>
      </c>
      <c r="L342">
        <f>Table4[[#This Row],[energy_kwh]] - Table4[[#This Row],[expected_kwh]]</f>
        <v>0</v>
      </c>
      <c r="M342" t="str">
        <f>IF(Table4[[#This Row],[Performance_Deviation]] &lt; 0, "Underperforming", "Outperforming")</f>
        <v>Outperforming</v>
      </c>
      <c r="N342">
        <f>IF(Table4[[#This Row],[Performance_Ratio]] &lt; 0.85, Table4[[#This Row],[Performance_Deviation]] * 50 / 1000, 0)</f>
        <v>0</v>
      </c>
    </row>
    <row r="343" spans="1:14" x14ac:dyDescent="0.3">
      <c r="A343" s="6" t="s">
        <v>6</v>
      </c>
      <c r="B343" s="5">
        <v>45306.208333333336</v>
      </c>
      <c r="C343" s="6">
        <v>0</v>
      </c>
      <c r="D343" s="6">
        <v>0</v>
      </c>
      <c r="E343" s="6">
        <v>0</v>
      </c>
      <c r="F343" s="6">
        <v>80.588445645594305</v>
      </c>
      <c r="G343" s="6" t="str">
        <f t="shared" si="10"/>
        <v>OK</v>
      </c>
      <c r="H343" s="6" t="str">
        <f t="shared" si="11"/>
        <v>ZERO</v>
      </c>
      <c r="I343">
        <v>0</v>
      </c>
      <c r="J343">
        <f>IFERROR(Table4[[#This Row],[energy_kwh]]/Table4[[#This Row],[expected_kwh]],0)</f>
        <v>0</v>
      </c>
      <c r="K343" t="str">
        <f>IF(Table4[[#This Row],[Performance_Ratio]] &lt; 0.85, "Underperforming", "Performing")</f>
        <v>Underperforming</v>
      </c>
      <c r="L343">
        <f>Table4[[#This Row],[energy_kwh]] - Table4[[#This Row],[expected_kwh]]</f>
        <v>0</v>
      </c>
      <c r="M343" t="str">
        <f>IF(Table4[[#This Row],[Performance_Deviation]] &lt; 0, "Underperforming", "Outperforming")</f>
        <v>Outperforming</v>
      </c>
      <c r="N343">
        <f>IF(Table4[[#This Row],[Performance_Ratio]] &lt; 0.85, Table4[[#This Row],[Performance_Deviation]] * 50 / 1000, 0)</f>
        <v>0</v>
      </c>
    </row>
    <row r="344" spans="1:14" x14ac:dyDescent="0.3">
      <c r="A344" s="4" t="s">
        <v>6</v>
      </c>
      <c r="B344" s="3">
        <v>45306.25</v>
      </c>
      <c r="C344" s="4">
        <v>0</v>
      </c>
      <c r="D344" s="4">
        <v>0</v>
      </c>
      <c r="E344" s="4">
        <v>0</v>
      </c>
      <c r="F344" s="4">
        <v>29.015679152795599</v>
      </c>
      <c r="G344" s="4" t="str">
        <f t="shared" si="10"/>
        <v>OK</v>
      </c>
      <c r="H344" s="4" t="str">
        <f t="shared" si="11"/>
        <v>ZERO</v>
      </c>
      <c r="I344">
        <v>0</v>
      </c>
      <c r="J344">
        <f>IFERROR(Table4[[#This Row],[energy_kwh]]/Table4[[#This Row],[expected_kwh]],0)</f>
        <v>0</v>
      </c>
      <c r="K344" t="str">
        <f>IF(Table4[[#This Row],[Performance_Ratio]] &lt; 0.85, "Underperforming", "Performing")</f>
        <v>Underperforming</v>
      </c>
      <c r="L344">
        <f>Table4[[#This Row],[energy_kwh]] - Table4[[#This Row],[expected_kwh]]</f>
        <v>0</v>
      </c>
      <c r="M344" t="str">
        <f>IF(Table4[[#This Row],[Performance_Deviation]] &lt; 0, "Underperforming", "Outperforming")</f>
        <v>Outperforming</v>
      </c>
      <c r="N344">
        <f>IF(Table4[[#This Row],[Performance_Ratio]] &lt; 0.85, Table4[[#This Row],[Performance_Deviation]] * 50 / 1000, 0)</f>
        <v>0</v>
      </c>
    </row>
    <row r="345" spans="1:14" x14ac:dyDescent="0.3">
      <c r="A345" s="6" t="s">
        <v>6</v>
      </c>
      <c r="B345" s="5">
        <v>45306.291666666664</v>
      </c>
      <c r="C345" s="6">
        <v>102.955916302151</v>
      </c>
      <c r="D345" s="6">
        <v>98.321006169136695</v>
      </c>
      <c r="E345" s="6">
        <v>98.321006169136695</v>
      </c>
      <c r="F345" s="6">
        <v>44.343937242520198</v>
      </c>
      <c r="G345" s="6" t="str">
        <f t="shared" si="10"/>
        <v>OK</v>
      </c>
      <c r="H345" s="6" t="str">
        <f t="shared" si="11"/>
        <v>NON-ZERO</v>
      </c>
      <c r="I345">
        <v>103.527618041008</v>
      </c>
      <c r="J345">
        <f>IFERROR(Table4[[#This Row],[energy_kwh]]/Table4[[#This Row],[expected_kwh]],0)</f>
        <v>0.94970799125496219</v>
      </c>
      <c r="K345" t="str">
        <f>IF(Table4[[#This Row],[Performance_Ratio]] &lt; 0.85, "Underperforming", "Performing")</f>
        <v>Performing</v>
      </c>
      <c r="L345">
        <f>Table4[[#This Row],[energy_kwh]] - Table4[[#This Row],[expected_kwh]]</f>
        <v>-5.2066118718713028</v>
      </c>
      <c r="M345" t="str">
        <f>IF(Table4[[#This Row],[Performance_Deviation]] &lt; 0, "Underperforming", "Outperforming")</f>
        <v>Underperforming</v>
      </c>
      <c r="N345">
        <f>IF(Table4[[#This Row],[Performance_Ratio]] &lt; 0.85, Table4[[#This Row],[Performance_Deviation]] * 50 / 1000, 0)</f>
        <v>0</v>
      </c>
    </row>
    <row r="346" spans="1:14" x14ac:dyDescent="0.3">
      <c r="A346" s="4" t="s">
        <v>6</v>
      </c>
      <c r="B346" s="3">
        <v>45306.333333333336</v>
      </c>
      <c r="C346" s="4">
        <v>172.10768383189</v>
      </c>
      <c r="D346" s="4">
        <v>164.359672096254</v>
      </c>
      <c r="E346" s="4">
        <v>164.359672096254</v>
      </c>
      <c r="F346" s="4">
        <v>53.6520216966898</v>
      </c>
      <c r="G346" s="4" t="str">
        <f t="shared" si="10"/>
        <v>OK</v>
      </c>
      <c r="H346" s="4" t="str">
        <f t="shared" si="11"/>
        <v>NON-ZERO</v>
      </c>
      <c r="I346">
        <v>199.99999999999901</v>
      </c>
      <c r="J346">
        <f>IFERROR(Table4[[#This Row],[energy_kwh]]/Table4[[#This Row],[expected_kwh]],0)</f>
        <v>0.82179836048127408</v>
      </c>
      <c r="K346" t="str">
        <f>IF(Table4[[#This Row],[Performance_Ratio]] &lt; 0.85, "Underperforming", "Performing")</f>
        <v>Underperforming</v>
      </c>
      <c r="L346">
        <f>Table4[[#This Row],[energy_kwh]] - Table4[[#This Row],[expected_kwh]]</f>
        <v>-35.640327903745003</v>
      </c>
      <c r="M346" t="str">
        <f>IF(Table4[[#This Row],[Performance_Deviation]] &lt; 0, "Underperforming", "Outperforming")</f>
        <v>Underperforming</v>
      </c>
      <c r="N346">
        <f>IF(Table4[[#This Row],[Performance_Ratio]] &lt; 0.85, Table4[[#This Row],[Performance_Deviation]] * 50 / 1000, 0)</f>
        <v>-1.7820163951872501</v>
      </c>
    </row>
    <row r="347" spans="1:14" x14ac:dyDescent="0.3">
      <c r="A347" s="6" t="s">
        <v>6</v>
      </c>
      <c r="B347" s="5">
        <v>45306.375</v>
      </c>
      <c r="C347" s="6">
        <v>236.15617106875499</v>
      </c>
      <c r="D347" s="6">
        <v>225.52479921977499</v>
      </c>
      <c r="E347" s="6">
        <v>225.52479921977499</v>
      </c>
      <c r="F347" s="6">
        <v>37.045222044736299</v>
      </c>
      <c r="G347" s="6" t="str">
        <f t="shared" si="10"/>
        <v>OK</v>
      </c>
      <c r="H347" s="6" t="str">
        <f t="shared" si="11"/>
        <v>NON-ZERO</v>
      </c>
      <c r="I347">
        <v>282.84271247461902</v>
      </c>
      <c r="J347">
        <f>IFERROR(Table4[[#This Row],[energy_kwh]]/Table4[[#This Row],[expected_kwh]],0)</f>
        <v>0.79735057427018752</v>
      </c>
      <c r="K347" t="str">
        <f>IF(Table4[[#This Row],[Performance_Ratio]] &lt; 0.85, "Underperforming", "Performing")</f>
        <v>Underperforming</v>
      </c>
      <c r="L347">
        <f>Table4[[#This Row],[energy_kwh]] - Table4[[#This Row],[expected_kwh]]</f>
        <v>-57.317913254844029</v>
      </c>
      <c r="M347" t="str">
        <f>IF(Table4[[#This Row],[Performance_Deviation]] &lt; 0, "Underperforming", "Outperforming")</f>
        <v>Underperforming</v>
      </c>
      <c r="N347">
        <f>IF(Table4[[#This Row],[Performance_Ratio]] &lt; 0.85, Table4[[#This Row],[Performance_Deviation]] * 50 / 1000, 0)</f>
        <v>-2.8658956627422012</v>
      </c>
    </row>
    <row r="348" spans="1:14" x14ac:dyDescent="0.3">
      <c r="A348" s="4" t="s">
        <v>6</v>
      </c>
      <c r="B348" s="3">
        <v>45306.416666666664</v>
      </c>
      <c r="C348" s="4">
        <v>333.20450921924498</v>
      </c>
      <c r="D348" s="4">
        <v>318.20417692542799</v>
      </c>
      <c r="E348" s="4">
        <v>318.20417692542799</v>
      </c>
      <c r="F348" s="4">
        <v>54.762053285042903</v>
      </c>
      <c r="G348" s="4" t="str">
        <f t="shared" si="10"/>
        <v>OK</v>
      </c>
      <c r="H348" s="4" t="str">
        <f t="shared" si="11"/>
        <v>NON-ZERO</v>
      </c>
      <c r="I348">
        <v>346.41016151377499</v>
      </c>
      <c r="J348">
        <f>IFERROR(Table4[[#This Row],[energy_kwh]]/Table4[[#This Row],[expected_kwh]],0)</f>
        <v>0.91857633602579702</v>
      </c>
      <c r="K348" t="str">
        <f>IF(Table4[[#This Row],[Performance_Ratio]] &lt; 0.85, "Underperforming", "Performing")</f>
        <v>Performing</v>
      </c>
      <c r="L348">
        <f>Table4[[#This Row],[energy_kwh]] - Table4[[#This Row],[expected_kwh]]</f>
        <v>-28.205984588347008</v>
      </c>
      <c r="M348" t="str">
        <f>IF(Table4[[#This Row],[Performance_Deviation]] &lt; 0, "Underperforming", "Outperforming")</f>
        <v>Underperforming</v>
      </c>
      <c r="N348">
        <f>IF(Table4[[#This Row],[Performance_Ratio]] &lt; 0.85, Table4[[#This Row],[Performance_Deviation]] * 50 / 1000, 0)</f>
        <v>0</v>
      </c>
    </row>
    <row r="349" spans="1:14" x14ac:dyDescent="0.3">
      <c r="A349" s="6" t="s">
        <v>6</v>
      </c>
      <c r="B349" s="5">
        <v>45306.458333333336</v>
      </c>
      <c r="C349" s="6">
        <v>348.11653389678401</v>
      </c>
      <c r="D349" s="6">
        <v>332.44488618211398</v>
      </c>
      <c r="E349" s="6">
        <v>332.44488618211398</v>
      </c>
      <c r="F349" s="6">
        <v>58.931133885216298</v>
      </c>
      <c r="G349" s="6" t="str">
        <f t="shared" si="10"/>
        <v>OK</v>
      </c>
      <c r="H349" s="6" t="str">
        <f t="shared" si="11"/>
        <v>NON-ZERO</v>
      </c>
      <c r="I349">
        <v>386.37033051562702</v>
      </c>
      <c r="J349">
        <f>IFERROR(Table4[[#This Row],[energy_kwh]]/Table4[[#This Row],[expected_kwh]],0)</f>
        <v>0.86043067990871003</v>
      </c>
      <c r="K349" t="str">
        <f>IF(Table4[[#This Row],[Performance_Ratio]] &lt; 0.85, "Underperforming", "Performing")</f>
        <v>Performing</v>
      </c>
      <c r="L349">
        <f>Table4[[#This Row],[energy_kwh]] - Table4[[#This Row],[expected_kwh]]</f>
        <v>-53.925444333513042</v>
      </c>
      <c r="M349" t="str">
        <f>IF(Table4[[#This Row],[Performance_Deviation]] &lt; 0, "Underperforming", "Outperforming")</f>
        <v>Underperforming</v>
      </c>
      <c r="N349">
        <f>IF(Table4[[#This Row],[Performance_Ratio]] &lt; 0.85, Table4[[#This Row],[Performance_Deviation]] * 50 / 1000, 0)</f>
        <v>0</v>
      </c>
    </row>
    <row r="350" spans="1:14" x14ac:dyDescent="0.3">
      <c r="A350" s="4" t="s">
        <v>6</v>
      </c>
      <c r="B350" s="3">
        <v>45306.5</v>
      </c>
      <c r="C350" s="4">
        <v>367.28116029570799</v>
      </c>
      <c r="D350" s="4">
        <v>350.746751855068</v>
      </c>
      <c r="E350" s="4">
        <v>350.746751855068</v>
      </c>
      <c r="F350" s="4">
        <v>49.911708567267503</v>
      </c>
      <c r="G350" s="4" t="str">
        <f t="shared" si="10"/>
        <v>OK</v>
      </c>
      <c r="H350" s="4" t="str">
        <f t="shared" si="11"/>
        <v>NON-ZERO</v>
      </c>
      <c r="I350">
        <v>400</v>
      </c>
      <c r="J350">
        <f>IFERROR(Table4[[#This Row],[energy_kwh]]/Table4[[#This Row],[expected_kwh]],0)</f>
        <v>0.87686687963766996</v>
      </c>
      <c r="K350" t="str">
        <f>IF(Table4[[#This Row],[Performance_Ratio]] &lt; 0.85, "Underperforming", "Performing")</f>
        <v>Performing</v>
      </c>
      <c r="L350">
        <f>Table4[[#This Row],[energy_kwh]] - Table4[[#This Row],[expected_kwh]]</f>
        <v>-49.253248144932002</v>
      </c>
      <c r="M350" t="str">
        <f>IF(Table4[[#This Row],[Performance_Deviation]] &lt; 0, "Underperforming", "Outperforming")</f>
        <v>Underperforming</v>
      </c>
      <c r="N350">
        <f>IF(Table4[[#This Row],[Performance_Ratio]] &lt; 0.85, Table4[[#This Row],[Performance_Deviation]] * 50 / 1000, 0)</f>
        <v>0</v>
      </c>
    </row>
    <row r="351" spans="1:14" x14ac:dyDescent="0.3">
      <c r="A351" s="6" t="s">
        <v>6</v>
      </c>
      <c r="B351" s="5">
        <v>45306.541666666664</v>
      </c>
      <c r="C351" s="6">
        <v>366.51264282234001</v>
      </c>
      <c r="D351" s="6">
        <v>350.01283180506903</v>
      </c>
      <c r="E351" s="6">
        <v>350.01283180506903</v>
      </c>
      <c r="F351" s="6">
        <v>65.592881959508304</v>
      </c>
      <c r="G351" s="6" t="str">
        <f t="shared" si="10"/>
        <v>OK</v>
      </c>
      <c r="H351" s="6" t="str">
        <f t="shared" si="11"/>
        <v>NON-ZERO</v>
      </c>
      <c r="I351">
        <v>386.37033051562702</v>
      </c>
      <c r="J351">
        <f>IFERROR(Table4[[#This Row],[energy_kwh]]/Table4[[#This Row],[expected_kwh]],0)</f>
        <v>0.90589986901417241</v>
      </c>
      <c r="K351" t="str">
        <f>IF(Table4[[#This Row],[Performance_Ratio]] &lt; 0.85, "Underperforming", "Performing")</f>
        <v>Performing</v>
      </c>
      <c r="L351">
        <f>Table4[[#This Row],[energy_kwh]] - Table4[[#This Row],[expected_kwh]]</f>
        <v>-36.357498710557991</v>
      </c>
      <c r="M351" t="str">
        <f>IF(Table4[[#This Row],[Performance_Deviation]] &lt; 0, "Underperforming", "Outperforming")</f>
        <v>Underperforming</v>
      </c>
      <c r="N351">
        <f>IF(Table4[[#This Row],[Performance_Ratio]] &lt; 0.85, Table4[[#This Row],[Performance_Deviation]] * 50 / 1000, 0)</f>
        <v>0</v>
      </c>
    </row>
    <row r="352" spans="1:14" x14ac:dyDescent="0.3">
      <c r="A352" s="4" t="s">
        <v>6</v>
      </c>
      <c r="B352" s="3">
        <v>45306.583333333336</v>
      </c>
      <c r="C352" s="4">
        <v>345.57812424212102</v>
      </c>
      <c r="D352" s="4">
        <v>330.02075165658101</v>
      </c>
      <c r="E352" s="4">
        <v>330.02075165658101</v>
      </c>
      <c r="F352" s="4">
        <v>21.367443700727101</v>
      </c>
      <c r="G352" s="4" t="str">
        <f t="shared" si="10"/>
        <v>OK</v>
      </c>
      <c r="H352" s="4" t="str">
        <f t="shared" si="11"/>
        <v>NON-ZERO</v>
      </c>
      <c r="I352">
        <v>346.41016151377499</v>
      </c>
      <c r="J352">
        <f>IFERROR(Table4[[#This Row],[energy_kwh]]/Table4[[#This Row],[expected_kwh]],0)</f>
        <v>0.95268784903544967</v>
      </c>
      <c r="K352" t="str">
        <f>IF(Table4[[#This Row],[Performance_Ratio]] &lt; 0.85, "Underperforming", "Performing")</f>
        <v>Performing</v>
      </c>
      <c r="L352">
        <f>Table4[[#This Row],[energy_kwh]] - Table4[[#This Row],[expected_kwh]]</f>
        <v>-16.389409857193982</v>
      </c>
      <c r="M352" t="str">
        <f>IF(Table4[[#This Row],[Performance_Deviation]] &lt; 0, "Underperforming", "Outperforming")</f>
        <v>Underperforming</v>
      </c>
      <c r="N352">
        <f>IF(Table4[[#This Row],[Performance_Ratio]] &lt; 0.85, Table4[[#This Row],[Performance_Deviation]] * 50 / 1000, 0)</f>
        <v>0</v>
      </c>
    </row>
    <row r="353" spans="1:14" x14ac:dyDescent="0.3">
      <c r="A353" s="6" t="s">
        <v>6</v>
      </c>
      <c r="B353" s="5">
        <v>45306.625</v>
      </c>
      <c r="C353" s="6">
        <v>280.09427517096702</v>
      </c>
      <c r="D353" s="6">
        <v>267.48488038514898</v>
      </c>
      <c r="E353" s="6">
        <v>267.48488038514898</v>
      </c>
      <c r="F353" s="6">
        <v>68.560603561595201</v>
      </c>
      <c r="G353" s="6" t="str">
        <f t="shared" si="10"/>
        <v>OK</v>
      </c>
      <c r="H353" s="6" t="str">
        <f t="shared" si="11"/>
        <v>NON-ZERO</v>
      </c>
      <c r="I353">
        <v>282.84271247461902</v>
      </c>
      <c r="J353">
        <f>IFERROR(Table4[[#This Row],[energy_kwh]]/Table4[[#This Row],[expected_kwh]],0)</f>
        <v>0.94570186392605682</v>
      </c>
      <c r="K353" t="str">
        <f>IF(Table4[[#This Row],[Performance_Ratio]] &lt; 0.85, "Underperforming", "Performing")</f>
        <v>Performing</v>
      </c>
      <c r="L353">
        <f>Table4[[#This Row],[energy_kwh]] - Table4[[#This Row],[expected_kwh]]</f>
        <v>-15.357832089470037</v>
      </c>
      <c r="M353" t="str">
        <f>IF(Table4[[#This Row],[Performance_Deviation]] &lt; 0, "Underperforming", "Outperforming")</f>
        <v>Underperforming</v>
      </c>
      <c r="N353">
        <f>IF(Table4[[#This Row],[Performance_Ratio]] &lt; 0.85, Table4[[#This Row],[Performance_Deviation]] * 50 / 1000, 0)</f>
        <v>0</v>
      </c>
    </row>
    <row r="354" spans="1:14" x14ac:dyDescent="0.3">
      <c r="A354" s="4" t="s">
        <v>6</v>
      </c>
      <c r="B354" s="3">
        <v>45306.666666666664</v>
      </c>
      <c r="C354" s="4">
        <v>186.46240036798599</v>
      </c>
      <c r="D354" s="4">
        <v>178.068162329682</v>
      </c>
      <c r="E354" s="4">
        <v>178.068162329682</v>
      </c>
      <c r="F354" s="4">
        <v>90.082702010413499</v>
      </c>
      <c r="G354" s="4" t="str">
        <f t="shared" si="10"/>
        <v>OK</v>
      </c>
      <c r="H354" s="4" t="str">
        <f t="shared" si="11"/>
        <v>NON-ZERO</v>
      </c>
      <c r="I354">
        <v>199.99999999999901</v>
      </c>
      <c r="J354">
        <f>IFERROR(Table4[[#This Row],[energy_kwh]]/Table4[[#This Row],[expected_kwh]],0)</f>
        <v>0.89034081164841439</v>
      </c>
      <c r="K354" t="str">
        <f>IF(Table4[[#This Row],[Performance_Ratio]] &lt; 0.85, "Underperforming", "Performing")</f>
        <v>Performing</v>
      </c>
      <c r="L354">
        <f>Table4[[#This Row],[energy_kwh]] - Table4[[#This Row],[expected_kwh]]</f>
        <v>-21.931837670317009</v>
      </c>
      <c r="M354" t="str">
        <f>IF(Table4[[#This Row],[Performance_Deviation]] &lt; 0, "Underperforming", "Outperforming")</f>
        <v>Underperforming</v>
      </c>
      <c r="N354">
        <f>IF(Table4[[#This Row],[Performance_Ratio]] &lt; 0.85, Table4[[#This Row],[Performance_Deviation]] * 50 / 1000, 0)</f>
        <v>0</v>
      </c>
    </row>
    <row r="355" spans="1:14" x14ac:dyDescent="0.3">
      <c r="A355" s="6" t="s">
        <v>6</v>
      </c>
      <c r="B355" s="5">
        <v>45306.708333333336</v>
      </c>
      <c r="C355" s="6">
        <v>101.192647559104</v>
      </c>
      <c r="D355" s="6">
        <v>96.637116955288505</v>
      </c>
      <c r="E355" s="6">
        <v>96.637116955288505</v>
      </c>
      <c r="F355" s="6">
        <v>56.440381938974397</v>
      </c>
      <c r="G355" s="6" t="str">
        <f t="shared" si="10"/>
        <v>OK</v>
      </c>
      <c r="H355" s="6" t="str">
        <f t="shared" si="11"/>
        <v>NON-ZERO</v>
      </c>
      <c r="I355">
        <v>103.527618041008</v>
      </c>
      <c r="J355">
        <f>IFERROR(Table4[[#This Row],[energy_kwh]]/Table4[[#This Row],[expected_kwh]],0)</f>
        <v>0.93344287045230656</v>
      </c>
      <c r="K355" t="str">
        <f>IF(Table4[[#This Row],[Performance_Ratio]] &lt; 0.85, "Underperforming", "Performing")</f>
        <v>Performing</v>
      </c>
      <c r="L355">
        <f>Table4[[#This Row],[energy_kwh]] - Table4[[#This Row],[expected_kwh]]</f>
        <v>-6.8905010857194924</v>
      </c>
      <c r="M355" t="str">
        <f>IF(Table4[[#This Row],[Performance_Deviation]] &lt; 0, "Underperforming", "Outperforming")</f>
        <v>Underperforming</v>
      </c>
      <c r="N355">
        <f>IF(Table4[[#This Row],[Performance_Ratio]] &lt; 0.85, Table4[[#This Row],[Performance_Deviation]] * 50 / 1000, 0)</f>
        <v>0</v>
      </c>
    </row>
    <row r="356" spans="1:14" x14ac:dyDescent="0.3">
      <c r="A356" s="4" t="s">
        <v>6</v>
      </c>
      <c r="B356" s="3">
        <v>45306.75</v>
      </c>
      <c r="C356" s="7">
        <v>4.3551375257394503E-14</v>
      </c>
      <c r="D356" s="7">
        <v>4.1590762232545698E-14</v>
      </c>
      <c r="E356" s="7">
        <v>4.1590762232545698E-14</v>
      </c>
      <c r="F356" s="4">
        <v>60.437095750643998</v>
      </c>
      <c r="G356" s="4" t="str">
        <f t="shared" si="10"/>
        <v>OK</v>
      </c>
      <c r="H356" s="4" t="str">
        <f t="shared" si="11"/>
        <v>NON-ZERO</v>
      </c>
      <c r="I356" s="2">
        <v>4.8985871965894097E-14</v>
      </c>
      <c r="J356">
        <f>IFERROR(Table4[[#This Row],[energy_kwh]]/Table4[[#This Row],[expected_kwh]],0)</f>
        <v>0.84903586612692805</v>
      </c>
      <c r="K356" t="str">
        <f>IF(Table4[[#This Row],[Performance_Ratio]] &lt; 0.85, "Underperforming", "Performing")</f>
        <v>Underperforming</v>
      </c>
      <c r="L356">
        <f>Table4[[#This Row],[energy_kwh]] - Table4[[#This Row],[expected_kwh]]</f>
        <v>-7.3951097333483994E-15</v>
      </c>
      <c r="M356" t="str">
        <f>IF(Table4[[#This Row],[Performance_Deviation]] &lt; 0, "Underperforming", "Outperforming")</f>
        <v>Underperforming</v>
      </c>
      <c r="N356">
        <f>IF(Table4[[#This Row],[Performance_Ratio]] &lt; 0.85, Table4[[#This Row],[Performance_Deviation]] * 50 / 1000, 0)</f>
        <v>-3.6975548666741992E-16</v>
      </c>
    </row>
    <row r="357" spans="1:14" x14ac:dyDescent="0.3">
      <c r="A357" s="6" t="s">
        <v>6</v>
      </c>
      <c r="B357" s="5">
        <v>45306.791666666664</v>
      </c>
      <c r="C357" s="6">
        <v>0</v>
      </c>
      <c r="D357" s="6">
        <v>0</v>
      </c>
      <c r="E357" s="6">
        <v>0</v>
      </c>
      <c r="F357" s="6">
        <v>73.711300566739496</v>
      </c>
      <c r="G357" s="6" t="str">
        <f t="shared" si="10"/>
        <v>OK</v>
      </c>
      <c r="H357" s="6" t="str">
        <f t="shared" si="11"/>
        <v>ZERO</v>
      </c>
      <c r="I357">
        <v>0</v>
      </c>
      <c r="J357">
        <f>IFERROR(Table4[[#This Row],[energy_kwh]]/Table4[[#This Row],[expected_kwh]],0)</f>
        <v>0</v>
      </c>
      <c r="K357" t="str">
        <f>IF(Table4[[#This Row],[Performance_Ratio]] &lt; 0.85, "Underperforming", "Performing")</f>
        <v>Underperforming</v>
      </c>
      <c r="L357">
        <f>Table4[[#This Row],[energy_kwh]] - Table4[[#This Row],[expected_kwh]]</f>
        <v>0</v>
      </c>
      <c r="M357" t="str">
        <f>IF(Table4[[#This Row],[Performance_Deviation]] &lt; 0, "Underperforming", "Outperforming")</f>
        <v>Outperforming</v>
      </c>
      <c r="N357">
        <f>IF(Table4[[#This Row],[Performance_Ratio]] &lt; 0.85, Table4[[#This Row],[Performance_Deviation]] * 50 / 1000, 0)</f>
        <v>0</v>
      </c>
    </row>
    <row r="358" spans="1:14" x14ac:dyDescent="0.3">
      <c r="A358" s="4" t="s">
        <v>6</v>
      </c>
      <c r="B358" s="3">
        <v>45306.833333333336</v>
      </c>
      <c r="C358" s="4">
        <v>0</v>
      </c>
      <c r="D358" s="4">
        <v>0</v>
      </c>
      <c r="E358" s="4">
        <v>0</v>
      </c>
      <c r="F358" s="4">
        <v>71.083839047373701</v>
      </c>
      <c r="G358" s="4" t="str">
        <f t="shared" si="10"/>
        <v>OK</v>
      </c>
      <c r="H358" s="4" t="str">
        <f t="shared" si="11"/>
        <v>ZERO</v>
      </c>
      <c r="I358">
        <v>0</v>
      </c>
      <c r="J358">
        <f>IFERROR(Table4[[#This Row],[energy_kwh]]/Table4[[#This Row],[expected_kwh]],0)</f>
        <v>0</v>
      </c>
      <c r="K358" t="str">
        <f>IF(Table4[[#This Row],[Performance_Ratio]] &lt; 0.85, "Underperforming", "Performing")</f>
        <v>Underperforming</v>
      </c>
      <c r="L358">
        <f>Table4[[#This Row],[energy_kwh]] - Table4[[#This Row],[expected_kwh]]</f>
        <v>0</v>
      </c>
      <c r="M358" t="str">
        <f>IF(Table4[[#This Row],[Performance_Deviation]] &lt; 0, "Underperforming", "Outperforming")</f>
        <v>Outperforming</v>
      </c>
      <c r="N358">
        <f>IF(Table4[[#This Row],[Performance_Ratio]] &lt; 0.85, Table4[[#This Row],[Performance_Deviation]] * 50 / 1000, 0)</f>
        <v>0</v>
      </c>
    </row>
    <row r="359" spans="1:14" x14ac:dyDescent="0.3">
      <c r="A359" s="6" t="s">
        <v>6</v>
      </c>
      <c r="B359" s="5">
        <v>45306.875</v>
      </c>
      <c r="C359" s="6">
        <v>0</v>
      </c>
      <c r="D359" s="6">
        <v>0</v>
      </c>
      <c r="E359" s="6">
        <v>0</v>
      </c>
      <c r="F359" s="6">
        <v>73.178469629182402</v>
      </c>
      <c r="G359" s="6" t="str">
        <f t="shared" si="10"/>
        <v>OK</v>
      </c>
      <c r="H359" s="6" t="str">
        <f t="shared" si="11"/>
        <v>ZERO</v>
      </c>
      <c r="I359">
        <v>0</v>
      </c>
      <c r="J359">
        <f>IFERROR(Table4[[#This Row],[energy_kwh]]/Table4[[#This Row],[expected_kwh]],0)</f>
        <v>0</v>
      </c>
      <c r="K359" t="str">
        <f>IF(Table4[[#This Row],[Performance_Ratio]] &lt; 0.85, "Underperforming", "Performing")</f>
        <v>Underperforming</v>
      </c>
      <c r="L359">
        <f>Table4[[#This Row],[energy_kwh]] - Table4[[#This Row],[expected_kwh]]</f>
        <v>0</v>
      </c>
      <c r="M359" t="str">
        <f>IF(Table4[[#This Row],[Performance_Deviation]] &lt; 0, "Underperforming", "Outperforming")</f>
        <v>Outperforming</v>
      </c>
      <c r="N359">
        <f>IF(Table4[[#This Row],[Performance_Ratio]] &lt; 0.85, Table4[[#This Row],[Performance_Deviation]] * 50 / 1000, 0)</f>
        <v>0</v>
      </c>
    </row>
    <row r="360" spans="1:14" x14ac:dyDescent="0.3">
      <c r="A360" s="4" t="s">
        <v>6</v>
      </c>
      <c r="B360" s="3">
        <v>45306.916666666664</v>
      </c>
      <c r="C360" s="4">
        <v>0</v>
      </c>
      <c r="D360" s="4">
        <v>0</v>
      </c>
      <c r="E360" s="4">
        <v>0</v>
      </c>
      <c r="F360" s="4">
        <v>56.265923503994301</v>
      </c>
      <c r="G360" s="4" t="str">
        <f t="shared" si="10"/>
        <v>OK</v>
      </c>
      <c r="H360" s="4" t="str">
        <f t="shared" si="11"/>
        <v>ZERO</v>
      </c>
      <c r="I360">
        <v>0</v>
      </c>
      <c r="J360">
        <f>IFERROR(Table4[[#This Row],[energy_kwh]]/Table4[[#This Row],[expected_kwh]],0)</f>
        <v>0</v>
      </c>
      <c r="K360" t="str">
        <f>IF(Table4[[#This Row],[Performance_Ratio]] &lt; 0.85, "Underperforming", "Performing")</f>
        <v>Underperforming</v>
      </c>
      <c r="L360">
        <f>Table4[[#This Row],[energy_kwh]] - Table4[[#This Row],[expected_kwh]]</f>
        <v>0</v>
      </c>
      <c r="M360" t="str">
        <f>IF(Table4[[#This Row],[Performance_Deviation]] &lt; 0, "Underperforming", "Outperforming")</f>
        <v>Outperforming</v>
      </c>
      <c r="N360">
        <f>IF(Table4[[#This Row],[Performance_Ratio]] &lt; 0.85, Table4[[#This Row],[Performance_Deviation]] * 50 / 1000, 0)</f>
        <v>0</v>
      </c>
    </row>
    <row r="361" spans="1:14" x14ac:dyDescent="0.3">
      <c r="A361" s="6" t="s">
        <v>6</v>
      </c>
      <c r="B361" s="5">
        <v>45306.958333333336</v>
      </c>
      <c r="C361" s="6">
        <v>0</v>
      </c>
      <c r="D361" s="6">
        <v>0</v>
      </c>
      <c r="E361" s="6">
        <v>0</v>
      </c>
      <c r="F361" s="6">
        <v>23.255939964111398</v>
      </c>
      <c r="G361" s="6" t="str">
        <f t="shared" si="10"/>
        <v>OK</v>
      </c>
      <c r="H361" s="6" t="str">
        <f t="shared" si="11"/>
        <v>ZERO</v>
      </c>
      <c r="I361">
        <v>0</v>
      </c>
      <c r="J361">
        <f>IFERROR(Table4[[#This Row],[energy_kwh]]/Table4[[#This Row],[expected_kwh]],0)</f>
        <v>0</v>
      </c>
      <c r="K361" t="str">
        <f>IF(Table4[[#This Row],[Performance_Ratio]] &lt; 0.85, "Underperforming", "Performing")</f>
        <v>Underperforming</v>
      </c>
      <c r="L361">
        <f>Table4[[#This Row],[energy_kwh]] - Table4[[#This Row],[expected_kwh]]</f>
        <v>0</v>
      </c>
      <c r="M361" t="str">
        <f>IF(Table4[[#This Row],[Performance_Deviation]] &lt; 0, "Underperforming", "Outperforming")</f>
        <v>Outperforming</v>
      </c>
      <c r="N361">
        <f>IF(Table4[[#This Row],[Performance_Ratio]] &lt; 0.85, Table4[[#This Row],[Performance_Deviation]] * 50 / 1000, 0)</f>
        <v>0</v>
      </c>
    </row>
    <row r="362" spans="1:14" x14ac:dyDescent="0.3">
      <c r="A362" s="4" t="s">
        <v>6</v>
      </c>
      <c r="B362" s="3">
        <v>45307</v>
      </c>
      <c r="C362" s="4">
        <v>0</v>
      </c>
      <c r="D362" s="4">
        <v>0</v>
      </c>
      <c r="E362" s="4">
        <v>0</v>
      </c>
      <c r="F362" s="4">
        <v>86.315484751130498</v>
      </c>
      <c r="G362" s="4" t="str">
        <f t="shared" si="10"/>
        <v>OK</v>
      </c>
      <c r="H362" s="4" t="str">
        <f t="shared" si="11"/>
        <v>ZERO</v>
      </c>
      <c r="I362">
        <v>0</v>
      </c>
      <c r="J362">
        <f>IFERROR(Table4[[#This Row],[energy_kwh]]/Table4[[#This Row],[expected_kwh]],0)</f>
        <v>0</v>
      </c>
      <c r="K362" t="str">
        <f>IF(Table4[[#This Row],[Performance_Ratio]] &lt; 0.85, "Underperforming", "Performing")</f>
        <v>Underperforming</v>
      </c>
      <c r="L362">
        <f>Table4[[#This Row],[energy_kwh]] - Table4[[#This Row],[expected_kwh]]</f>
        <v>0</v>
      </c>
      <c r="M362" t="str">
        <f>IF(Table4[[#This Row],[Performance_Deviation]] &lt; 0, "Underperforming", "Outperforming")</f>
        <v>Outperforming</v>
      </c>
      <c r="N362">
        <f>IF(Table4[[#This Row],[Performance_Ratio]] &lt; 0.85, Table4[[#This Row],[Performance_Deviation]] * 50 / 1000, 0)</f>
        <v>0</v>
      </c>
    </row>
    <row r="363" spans="1:14" x14ac:dyDescent="0.3">
      <c r="A363" s="6" t="s">
        <v>6</v>
      </c>
      <c r="B363" s="5">
        <v>45307.041666666664</v>
      </c>
      <c r="C363" s="6">
        <v>0</v>
      </c>
      <c r="D363" s="6">
        <v>0</v>
      </c>
      <c r="E363" s="6">
        <v>0</v>
      </c>
      <c r="F363" s="6">
        <v>65.823574163824304</v>
      </c>
      <c r="G363" s="6" t="str">
        <f t="shared" si="10"/>
        <v>OK</v>
      </c>
      <c r="H363" s="6" t="str">
        <f t="shared" si="11"/>
        <v>ZERO</v>
      </c>
      <c r="I363">
        <v>0</v>
      </c>
      <c r="J363">
        <f>IFERROR(Table4[[#This Row],[energy_kwh]]/Table4[[#This Row],[expected_kwh]],0)</f>
        <v>0</v>
      </c>
      <c r="K363" t="str">
        <f>IF(Table4[[#This Row],[Performance_Ratio]] &lt; 0.85, "Underperforming", "Performing")</f>
        <v>Underperforming</v>
      </c>
      <c r="L363">
        <f>Table4[[#This Row],[energy_kwh]] - Table4[[#This Row],[expected_kwh]]</f>
        <v>0</v>
      </c>
      <c r="M363" t="str">
        <f>IF(Table4[[#This Row],[Performance_Deviation]] &lt; 0, "Underperforming", "Outperforming")</f>
        <v>Outperforming</v>
      </c>
      <c r="N363">
        <f>IF(Table4[[#This Row],[Performance_Ratio]] &lt; 0.85, Table4[[#This Row],[Performance_Deviation]] * 50 / 1000, 0)</f>
        <v>0</v>
      </c>
    </row>
    <row r="364" spans="1:14" x14ac:dyDescent="0.3">
      <c r="A364" s="4" t="s">
        <v>6</v>
      </c>
      <c r="B364" s="3">
        <v>45307.083333333336</v>
      </c>
      <c r="C364" s="4">
        <v>0</v>
      </c>
      <c r="D364" s="4">
        <v>0</v>
      </c>
      <c r="E364" s="4">
        <v>0</v>
      </c>
      <c r="F364" s="4">
        <v>37.765291923086103</v>
      </c>
      <c r="G364" s="4" t="str">
        <f t="shared" si="10"/>
        <v>OK</v>
      </c>
      <c r="H364" s="4" t="str">
        <f t="shared" si="11"/>
        <v>ZERO</v>
      </c>
      <c r="I364">
        <v>0</v>
      </c>
      <c r="J364">
        <f>IFERROR(Table4[[#This Row],[energy_kwh]]/Table4[[#This Row],[expected_kwh]],0)</f>
        <v>0</v>
      </c>
      <c r="K364" t="str">
        <f>IF(Table4[[#This Row],[Performance_Ratio]] &lt; 0.85, "Underperforming", "Performing")</f>
        <v>Underperforming</v>
      </c>
      <c r="L364">
        <f>Table4[[#This Row],[energy_kwh]] - Table4[[#This Row],[expected_kwh]]</f>
        <v>0</v>
      </c>
      <c r="M364" t="str">
        <f>IF(Table4[[#This Row],[Performance_Deviation]] &lt; 0, "Underperforming", "Outperforming")</f>
        <v>Outperforming</v>
      </c>
      <c r="N364">
        <f>IF(Table4[[#This Row],[Performance_Ratio]] &lt; 0.85, Table4[[#This Row],[Performance_Deviation]] * 50 / 1000, 0)</f>
        <v>0</v>
      </c>
    </row>
    <row r="365" spans="1:14" x14ac:dyDescent="0.3">
      <c r="A365" s="6" t="s">
        <v>6</v>
      </c>
      <c r="B365" s="5">
        <v>45307.125</v>
      </c>
      <c r="C365" s="6">
        <v>0</v>
      </c>
      <c r="D365" s="6">
        <v>0</v>
      </c>
      <c r="E365" s="6">
        <v>0</v>
      </c>
      <c r="F365" s="6">
        <v>81.696073888525802</v>
      </c>
      <c r="G365" s="6" t="str">
        <f t="shared" si="10"/>
        <v>OK</v>
      </c>
      <c r="H365" s="6" t="str">
        <f t="shared" si="11"/>
        <v>ZERO</v>
      </c>
      <c r="I365">
        <v>0</v>
      </c>
      <c r="J365">
        <f>IFERROR(Table4[[#This Row],[energy_kwh]]/Table4[[#This Row],[expected_kwh]],0)</f>
        <v>0</v>
      </c>
      <c r="K365" t="str">
        <f>IF(Table4[[#This Row],[Performance_Ratio]] &lt; 0.85, "Underperforming", "Performing")</f>
        <v>Underperforming</v>
      </c>
      <c r="L365">
        <f>Table4[[#This Row],[energy_kwh]] - Table4[[#This Row],[expected_kwh]]</f>
        <v>0</v>
      </c>
      <c r="M365" t="str">
        <f>IF(Table4[[#This Row],[Performance_Deviation]] &lt; 0, "Underperforming", "Outperforming")</f>
        <v>Outperforming</v>
      </c>
      <c r="N365">
        <f>IF(Table4[[#This Row],[Performance_Ratio]] &lt; 0.85, Table4[[#This Row],[Performance_Deviation]] * 50 / 1000, 0)</f>
        <v>0</v>
      </c>
    </row>
    <row r="366" spans="1:14" x14ac:dyDescent="0.3">
      <c r="A366" s="4" t="s">
        <v>6</v>
      </c>
      <c r="B366" s="3">
        <v>45307.166666666664</v>
      </c>
      <c r="C366" s="4">
        <v>0</v>
      </c>
      <c r="D366" s="4">
        <v>0</v>
      </c>
      <c r="E366" s="4">
        <v>0</v>
      </c>
      <c r="F366" s="4">
        <v>53.8825759052921</v>
      </c>
      <c r="G366" s="4" t="str">
        <f t="shared" si="10"/>
        <v>OK</v>
      </c>
      <c r="H366" s="4" t="str">
        <f t="shared" si="11"/>
        <v>ZERO</v>
      </c>
      <c r="I366">
        <v>0</v>
      </c>
      <c r="J366">
        <f>IFERROR(Table4[[#This Row],[energy_kwh]]/Table4[[#This Row],[expected_kwh]],0)</f>
        <v>0</v>
      </c>
      <c r="K366" t="str">
        <f>IF(Table4[[#This Row],[Performance_Ratio]] &lt; 0.85, "Underperforming", "Performing")</f>
        <v>Underperforming</v>
      </c>
      <c r="L366">
        <f>Table4[[#This Row],[energy_kwh]] - Table4[[#This Row],[expected_kwh]]</f>
        <v>0</v>
      </c>
      <c r="M366" t="str">
        <f>IF(Table4[[#This Row],[Performance_Deviation]] &lt; 0, "Underperforming", "Outperforming")</f>
        <v>Outperforming</v>
      </c>
      <c r="N366">
        <f>IF(Table4[[#This Row],[Performance_Ratio]] &lt; 0.85, Table4[[#This Row],[Performance_Deviation]] * 50 / 1000, 0)</f>
        <v>0</v>
      </c>
    </row>
    <row r="367" spans="1:14" x14ac:dyDescent="0.3">
      <c r="A367" s="6" t="s">
        <v>6</v>
      </c>
      <c r="B367" s="5">
        <v>45307.208333333336</v>
      </c>
      <c r="C367" s="6">
        <v>0</v>
      </c>
      <c r="D367" s="6">
        <v>0</v>
      </c>
      <c r="E367" s="6">
        <v>0</v>
      </c>
      <c r="F367" s="6">
        <v>75.265530870813606</v>
      </c>
      <c r="G367" s="6" t="str">
        <f t="shared" si="10"/>
        <v>OK</v>
      </c>
      <c r="H367" s="6" t="str">
        <f t="shared" si="11"/>
        <v>ZERO</v>
      </c>
      <c r="I367">
        <v>0</v>
      </c>
      <c r="J367">
        <f>IFERROR(Table4[[#This Row],[energy_kwh]]/Table4[[#This Row],[expected_kwh]],0)</f>
        <v>0</v>
      </c>
      <c r="K367" t="str">
        <f>IF(Table4[[#This Row],[Performance_Ratio]] &lt; 0.85, "Underperforming", "Performing")</f>
        <v>Underperforming</v>
      </c>
      <c r="L367">
        <f>Table4[[#This Row],[energy_kwh]] - Table4[[#This Row],[expected_kwh]]</f>
        <v>0</v>
      </c>
      <c r="M367" t="str">
        <f>IF(Table4[[#This Row],[Performance_Deviation]] &lt; 0, "Underperforming", "Outperforming")</f>
        <v>Outperforming</v>
      </c>
      <c r="N367">
        <f>IF(Table4[[#This Row],[Performance_Ratio]] &lt; 0.85, Table4[[#This Row],[Performance_Deviation]] * 50 / 1000, 0)</f>
        <v>0</v>
      </c>
    </row>
    <row r="368" spans="1:14" x14ac:dyDescent="0.3">
      <c r="A368" s="4" t="s">
        <v>6</v>
      </c>
      <c r="B368" s="3">
        <v>45307.25</v>
      </c>
      <c r="C368" s="4">
        <v>0</v>
      </c>
      <c r="D368" s="4">
        <v>0</v>
      </c>
      <c r="E368" s="4">
        <v>0</v>
      </c>
      <c r="F368" s="4">
        <v>68.147862533244904</v>
      </c>
      <c r="G368" s="4" t="str">
        <f t="shared" si="10"/>
        <v>OK</v>
      </c>
      <c r="H368" s="4" t="str">
        <f t="shared" si="11"/>
        <v>ZERO</v>
      </c>
      <c r="I368">
        <v>0</v>
      </c>
      <c r="J368">
        <f>IFERROR(Table4[[#This Row],[energy_kwh]]/Table4[[#This Row],[expected_kwh]],0)</f>
        <v>0</v>
      </c>
      <c r="K368" t="str">
        <f>IF(Table4[[#This Row],[Performance_Ratio]] &lt; 0.85, "Underperforming", "Performing")</f>
        <v>Underperforming</v>
      </c>
      <c r="L368">
        <f>Table4[[#This Row],[energy_kwh]] - Table4[[#This Row],[expected_kwh]]</f>
        <v>0</v>
      </c>
      <c r="M368" t="str">
        <f>IF(Table4[[#This Row],[Performance_Deviation]] &lt; 0, "Underperforming", "Outperforming")</f>
        <v>Outperforming</v>
      </c>
      <c r="N368">
        <f>IF(Table4[[#This Row],[Performance_Ratio]] &lt; 0.85, Table4[[#This Row],[Performance_Deviation]] * 50 / 1000, 0)</f>
        <v>0</v>
      </c>
    </row>
    <row r="369" spans="1:14" x14ac:dyDescent="0.3">
      <c r="A369" s="6" t="s">
        <v>6</v>
      </c>
      <c r="B369" s="5">
        <v>45307.291666666664</v>
      </c>
      <c r="C369" s="6">
        <v>101.637995552296</v>
      </c>
      <c r="D369" s="6">
        <v>97.062416096500797</v>
      </c>
      <c r="E369" s="6">
        <v>97.062416096500797</v>
      </c>
      <c r="F369" s="6">
        <v>37.396032208698102</v>
      </c>
      <c r="G369" s="6" t="str">
        <f t="shared" si="10"/>
        <v>OK</v>
      </c>
      <c r="H369" s="6" t="str">
        <f t="shared" si="11"/>
        <v>NON-ZERO</v>
      </c>
      <c r="I369">
        <v>103.527618041008</v>
      </c>
      <c r="J369">
        <f>IFERROR(Table4[[#This Row],[energy_kwh]]/Table4[[#This Row],[expected_kwh]],0)</f>
        <v>0.93755094469626177</v>
      </c>
      <c r="K369" t="str">
        <f>IF(Table4[[#This Row],[Performance_Ratio]] &lt; 0.85, "Underperforming", "Performing")</f>
        <v>Performing</v>
      </c>
      <c r="L369">
        <f>Table4[[#This Row],[energy_kwh]] - Table4[[#This Row],[expected_kwh]]</f>
        <v>-6.4652019445072</v>
      </c>
      <c r="M369" t="str">
        <f>IF(Table4[[#This Row],[Performance_Deviation]] &lt; 0, "Underperforming", "Outperforming")</f>
        <v>Underperforming</v>
      </c>
      <c r="N369">
        <f>IF(Table4[[#This Row],[Performance_Ratio]] &lt; 0.85, Table4[[#This Row],[Performance_Deviation]] * 50 / 1000, 0)</f>
        <v>0</v>
      </c>
    </row>
    <row r="370" spans="1:14" x14ac:dyDescent="0.3">
      <c r="A370" s="4" t="s">
        <v>6</v>
      </c>
      <c r="B370" s="3">
        <v>45307.333333333336</v>
      </c>
      <c r="C370" s="4">
        <v>210.43291044736901</v>
      </c>
      <c r="D370" s="4">
        <v>200.95955851206099</v>
      </c>
      <c r="E370" s="4">
        <v>200.95955851206099</v>
      </c>
      <c r="F370" s="4">
        <v>30.232981441754902</v>
      </c>
      <c r="G370" s="4" t="str">
        <f t="shared" si="10"/>
        <v>OK</v>
      </c>
      <c r="H370" s="4" t="str">
        <f t="shared" si="11"/>
        <v>NON-ZERO</v>
      </c>
      <c r="I370">
        <v>199.99999999999901</v>
      </c>
      <c r="J370">
        <f>IFERROR(Table4[[#This Row],[energy_kwh]]/Table4[[#This Row],[expected_kwh]],0)</f>
        <v>1.00479779256031</v>
      </c>
      <c r="K370" t="str">
        <f>IF(Table4[[#This Row],[Performance_Ratio]] &lt; 0.85, "Underperforming", "Performing")</f>
        <v>Performing</v>
      </c>
      <c r="L370">
        <f>Table4[[#This Row],[energy_kwh]] - Table4[[#This Row],[expected_kwh]]</f>
        <v>0.95955851206198872</v>
      </c>
      <c r="M370" t="str">
        <f>IF(Table4[[#This Row],[Performance_Deviation]] &lt; 0, "Underperforming", "Outperforming")</f>
        <v>Outperforming</v>
      </c>
      <c r="N370">
        <f>IF(Table4[[#This Row],[Performance_Ratio]] &lt; 0.85, Table4[[#This Row],[Performance_Deviation]] * 50 / 1000, 0)</f>
        <v>0</v>
      </c>
    </row>
    <row r="371" spans="1:14" x14ac:dyDescent="0.3">
      <c r="A371" s="6" t="s">
        <v>6</v>
      </c>
      <c r="B371" s="5">
        <v>45307.375</v>
      </c>
      <c r="C371" s="6">
        <v>235.333122641107</v>
      </c>
      <c r="D371" s="6">
        <v>224.73880311155</v>
      </c>
      <c r="E371" s="6">
        <v>224.73880311155</v>
      </c>
      <c r="F371" s="6">
        <v>52.114971119421099</v>
      </c>
      <c r="G371" s="6" t="str">
        <f t="shared" si="10"/>
        <v>OK</v>
      </c>
      <c r="H371" s="6" t="str">
        <f t="shared" si="11"/>
        <v>NON-ZERO</v>
      </c>
      <c r="I371">
        <v>282.84271247461902</v>
      </c>
      <c r="J371">
        <f>IFERROR(Table4[[#This Row],[energy_kwh]]/Table4[[#This Row],[expected_kwh]],0)</f>
        <v>0.79457165837962684</v>
      </c>
      <c r="K371" t="str">
        <f>IF(Table4[[#This Row],[Performance_Ratio]] &lt; 0.85, "Underperforming", "Performing")</f>
        <v>Underperforming</v>
      </c>
      <c r="L371">
        <f>Table4[[#This Row],[energy_kwh]] - Table4[[#This Row],[expected_kwh]]</f>
        <v>-58.103909363069022</v>
      </c>
      <c r="M371" t="str">
        <f>IF(Table4[[#This Row],[Performance_Deviation]] &lt; 0, "Underperforming", "Outperforming")</f>
        <v>Underperforming</v>
      </c>
      <c r="N371">
        <f>IF(Table4[[#This Row],[Performance_Ratio]] &lt; 0.85, Table4[[#This Row],[Performance_Deviation]] * 50 / 1000, 0)</f>
        <v>-2.9051954681534511</v>
      </c>
    </row>
    <row r="372" spans="1:14" x14ac:dyDescent="0.3">
      <c r="A372" s="4" t="s">
        <v>6</v>
      </c>
      <c r="B372" s="3">
        <v>45307.416666666664</v>
      </c>
      <c r="C372" s="4">
        <v>352.76570604936501</v>
      </c>
      <c r="D372" s="4">
        <v>336.88476006516299</v>
      </c>
      <c r="E372" s="4">
        <v>336.88476006516299</v>
      </c>
      <c r="F372" s="4">
        <v>27.808223703812398</v>
      </c>
      <c r="G372" s="4" t="str">
        <f t="shared" si="10"/>
        <v>OK</v>
      </c>
      <c r="H372" s="4" t="str">
        <f t="shared" si="11"/>
        <v>NON-ZERO</v>
      </c>
      <c r="I372">
        <v>346.41016151377499</v>
      </c>
      <c r="J372">
        <f>IFERROR(Table4[[#This Row],[energy_kwh]]/Table4[[#This Row],[expected_kwh]],0)</f>
        <v>0.972502534547523</v>
      </c>
      <c r="K372" t="str">
        <f>IF(Table4[[#This Row],[Performance_Ratio]] &lt; 0.85, "Underperforming", "Performing")</f>
        <v>Performing</v>
      </c>
      <c r="L372">
        <f>Table4[[#This Row],[energy_kwh]] - Table4[[#This Row],[expected_kwh]]</f>
        <v>-9.5254014486120013</v>
      </c>
      <c r="M372" t="str">
        <f>IF(Table4[[#This Row],[Performance_Deviation]] &lt; 0, "Underperforming", "Outperforming")</f>
        <v>Underperforming</v>
      </c>
      <c r="N372">
        <f>IF(Table4[[#This Row],[Performance_Ratio]] &lt; 0.85, Table4[[#This Row],[Performance_Deviation]] * 50 / 1000, 0)</f>
        <v>0</v>
      </c>
    </row>
    <row r="373" spans="1:14" x14ac:dyDescent="0.3">
      <c r="A373" s="6" t="s">
        <v>6</v>
      </c>
      <c r="B373" s="5">
        <v>45307.458333333336</v>
      </c>
      <c r="C373" s="6">
        <v>396.911842073645</v>
      </c>
      <c r="D373" s="6">
        <v>379.04350788931401</v>
      </c>
      <c r="E373" s="6">
        <v>379.04350788931401</v>
      </c>
      <c r="F373" s="6">
        <v>40.562049991985397</v>
      </c>
      <c r="G373" s="6" t="str">
        <f t="shared" si="10"/>
        <v>OK</v>
      </c>
      <c r="H373" s="6" t="str">
        <f t="shared" si="11"/>
        <v>NON-ZERO</v>
      </c>
      <c r="I373">
        <v>386.37033051562702</v>
      </c>
      <c r="J373">
        <f>IFERROR(Table4[[#This Row],[energy_kwh]]/Table4[[#This Row],[expected_kwh]],0)</f>
        <v>0.98103678764222124</v>
      </c>
      <c r="K373" t="str">
        <f>IF(Table4[[#This Row],[Performance_Ratio]] &lt; 0.85, "Underperforming", "Performing")</f>
        <v>Performing</v>
      </c>
      <c r="L373">
        <f>Table4[[#This Row],[energy_kwh]] - Table4[[#This Row],[expected_kwh]]</f>
        <v>-7.3268226263130032</v>
      </c>
      <c r="M373" t="str">
        <f>IF(Table4[[#This Row],[Performance_Deviation]] &lt; 0, "Underperforming", "Outperforming")</f>
        <v>Underperforming</v>
      </c>
      <c r="N373">
        <f>IF(Table4[[#This Row],[Performance_Ratio]] &lt; 0.85, Table4[[#This Row],[Performance_Deviation]] * 50 / 1000, 0)</f>
        <v>0</v>
      </c>
    </row>
    <row r="374" spans="1:14" x14ac:dyDescent="0.3">
      <c r="A374" s="4" t="s">
        <v>6</v>
      </c>
      <c r="B374" s="3">
        <v>45307.5</v>
      </c>
      <c r="C374" s="4">
        <v>349.17818008057202</v>
      </c>
      <c r="D374" s="4">
        <v>333.45873875838902</v>
      </c>
      <c r="E374" s="4">
        <v>333.45873875838902</v>
      </c>
      <c r="F374" s="4">
        <v>58.929484318120203</v>
      </c>
      <c r="G374" s="4" t="str">
        <f t="shared" si="10"/>
        <v>OK</v>
      </c>
      <c r="H374" s="4" t="str">
        <f t="shared" si="11"/>
        <v>NON-ZERO</v>
      </c>
      <c r="I374">
        <v>400</v>
      </c>
      <c r="J374">
        <f>IFERROR(Table4[[#This Row],[energy_kwh]]/Table4[[#This Row],[expected_kwh]],0)</f>
        <v>0.83364684689597257</v>
      </c>
      <c r="K374" t="str">
        <f>IF(Table4[[#This Row],[Performance_Ratio]] &lt; 0.85, "Underperforming", "Performing")</f>
        <v>Underperforming</v>
      </c>
      <c r="L374">
        <f>Table4[[#This Row],[energy_kwh]] - Table4[[#This Row],[expected_kwh]]</f>
        <v>-66.541261241610982</v>
      </c>
      <c r="M374" t="str">
        <f>IF(Table4[[#This Row],[Performance_Deviation]] &lt; 0, "Underperforming", "Outperforming")</f>
        <v>Underperforming</v>
      </c>
      <c r="N374">
        <f>IF(Table4[[#This Row],[Performance_Ratio]] &lt; 0.85, Table4[[#This Row],[Performance_Deviation]] * 50 / 1000, 0)</f>
        <v>-3.327063062080549</v>
      </c>
    </row>
    <row r="375" spans="1:14" x14ac:dyDescent="0.3">
      <c r="A375" s="6" t="s">
        <v>6</v>
      </c>
      <c r="B375" s="5">
        <v>45307.541666666664</v>
      </c>
      <c r="C375" s="6">
        <v>347.81408605776301</v>
      </c>
      <c r="D375" s="6">
        <v>332.15605405945098</v>
      </c>
      <c r="E375" s="6">
        <v>332.15605405945098</v>
      </c>
      <c r="F375" s="6">
        <v>37.528406143282403</v>
      </c>
      <c r="G375" s="6" t="str">
        <f t="shared" si="10"/>
        <v>OK</v>
      </c>
      <c r="H375" s="6" t="str">
        <f t="shared" si="11"/>
        <v>NON-ZERO</v>
      </c>
      <c r="I375">
        <v>386.37033051562702</v>
      </c>
      <c r="J375">
        <f>IFERROR(Table4[[#This Row],[energy_kwh]]/Table4[[#This Row],[expected_kwh]],0)</f>
        <v>0.85968312736688435</v>
      </c>
      <c r="K375" t="str">
        <f>IF(Table4[[#This Row],[Performance_Ratio]] &lt; 0.85, "Underperforming", "Performing")</f>
        <v>Performing</v>
      </c>
      <c r="L375">
        <f>Table4[[#This Row],[energy_kwh]] - Table4[[#This Row],[expected_kwh]]</f>
        <v>-54.214276456176037</v>
      </c>
      <c r="M375" t="str">
        <f>IF(Table4[[#This Row],[Performance_Deviation]] &lt; 0, "Underperforming", "Outperforming")</f>
        <v>Underperforming</v>
      </c>
      <c r="N375">
        <f>IF(Table4[[#This Row],[Performance_Ratio]] &lt; 0.85, Table4[[#This Row],[Performance_Deviation]] * 50 / 1000, 0)</f>
        <v>0</v>
      </c>
    </row>
    <row r="376" spans="1:14" x14ac:dyDescent="0.3">
      <c r="A376" s="4" t="s">
        <v>6</v>
      </c>
      <c r="B376" s="3">
        <v>45307.583333333336</v>
      </c>
      <c r="C376" s="4">
        <v>354.09160037766901</v>
      </c>
      <c r="D376" s="4">
        <v>338.15096475854102</v>
      </c>
      <c r="E376" s="4">
        <v>338.15096475854102</v>
      </c>
      <c r="F376" s="4">
        <v>44.325031483653099</v>
      </c>
      <c r="G376" s="4" t="str">
        <f t="shared" si="10"/>
        <v>OK</v>
      </c>
      <c r="H376" s="4" t="str">
        <f t="shared" si="11"/>
        <v>NON-ZERO</v>
      </c>
      <c r="I376">
        <v>346.41016151377499</v>
      </c>
      <c r="J376">
        <f>IFERROR(Table4[[#This Row],[energy_kwh]]/Table4[[#This Row],[expected_kwh]],0)</f>
        <v>0.97615775265037785</v>
      </c>
      <c r="K376" t="str">
        <f>IF(Table4[[#This Row],[Performance_Ratio]] &lt; 0.85, "Underperforming", "Performing")</f>
        <v>Performing</v>
      </c>
      <c r="L376">
        <f>Table4[[#This Row],[energy_kwh]] - Table4[[#This Row],[expected_kwh]]</f>
        <v>-8.2591967552339725</v>
      </c>
      <c r="M376" t="str">
        <f>IF(Table4[[#This Row],[Performance_Deviation]] &lt; 0, "Underperforming", "Outperforming")</f>
        <v>Underperforming</v>
      </c>
      <c r="N376">
        <f>IF(Table4[[#This Row],[Performance_Ratio]] &lt; 0.85, Table4[[#This Row],[Performance_Deviation]] * 50 / 1000, 0)</f>
        <v>0</v>
      </c>
    </row>
    <row r="377" spans="1:14" x14ac:dyDescent="0.3">
      <c r="A377" s="6" t="s">
        <v>6</v>
      </c>
      <c r="B377" s="5">
        <v>45307.625</v>
      </c>
      <c r="C377" s="6">
        <v>270.84961219438702</v>
      </c>
      <c r="D377" s="6">
        <v>258.656397300366</v>
      </c>
      <c r="E377" s="6">
        <v>258.656397300366</v>
      </c>
      <c r="F377" s="6">
        <v>94.560452091587507</v>
      </c>
      <c r="G377" s="6" t="str">
        <f t="shared" si="10"/>
        <v>OK</v>
      </c>
      <c r="H377" s="6" t="str">
        <f t="shared" si="11"/>
        <v>NON-ZERO</v>
      </c>
      <c r="I377">
        <v>282.84271247461902</v>
      </c>
      <c r="J377">
        <f>IFERROR(Table4[[#This Row],[energy_kwh]]/Table4[[#This Row],[expected_kwh]],0)</f>
        <v>0.91448846264185302</v>
      </c>
      <c r="K377" t="str">
        <f>IF(Table4[[#This Row],[Performance_Ratio]] &lt; 0.85, "Underperforming", "Performing")</f>
        <v>Performing</v>
      </c>
      <c r="L377">
        <f>Table4[[#This Row],[energy_kwh]] - Table4[[#This Row],[expected_kwh]]</f>
        <v>-24.186315174253025</v>
      </c>
      <c r="M377" t="str">
        <f>IF(Table4[[#This Row],[Performance_Deviation]] &lt; 0, "Underperforming", "Outperforming")</f>
        <v>Underperforming</v>
      </c>
      <c r="N377">
        <f>IF(Table4[[#This Row],[Performance_Ratio]] &lt; 0.85, Table4[[#This Row],[Performance_Deviation]] * 50 / 1000, 0)</f>
        <v>0</v>
      </c>
    </row>
    <row r="378" spans="1:14" x14ac:dyDescent="0.3">
      <c r="A378" s="4" t="s">
        <v>6</v>
      </c>
      <c r="B378" s="3">
        <v>45307.666666666664</v>
      </c>
      <c r="C378" s="4">
        <v>199.72997061087599</v>
      </c>
      <c r="D378" s="4">
        <v>190.73844785142199</v>
      </c>
      <c r="E378" s="4">
        <v>190.73844785142199</v>
      </c>
      <c r="F378" s="4">
        <v>24.510675695058801</v>
      </c>
      <c r="G378" s="4" t="str">
        <f t="shared" si="10"/>
        <v>OK</v>
      </c>
      <c r="H378" s="4" t="str">
        <f t="shared" si="11"/>
        <v>NON-ZERO</v>
      </c>
      <c r="I378">
        <v>199.99999999999901</v>
      </c>
      <c r="J378">
        <f>IFERROR(Table4[[#This Row],[energy_kwh]]/Table4[[#This Row],[expected_kwh]],0)</f>
        <v>0.95369223925711477</v>
      </c>
      <c r="K378" t="str">
        <f>IF(Table4[[#This Row],[Performance_Ratio]] &lt; 0.85, "Underperforming", "Performing")</f>
        <v>Performing</v>
      </c>
      <c r="L378">
        <f>Table4[[#This Row],[energy_kwh]] - Table4[[#This Row],[expected_kwh]]</f>
        <v>-9.2615521485770103</v>
      </c>
      <c r="M378" t="str">
        <f>IF(Table4[[#This Row],[Performance_Deviation]] &lt; 0, "Underperforming", "Outperforming")</f>
        <v>Underperforming</v>
      </c>
      <c r="N378">
        <f>IF(Table4[[#This Row],[Performance_Ratio]] &lt; 0.85, Table4[[#This Row],[Performance_Deviation]] * 50 / 1000, 0)</f>
        <v>0</v>
      </c>
    </row>
    <row r="379" spans="1:14" x14ac:dyDescent="0.3">
      <c r="A379" s="6" t="s">
        <v>6</v>
      </c>
      <c r="B379" s="5">
        <v>45307.708333333336</v>
      </c>
      <c r="C379" s="6">
        <v>112.457703175746</v>
      </c>
      <c r="D379" s="6">
        <v>107.395037845711</v>
      </c>
      <c r="E379" s="6">
        <v>107.395037845711</v>
      </c>
      <c r="F379" s="6">
        <v>33.147720676824399</v>
      </c>
      <c r="G379" s="6" t="str">
        <f t="shared" si="10"/>
        <v>OK</v>
      </c>
      <c r="H379" s="6" t="str">
        <f t="shared" si="11"/>
        <v>NON-ZERO</v>
      </c>
      <c r="I379">
        <v>103.527618041008</v>
      </c>
      <c r="J379">
        <f>IFERROR(Table4[[#This Row],[energy_kwh]]/Table4[[#This Row],[expected_kwh]],0)</f>
        <v>1.0373564067046446</v>
      </c>
      <c r="K379" t="str">
        <f>IF(Table4[[#This Row],[Performance_Ratio]] &lt; 0.85, "Underperforming", "Performing")</f>
        <v>Performing</v>
      </c>
      <c r="L379">
        <f>Table4[[#This Row],[energy_kwh]] - Table4[[#This Row],[expected_kwh]]</f>
        <v>3.8674198047030046</v>
      </c>
      <c r="M379" t="str">
        <f>IF(Table4[[#This Row],[Performance_Deviation]] &lt; 0, "Underperforming", "Outperforming")</f>
        <v>Outperforming</v>
      </c>
      <c r="N379">
        <f>IF(Table4[[#This Row],[Performance_Ratio]] &lt; 0.85, Table4[[#This Row],[Performance_Deviation]] * 50 / 1000, 0)</f>
        <v>0</v>
      </c>
    </row>
    <row r="380" spans="1:14" x14ac:dyDescent="0.3">
      <c r="A380" s="4" t="s">
        <v>6</v>
      </c>
      <c r="B380" s="3">
        <v>45307.75</v>
      </c>
      <c r="C380" s="7">
        <v>4.3139483232081898E-14</v>
      </c>
      <c r="D380" s="7">
        <v>4.1197412925227298E-14</v>
      </c>
      <c r="E380" s="7">
        <v>4.1197412925227298E-14</v>
      </c>
      <c r="F380" s="4">
        <v>53.777820219363797</v>
      </c>
      <c r="G380" s="4" t="str">
        <f t="shared" si="10"/>
        <v>OK</v>
      </c>
      <c r="H380" s="4" t="str">
        <f t="shared" si="11"/>
        <v>NON-ZERO</v>
      </c>
      <c r="I380" s="2">
        <v>4.8985871965894097E-14</v>
      </c>
      <c r="J380">
        <f>IFERROR(Table4[[#This Row],[energy_kwh]]/Table4[[#This Row],[expected_kwh]],0)</f>
        <v>0.84100601401788999</v>
      </c>
      <c r="K380" t="str">
        <f>IF(Table4[[#This Row],[Performance_Ratio]] &lt; 0.85, "Underperforming", "Performing")</f>
        <v>Underperforming</v>
      </c>
      <c r="L380">
        <f>Table4[[#This Row],[energy_kwh]] - Table4[[#This Row],[expected_kwh]]</f>
        <v>-7.7884590406667994E-15</v>
      </c>
      <c r="M380" t="str">
        <f>IF(Table4[[#This Row],[Performance_Deviation]] &lt; 0, "Underperforming", "Outperforming")</f>
        <v>Underperforming</v>
      </c>
      <c r="N380">
        <f>IF(Table4[[#This Row],[Performance_Ratio]] &lt; 0.85, Table4[[#This Row],[Performance_Deviation]] * 50 / 1000, 0)</f>
        <v>-3.8942295203333995E-16</v>
      </c>
    </row>
    <row r="381" spans="1:14" x14ac:dyDescent="0.3">
      <c r="A381" s="6" t="s">
        <v>6</v>
      </c>
      <c r="B381" s="5">
        <v>45307.791666666664</v>
      </c>
      <c r="C381" s="6">
        <v>0</v>
      </c>
      <c r="D381" s="6">
        <v>0</v>
      </c>
      <c r="E381" s="6">
        <v>0</v>
      </c>
      <c r="F381" s="6">
        <v>69.868379336541295</v>
      </c>
      <c r="G381" s="6" t="str">
        <f t="shared" si="10"/>
        <v>OK</v>
      </c>
      <c r="H381" s="6" t="str">
        <f t="shared" si="11"/>
        <v>ZERO</v>
      </c>
      <c r="I381">
        <v>0</v>
      </c>
      <c r="J381">
        <f>IFERROR(Table4[[#This Row],[energy_kwh]]/Table4[[#This Row],[expected_kwh]],0)</f>
        <v>0</v>
      </c>
      <c r="K381" t="str">
        <f>IF(Table4[[#This Row],[Performance_Ratio]] &lt; 0.85, "Underperforming", "Performing")</f>
        <v>Underperforming</v>
      </c>
      <c r="L381">
        <f>Table4[[#This Row],[energy_kwh]] - Table4[[#This Row],[expected_kwh]]</f>
        <v>0</v>
      </c>
      <c r="M381" t="str">
        <f>IF(Table4[[#This Row],[Performance_Deviation]] &lt; 0, "Underperforming", "Outperforming")</f>
        <v>Outperforming</v>
      </c>
      <c r="N381">
        <f>IF(Table4[[#This Row],[Performance_Ratio]] &lt; 0.85, Table4[[#This Row],[Performance_Deviation]] * 50 / 1000, 0)</f>
        <v>0</v>
      </c>
    </row>
    <row r="382" spans="1:14" x14ac:dyDescent="0.3">
      <c r="A382" s="4" t="s">
        <v>6</v>
      </c>
      <c r="B382" s="3">
        <v>45307.833333333336</v>
      </c>
      <c r="C382" s="4">
        <v>0</v>
      </c>
      <c r="D382" s="4">
        <v>0</v>
      </c>
      <c r="E382" s="4">
        <v>0</v>
      </c>
      <c r="F382" s="4">
        <v>89.525072594322097</v>
      </c>
      <c r="G382" s="4" t="str">
        <f t="shared" si="10"/>
        <v>OK</v>
      </c>
      <c r="H382" s="4" t="str">
        <f t="shared" si="11"/>
        <v>ZERO</v>
      </c>
      <c r="I382">
        <v>0</v>
      </c>
      <c r="J382">
        <f>IFERROR(Table4[[#This Row],[energy_kwh]]/Table4[[#This Row],[expected_kwh]],0)</f>
        <v>0</v>
      </c>
      <c r="K382" t="str">
        <f>IF(Table4[[#This Row],[Performance_Ratio]] &lt; 0.85, "Underperforming", "Performing")</f>
        <v>Underperforming</v>
      </c>
      <c r="L382">
        <f>Table4[[#This Row],[energy_kwh]] - Table4[[#This Row],[expected_kwh]]</f>
        <v>0</v>
      </c>
      <c r="M382" t="str">
        <f>IF(Table4[[#This Row],[Performance_Deviation]] &lt; 0, "Underperforming", "Outperforming")</f>
        <v>Outperforming</v>
      </c>
      <c r="N382">
        <f>IF(Table4[[#This Row],[Performance_Ratio]] &lt; 0.85, Table4[[#This Row],[Performance_Deviation]] * 50 / 1000, 0)</f>
        <v>0</v>
      </c>
    </row>
    <row r="383" spans="1:14" x14ac:dyDescent="0.3">
      <c r="A383" s="6" t="s">
        <v>6</v>
      </c>
      <c r="B383" s="5">
        <v>45307.875</v>
      </c>
      <c r="C383" s="6">
        <v>0</v>
      </c>
      <c r="D383" s="6">
        <v>0</v>
      </c>
      <c r="E383" s="6">
        <v>0</v>
      </c>
      <c r="F383" s="6">
        <v>59.0718482954031</v>
      </c>
      <c r="G383" s="6" t="str">
        <f t="shared" si="10"/>
        <v>OK</v>
      </c>
      <c r="H383" s="6" t="str">
        <f t="shared" si="11"/>
        <v>ZERO</v>
      </c>
      <c r="I383">
        <v>0</v>
      </c>
      <c r="J383">
        <f>IFERROR(Table4[[#This Row],[energy_kwh]]/Table4[[#This Row],[expected_kwh]],0)</f>
        <v>0</v>
      </c>
      <c r="K383" t="str">
        <f>IF(Table4[[#This Row],[Performance_Ratio]] &lt; 0.85, "Underperforming", "Performing")</f>
        <v>Underperforming</v>
      </c>
      <c r="L383">
        <f>Table4[[#This Row],[energy_kwh]] - Table4[[#This Row],[expected_kwh]]</f>
        <v>0</v>
      </c>
      <c r="M383" t="str">
        <f>IF(Table4[[#This Row],[Performance_Deviation]] &lt; 0, "Underperforming", "Outperforming")</f>
        <v>Outperforming</v>
      </c>
      <c r="N383">
        <f>IF(Table4[[#This Row],[Performance_Ratio]] &lt; 0.85, Table4[[#This Row],[Performance_Deviation]] * 50 / 1000, 0)</f>
        <v>0</v>
      </c>
    </row>
    <row r="384" spans="1:14" x14ac:dyDescent="0.3">
      <c r="A384" s="4" t="s">
        <v>6</v>
      </c>
      <c r="B384" s="3">
        <v>45307.916666666664</v>
      </c>
      <c r="C384" s="4">
        <v>0</v>
      </c>
      <c r="D384" s="4">
        <v>0</v>
      </c>
      <c r="E384" s="4">
        <v>0</v>
      </c>
      <c r="F384" s="4">
        <v>81.955072268939603</v>
      </c>
      <c r="G384" s="4" t="str">
        <f t="shared" si="10"/>
        <v>OK</v>
      </c>
      <c r="H384" s="4" t="str">
        <f t="shared" si="11"/>
        <v>ZERO</v>
      </c>
      <c r="I384">
        <v>0</v>
      </c>
      <c r="J384">
        <f>IFERROR(Table4[[#This Row],[energy_kwh]]/Table4[[#This Row],[expected_kwh]],0)</f>
        <v>0</v>
      </c>
      <c r="K384" t="str">
        <f>IF(Table4[[#This Row],[Performance_Ratio]] &lt; 0.85, "Underperforming", "Performing")</f>
        <v>Underperforming</v>
      </c>
      <c r="L384">
        <f>Table4[[#This Row],[energy_kwh]] - Table4[[#This Row],[expected_kwh]]</f>
        <v>0</v>
      </c>
      <c r="M384" t="str">
        <f>IF(Table4[[#This Row],[Performance_Deviation]] &lt; 0, "Underperforming", "Outperforming")</f>
        <v>Outperforming</v>
      </c>
      <c r="N384">
        <f>IF(Table4[[#This Row],[Performance_Ratio]] &lt; 0.85, Table4[[#This Row],[Performance_Deviation]] * 50 / 1000, 0)</f>
        <v>0</v>
      </c>
    </row>
    <row r="385" spans="1:14" x14ac:dyDescent="0.3">
      <c r="A385" s="6" t="s">
        <v>6</v>
      </c>
      <c r="B385" s="5">
        <v>45307.958333333336</v>
      </c>
      <c r="C385" s="6">
        <v>0</v>
      </c>
      <c r="D385" s="6">
        <v>0</v>
      </c>
      <c r="E385" s="6">
        <v>0</v>
      </c>
      <c r="F385" s="6">
        <v>22.7120285393571</v>
      </c>
      <c r="G385" s="6" t="str">
        <f t="shared" si="10"/>
        <v>OK</v>
      </c>
      <c r="H385" s="6" t="str">
        <f t="shared" si="11"/>
        <v>ZERO</v>
      </c>
      <c r="I385">
        <v>0</v>
      </c>
      <c r="J385">
        <f>IFERROR(Table4[[#This Row],[energy_kwh]]/Table4[[#This Row],[expected_kwh]],0)</f>
        <v>0</v>
      </c>
      <c r="K385" t="str">
        <f>IF(Table4[[#This Row],[Performance_Ratio]] &lt; 0.85, "Underperforming", "Performing")</f>
        <v>Underperforming</v>
      </c>
      <c r="L385">
        <f>Table4[[#This Row],[energy_kwh]] - Table4[[#This Row],[expected_kwh]]</f>
        <v>0</v>
      </c>
      <c r="M385" t="str">
        <f>IF(Table4[[#This Row],[Performance_Deviation]] &lt; 0, "Underperforming", "Outperforming")</f>
        <v>Outperforming</v>
      </c>
      <c r="N385">
        <f>IF(Table4[[#This Row],[Performance_Ratio]] &lt; 0.85, Table4[[#This Row],[Performance_Deviation]] * 50 / 1000, 0)</f>
        <v>0</v>
      </c>
    </row>
    <row r="386" spans="1:14" x14ac:dyDescent="0.3">
      <c r="A386" s="4" t="s">
        <v>6</v>
      </c>
      <c r="B386" s="3">
        <v>45308</v>
      </c>
      <c r="C386" s="4">
        <v>0</v>
      </c>
      <c r="D386" s="4">
        <v>0</v>
      </c>
      <c r="E386" s="4">
        <v>0</v>
      </c>
      <c r="F386" s="4">
        <v>90.271836727329699</v>
      </c>
      <c r="G386" s="4" t="str">
        <f t="shared" ref="G386:G449" si="12">IF(D386 &gt; C386, "ERROR", "OK")</f>
        <v>OK</v>
      </c>
      <c r="H386" s="4" t="str">
        <f t="shared" ref="H386:H449" si="13">IF(E386=0,"ZERO","NON-ZERO")</f>
        <v>ZERO</v>
      </c>
      <c r="I386">
        <v>0</v>
      </c>
      <c r="J386">
        <f>IFERROR(Table4[[#This Row],[energy_kwh]]/Table4[[#This Row],[expected_kwh]],0)</f>
        <v>0</v>
      </c>
      <c r="K386" t="str">
        <f>IF(Table4[[#This Row],[Performance_Ratio]] &lt; 0.85, "Underperforming", "Performing")</f>
        <v>Underperforming</v>
      </c>
      <c r="L386">
        <f>Table4[[#This Row],[energy_kwh]] - Table4[[#This Row],[expected_kwh]]</f>
        <v>0</v>
      </c>
      <c r="M386" t="str">
        <f>IF(Table4[[#This Row],[Performance_Deviation]] &lt; 0, "Underperforming", "Outperforming")</f>
        <v>Outperforming</v>
      </c>
      <c r="N386">
        <f>IF(Table4[[#This Row],[Performance_Ratio]] &lt; 0.85, Table4[[#This Row],[Performance_Deviation]] * 50 / 1000, 0)</f>
        <v>0</v>
      </c>
    </row>
    <row r="387" spans="1:14" x14ac:dyDescent="0.3">
      <c r="A387" s="6" t="s">
        <v>6</v>
      </c>
      <c r="B387" s="5">
        <v>45308.041666666664</v>
      </c>
      <c r="C387" s="6">
        <v>0</v>
      </c>
      <c r="D387" s="6">
        <v>0</v>
      </c>
      <c r="E387" s="6">
        <v>0</v>
      </c>
      <c r="F387" s="6">
        <v>49.773613780571203</v>
      </c>
      <c r="G387" s="6" t="str">
        <f t="shared" si="12"/>
        <v>OK</v>
      </c>
      <c r="H387" s="6" t="str">
        <f t="shared" si="13"/>
        <v>ZERO</v>
      </c>
      <c r="I387">
        <v>0</v>
      </c>
      <c r="J387">
        <f>IFERROR(Table4[[#This Row],[energy_kwh]]/Table4[[#This Row],[expected_kwh]],0)</f>
        <v>0</v>
      </c>
      <c r="K387" t="str">
        <f>IF(Table4[[#This Row],[Performance_Ratio]] &lt; 0.85, "Underperforming", "Performing")</f>
        <v>Underperforming</v>
      </c>
      <c r="L387">
        <f>Table4[[#This Row],[energy_kwh]] - Table4[[#This Row],[expected_kwh]]</f>
        <v>0</v>
      </c>
      <c r="M387" t="str">
        <f>IF(Table4[[#This Row],[Performance_Deviation]] &lt; 0, "Underperforming", "Outperforming")</f>
        <v>Outperforming</v>
      </c>
      <c r="N387">
        <f>IF(Table4[[#This Row],[Performance_Ratio]] &lt; 0.85, Table4[[#This Row],[Performance_Deviation]] * 50 / 1000, 0)</f>
        <v>0</v>
      </c>
    </row>
    <row r="388" spans="1:14" x14ac:dyDescent="0.3">
      <c r="A388" s="4" t="s">
        <v>6</v>
      </c>
      <c r="B388" s="3">
        <v>45308.083333333336</v>
      </c>
      <c r="C388" s="4">
        <v>0</v>
      </c>
      <c r="D388" s="4">
        <v>0</v>
      </c>
      <c r="E388" s="4">
        <v>0</v>
      </c>
      <c r="F388" s="4">
        <v>57.272261217937199</v>
      </c>
      <c r="G388" s="4" t="str">
        <f t="shared" si="12"/>
        <v>OK</v>
      </c>
      <c r="H388" s="4" t="str">
        <f t="shared" si="13"/>
        <v>ZERO</v>
      </c>
      <c r="I388">
        <v>0</v>
      </c>
      <c r="J388">
        <f>IFERROR(Table4[[#This Row],[energy_kwh]]/Table4[[#This Row],[expected_kwh]],0)</f>
        <v>0</v>
      </c>
      <c r="K388" t="str">
        <f>IF(Table4[[#This Row],[Performance_Ratio]] &lt; 0.85, "Underperforming", "Performing")</f>
        <v>Underperforming</v>
      </c>
      <c r="L388">
        <f>Table4[[#This Row],[energy_kwh]] - Table4[[#This Row],[expected_kwh]]</f>
        <v>0</v>
      </c>
      <c r="M388" t="str">
        <f>IF(Table4[[#This Row],[Performance_Deviation]] &lt; 0, "Underperforming", "Outperforming")</f>
        <v>Outperforming</v>
      </c>
      <c r="N388">
        <f>IF(Table4[[#This Row],[Performance_Ratio]] &lt; 0.85, Table4[[#This Row],[Performance_Deviation]] * 50 / 1000, 0)</f>
        <v>0</v>
      </c>
    </row>
    <row r="389" spans="1:14" x14ac:dyDescent="0.3">
      <c r="A389" s="6" t="s">
        <v>6</v>
      </c>
      <c r="B389" s="5">
        <v>45308.125</v>
      </c>
      <c r="C389" s="6">
        <v>0</v>
      </c>
      <c r="D389" s="6">
        <v>0</v>
      </c>
      <c r="E389" s="6">
        <v>0</v>
      </c>
      <c r="F389" s="6">
        <v>35.6382885768001</v>
      </c>
      <c r="G389" s="6" t="str">
        <f t="shared" si="12"/>
        <v>OK</v>
      </c>
      <c r="H389" s="6" t="str">
        <f t="shared" si="13"/>
        <v>ZERO</v>
      </c>
      <c r="I389">
        <v>0</v>
      </c>
      <c r="J389">
        <f>IFERROR(Table4[[#This Row],[energy_kwh]]/Table4[[#This Row],[expected_kwh]],0)</f>
        <v>0</v>
      </c>
      <c r="K389" t="str">
        <f>IF(Table4[[#This Row],[Performance_Ratio]] &lt; 0.85, "Underperforming", "Performing")</f>
        <v>Underperforming</v>
      </c>
      <c r="L389">
        <f>Table4[[#This Row],[energy_kwh]] - Table4[[#This Row],[expected_kwh]]</f>
        <v>0</v>
      </c>
      <c r="M389" t="str">
        <f>IF(Table4[[#This Row],[Performance_Deviation]] &lt; 0, "Underperforming", "Outperforming")</f>
        <v>Outperforming</v>
      </c>
      <c r="N389">
        <f>IF(Table4[[#This Row],[Performance_Ratio]] &lt; 0.85, Table4[[#This Row],[Performance_Deviation]] * 50 / 1000, 0)</f>
        <v>0</v>
      </c>
    </row>
    <row r="390" spans="1:14" x14ac:dyDescent="0.3">
      <c r="A390" s="4" t="s">
        <v>6</v>
      </c>
      <c r="B390" s="3">
        <v>45308.166666666664</v>
      </c>
      <c r="C390" s="4">
        <v>0</v>
      </c>
      <c r="D390" s="4">
        <v>0</v>
      </c>
      <c r="E390" s="4">
        <v>0</v>
      </c>
      <c r="F390" s="4">
        <v>80.444405008821505</v>
      </c>
      <c r="G390" s="4" t="str">
        <f t="shared" si="12"/>
        <v>OK</v>
      </c>
      <c r="H390" s="4" t="str">
        <f t="shared" si="13"/>
        <v>ZERO</v>
      </c>
      <c r="I390">
        <v>0</v>
      </c>
      <c r="J390">
        <f>IFERROR(Table4[[#This Row],[energy_kwh]]/Table4[[#This Row],[expected_kwh]],0)</f>
        <v>0</v>
      </c>
      <c r="K390" t="str">
        <f>IF(Table4[[#This Row],[Performance_Ratio]] &lt; 0.85, "Underperforming", "Performing")</f>
        <v>Underperforming</v>
      </c>
      <c r="L390">
        <f>Table4[[#This Row],[energy_kwh]] - Table4[[#This Row],[expected_kwh]]</f>
        <v>0</v>
      </c>
      <c r="M390" t="str">
        <f>IF(Table4[[#This Row],[Performance_Deviation]] &lt; 0, "Underperforming", "Outperforming")</f>
        <v>Outperforming</v>
      </c>
      <c r="N390">
        <f>IF(Table4[[#This Row],[Performance_Ratio]] &lt; 0.85, Table4[[#This Row],[Performance_Deviation]] * 50 / 1000, 0)</f>
        <v>0</v>
      </c>
    </row>
    <row r="391" spans="1:14" x14ac:dyDescent="0.3">
      <c r="A391" s="6" t="s">
        <v>6</v>
      </c>
      <c r="B391" s="5">
        <v>45308.208333333336</v>
      </c>
      <c r="C391" s="6">
        <v>0</v>
      </c>
      <c r="D391" s="6">
        <v>0</v>
      </c>
      <c r="E391" s="6">
        <v>0</v>
      </c>
      <c r="F391" s="6">
        <v>26.068946228843899</v>
      </c>
      <c r="G391" s="6" t="str">
        <f t="shared" si="12"/>
        <v>OK</v>
      </c>
      <c r="H391" s="6" t="str">
        <f t="shared" si="13"/>
        <v>ZERO</v>
      </c>
      <c r="I391">
        <v>0</v>
      </c>
      <c r="J391">
        <f>IFERROR(Table4[[#This Row],[energy_kwh]]/Table4[[#This Row],[expected_kwh]],0)</f>
        <v>0</v>
      </c>
      <c r="K391" t="str">
        <f>IF(Table4[[#This Row],[Performance_Ratio]] &lt; 0.85, "Underperforming", "Performing")</f>
        <v>Underperforming</v>
      </c>
      <c r="L391">
        <f>Table4[[#This Row],[energy_kwh]] - Table4[[#This Row],[expected_kwh]]</f>
        <v>0</v>
      </c>
      <c r="M391" t="str">
        <f>IF(Table4[[#This Row],[Performance_Deviation]] &lt; 0, "Underperforming", "Outperforming")</f>
        <v>Outperforming</v>
      </c>
      <c r="N391">
        <f>IF(Table4[[#This Row],[Performance_Ratio]] &lt; 0.85, Table4[[#This Row],[Performance_Deviation]] * 50 / 1000, 0)</f>
        <v>0</v>
      </c>
    </row>
    <row r="392" spans="1:14" x14ac:dyDescent="0.3">
      <c r="A392" s="4" t="s">
        <v>6</v>
      </c>
      <c r="B392" s="3">
        <v>45308.25</v>
      </c>
      <c r="C392" s="4">
        <v>0</v>
      </c>
      <c r="D392" s="4">
        <v>0</v>
      </c>
      <c r="E392" s="4">
        <v>0</v>
      </c>
      <c r="F392" s="4">
        <v>93.170765064493594</v>
      </c>
      <c r="G392" s="4" t="str">
        <f t="shared" si="12"/>
        <v>OK</v>
      </c>
      <c r="H392" s="4" t="str">
        <f t="shared" si="13"/>
        <v>ZERO</v>
      </c>
      <c r="I392">
        <v>0</v>
      </c>
      <c r="J392">
        <f>IFERROR(Table4[[#This Row],[energy_kwh]]/Table4[[#This Row],[expected_kwh]],0)</f>
        <v>0</v>
      </c>
      <c r="K392" t="str">
        <f>IF(Table4[[#This Row],[Performance_Ratio]] &lt; 0.85, "Underperforming", "Performing")</f>
        <v>Underperforming</v>
      </c>
      <c r="L392">
        <f>Table4[[#This Row],[energy_kwh]] - Table4[[#This Row],[expected_kwh]]</f>
        <v>0</v>
      </c>
      <c r="M392" t="str">
        <f>IF(Table4[[#This Row],[Performance_Deviation]] &lt; 0, "Underperforming", "Outperforming")</f>
        <v>Outperforming</v>
      </c>
      <c r="N392">
        <f>IF(Table4[[#This Row],[Performance_Ratio]] &lt; 0.85, Table4[[#This Row],[Performance_Deviation]] * 50 / 1000, 0)</f>
        <v>0</v>
      </c>
    </row>
    <row r="393" spans="1:14" x14ac:dyDescent="0.3">
      <c r="A393" s="6" t="s">
        <v>6</v>
      </c>
      <c r="B393" s="5">
        <v>45308.291666666664</v>
      </c>
      <c r="C393" s="6">
        <v>95.792953335145995</v>
      </c>
      <c r="D393" s="6">
        <v>91.480508300112604</v>
      </c>
      <c r="E393" s="6">
        <v>91.480508300112604</v>
      </c>
      <c r="F393" s="6">
        <v>29.9393504556386</v>
      </c>
      <c r="G393" s="6" t="str">
        <f t="shared" si="12"/>
        <v>OK</v>
      </c>
      <c r="H393" s="6" t="str">
        <f t="shared" si="13"/>
        <v>NON-ZERO</v>
      </c>
      <c r="I393">
        <v>103.527618041008</v>
      </c>
      <c r="J393">
        <f>IFERROR(Table4[[#This Row],[energy_kwh]]/Table4[[#This Row],[expected_kwh]],0)</f>
        <v>0.88363385569130504</v>
      </c>
      <c r="K393" t="str">
        <f>IF(Table4[[#This Row],[Performance_Ratio]] &lt; 0.85, "Underperforming", "Performing")</f>
        <v>Performing</v>
      </c>
      <c r="L393">
        <f>Table4[[#This Row],[energy_kwh]] - Table4[[#This Row],[expected_kwh]]</f>
        <v>-12.047109740895394</v>
      </c>
      <c r="M393" t="str">
        <f>IF(Table4[[#This Row],[Performance_Deviation]] &lt; 0, "Underperforming", "Outperforming")</f>
        <v>Underperforming</v>
      </c>
      <c r="N393">
        <f>IF(Table4[[#This Row],[Performance_Ratio]] &lt; 0.85, Table4[[#This Row],[Performance_Deviation]] * 50 / 1000, 0)</f>
        <v>0</v>
      </c>
    </row>
    <row r="394" spans="1:14" x14ac:dyDescent="0.3">
      <c r="A394" s="4" t="s">
        <v>6</v>
      </c>
      <c r="B394" s="3">
        <v>45308.333333333336</v>
      </c>
      <c r="C394" s="4">
        <v>224.508286902007</v>
      </c>
      <c r="D394" s="4">
        <v>214.401284106226</v>
      </c>
      <c r="E394" s="4">
        <v>214.401284106226</v>
      </c>
      <c r="F394" s="4">
        <v>57.692455734758099</v>
      </c>
      <c r="G394" s="4" t="str">
        <f t="shared" si="12"/>
        <v>OK</v>
      </c>
      <c r="H394" s="4" t="str">
        <f t="shared" si="13"/>
        <v>NON-ZERO</v>
      </c>
      <c r="I394">
        <v>199.99999999999901</v>
      </c>
      <c r="J394">
        <f>IFERROR(Table4[[#This Row],[energy_kwh]]/Table4[[#This Row],[expected_kwh]],0)</f>
        <v>1.0720064205311353</v>
      </c>
      <c r="K394" t="str">
        <f>IF(Table4[[#This Row],[Performance_Ratio]] &lt; 0.85, "Underperforming", "Performing")</f>
        <v>Performing</v>
      </c>
      <c r="L394">
        <f>Table4[[#This Row],[energy_kwh]] - Table4[[#This Row],[expected_kwh]]</f>
        <v>14.401284106226996</v>
      </c>
      <c r="M394" t="str">
        <f>IF(Table4[[#This Row],[Performance_Deviation]] &lt; 0, "Underperforming", "Outperforming")</f>
        <v>Outperforming</v>
      </c>
      <c r="N394">
        <f>IF(Table4[[#This Row],[Performance_Ratio]] &lt; 0.85, Table4[[#This Row],[Performance_Deviation]] * 50 / 1000, 0)</f>
        <v>0</v>
      </c>
    </row>
    <row r="395" spans="1:14" x14ac:dyDescent="0.3">
      <c r="A395" s="6" t="s">
        <v>6</v>
      </c>
      <c r="B395" s="5">
        <v>45308.375</v>
      </c>
      <c r="C395" s="6">
        <v>262.75810239965398</v>
      </c>
      <c r="D395" s="6">
        <v>250.92915429171001</v>
      </c>
      <c r="E395" s="6">
        <v>250.92915429171001</v>
      </c>
      <c r="F395" s="6">
        <v>47.565081671864803</v>
      </c>
      <c r="G395" s="6" t="str">
        <f t="shared" si="12"/>
        <v>OK</v>
      </c>
      <c r="H395" s="6" t="str">
        <f t="shared" si="13"/>
        <v>NON-ZERO</v>
      </c>
      <c r="I395">
        <v>282.84271247461902</v>
      </c>
      <c r="J395">
        <f>IFERROR(Table4[[#This Row],[energy_kwh]]/Table4[[#This Row],[expected_kwh]],0)</f>
        <v>0.88716853298536802</v>
      </c>
      <c r="K395" t="str">
        <f>IF(Table4[[#This Row],[Performance_Ratio]] &lt; 0.85, "Underperforming", "Performing")</f>
        <v>Performing</v>
      </c>
      <c r="L395">
        <f>Table4[[#This Row],[energy_kwh]] - Table4[[#This Row],[expected_kwh]]</f>
        <v>-31.913558182909014</v>
      </c>
      <c r="M395" t="str">
        <f>IF(Table4[[#This Row],[Performance_Deviation]] &lt; 0, "Underperforming", "Outperforming")</f>
        <v>Underperforming</v>
      </c>
      <c r="N395">
        <f>IF(Table4[[#This Row],[Performance_Ratio]] &lt; 0.85, Table4[[#This Row],[Performance_Deviation]] * 50 / 1000, 0)</f>
        <v>0</v>
      </c>
    </row>
    <row r="396" spans="1:14" x14ac:dyDescent="0.3">
      <c r="A396" s="4" t="s">
        <v>6</v>
      </c>
      <c r="B396" s="3">
        <v>45308.416666666664</v>
      </c>
      <c r="C396" s="4">
        <v>341.40212259885902</v>
      </c>
      <c r="D396" s="4">
        <v>326.03274690584402</v>
      </c>
      <c r="E396" s="4">
        <v>326.03274690584402</v>
      </c>
      <c r="F396" s="4">
        <v>57.960639713018303</v>
      </c>
      <c r="G396" s="4" t="str">
        <f t="shared" si="12"/>
        <v>OK</v>
      </c>
      <c r="H396" s="4" t="str">
        <f t="shared" si="13"/>
        <v>NON-ZERO</v>
      </c>
      <c r="I396">
        <v>346.41016151377499</v>
      </c>
      <c r="J396">
        <f>IFERROR(Table4[[#This Row],[energy_kwh]]/Table4[[#This Row],[expected_kwh]],0)</f>
        <v>0.94117547095361209</v>
      </c>
      <c r="K396" t="str">
        <f>IF(Table4[[#This Row],[Performance_Ratio]] &lt; 0.85, "Underperforming", "Performing")</f>
        <v>Performing</v>
      </c>
      <c r="L396">
        <f>Table4[[#This Row],[energy_kwh]] - Table4[[#This Row],[expected_kwh]]</f>
        <v>-20.377414607930973</v>
      </c>
      <c r="M396" t="str">
        <f>IF(Table4[[#This Row],[Performance_Deviation]] &lt; 0, "Underperforming", "Outperforming")</f>
        <v>Underperforming</v>
      </c>
      <c r="N396">
        <f>IF(Table4[[#This Row],[Performance_Ratio]] &lt; 0.85, Table4[[#This Row],[Performance_Deviation]] * 50 / 1000, 0)</f>
        <v>0</v>
      </c>
    </row>
    <row r="397" spans="1:14" x14ac:dyDescent="0.3">
      <c r="A397" s="6" t="s">
        <v>6</v>
      </c>
      <c r="B397" s="5">
        <v>45308.458333333336</v>
      </c>
      <c r="C397" s="6">
        <v>368.51198060537001</v>
      </c>
      <c r="D397" s="6">
        <v>351.922162609552</v>
      </c>
      <c r="E397" s="6">
        <v>351.922162609552</v>
      </c>
      <c r="F397" s="6">
        <v>68.061973601765402</v>
      </c>
      <c r="G397" s="6" t="str">
        <f t="shared" si="12"/>
        <v>OK</v>
      </c>
      <c r="H397" s="6" t="str">
        <f t="shared" si="13"/>
        <v>NON-ZERO</v>
      </c>
      <c r="I397">
        <v>386.37033051562702</v>
      </c>
      <c r="J397">
        <f>IFERROR(Table4[[#This Row],[energy_kwh]]/Table4[[#This Row],[expected_kwh]],0)</f>
        <v>0.91084158077018351</v>
      </c>
      <c r="K397" t="str">
        <f>IF(Table4[[#This Row],[Performance_Ratio]] &lt; 0.85, "Underperforming", "Performing")</f>
        <v>Performing</v>
      </c>
      <c r="L397">
        <f>Table4[[#This Row],[energy_kwh]] - Table4[[#This Row],[expected_kwh]]</f>
        <v>-34.448167906075014</v>
      </c>
      <c r="M397" t="str">
        <f>IF(Table4[[#This Row],[Performance_Deviation]] &lt; 0, "Underperforming", "Outperforming")</f>
        <v>Underperforming</v>
      </c>
      <c r="N397">
        <f>IF(Table4[[#This Row],[Performance_Ratio]] &lt; 0.85, Table4[[#This Row],[Performance_Deviation]] * 50 / 1000, 0)</f>
        <v>0</v>
      </c>
    </row>
    <row r="398" spans="1:14" x14ac:dyDescent="0.3">
      <c r="A398" s="4" t="s">
        <v>6</v>
      </c>
      <c r="B398" s="3">
        <v>45308.5</v>
      </c>
      <c r="C398" s="4">
        <v>395.12315592712702</v>
      </c>
      <c r="D398" s="4">
        <v>377.33534552271101</v>
      </c>
      <c r="E398" s="4">
        <v>377.33534552271101</v>
      </c>
      <c r="F398" s="4">
        <v>24.6012220333001</v>
      </c>
      <c r="G398" s="4" t="str">
        <f t="shared" si="12"/>
        <v>OK</v>
      </c>
      <c r="H398" s="4" t="str">
        <f t="shared" si="13"/>
        <v>NON-ZERO</v>
      </c>
      <c r="I398">
        <v>400</v>
      </c>
      <c r="J398">
        <f>IFERROR(Table4[[#This Row],[energy_kwh]]/Table4[[#This Row],[expected_kwh]],0)</f>
        <v>0.94333836380677749</v>
      </c>
      <c r="K398" t="str">
        <f>IF(Table4[[#This Row],[Performance_Ratio]] &lt; 0.85, "Underperforming", "Performing")</f>
        <v>Performing</v>
      </c>
      <c r="L398">
        <f>Table4[[#This Row],[energy_kwh]] - Table4[[#This Row],[expected_kwh]]</f>
        <v>-22.664654477288991</v>
      </c>
      <c r="M398" t="str">
        <f>IF(Table4[[#This Row],[Performance_Deviation]] &lt; 0, "Underperforming", "Outperforming")</f>
        <v>Underperforming</v>
      </c>
      <c r="N398">
        <f>IF(Table4[[#This Row],[Performance_Ratio]] &lt; 0.85, Table4[[#This Row],[Performance_Deviation]] * 50 / 1000, 0)</f>
        <v>0</v>
      </c>
    </row>
    <row r="399" spans="1:14" x14ac:dyDescent="0.3">
      <c r="A399" s="6" t="s">
        <v>6</v>
      </c>
      <c r="B399" s="5">
        <v>45308.541666666664</v>
      </c>
      <c r="C399" s="6">
        <v>332.365454860846</v>
      </c>
      <c r="D399" s="6">
        <v>317.40289544776903</v>
      </c>
      <c r="E399" s="6">
        <v>317.40289544776903</v>
      </c>
      <c r="F399" s="6">
        <v>24.3622846629106</v>
      </c>
      <c r="G399" s="6" t="str">
        <f t="shared" si="12"/>
        <v>OK</v>
      </c>
      <c r="H399" s="6" t="str">
        <f t="shared" si="13"/>
        <v>NON-ZERO</v>
      </c>
      <c r="I399">
        <v>386.37033051562702</v>
      </c>
      <c r="J399">
        <f>IFERROR(Table4[[#This Row],[energy_kwh]]/Table4[[#This Row],[expected_kwh]],0)</f>
        <v>0.82149914312566874</v>
      </c>
      <c r="K399" t="str">
        <f>IF(Table4[[#This Row],[Performance_Ratio]] &lt; 0.85, "Underperforming", "Performing")</f>
        <v>Underperforming</v>
      </c>
      <c r="L399">
        <f>Table4[[#This Row],[energy_kwh]] - Table4[[#This Row],[expected_kwh]]</f>
        <v>-68.967435067857991</v>
      </c>
      <c r="M399" t="str">
        <f>IF(Table4[[#This Row],[Performance_Deviation]] &lt; 0, "Underperforming", "Outperforming")</f>
        <v>Underperforming</v>
      </c>
      <c r="N399">
        <f>IF(Table4[[#This Row],[Performance_Ratio]] &lt; 0.85, Table4[[#This Row],[Performance_Deviation]] * 50 / 1000, 0)</f>
        <v>-3.4483717533928995</v>
      </c>
    </row>
    <row r="400" spans="1:14" x14ac:dyDescent="0.3">
      <c r="A400" s="4" t="s">
        <v>6</v>
      </c>
      <c r="B400" s="3">
        <v>45308.583333333336</v>
      </c>
      <c r="C400" s="4">
        <v>315.42189089413699</v>
      </c>
      <c r="D400" s="4">
        <v>301.22210354059098</v>
      </c>
      <c r="E400" s="4">
        <v>301.22210354059098</v>
      </c>
      <c r="F400" s="4">
        <v>27.578435825798501</v>
      </c>
      <c r="G400" s="4" t="str">
        <f t="shared" si="12"/>
        <v>OK</v>
      </c>
      <c r="H400" s="4" t="str">
        <f t="shared" si="13"/>
        <v>NON-ZERO</v>
      </c>
      <c r="I400">
        <v>346.41016151377499</v>
      </c>
      <c r="J400">
        <f>IFERROR(Table4[[#This Row],[energy_kwh]]/Table4[[#This Row],[expected_kwh]],0)</f>
        <v>0.86955331282512882</v>
      </c>
      <c r="K400" t="str">
        <f>IF(Table4[[#This Row],[Performance_Ratio]] &lt; 0.85, "Underperforming", "Performing")</f>
        <v>Performing</v>
      </c>
      <c r="L400">
        <f>Table4[[#This Row],[energy_kwh]] - Table4[[#This Row],[expected_kwh]]</f>
        <v>-45.188057973184016</v>
      </c>
      <c r="M400" t="str">
        <f>IF(Table4[[#This Row],[Performance_Deviation]] &lt; 0, "Underperforming", "Outperforming")</f>
        <v>Underperforming</v>
      </c>
      <c r="N400">
        <f>IF(Table4[[#This Row],[Performance_Ratio]] &lt; 0.85, Table4[[#This Row],[Performance_Deviation]] * 50 / 1000, 0)</f>
        <v>0</v>
      </c>
    </row>
    <row r="401" spans="1:14" x14ac:dyDescent="0.3">
      <c r="A401" s="6" t="s">
        <v>6</v>
      </c>
      <c r="B401" s="5">
        <v>45308.625</v>
      </c>
      <c r="C401" s="6">
        <v>260.56455504872798</v>
      </c>
      <c r="D401" s="6">
        <v>248.834356922419</v>
      </c>
      <c r="E401" s="6">
        <v>248.834356922419</v>
      </c>
      <c r="F401" s="6">
        <v>58.206659611234201</v>
      </c>
      <c r="G401" s="6" t="str">
        <f t="shared" si="12"/>
        <v>OK</v>
      </c>
      <c r="H401" s="6" t="str">
        <f t="shared" si="13"/>
        <v>NON-ZERO</v>
      </c>
      <c r="I401">
        <v>282.84271247461902</v>
      </c>
      <c r="J401">
        <f>IFERROR(Table4[[#This Row],[energy_kwh]]/Table4[[#This Row],[expected_kwh]],0)</f>
        <v>0.879762305860181</v>
      </c>
      <c r="K401" t="str">
        <f>IF(Table4[[#This Row],[Performance_Ratio]] &lt; 0.85, "Underperforming", "Performing")</f>
        <v>Performing</v>
      </c>
      <c r="L401">
        <f>Table4[[#This Row],[energy_kwh]] - Table4[[#This Row],[expected_kwh]]</f>
        <v>-34.008355552200015</v>
      </c>
      <c r="M401" t="str">
        <f>IF(Table4[[#This Row],[Performance_Deviation]] &lt; 0, "Underperforming", "Outperforming")</f>
        <v>Underperforming</v>
      </c>
      <c r="N401">
        <f>IF(Table4[[#This Row],[Performance_Ratio]] &lt; 0.85, Table4[[#This Row],[Performance_Deviation]] * 50 / 1000, 0)</f>
        <v>0</v>
      </c>
    </row>
    <row r="402" spans="1:14" x14ac:dyDescent="0.3">
      <c r="A402" s="4" t="s">
        <v>6</v>
      </c>
      <c r="B402" s="3">
        <v>45308.666666666664</v>
      </c>
      <c r="C402" s="4">
        <v>168.519819230617</v>
      </c>
      <c r="D402" s="4">
        <v>160.933327401691</v>
      </c>
      <c r="E402" s="4">
        <v>160.933327401691</v>
      </c>
      <c r="F402" s="4">
        <v>51.956253791777797</v>
      </c>
      <c r="G402" s="4" t="str">
        <f t="shared" si="12"/>
        <v>OK</v>
      </c>
      <c r="H402" s="4" t="str">
        <f t="shared" si="13"/>
        <v>NON-ZERO</v>
      </c>
      <c r="I402">
        <v>199.99999999999901</v>
      </c>
      <c r="J402">
        <f>IFERROR(Table4[[#This Row],[energy_kwh]]/Table4[[#This Row],[expected_kwh]],0)</f>
        <v>0.80466663700845897</v>
      </c>
      <c r="K402" t="str">
        <f>IF(Table4[[#This Row],[Performance_Ratio]] &lt; 0.85, "Underperforming", "Performing")</f>
        <v>Underperforming</v>
      </c>
      <c r="L402">
        <f>Table4[[#This Row],[energy_kwh]] - Table4[[#This Row],[expected_kwh]]</f>
        <v>-39.066672598308003</v>
      </c>
      <c r="M402" t="str">
        <f>IF(Table4[[#This Row],[Performance_Deviation]] &lt; 0, "Underperforming", "Outperforming")</f>
        <v>Underperforming</v>
      </c>
      <c r="N402">
        <f>IF(Table4[[#This Row],[Performance_Ratio]] &lt; 0.85, Table4[[#This Row],[Performance_Deviation]] * 50 / 1000, 0)</f>
        <v>-1.9533336299154003</v>
      </c>
    </row>
    <row r="403" spans="1:14" x14ac:dyDescent="0.3">
      <c r="A403" s="6" t="s">
        <v>6</v>
      </c>
      <c r="B403" s="5">
        <v>45308.708333333336</v>
      </c>
      <c r="C403" s="6">
        <v>104.96359449702901</v>
      </c>
      <c r="D403" s="6">
        <v>100.23830191351</v>
      </c>
      <c r="E403" s="6">
        <v>100.23830191351</v>
      </c>
      <c r="F403" s="6">
        <v>53.733848661599097</v>
      </c>
      <c r="G403" s="6" t="str">
        <f t="shared" si="12"/>
        <v>OK</v>
      </c>
      <c r="H403" s="6" t="str">
        <f t="shared" si="13"/>
        <v>NON-ZERO</v>
      </c>
      <c r="I403">
        <v>103.527618041008</v>
      </c>
      <c r="J403">
        <f>IFERROR(Table4[[#This Row],[energy_kwh]]/Table4[[#This Row],[expected_kwh]],0)</f>
        <v>0.96822764601620526</v>
      </c>
      <c r="K403" t="str">
        <f>IF(Table4[[#This Row],[Performance_Ratio]] &lt; 0.85, "Underperforming", "Performing")</f>
        <v>Performing</v>
      </c>
      <c r="L403">
        <f>Table4[[#This Row],[energy_kwh]] - Table4[[#This Row],[expected_kwh]]</f>
        <v>-3.2893161274979974</v>
      </c>
      <c r="M403" t="str">
        <f>IF(Table4[[#This Row],[Performance_Deviation]] &lt; 0, "Underperforming", "Outperforming")</f>
        <v>Underperforming</v>
      </c>
      <c r="N403">
        <f>IF(Table4[[#This Row],[Performance_Ratio]] &lt; 0.85, Table4[[#This Row],[Performance_Deviation]] * 50 / 1000, 0)</f>
        <v>0</v>
      </c>
    </row>
    <row r="404" spans="1:14" x14ac:dyDescent="0.3">
      <c r="A404" s="4" t="s">
        <v>6</v>
      </c>
      <c r="B404" s="3">
        <v>45308.75</v>
      </c>
      <c r="C404" s="7">
        <v>4.4797699801358197E-14</v>
      </c>
      <c r="D404" s="7">
        <v>4.2780979245584298E-14</v>
      </c>
      <c r="E404" s="7">
        <v>4.2780979245584298E-14</v>
      </c>
      <c r="F404" s="4">
        <v>75.021078542105101</v>
      </c>
      <c r="G404" s="4" t="str">
        <f t="shared" si="12"/>
        <v>OK</v>
      </c>
      <c r="H404" s="4" t="str">
        <f t="shared" si="13"/>
        <v>NON-ZERO</v>
      </c>
      <c r="I404" s="2">
        <v>4.8985871965894097E-14</v>
      </c>
      <c r="J404">
        <f>IFERROR(Table4[[#This Row],[energy_kwh]]/Table4[[#This Row],[expected_kwh]],0)</f>
        <v>0.87333301477965131</v>
      </c>
      <c r="K404" t="str">
        <f>IF(Table4[[#This Row],[Performance_Ratio]] &lt; 0.85, "Underperforming", "Performing")</f>
        <v>Performing</v>
      </c>
      <c r="L404">
        <f>Table4[[#This Row],[energy_kwh]] - Table4[[#This Row],[expected_kwh]]</f>
        <v>-6.2048927203097991E-15</v>
      </c>
      <c r="M404" t="str">
        <f>IF(Table4[[#This Row],[Performance_Deviation]] &lt; 0, "Underperforming", "Outperforming")</f>
        <v>Underperforming</v>
      </c>
      <c r="N404">
        <f>IF(Table4[[#This Row],[Performance_Ratio]] &lt; 0.85, Table4[[#This Row],[Performance_Deviation]] * 50 / 1000, 0)</f>
        <v>0</v>
      </c>
    </row>
    <row r="405" spans="1:14" x14ac:dyDescent="0.3">
      <c r="A405" s="6" t="s">
        <v>6</v>
      </c>
      <c r="B405" s="5">
        <v>45308.791666666664</v>
      </c>
      <c r="C405" s="6">
        <v>0</v>
      </c>
      <c r="D405" s="6">
        <v>0</v>
      </c>
      <c r="E405" s="6">
        <v>0</v>
      </c>
      <c r="F405" s="6">
        <v>51.211549863482098</v>
      </c>
      <c r="G405" s="6" t="str">
        <f t="shared" si="12"/>
        <v>OK</v>
      </c>
      <c r="H405" s="6" t="str">
        <f t="shared" si="13"/>
        <v>ZERO</v>
      </c>
      <c r="I405">
        <v>0</v>
      </c>
      <c r="J405">
        <f>IFERROR(Table4[[#This Row],[energy_kwh]]/Table4[[#This Row],[expected_kwh]],0)</f>
        <v>0</v>
      </c>
      <c r="K405" t="str">
        <f>IF(Table4[[#This Row],[Performance_Ratio]] &lt; 0.85, "Underperforming", "Performing")</f>
        <v>Underperforming</v>
      </c>
      <c r="L405">
        <f>Table4[[#This Row],[energy_kwh]] - Table4[[#This Row],[expected_kwh]]</f>
        <v>0</v>
      </c>
      <c r="M405" t="str">
        <f>IF(Table4[[#This Row],[Performance_Deviation]] &lt; 0, "Underperforming", "Outperforming")</f>
        <v>Outperforming</v>
      </c>
      <c r="N405">
        <f>IF(Table4[[#This Row],[Performance_Ratio]] &lt; 0.85, Table4[[#This Row],[Performance_Deviation]] * 50 / 1000, 0)</f>
        <v>0</v>
      </c>
    </row>
    <row r="406" spans="1:14" x14ac:dyDescent="0.3">
      <c r="A406" s="4" t="s">
        <v>6</v>
      </c>
      <c r="B406" s="3">
        <v>45308.833333333336</v>
      </c>
      <c r="C406" s="4">
        <v>0</v>
      </c>
      <c r="D406" s="4">
        <v>0</v>
      </c>
      <c r="E406" s="4">
        <v>0</v>
      </c>
      <c r="F406" s="4">
        <v>30.283227929674901</v>
      </c>
      <c r="G406" s="4" t="str">
        <f t="shared" si="12"/>
        <v>OK</v>
      </c>
      <c r="H406" s="4" t="str">
        <f t="shared" si="13"/>
        <v>ZERO</v>
      </c>
      <c r="I406">
        <v>0</v>
      </c>
      <c r="J406">
        <f>IFERROR(Table4[[#This Row],[energy_kwh]]/Table4[[#This Row],[expected_kwh]],0)</f>
        <v>0</v>
      </c>
      <c r="K406" t="str">
        <f>IF(Table4[[#This Row],[Performance_Ratio]] &lt; 0.85, "Underperforming", "Performing")</f>
        <v>Underperforming</v>
      </c>
      <c r="L406">
        <f>Table4[[#This Row],[energy_kwh]] - Table4[[#This Row],[expected_kwh]]</f>
        <v>0</v>
      </c>
      <c r="M406" t="str">
        <f>IF(Table4[[#This Row],[Performance_Deviation]] &lt; 0, "Underperforming", "Outperforming")</f>
        <v>Outperforming</v>
      </c>
      <c r="N406">
        <f>IF(Table4[[#This Row],[Performance_Ratio]] &lt; 0.85, Table4[[#This Row],[Performance_Deviation]] * 50 / 1000, 0)</f>
        <v>0</v>
      </c>
    </row>
    <row r="407" spans="1:14" x14ac:dyDescent="0.3">
      <c r="A407" s="6" t="s">
        <v>6</v>
      </c>
      <c r="B407" s="5">
        <v>45308.875</v>
      </c>
      <c r="C407" s="6">
        <v>0</v>
      </c>
      <c r="D407" s="6">
        <v>0</v>
      </c>
      <c r="E407" s="6">
        <v>0</v>
      </c>
      <c r="F407" s="6">
        <v>20.909058098291901</v>
      </c>
      <c r="G407" s="6" t="str">
        <f t="shared" si="12"/>
        <v>OK</v>
      </c>
      <c r="H407" s="6" t="str">
        <f t="shared" si="13"/>
        <v>ZERO</v>
      </c>
      <c r="I407">
        <v>0</v>
      </c>
      <c r="J407">
        <f>IFERROR(Table4[[#This Row],[energy_kwh]]/Table4[[#This Row],[expected_kwh]],0)</f>
        <v>0</v>
      </c>
      <c r="K407" t="str">
        <f>IF(Table4[[#This Row],[Performance_Ratio]] &lt; 0.85, "Underperforming", "Performing")</f>
        <v>Underperforming</v>
      </c>
      <c r="L407">
        <f>Table4[[#This Row],[energy_kwh]] - Table4[[#This Row],[expected_kwh]]</f>
        <v>0</v>
      </c>
      <c r="M407" t="str">
        <f>IF(Table4[[#This Row],[Performance_Deviation]] &lt; 0, "Underperforming", "Outperforming")</f>
        <v>Outperforming</v>
      </c>
      <c r="N407">
        <f>IF(Table4[[#This Row],[Performance_Ratio]] &lt; 0.85, Table4[[#This Row],[Performance_Deviation]] * 50 / 1000, 0)</f>
        <v>0</v>
      </c>
    </row>
    <row r="408" spans="1:14" x14ac:dyDescent="0.3">
      <c r="A408" s="4" t="s">
        <v>6</v>
      </c>
      <c r="B408" s="3">
        <v>45308.916666666664</v>
      </c>
      <c r="C408" s="4">
        <v>0</v>
      </c>
      <c r="D408" s="4">
        <v>0</v>
      </c>
      <c r="E408" s="4">
        <v>0</v>
      </c>
      <c r="F408" s="4">
        <v>83.326781205471207</v>
      </c>
      <c r="G408" s="4" t="str">
        <f t="shared" si="12"/>
        <v>OK</v>
      </c>
      <c r="H408" s="4" t="str">
        <f t="shared" si="13"/>
        <v>ZERO</v>
      </c>
      <c r="I408">
        <v>0</v>
      </c>
      <c r="J408">
        <f>IFERROR(Table4[[#This Row],[energy_kwh]]/Table4[[#This Row],[expected_kwh]],0)</f>
        <v>0</v>
      </c>
      <c r="K408" t="str">
        <f>IF(Table4[[#This Row],[Performance_Ratio]] &lt; 0.85, "Underperforming", "Performing")</f>
        <v>Underperforming</v>
      </c>
      <c r="L408">
        <f>Table4[[#This Row],[energy_kwh]] - Table4[[#This Row],[expected_kwh]]</f>
        <v>0</v>
      </c>
      <c r="M408" t="str">
        <f>IF(Table4[[#This Row],[Performance_Deviation]] &lt; 0, "Underperforming", "Outperforming")</f>
        <v>Outperforming</v>
      </c>
      <c r="N408">
        <f>IF(Table4[[#This Row],[Performance_Ratio]] &lt; 0.85, Table4[[#This Row],[Performance_Deviation]] * 50 / 1000, 0)</f>
        <v>0</v>
      </c>
    </row>
    <row r="409" spans="1:14" x14ac:dyDescent="0.3">
      <c r="A409" s="6" t="s">
        <v>6</v>
      </c>
      <c r="B409" s="5">
        <v>45308.958333333336</v>
      </c>
      <c r="C409" s="6">
        <v>0</v>
      </c>
      <c r="D409" s="6">
        <v>0</v>
      </c>
      <c r="E409" s="6">
        <v>0</v>
      </c>
      <c r="F409" s="6">
        <v>31.253649852048799</v>
      </c>
      <c r="G409" s="6" t="str">
        <f t="shared" si="12"/>
        <v>OK</v>
      </c>
      <c r="H409" s="6" t="str">
        <f t="shared" si="13"/>
        <v>ZERO</v>
      </c>
      <c r="I409">
        <v>0</v>
      </c>
      <c r="J409">
        <f>IFERROR(Table4[[#This Row],[energy_kwh]]/Table4[[#This Row],[expected_kwh]],0)</f>
        <v>0</v>
      </c>
      <c r="K409" t="str">
        <f>IF(Table4[[#This Row],[Performance_Ratio]] &lt; 0.85, "Underperforming", "Performing")</f>
        <v>Underperforming</v>
      </c>
      <c r="L409">
        <f>Table4[[#This Row],[energy_kwh]] - Table4[[#This Row],[expected_kwh]]</f>
        <v>0</v>
      </c>
      <c r="M409" t="str">
        <f>IF(Table4[[#This Row],[Performance_Deviation]] &lt; 0, "Underperforming", "Outperforming")</f>
        <v>Outperforming</v>
      </c>
      <c r="N409">
        <f>IF(Table4[[#This Row],[Performance_Ratio]] &lt; 0.85, Table4[[#This Row],[Performance_Deviation]] * 50 / 1000, 0)</f>
        <v>0</v>
      </c>
    </row>
    <row r="410" spans="1:14" x14ac:dyDescent="0.3">
      <c r="A410" s="4" t="s">
        <v>6</v>
      </c>
      <c r="B410" s="3">
        <v>45309</v>
      </c>
      <c r="C410" s="4">
        <v>0</v>
      </c>
      <c r="D410" s="4">
        <v>0</v>
      </c>
      <c r="E410" s="4">
        <v>0</v>
      </c>
      <c r="F410" s="4">
        <v>49.585720892752597</v>
      </c>
      <c r="G410" s="4" t="str">
        <f t="shared" si="12"/>
        <v>OK</v>
      </c>
      <c r="H410" s="4" t="str">
        <f t="shared" si="13"/>
        <v>ZERO</v>
      </c>
      <c r="I410">
        <v>0</v>
      </c>
      <c r="J410">
        <f>IFERROR(Table4[[#This Row],[energy_kwh]]/Table4[[#This Row],[expected_kwh]],0)</f>
        <v>0</v>
      </c>
      <c r="K410" t="str">
        <f>IF(Table4[[#This Row],[Performance_Ratio]] &lt; 0.85, "Underperforming", "Performing")</f>
        <v>Underperforming</v>
      </c>
      <c r="L410">
        <f>Table4[[#This Row],[energy_kwh]] - Table4[[#This Row],[expected_kwh]]</f>
        <v>0</v>
      </c>
      <c r="M410" t="str">
        <f>IF(Table4[[#This Row],[Performance_Deviation]] &lt; 0, "Underperforming", "Outperforming")</f>
        <v>Outperforming</v>
      </c>
      <c r="N410">
        <f>IF(Table4[[#This Row],[Performance_Ratio]] &lt; 0.85, Table4[[#This Row],[Performance_Deviation]] * 50 / 1000, 0)</f>
        <v>0</v>
      </c>
    </row>
    <row r="411" spans="1:14" x14ac:dyDescent="0.3">
      <c r="A411" s="6" t="s">
        <v>6</v>
      </c>
      <c r="B411" s="5">
        <v>45309.041666666664</v>
      </c>
      <c r="C411" s="6">
        <v>0</v>
      </c>
      <c r="D411" s="6">
        <v>0</v>
      </c>
      <c r="E411" s="6">
        <v>0</v>
      </c>
      <c r="F411" s="6">
        <v>86.906351670517495</v>
      </c>
      <c r="G411" s="6" t="str">
        <f t="shared" si="12"/>
        <v>OK</v>
      </c>
      <c r="H411" s="6" t="str">
        <f t="shared" si="13"/>
        <v>ZERO</v>
      </c>
      <c r="I411">
        <v>0</v>
      </c>
      <c r="J411">
        <f>IFERROR(Table4[[#This Row],[energy_kwh]]/Table4[[#This Row],[expected_kwh]],0)</f>
        <v>0</v>
      </c>
      <c r="K411" t="str">
        <f>IF(Table4[[#This Row],[Performance_Ratio]] &lt; 0.85, "Underperforming", "Performing")</f>
        <v>Underperforming</v>
      </c>
      <c r="L411">
        <f>Table4[[#This Row],[energy_kwh]] - Table4[[#This Row],[expected_kwh]]</f>
        <v>0</v>
      </c>
      <c r="M411" t="str">
        <f>IF(Table4[[#This Row],[Performance_Deviation]] &lt; 0, "Underperforming", "Outperforming")</f>
        <v>Outperforming</v>
      </c>
      <c r="N411">
        <f>IF(Table4[[#This Row],[Performance_Ratio]] &lt; 0.85, Table4[[#This Row],[Performance_Deviation]] * 50 / 1000, 0)</f>
        <v>0</v>
      </c>
    </row>
    <row r="412" spans="1:14" x14ac:dyDescent="0.3">
      <c r="A412" s="4" t="s">
        <v>6</v>
      </c>
      <c r="B412" s="3">
        <v>45309.083333333336</v>
      </c>
      <c r="C412" s="4">
        <v>0</v>
      </c>
      <c r="D412" s="4">
        <v>0</v>
      </c>
      <c r="E412" s="4">
        <v>0</v>
      </c>
      <c r="F412" s="4">
        <v>83.065368456944199</v>
      </c>
      <c r="G412" s="4" t="str">
        <f t="shared" si="12"/>
        <v>OK</v>
      </c>
      <c r="H412" s="4" t="str">
        <f t="shared" si="13"/>
        <v>ZERO</v>
      </c>
      <c r="I412">
        <v>0</v>
      </c>
      <c r="J412">
        <f>IFERROR(Table4[[#This Row],[energy_kwh]]/Table4[[#This Row],[expected_kwh]],0)</f>
        <v>0</v>
      </c>
      <c r="K412" t="str">
        <f>IF(Table4[[#This Row],[Performance_Ratio]] &lt; 0.85, "Underperforming", "Performing")</f>
        <v>Underperforming</v>
      </c>
      <c r="L412">
        <f>Table4[[#This Row],[energy_kwh]] - Table4[[#This Row],[expected_kwh]]</f>
        <v>0</v>
      </c>
      <c r="M412" t="str">
        <f>IF(Table4[[#This Row],[Performance_Deviation]] &lt; 0, "Underperforming", "Outperforming")</f>
        <v>Outperforming</v>
      </c>
      <c r="N412">
        <f>IF(Table4[[#This Row],[Performance_Ratio]] &lt; 0.85, Table4[[#This Row],[Performance_Deviation]] * 50 / 1000, 0)</f>
        <v>0</v>
      </c>
    </row>
    <row r="413" spans="1:14" x14ac:dyDescent="0.3">
      <c r="A413" s="6" t="s">
        <v>6</v>
      </c>
      <c r="B413" s="5">
        <v>45309.125</v>
      </c>
      <c r="C413" s="6">
        <v>0</v>
      </c>
      <c r="D413" s="6">
        <v>0</v>
      </c>
      <c r="E413" s="6">
        <v>0</v>
      </c>
      <c r="F413" s="6">
        <v>54.610809846854998</v>
      </c>
      <c r="G413" s="6" t="str">
        <f t="shared" si="12"/>
        <v>OK</v>
      </c>
      <c r="H413" s="6" t="str">
        <f t="shared" si="13"/>
        <v>ZERO</v>
      </c>
      <c r="I413">
        <v>0</v>
      </c>
      <c r="J413">
        <f>IFERROR(Table4[[#This Row],[energy_kwh]]/Table4[[#This Row],[expected_kwh]],0)</f>
        <v>0</v>
      </c>
      <c r="K413" t="str">
        <f>IF(Table4[[#This Row],[Performance_Ratio]] &lt; 0.85, "Underperforming", "Performing")</f>
        <v>Underperforming</v>
      </c>
      <c r="L413">
        <f>Table4[[#This Row],[energy_kwh]] - Table4[[#This Row],[expected_kwh]]</f>
        <v>0</v>
      </c>
      <c r="M413" t="str">
        <f>IF(Table4[[#This Row],[Performance_Deviation]] &lt; 0, "Underperforming", "Outperforming")</f>
        <v>Outperforming</v>
      </c>
      <c r="N413">
        <f>IF(Table4[[#This Row],[Performance_Ratio]] &lt; 0.85, Table4[[#This Row],[Performance_Deviation]] * 50 / 1000, 0)</f>
        <v>0</v>
      </c>
    </row>
    <row r="414" spans="1:14" x14ac:dyDescent="0.3">
      <c r="A414" s="4" t="s">
        <v>6</v>
      </c>
      <c r="B414" s="3">
        <v>45309.166666666664</v>
      </c>
      <c r="C414" s="4">
        <v>0</v>
      </c>
      <c r="D414" s="4">
        <v>0</v>
      </c>
      <c r="E414" s="4">
        <v>0</v>
      </c>
      <c r="F414" s="4">
        <v>66.045018857004607</v>
      </c>
      <c r="G414" s="4" t="str">
        <f t="shared" si="12"/>
        <v>OK</v>
      </c>
      <c r="H414" s="4" t="str">
        <f t="shared" si="13"/>
        <v>ZERO</v>
      </c>
      <c r="I414">
        <v>0</v>
      </c>
      <c r="J414">
        <f>IFERROR(Table4[[#This Row],[energy_kwh]]/Table4[[#This Row],[expected_kwh]],0)</f>
        <v>0</v>
      </c>
      <c r="K414" t="str">
        <f>IF(Table4[[#This Row],[Performance_Ratio]] &lt; 0.85, "Underperforming", "Performing")</f>
        <v>Underperforming</v>
      </c>
      <c r="L414">
        <f>Table4[[#This Row],[energy_kwh]] - Table4[[#This Row],[expected_kwh]]</f>
        <v>0</v>
      </c>
      <c r="M414" t="str">
        <f>IF(Table4[[#This Row],[Performance_Deviation]] &lt; 0, "Underperforming", "Outperforming")</f>
        <v>Outperforming</v>
      </c>
      <c r="N414">
        <f>IF(Table4[[#This Row],[Performance_Ratio]] &lt; 0.85, Table4[[#This Row],[Performance_Deviation]] * 50 / 1000, 0)</f>
        <v>0</v>
      </c>
    </row>
    <row r="415" spans="1:14" x14ac:dyDescent="0.3">
      <c r="A415" s="6" t="s">
        <v>6</v>
      </c>
      <c r="B415" s="5">
        <v>45309.208333333336</v>
      </c>
      <c r="C415" s="6">
        <v>0</v>
      </c>
      <c r="D415" s="6">
        <v>0</v>
      </c>
      <c r="E415" s="6">
        <v>0</v>
      </c>
      <c r="F415" s="6">
        <v>31.262675061278099</v>
      </c>
      <c r="G415" s="6" t="str">
        <f t="shared" si="12"/>
        <v>OK</v>
      </c>
      <c r="H415" s="6" t="str">
        <f t="shared" si="13"/>
        <v>ZERO</v>
      </c>
      <c r="I415">
        <v>0</v>
      </c>
      <c r="J415">
        <f>IFERROR(Table4[[#This Row],[energy_kwh]]/Table4[[#This Row],[expected_kwh]],0)</f>
        <v>0</v>
      </c>
      <c r="K415" t="str">
        <f>IF(Table4[[#This Row],[Performance_Ratio]] &lt; 0.85, "Underperforming", "Performing")</f>
        <v>Underperforming</v>
      </c>
      <c r="L415">
        <f>Table4[[#This Row],[energy_kwh]] - Table4[[#This Row],[expected_kwh]]</f>
        <v>0</v>
      </c>
      <c r="M415" t="str">
        <f>IF(Table4[[#This Row],[Performance_Deviation]] &lt; 0, "Underperforming", "Outperforming")</f>
        <v>Outperforming</v>
      </c>
      <c r="N415">
        <f>IF(Table4[[#This Row],[Performance_Ratio]] &lt; 0.85, Table4[[#This Row],[Performance_Deviation]] * 50 / 1000, 0)</f>
        <v>0</v>
      </c>
    </row>
    <row r="416" spans="1:14" x14ac:dyDescent="0.3">
      <c r="A416" s="4" t="s">
        <v>6</v>
      </c>
      <c r="B416" s="3">
        <v>45309.25</v>
      </c>
      <c r="C416" s="4">
        <v>0</v>
      </c>
      <c r="D416" s="4">
        <v>0</v>
      </c>
      <c r="E416" s="4">
        <v>0</v>
      </c>
      <c r="F416" s="4">
        <v>26.359401203435201</v>
      </c>
      <c r="G416" s="4" t="str">
        <f t="shared" si="12"/>
        <v>OK</v>
      </c>
      <c r="H416" s="4" t="str">
        <f t="shared" si="13"/>
        <v>ZERO</v>
      </c>
      <c r="I416">
        <v>0</v>
      </c>
      <c r="J416">
        <f>IFERROR(Table4[[#This Row],[energy_kwh]]/Table4[[#This Row],[expected_kwh]],0)</f>
        <v>0</v>
      </c>
      <c r="K416" t="str">
        <f>IF(Table4[[#This Row],[Performance_Ratio]] &lt; 0.85, "Underperforming", "Performing")</f>
        <v>Underperforming</v>
      </c>
      <c r="L416">
        <f>Table4[[#This Row],[energy_kwh]] - Table4[[#This Row],[expected_kwh]]</f>
        <v>0</v>
      </c>
      <c r="M416" t="str">
        <f>IF(Table4[[#This Row],[Performance_Deviation]] &lt; 0, "Underperforming", "Outperforming")</f>
        <v>Outperforming</v>
      </c>
      <c r="N416">
        <f>IF(Table4[[#This Row],[Performance_Ratio]] &lt; 0.85, Table4[[#This Row],[Performance_Deviation]] * 50 / 1000, 0)</f>
        <v>0</v>
      </c>
    </row>
    <row r="417" spans="1:14" x14ac:dyDescent="0.3">
      <c r="A417" s="6" t="s">
        <v>6</v>
      </c>
      <c r="B417" s="5">
        <v>45309.291666666664</v>
      </c>
      <c r="C417" s="6">
        <v>110.831388214437</v>
      </c>
      <c r="D417" s="6">
        <v>105.84193697412501</v>
      </c>
      <c r="E417" s="6">
        <v>105.84193697412501</v>
      </c>
      <c r="F417" s="6">
        <v>25.344254582394299</v>
      </c>
      <c r="G417" s="6" t="str">
        <f t="shared" si="12"/>
        <v>OK</v>
      </c>
      <c r="H417" s="6" t="str">
        <f t="shared" si="13"/>
        <v>NON-ZERO</v>
      </c>
      <c r="I417">
        <v>103.527618041008</v>
      </c>
      <c r="J417">
        <f>IFERROR(Table4[[#This Row],[energy_kwh]]/Table4[[#This Row],[expected_kwh]],0)</f>
        <v>1.0223546042776748</v>
      </c>
      <c r="K417" t="str">
        <f>IF(Table4[[#This Row],[Performance_Ratio]] &lt; 0.85, "Underperforming", "Performing")</f>
        <v>Performing</v>
      </c>
      <c r="L417">
        <f>Table4[[#This Row],[energy_kwh]] - Table4[[#This Row],[expected_kwh]]</f>
        <v>2.3143189331170078</v>
      </c>
      <c r="M417" t="str">
        <f>IF(Table4[[#This Row],[Performance_Deviation]] &lt; 0, "Underperforming", "Outperforming")</f>
        <v>Outperforming</v>
      </c>
      <c r="N417">
        <f>IF(Table4[[#This Row],[Performance_Ratio]] &lt; 0.85, Table4[[#This Row],[Performance_Deviation]] * 50 / 1000, 0)</f>
        <v>0</v>
      </c>
    </row>
    <row r="418" spans="1:14" x14ac:dyDescent="0.3">
      <c r="A418" s="4" t="s">
        <v>6</v>
      </c>
      <c r="B418" s="3">
        <v>45309.333333333336</v>
      </c>
      <c r="C418" s="4">
        <v>178.76510173503601</v>
      </c>
      <c r="D418" s="4">
        <v>170.71738372891801</v>
      </c>
      <c r="E418" s="4">
        <v>170.71738372891801</v>
      </c>
      <c r="F418" s="4">
        <v>78.099014838588602</v>
      </c>
      <c r="G418" s="4" t="str">
        <f t="shared" si="12"/>
        <v>OK</v>
      </c>
      <c r="H418" s="4" t="str">
        <f t="shared" si="13"/>
        <v>NON-ZERO</v>
      </c>
      <c r="I418">
        <v>199.99999999999901</v>
      </c>
      <c r="J418">
        <f>IFERROR(Table4[[#This Row],[energy_kwh]]/Table4[[#This Row],[expected_kwh]],0)</f>
        <v>0.85358691864459424</v>
      </c>
      <c r="K418" t="str">
        <f>IF(Table4[[#This Row],[Performance_Ratio]] &lt; 0.85, "Underperforming", "Performing")</f>
        <v>Performing</v>
      </c>
      <c r="L418">
        <f>Table4[[#This Row],[energy_kwh]] - Table4[[#This Row],[expected_kwh]]</f>
        <v>-29.282616271080997</v>
      </c>
      <c r="M418" t="str">
        <f>IF(Table4[[#This Row],[Performance_Deviation]] &lt; 0, "Underperforming", "Outperforming")</f>
        <v>Underperforming</v>
      </c>
      <c r="N418">
        <f>IF(Table4[[#This Row],[Performance_Ratio]] &lt; 0.85, Table4[[#This Row],[Performance_Deviation]] * 50 / 1000, 0)</f>
        <v>0</v>
      </c>
    </row>
    <row r="419" spans="1:14" x14ac:dyDescent="0.3">
      <c r="A419" s="6" t="s">
        <v>6</v>
      </c>
      <c r="B419" s="5">
        <v>45309.375</v>
      </c>
      <c r="C419" s="6">
        <v>294.41572911876199</v>
      </c>
      <c r="D419" s="6">
        <v>281.161605458623</v>
      </c>
      <c r="E419" s="6">
        <v>281.161605458623</v>
      </c>
      <c r="F419" s="6">
        <v>33.058200150056301</v>
      </c>
      <c r="G419" s="6" t="str">
        <f t="shared" si="12"/>
        <v>OK</v>
      </c>
      <c r="H419" s="6" t="str">
        <f t="shared" si="13"/>
        <v>NON-ZERO</v>
      </c>
      <c r="I419">
        <v>282.84271247461902</v>
      </c>
      <c r="J419">
        <f>IFERROR(Table4[[#This Row],[energy_kwh]]/Table4[[#This Row],[expected_kwh]],0)</f>
        <v>0.9940563891454447</v>
      </c>
      <c r="K419" t="str">
        <f>IF(Table4[[#This Row],[Performance_Ratio]] &lt; 0.85, "Underperforming", "Performing")</f>
        <v>Performing</v>
      </c>
      <c r="L419">
        <f>Table4[[#This Row],[energy_kwh]] - Table4[[#This Row],[expected_kwh]]</f>
        <v>-1.6811070159960195</v>
      </c>
      <c r="M419" t="str">
        <f>IF(Table4[[#This Row],[Performance_Deviation]] &lt; 0, "Underperforming", "Outperforming")</f>
        <v>Underperforming</v>
      </c>
      <c r="N419">
        <f>IF(Table4[[#This Row],[Performance_Ratio]] &lt; 0.85, Table4[[#This Row],[Performance_Deviation]] * 50 / 1000, 0)</f>
        <v>0</v>
      </c>
    </row>
    <row r="420" spans="1:14" x14ac:dyDescent="0.3">
      <c r="A420" s="4" t="s">
        <v>6</v>
      </c>
      <c r="B420" s="3">
        <v>45309.416666666664</v>
      </c>
      <c r="C420" s="4">
        <v>335.94096983401897</v>
      </c>
      <c r="D420" s="4">
        <v>320.81744647467099</v>
      </c>
      <c r="E420" s="4">
        <v>320.81744647467099</v>
      </c>
      <c r="F420" s="4">
        <v>21.570872077318398</v>
      </c>
      <c r="G420" s="4" t="str">
        <f t="shared" si="12"/>
        <v>OK</v>
      </c>
      <c r="H420" s="4" t="str">
        <f t="shared" si="13"/>
        <v>NON-ZERO</v>
      </c>
      <c r="I420">
        <v>346.41016151377499</v>
      </c>
      <c r="J420">
        <f>IFERROR(Table4[[#This Row],[energy_kwh]]/Table4[[#This Row],[expected_kwh]],0)</f>
        <v>0.92612019541439949</v>
      </c>
      <c r="K420" t="str">
        <f>IF(Table4[[#This Row],[Performance_Ratio]] &lt; 0.85, "Underperforming", "Performing")</f>
        <v>Performing</v>
      </c>
      <c r="L420">
        <f>Table4[[#This Row],[energy_kwh]] - Table4[[#This Row],[expected_kwh]]</f>
        <v>-25.592715039104007</v>
      </c>
      <c r="M420" t="str">
        <f>IF(Table4[[#This Row],[Performance_Deviation]] &lt; 0, "Underperforming", "Outperforming")</f>
        <v>Underperforming</v>
      </c>
      <c r="N420">
        <f>IF(Table4[[#This Row],[Performance_Ratio]] &lt; 0.85, Table4[[#This Row],[Performance_Deviation]] * 50 / 1000, 0)</f>
        <v>0</v>
      </c>
    </row>
    <row r="421" spans="1:14" x14ac:dyDescent="0.3">
      <c r="A421" s="6" t="s">
        <v>6</v>
      </c>
      <c r="B421" s="5">
        <v>45309.458333333336</v>
      </c>
      <c r="C421" s="6">
        <v>347.90728490297101</v>
      </c>
      <c r="D421" s="6">
        <v>332.24505724221001</v>
      </c>
      <c r="E421" s="6">
        <v>332.24505724221001</v>
      </c>
      <c r="F421" s="6">
        <v>42.158358310806499</v>
      </c>
      <c r="G421" s="6" t="str">
        <f t="shared" si="12"/>
        <v>OK</v>
      </c>
      <c r="H421" s="6" t="str">
        <f t="shared" si="13"/>
        <v>NON-ZERO</v>
      </c>
      <c r="I421">
        <v>386.37033051562702</v>
      </c>
      <c r="J421">
        <f>IFERROR(Table4[[#This Row],[energy_kwh]]/Table4[[#This Row],[expected_kwh]],0)</f>
        <v>0.85991348455461214</v>
      </c>
      <c r="K421" t="str">
        <f>IF(Table4[[#This Row],[Performance_Ratio]] &lt; 0.85, "Underperforming", "Performing")</f>
        <v>Performing</v>
      </c>
      <c r="L421">
        <f>Table4[[#This Row],[energy_kwh]] - Table4[[#This Row],[expected_kwh]]</f>
        <v>-54.125273273417008</v>
      </c>
      <c r="M421" t="str">
        <f>IF(Table4[[#This Row],[Performance_Deviation]] &lt; 0, "Underperforming", "Outperforming")</f>
        <v>Underperforming</v>
      </c>
      <c r="N421">
        <f>IF(Table4[[#This Row],[Performance_Ratio]] &lt; 0.85, Table4[[#This Row],[Performance_Deviation]] * 50 / 1000, 0)</f>
        <v>0</v>
      </c>
    </row>
    <row r="422" spans="1:14" x14ac:dyDescent="0.3">
      <c r="A422" s="4" t="s">
        <v>6</v>
      </c>
      <c r="B422" s="3">
        <v>45309.5</v>
      </c>
      <c r="C422" s="4">
        <v>396.99967082194098</v>
      </c>
      <c r="D422" s="4">
        <v>379.12738272830501</v>
      </c>
      <c r="E422" s="4">
        <v>379.12738272830501</v>
      </c>
      <c r="F422" s="4">
        <v>29.103981361955402</v>
      </c>
      <c r="G422" s="4" t="str">
        <f t="shared" si="12"/>
        <v>OK</v>
      </c>
      <c r="H422" s="4" t="str">
        <f t="shared" si="13"/>
        <v>NON-ZERO</v>
      </c>
      <c r="I422">
        <v>400</v>
      </c>
      <c r="J422">
        <f>IFERROR(Table4[[#This Row],[energy_kwh]]/Table4[[#This Row],[expected_kwh]],0)</f>
        <v>0.94781845682076249</v>
      </c>
      <c r="K422" t="str">
        <f>IF(Table4[[#This Row],[Performance_Ratio]] &lt; 0.85, "Underperforming", "Performing")</f>
        <v>Performing</v>
      </c>
      <c r="L422">
        <f>Table4[[#This Row],[energy_kwh]] - Table4[[#This Row],[expected_kwh]]</f>
        <v>-20.872617271694992</v>
      </c>
      <c r="M422" t="str">
        <f>IF(Table4[[#This Row],[Performance_Deviation]] &lt; 0, "Underperforming", "Outperforming")</f>
        <v>Underperforming</v>
      </c>
      <c r="N422">
        <f>IF(Table4[[#This Row],[Performance_Ratio]] &lt; 0.85, Table4[[#This Row],[Performance_Deviation]] * 50 / 1000, 0)</f>
        <v>0</v>
      </c>
    </row>
    <row r="423" spans="1:14" x14ac:dyDescent="0.3">
      <c r="A423" s="6" t="s">
        <v>6</v>
      </c>
      <c r="B423" s="5">
        <v>45309.541666666664</v>
      </c>
      <c r="C423" s="6">
        <v>402.51331644841099</v>
      </c>
      <c r="D423" s="6">
        <v>384.39281287671599</v>
      </c>
      <c r="E423" s="6">
        <v>384.39281287671599</v>
      </c>
      <c r="F423" s="6">
        <v>68.292819015584797</v>
      </c>
      <c r="G423" s="6" t="str">
        <f t="shared" si="12"/>
        <v>OK</v>
      </c>
      <c r="H423" s="6" t="str">
        <f t="shared" si="13"/>
        <v>NON-ZERO</v>
      </c>
      <c r="I423">
        <v>386.37033051562702</v>
      </c>
      <c r="J423">
        <f>IFERROR(Table4[[#This Row],[energy_kwh]]/Table4[[#This Row],[expected_kwh]],0)</f>
        <v>0.9948818077302366</v>
      </c>
      <c r="K423" t="str">
        <f>IF(Table4[[#This Row],[Performance_Ratio]] &lt; 0.85, "Underperforming", "Performing")</f>
        <v>Performing</v>
      </c>
      <c r="L423">
        <f>Table4[[#This Row],[energy_kwh]] - Table4[[#This Row],[expected_kwh]]</f>
        <v>-1.9775176389110243</v>
      </c>
      <c r="M423" t="str">
        <f>IF(Table4[[#This Row],[Performance_Deviation]] &lt; 0, "Underperforming", "Outperforming")</f>
        <v>Underperforming</v>
      </c>
      <c r="N423">
        <f>IF(Table4[[#This Row],[Performance_Ratio]] &lt; 0.85, Table4[[#This Row],[Performance_Deviation]] * 50 / 1000, 0)</f>
        <v>0</v>
      </c>
    </row>
    <row r="424" spans="1:14" x14ac:dyDescent="0.3">
      <c r="A424" s="4" t="s">
        <v>6</v>
      </c>
      <c r="B424" s="3">
        <v>45309.583333333336</v>
      </c>
      <c r="C424" s="4">
        <v>314.94397438151299</v>
      </c>
      <c r="D424" s="4">
        <v>300.76570206242599</v>
      </c>
      <c r="E424" s="4">
        <v>300.76570206242599</v>
      </c>
      <c r="F424" s="4">
        <v>41.961652752572299</v>
      </c>
      <c r="G424" s="4" t="str">
        <f t="shared" si="12"/>
        <v>OK</v>
      </c>
      <c r="H424" s="4" t="str">
        <f t="shared" si="13"/>
        <v>NON-ZERO</v>
      </c>
      <c r="I424">
        <v>346.41016151377499</v>
      </c>
      <c r="J424">
        <f>IFERROR(Table4[[#This Row],[energy_kwh]]/Table4[[#This Row],[expected_kwh]],0)</f>
        <v>0.86823579524374328</v>
      </c>
      <c r="K424" t="str">
        <f>IF(Table4[[#This Row],[Performance_Ratio]] &lt; 0.85, "Underperforming", "Performing")</f>
        <v>Performing</v>
      </c>
      <c r="L424">
        <f>Table4[[#This Row],[energy_kwh]] - Table4[[#This Row],[expected_kwh]]</f>
        <v>-45.644459451349007</v>
      </c>
      <c r="M424" t="str">
        <f>IF(Table4[[#This Row],[Performance_Deviation]] &lt; 0, "Underperforming", "Outperforming")</f>
        <v>Underperforming</v>
      </c>
      <c r="N424">
        <f>IF(Table4[[#This Row],[Performance_Ratio]] &lt; 0.85, Table4[[#This Row],[Performance_Deviation]] * 50 / 1000, 0)</f>
        <v>0</v>
      </c>
    </row>
    <row r="425" spans="1:14" x14ac:dyDescent="0.3">
      <c r="A425" s="6" t="s">
        <v>6</v>
      </c>
      <c r="B425" s="5">
        <v>45309.625</v>
      </c>
      <c r="C425" s="6">
        <v>269.46465828463101</v>
      </c>
      <c r="D425" s="6">
        <v>257.33379179311601</v>
      </c>
      <c r="E425" s="6">
        <v>257.33379179311601</v>
      </c>
      <c r="F425" s="6">
        <v>63.681699365543402</v>
      </c>
      <c r="G425" s="6" t="str">
        <f t="shared" si="12"/>
        <v>OK</v>
      </c>
      <c r="H425" s="6" t="str">
        <f t="shared" si="13"/>
        <v>NON-ZERO</v>
      </c>
      <c r="I425">
        <v>282.84271247461902</v>
      </c>
      <c r="J425">
        <f>IFERROR(Table4[[#This Row],[energy_kwh]]/Table4[[#This Row],[expected_kwh]],0)</f>
        <v>0.90981234602679728</v>
      </c>
      <c r="K425" t="str">
        <f>IF(Table4[[#This Row],[Performance_Ratio]] &lt; 0.85, "Underperforming", "Performing")</f>
        <v>Performing</v>
      </c>
      <c r="L425">
        <f>Table4[[#This Row],[energy_kwh]] - Table4[[#This Row],[expected_kwh]]</f>
        <v>-25.508920681503014</v>
      </c>
      <c r="M425" t="str">
        <f>IF(Table4[[#This Row],[Performance_Deviation]] &lt; 0, "Underperforming", "Outperforming")</f>
        <v>Underperforming</v>
      </c>
      <c r="N425">
        <f>IF(Table4[[#This Row],[Performance_Ratio]] &lt; 0.85, Table4[[#This Row],[Performance_Deviation]] * 50 / 1000, 0)</f>
        <v>0</v>
      </c>
    </row>
    <row r="426" spans="1:14" x14ac:dyDescent="0.3">
      <c r="A426" s="4" t="s">
        <v>6</v>
      </c>
      <c r="B426" s="3">
        <v>45309.666666666664</v>
      </c>
      <c r="C426" s="4">
        <v>200.44121751484499</v>
      </c>
      <c r="D426" s="4">
        <v>191.41767556115099</v>
      </c>
      <c r="E426" s="4">
        <v>191.41767556115099</v>
      </c>
      <c r="F426" s="4">
        <v>45.3700629495873</v>
      </c>
      <c r="G426" s="4" t="str">
        <f t="shared" si="12"/>
        <v>OK</v>
      </c>
      <c r="H426" s="4" t="str">
        <f t="shared" si="13"/>
        <v>NON-ZERO</v>
      </c>
      <c r="I426">
        <v>199.99999999999901</v>
      </c>
      <c r="J426">
        <f>IFERROR(Table4[[#This Row],[energy_kwh]]/Table4[[#This Row],[expected_kwh]],0)</f>
        <v>0.95708837780575973</v>
      </c>
      <c r="K426" t="str">
        <f>IF(Table4[[#This Row],[Performance_Ratio]] &lt; 0.85, "Underperforming", "Performing")</f>
        <v>Performing</v>
      </c>
      <c r="L426">
        <f>Table4[[#This Row],[energy_kwh]] - Table4[[#This Row],[expected_kwh]]</f>
        <v>-8.5823244388480191</v>
      </c>
      <c r="M426" t="str">
        <f>IF(Table4[[#This Row],[Performance_Deviation]] &lt; 0, "Underperforming", "Outperforming")</f>
        <v>Underperforming</v>
      </c>
      <c r="N426">
        <f>IF(Table4[[#This Row],[Performance_Ratio]] &lt; 0.85, Table4[[#This Row],[Performance_Deviation]] * 50 / 1000, 0)</f>
        <v>0</v>
      </c>
    </row>
    <row r="427" spans="1:14" x14ac:dyDescent="0.3">
      <c r="A427" s="6" t="s">
        <v>6</v>
      </c>
      <c r="B427" s="5">
        <v>45309.708333333336</v>
      </c>
      <c r="C427" s="6">
        <v>102.651778753332</v>
      </c>
      <c r="D427" s="6">
        <v>98.030560404699202</v>
      </c>
      <c r="E427" s="6">
        <v>98.030560404699202</v>
      </c>
      <c r="F427" s="6">
        <v>47.912526787813498</v>
      </c>
      <c r="G427" s="6" t="str">
        <f t="shared" si="12"/>
        <v>OK</v>
      </c>
      <c r="H427" s="6" t="str">
        <f t="shared" si="13"/>
        <v>NON-ZERO</v>
      </c>
      <c r="I427">
        <v>103.527618041008</v>
      </c>
      <c r="J427">
        <f>IFERROR(Table4[[#This Row],[energy_kwh]]/Table4[[#This Row],[expected_kwh]],0)</f>
        <v>0.94690250060489778</v>
      </c>
      <c r="K427" t="str">
        <f>IF(Table4[[#This Row],[Performance_Ratio]] &lt; 0.85, "Underperforming", "Performing")</f>
        <v>Performing</v>
      </c>
      <c r="L427">
        <f>Table4[[#This Row],[energy_kwh]] - Table4[[#This Row],[expected_kwh]]</f>
        <v>-5.4970576363087957</v>
      </c>
      <c r="M427" t="str">
        <f>IF(Table4[[#This Row],[Performance_Deviation]] &lt; 0, "Underperforming", "Outperforming")</f>
        <v>Underperforming</v>
      </c>
      <c r="N427">
        <f>IF(Table4[[#This Row],[Performance_Ratio]] &lt; 0.85, Table4[[#This Row],[Performance_Deviation]] * 50 / 1000, 0)</f>
        <v>0</v>
      </c>
    </row>
    <row r="428" spans="1:14" x14ac:dyDescent="0.3">
      <c r="A428" s="4" t="s">
        <v>6</v>
      </c>
      <c r="B428" s="3">
        <v>45309.75</v>
      </c>
      <c r="C428" s="7">
        <v>4.0577883857140703E-14</v>
      </c>
      <c r="D428" s="7">
        <v>3.8751132643409397E-14</v>
      </c>
      <c r="E428" s="7">
        <v>3.8751132643409397E-14</v>
      </c>
      <c r="F428" s="4">
        <v>38.051953387437798</v>
      </c>
      <c r="G428" s="4" t="str">
        <f t="shared" si="12"/>
        <v>OK</v>
      </c>
      <c r="H428" s="4" t="str">
        <f t="shared" si="13"/>
        <v>NON-ZERO</v>
      </c>
      <c r="I428" s="2">
        <v>4.8985871965894097E-14</v>
      </c>
      <c r="J428">
        <f>IFERROR(Table4[[#This Row],[energy_kwh]]/Table4[[#This Row],[expected_kwh]],0)</f>
        <v>0.79106752800867708</v>
      </c>
      <c r="K428" t="str">
        <f>IF(Table4[[#This Row],[Performance_Ratio]] &lt; 0.85, "Underperforming", "Performing")</f>
        <v>Underperforming</v>
      </c>
      <c r="L428">
        <f>Table4[[#This Row],[energy_kwh]] - Table4[[#This Row],[expected_kwh]]</f>
        <v>-1.02347393224847E-14</v>
      </c>
      <c r="M428" t="str">
        <f>IF(Table4[[#This Row],[Performance_Deviation]] &lt; 0, "Underperforming", "Outperforming")</f>
        <v>Underperforming</v>
      </c>
      <c r="N428">
        <f>IF(Table4[[#This Row],[Performance_Ratio]] &lt; 0.85, Table4[[#This Row],[Performance_Deviation]] * 50 / 1000, 0)</f>
        <v>-5.1173696612423493E-16</v>
      </c>
    </row>
    <row r="429" spans="1:14" x14ac:dyDescent="0.3">
      <c r="A429" s="6" t="s">
        <v>6</v>
      </c>
      <c r="B429" s="5">
        <v>45309.791666666664</v>
      </c>
      <c r="C429" s="6">
        <v>0</v>
      </c>
      <c r="D429" s="6">
        <v>0</v>
      </c>
      <c r="E429" s="6">
        <v>0</v>
      </c>
      <c r="F429" s="6">
        <v>86.519367515695194</v>
      </c>
      <c r="G429" s="6" t="str">
        <f t="shared" si="12"/>
        <v>OK</v>
      </c>
      <c r="H429" s="6" t="str">
        <f t="shared" si="13"/>
        <v>ZERO</v>
      </c>
      <c r="I429">
        <v>0</v>
      </c>
      <c r="J429">
        <f>IFERROR(Table4[[#This Row],[energy_kwh]]/Table4[[#This Row],[expected_kwh]],0)</f>
        <v>0</v>
      </c>
      <c r="K429" t="str">
        <f>IF(Table4[[#This Row],[Performance_Ratio]] &lt; 0.85, "Underperforming", "Performing")</f>
        <v>Underperforming</v>
      </c>
      <c r="L429">
        <f>Table4[[#This Row],[energy_kwh]] - Table4[[#This Row],[expected_kwh]]</f>
        <v>0</v>
      </c>
      <c r="M429" t="str">
        <f>IF(Table4[[#This Row],[Performance_Deviation]] &lt; 0, "Underperforming", "Outperforming")</f>
        <v>Outperforming</v>
      </c>
      <c r="N429">
        <f>IF(Table4[[#This Row],[Performance_Ratio]] &lt; 0.85, Table4[[#This Row],[Performance_Deviation]] * 50 / 1000, 0)</f>
        <v>0</v>
      </c>
    </row>
    <row r="430" spans="1:14" x14ac:dyDescent="0.3">
      <c r="A430" s="4" t="s">
        <v>6</v>
      </c>
      <c r="B430" s="3">
        <v>45309.833333333336</v>
      </c>
      <c r="C430" s="4">
        <v>0</v>
      </c>
      <c r="D430" s="4">
        <v>0</v>
      </c>
      <c r="E430" s="4">
        <v>0</v>
      </c>
      <c r="F430" s="4">
        <v>83.488575401770802</v>
      </c>
      <c r="G430" s="4" t="str">
        <f t="shared" si="12"/>
        <v>OK</v>
      </c>
      <c r="H430" s="4" t="str">
        <f t="shared" si="13"/>
        <v>ZERO</v>
      </c>
      <c r="I430">
        <v>0</v>
      </c>
      <c r="J430">
        <f>IFERROR(Table4[[#This Row],[energy_kwh]]/Table4[[#This Row],[expected_kwh]],0)</f>
        <v>0</v>
      </c>
      <c r="K430" t="str">
        <f>IF(Table4[[#This Row],[Performance_Ratio]] &lt; 0.85, "Underperforming", "Performing")</f>
        <v>Underperforming</v>
      </c>
      <c r="L430">
        <f>Table4[[#This Row],[energy_kwh]] - Table4[[#This Row],[expected_kwh]]</f>
        <v>0</v>
      </c>
      <c r="M430" t="str">
        <f>IF(Table4[[#This Row],[Performance_Deviation]] &lt; 0, "Underperforming", "Outperforming")</f>
        <v>Outperforming</v>
      </c>
      <c r="N430">
        <f>IF(Table4[[#This Row],[Performance_Ratio]] &lt; 0.85, Table4[[#This Row],[Performance_Deviation]] * 50 / 1000, 0)</f>
        <v>0</v>
      </c>
    </row>
    <row r="431" spans="1:14" x14ac:dyDescent="0.3">
      <c r="A431" s="6" t="s">
        <v>6</v>
      </c>
      <c r="B431" s="5">
        <v>45309.875</v>
      </c>
      <c r="C431" s="6">
        <v>0</v>
      </c>
      <c r="D431" s="6">
        <v>0</v>
      </c>
      <c r="E431" s="6">
        <v>0</v>
      </c>
      <c r="F431" s="6">
        <v>76.6281446559708</v>
      </c>
      <c r="G431" s="6" t="str">
        <f t="shared" si="12"/>
        <v>OK</v>
      </c>
      <c r="H431" s="6" t="str">
        <f t="shared" si="13"/>
        <v>ZERO</v>
      </c>
      <c r="I431">
        <v>0</v>
      </c>
      <c r="J431">
        <f>IFERROR(Table4[[#This Row],[energy_kwh]]/Table4[[#This Row],[expected_kwh]],0)</f>
        <v>0</v>
      </c>
      <c r="K431" t="str">
        <f>IF(Table4[[#This Row],[Performance_Ratio]] &lt; 0.85, "Underperforming", "Performing")</f>
        <v>Underperforming</v>
      </c>
      <c r="L431">
        <f>Table4[[#This Row],[energy_kwh]] - Table4[[#This Row],[expected_kwh]]</f>
        <v>0</v>
      </c>
      <c r="M431" t="str">
        <f>IF(Table4[[#This Row],[Performance_Deviation]] &lt; 0, "Underperforming", "Outperforming")</f>
        <v>Outperforming</v>
      </c>
      <c r="N431">
        <f>IF(Table4[[#This Row],[Performance_Ratio]] &lt; 0.85, Table4[[#This Row],[Performance_Deviation]] * 50 / 1000, 0)</f>
        <v>0</v>
      </c>
    </row>
    <row r="432" spans="1:14" x14ac:dyDescent="0.3">
      <c r="A432" s="4" t="s">
        <v>6</v>
      </c>
      <c r="B432" s="3">
        <v>45309.916666666664</v>
      </c>
      <c r="C432" s="4">
        <v>0</v>
      </c>
      <c r="D432" s="4">
        <v>0</v>
      </c>
      <c r="E432" s="4">
        <v>0</v>
      </c>
      <c r="F432" s="4">
        <v>69.212137826080294</v>
      </c>
      <c r="G432" s="4" t="str">
        <f t="shared" si="12"/>
        <v>OK</v>
      </c>
      <c r="H432" s="4" t="str">
        <f t="shared" si="13"/>
        <v>ZERO</v>
      </c>
      <c r="I432">
        <v>0</v>
      </c>
      <c r="J432">
        <f>IFERROR(Table4[[#This Row],[energy_kwh]]/Table4[[#This Row],[expected_kwh]],0)</f>
        <v>0</v>
      </c>
      <c r="K432" t="str">
        <f>IF(Table4[[#This Row],[Performance_Ratio]] &lt; 0.85, "Underperforming", "Performing")</f>
        <v>Underperforming</v>
      </c>
      <c r="L432">
        <f>Table4[[#This Row],[energy_kwh]] - Table4[[#This Row],[expected_kwh]]</f>
        <v>0</v>
      </c>
      <c r="M432" t="str">
        <f>IF(Table4[[#This Row],[Performance_Deviation]] &lt; 0, "Underperforming", "Outperforming")</f>
        <v>Outperforming</v>
      </c>
      <c r="N432">
        <f>IF(Table4[[#This Row],[Performance_Ratio]] &lt; 0.85, Table4[[#This Row],[Performance_Deviation]] * 50 / 1000, 0)</f>
        <v>0</v>
      </c>
    </row>
    <row r="433" spans="1:14" x14ac:dyDescent="0.3">
      <c r="A433" s="6" t="s">
        <v>6</v>
      </c>
      <c r="B433" s="5">
        <v>45309.958333333336</v>
      </c>
      <c r="C433" s="6">
        <v>0</v>
      </c>
      <c r="D433" s="6">
        <v>0</v>
      </c>
      <c r="E433" s="6">
        <v>0</v>
      </c>
      <c r="F433" s="6">
        <v>93.850230464338097</v>
      </c>
      <c r="G433" s="6" t="str">
        <f t="shared" si="12"/>
        <v>OK</v>
      </c>
      <c r="H433" s="6" t="str">
        <f t="shared" si="13"/>
        <v>ZERO</v>
      </c>
      <c r="I433">
        <v>0</v>
      </c>
      <c r="J433">
        <f>IFERROR(Table4[[#This Row],[energy_kwh]]/Table4[[#This Row],[expected_kwh]],0)</f>
        <v>0</v>
      </c>
      <c r="K433" t="str">
        <f>IF(Table4[[#This Row],[Performance_Ratio]] &lt; 0.85, "Underperforming", "Performing")</f>
        <v>Underperforming</v>
      </c>
      <c r="L433">
        <f>Table4[[#This Row],[energy_kwh]] - Table4[[#This Row],[expected_kwh]]</f>
        <v>0</v>
      </c>
      <c r="M433" t="str">
        <f>IF(Table4[[#This Row],[Performance_Deviation]] &lt; 0, "Underperforming", "Outperforming")</f>
        <v>Outperforming</v>
      </c>
      <c r="N433">
        <f>IF(Table4[[#This Row],[Performance_Ratio]] &lt; 0.85, Table4[[#This Row],[Performance_Deviation]] * 50 / 1000, 0)</f>
        <v>0</v>
      </c>
    </row>
    <row r="434" spans="1:14" x14ac:dyDescent="0.3">
      <c r="A434" s="4" t="s">
        <v>6</v>
      </c>
      <c r="B434" s="3">
        <v>45310</v>
      </c>
      <c r="C434" s="4">
        <v>0</v>
      </c>
      <c r="D434" s="4">
        <v>0</v>
      </c>
      <c r="E434" s="4">
        <v>0</v>
      </c>
      <c r="F434" s="4">
        <v>36.013352473300301</v>
      </c>
      <c r="G434" s="4" t="str">
        <f t="shared" si="12"/>
        <v>OK</v>
      </c>
      <c r="H434" s="4" t="str">
        <f t="shared" si="13"/>
        <v>ZERO</v>
      </c>
      <c r="I434">
        <v>0</v>
      </c>
      <c r="J434">
        <f>IFERROR(Table4[[#This Row],[energy_kwh]]/Table4[[#This Row],[expected_kwh]],0)</f>
        <v>0</v>
      </c>
      <c r="K434" t="str">
        <f>IF(Table4[[#This Row],[Performance_Ratio]] &lt; 0.85, "Underperforming", "Performing")</f>
        <v>Underperforming</v>
      </c>
      <c r="L434">
        <f>Table4[[#This Row],[energy_kwh]] - Table4[[#This Row],[expected_kwh]]</f>
        <v>0</v>
      </c>
      <c r="M434" t="str">
        <f>IF(Table4[[#This Row],[Performance_Deviation]] &lt; 0, "Underperforming", "Outperforming")</f>
        <v>Outperforming</v>
      </c>
      <c r="N434">
        <f>IF(Table4[[#This Row],[Performance_Ratio]] &lt; 0.85, Table4[[#This Row],[Performance_Deviation]] * 50 / 1000, 0)</f>
        <v>0</v>
      </c>
    </row>
    <row r="435" spans="1:14" x14ac:dyDescent="0.3">
      <c r="A435" s="6" t="s">
        <v>6</v>
      </c>
      <c r="B435" s="5">
        <v>45310.041666666664</v>
      </c>
      <c r="C435" s="6">
        <v>0</v>
      </c>
      <c r="D435" s="6">
        <v>0</v>
      </c>
      <c r="E435" s="6">
        <v>0</v>
      </c>
      <c r="F435" s="6">
        <v>74.960115857468793</v>
      </c>
      <c r="G435" s="6" t="str">
        <f t="shared" si="12"/>
        <v>OK</v>
      </c>
      <c r="H435" s="6" t="str">
        <f t="shared" si="13"/>
        <v>ZERO</v>
      </c>
      <c r="I435">
        <v>0</v>
      </c>
      <c r="J435">
        <f>IFERROR(Table4[[#This Row],[energy_kwh]]/Table4[[#This Row],[expected_kwh]],0)</f>
        <v>0</v>
      </c>
      <c r="K435" t="str">
        <f>IF(Table4[[#This Row],[Performance_Ratio]] &lt; 0.85, "Underperforming", "Performing")</f>
        <v>Underperforming</v>
      </c>
      <c r="L435">
        <f>Table4[[#This Row],[energy_kwh]] - Table4[[#This Row],[expected_kwh]]</f>
        <v>0</v>
      </c>
      <c r="M435" t="str">
        <f>IF(Table4[[#This Row],[Performance_Deviation]] &lt; 0, "Underperforming", "Outperforming")</f>
        <v>Outperforming</v>
      </c>
      <c r="N435">
        <f>IF(Table4[[#This Row],[Performance_Ratio]] &lt; 0.85, Table4[[#This Row],[Performance_Deviation]] * 50 / 1000, 0)</f>
        <v>0</v>
      </c>
    </row>
    <row r="436" spans="1:14" x14ac:dyDescent="0.3">
      <c r="A436" s="4" t="s">
        <v>6</v>
      </c>
      <c r="B436" s="3">
        <v>45310.083333333336</v>
      </c>
      <c r="C436" s="4">
        <v>0</v>
      </c>
      <c r="D436" s="4">
        <v>0</v>
      </c>
      <c r="E436" s="4">
        <v>0</v>
      </c>
      <c r="F436" s="4">
        <v>62.376649464426201</v>
      </c>
      <c r="G436" s="4" t="str">
        <f t="shared" si="12"/>
        <v>OK</v>
      </c>
      <c r="H436" s="4" t="str">
        <f t="shared" si="13"/>
        <v>ZERO</v>
      </c>
      <c r="I436">
        <v>0</v>
      </c>
      <c r="J436">
        <f>IFERROR(Table4[[#This Row],[energy_kwh]]/Table4[[#This Row],[expected_kwh]],0)</f>
        <v>0</v>
      </c>
      <c r="K436" t="str">
        <f>IF(Table4[[#This Row],[Performance_Ratio]] &lt; 0.85, "Underperforming", "Performing")</f>
        <v>Underperforming</v>
      </c>
      <c r="L436">
        <f>Table4[[#This Row],[energy_kwh]] - Table4[[#This Row],[expected_kwh]]</f>
        <v>0</v>
      </c>
      <c r="M436" t="str">
        <f>IF(Table4[[#This Row],[Performance_Deviation]] &lt; 0, "Underperforming", "Outperforming")</f>
        <v>Outperforming</v>
      </c>
      <c r="N436">
        <f>IF(Table4[[#This Row],[Performance_Ratio]] &lt; 0.85, Table4[[#This Row],[Performance_Deviation]] * 50 / 1000, 0)</f>
        <v>0</v>
      </c>
    </row>
    <row r="437" spans="1:14" x14ac:dyDescent="0.3">
      <c r="A437" s="6" t="s">
        <v>6</v>
      </c>
      <c r="B437" s="5">
        <v>45310.125</v>
      </c>
      <c r="C437" s="6">
        <v>0</v>
      </c>
      <c r="D437" s="6">
        <v>0</v>
      </c>
      <c r="E437" s="6">
        <v>0</v>
      </c>
      <c r="F437" s="6">
        <v>67.721851548443595</v>
      </c>
      <c r="G437" s="6" t="str">
        <f t="shared" si="12"/>
        <v>OK</v>
      </c>
      <c r="H437" s="6" t="str">
        <f t="shared" si="13"/>
        <v>ZERO</v>
      </c>
      <c r="I437">
        <v>0</v>
      </c>
      <c r="J437">
        <f>IFERROR(Table4[[#This Row],[energy_kwh]]/Table4[[#This Row],[expected_kwh]],0)</f>
        <v>0</v>
      </c>
      <c r="K437" t="str">
        <f>IF(Table4[[#This Row],[Performance_Ratio]] &lt; 0.85, "Underperforming", "Performing")</f>
        <v>Underperforming</v>
      </c>
      <c r="L437">
        <f>Table4[[#This Row],[energy_kwh]] - Table4[[#This Row],[expected_kwh]]</f>
        <v>0</v>
      </c>
      <c r="M437" t="str">
        <f>IF(Table4[[#This Row],[Performance_Deviation]] &lt; 0, "Underperforming", "Outperforming")</f>
        <v>Outperforming</v>
      </c>
      <c r="N437">
        <f>IF(Table4[[#This Row],[Performance_Ratio]] &lt; 0.85, Table4[[#This Row],[Performance_Deviation]] * 50 / 1000, 0)</f>
        <v>0</v>
      </c>
    </row>
    <row r="438" spans="1:14" x14ac:dyDescent="0.3">
      <c r="A438" s="4" t="s">
        <v>6</v>
      </c>
      <c r="B438" s="3">
        <v>45310.166666666664</v>
      </c>
      <c r="C438" s="4">
        <v>0</v>
      </c>
      <c r="D438" s="4">
        <v>0</v>
      </c>
      <c r="E438" s="4">
        <v>0</v>
      </c>
      <c r="F438" s="4">
        <v>38.500914839121698</v>
      </c>
      <c r="G438" s="4" t="str">
        <f t="shared" si="12"/>
        <v>OK</v>
      </c>
      <c r="H438" s="4" t="str">
        <f t="shared" si="13"/>
        <v>ZERO</v>
      </c>
      <c r="I438">
        <v>0</v>
      </c>
      <c r="J438">
        <f>IFERROR(Table4[[#This Row],[energy_kwh]]/Table4[[#This Row],[expected_kwh]],0)</f>
        <v>0</v>
      </c>
      <c r="K438" t="str">
        <f>IF(Table4[[#This Row],[Performance_Ratio]] &lt; 0.85, "Underperforming", "Performing")</f>
        <v>Underperforming</v>
      </c>
      <c r="L438">
        <f>Table4[[#This Row],[energy_kwh]] - Table4[[#This Row],[expected_kwh]]</f>
        <v>0</v>
      </c>
      <c r="M438" t="str">
        <f>IF(Table4[[#This Row],[Performance_Deviation]] &lt; 0, "Underperforming", "Outperforming")</f>
        <v>Outperforming</v>
      </c>
      <c r="N438">
        <f>IF(Table4[[#This Row],[Performance_Ratio]] &lt; 0.85, Table4[[#This Row],[Performance_Deviation]] * 50 / 1000, 0)</f>
        <v>0</v>
      </c>
    </row>
    <row r="439" spans="1:14" x14ac:dyDescent="0.3">
      <c r="A439" s="6" t="s">
        <v>6</v>
      </c>
      <c r="B439" s="5">
        <v>45310.208333333336</v>
      </c>
      <c r="C439" s="6">
        <v>0</v>
      </c>
      <c r="D439" s="6">
        <v>0</v>
      </c>
      <c r="E439" s="6">
        <v>0</v>
      </c>
      <c r="F439" s="6">
        <v>27.438357469041101</v>
      </c>
      <c r="G439" s="6" t="str">
        <f t="shared" si="12"/>
        <v>OK</v>
      </c>
      <c r="H439" s="6" t="str">
        <f t="shared" si="13"/>
        <v>ZERO</v>
      </c>
      <c r="I439">
        <v>0</v>
      </c>
      <c r="J439">
        <f>IFERROR(Table4[[#This Row],[energy_kwh]]/Table4[[#This Row],[expected_kwh]],0)</f>
        <v>0</v>
      </c>
      <c r="K439" t="str">
        <f>IF(Table4[[#This Row],[Performance_Ratio]] &lt; 0.85, "Underperforming", "Performing")</f>
        <v>Underperforming</v>
      </c>
      <c r="L439">
        <f>Table4[[#This Row],[energy_kwh]] - Table4[[#This Row],[expected_kwh]]</f>
        <v>0</v>
      </c>
      <c r="M439" t="str">
        <f>IF(Table4[[#This Row],[Performance_Deviation]] &lt; 0, "Underperforming", "Outperforming")</f>
        <v>Outperforming</v>
      </c>
      <c r="N439">
        <f>IF(Table4[[#This Row],[Performance_Ratio]] &lt; 0.85, Table4[[#This Row],[Performance_Deviation]] * 50 / 1000, 0)</f>
        <v>0</v>
      </c>
    </row>
    <row r="440" spans="1:14" x14ac:dyDescent="0.3">
      <c r="A440" s="4" t="s">
        <v>6</v>
      </c>
      <c r="B440" s="3">
        <v>45310.25</v>
      </c>
      <c r="C440" s="4">
        <v>0</v>
      </c>
      <c r="D440" s="4">
        <v>0</v>
      </c>
      <c r="E440" s="4">
        <v>0</v>
      </c>
      <c r="F440" s="4">
        <v>74.980347202225602</v>
      </c>
      <c r="G440" s="4" t="str">
        <f t="shared" si="12"/>
        <v>OK</v>
      </c>
      <c r="H440" s="4" t="str">
        <f t="shared" si="13"/>
        <v>ZERO</v>
      </c>
      <c r="I440">
        <v>0</v>
      </c>
      <c r="J440">
        <f>IFERROR(Table4[[#This Row],[energy_kwh]]/Table4[[#This Row],[expected_kwh]],0)</f>
        <v>0</v>
      </c>
      <c r="K440" t="str">
        <f>IF(Table4[[#This Row],[Performance_Ratio]] &lt; 0.85, "Underperforming", "Performing")</f>
        <v>Underperforming</v>
      </c>
      <c r="L440">
        <f>Table4[[#This Row],[energy_kwh]] - Table4[[#This Row],[expected_kwh]]</f>
        <v>0</v>
      </c>
      <c r="M440" t="str">
        <f>IF(Table4[[#This Row],[Performance_Deviation]] &lt; 0, "Underperforming", "Outperforming")</f>
        <v>Outperforming</v>
      </c>
      <c r="N440">
        <f>IF(Table4[[#This Row],[Performance_Ratio]] &lt; 0.85, Table4[[#This Row],[Performance_Deviation]] * 50 / 1000, 0)</f>
        <v>0</v>
      </c>
    </row>
    <row r="441" spans="1:14" x14ac:dyDescent="0.3">
      <c r="A441" s="6" t="s">
        <v>6</v>
      </c>
      <c r="B441" s="5">
        <v>45310.291666666664</v>
      </c>
      <c r="C441" s="6">
        <v>95.287147074227505</v>
      </c>
      <c r="D441" s="6">
        <v>90.9974726253661</v>
      </c>
      <c r="E441" s="6">
        <v>90.9974726253661</v>
      </c>
      <c r="F441" s="6">
        <v>46.653842651430402</v>
      </c>
      <c r="G441" s="6" t="str">
        <f t="shared" si="12"/>
        <v>OK</v>
      </c>
      <c r="H441" s="6" t="str">
        <f t="shared" si="13"/>
        <v>NON-ZERO</v>
      </c>
      <c r="I441">
        <v>103.527618041008</v>
      </c>
      <c r="J441">
        <f>IFERROR(Table4[[#This Row],[energy_kwh]]/Table4[[#This Row],[expected_kwh]],0)</f>
        <v>0.87896808935873882</v>
      </c>
      <c r="K441" t="str">
        <f>IF(Table4[[#This Row],[Performance_Ratio]] &lt; 0.85, "Underperforming", "Performing")</f>
        <v>Performing</v>
      </c>
      <c r="L441">
        <f>Table4[[#This Row],[energy_kwh]] - Table4[[#This Row],[expected_kwh]]</f>
        <v>-12.530145415641897</v>
      </c>
      <c r="M441" t="str">
        <f>IF(Table4[[#This Row],[Performance_Deviation]] &lt; 0, "Underperforming", "Outperforming")</f>
        <v>Underperforming</v>
      </c>
      <c r="N441">
        <f>IF(Table4[[#This Row],[Performance_Ratio]] &lt; 0.85, Table4[[#This Row],[Performance_Deviation]] * 50 / 1000, 0)</f>
        <v>0</v>
      </c>
    </row>
    <row r="442" spans="1:14" x14ac:dyDescent="0.3">
      <c r="A442" s="4" t="s">
        <v>6</v>
      </c>
      <c r="B442" s="3">
        <v>45310.333333333336</v>
      </c>
      <c r="C442" s="4">
        <v>0</v>
      </c>
      <c r="D442" s="4">
        <v>0</v>
      </c>
      <c r="E442" s="4">
        <v>0</v>
      </c>
      <c r="F442" s="4">
        <v>22.6483516205179</v>
      </c>
      <c r="G442" s="4" t="str">
        <f t="shared" si="12"/>
        <v>OK</v>
      </c>
      <c r="H442" s="4" t="str">
        <f t="shared" si="13"/>
        <v>ZERO</v>
      </c>
      <c r="I442">
        <v>199.99999999999901</v>
      </c>
      <c r="J442">
        <f>IFERROR(Table4[[#This Row],[energy_kwh]]/Table4[[#This Row],[expected_kwh]],0)</f>
        <v>0</v>
      </c>
      <c r="K442" t="str">
        <f>IF(Table4[[#This Row],[Performance_Ratio]] &lt; 0.85, "Underperforming", "Performing")</f>
        <v>Underperforming</v>
      </c>
      <c r="L442">
        <f>Table4[[#This Row],[energy_kwh]] - Table4[[#This Row],[expected_kwh]]</f>
        <v>-199.99999999999901</v>
      </c>
      <c r="M442" t="str">
        <f>IF(Table4[[#This Row],[Performance_Deviation]] &lt; 0, "Underperforming", "Outperforming")</f>
        <v>Underperforming</v>
      </c>
      <c r="N442">
        <f>IF(Table4[[#This Row],[Performance_Ratio]] &lt; 0.85, Table4[[#This Row],[Performance_Deviation]] * 50 / 1000, 0)</f>
        <v>-9.9999999999999503</v>
      </c>
    </row>
    <row r="443" spans="1:14" x14ac:dyDescent="0.3">
      <c r="A443" s="6" t="s">
        <v>6</v>
      </c>
      <c r="B443" s="5">
        <v>45310.375</v>
      </c>
      <c r="C443" s="6">
        <v>297.504358078537</v>
      </c>
      <c r="D443" s="6">
        <v>284.111189299118</v>
      </c>
      <c r="E443" s="6">
        <v>284.111189299118</v>
      </c>
      <c r="F443" s="6">
        <v>91.855511008953499</v>
      </c>
      <c r="G443" s="6" t="str">
        <f t="shared" si="12"/>
        <v>OK</v>
      </c>
      <c r="H443" s="6" t="str">
        <f t="shared" si="13"/>
        <v>NON-ZERO</v>
      </c>
      <c r="I443">
        <v>282.84271247461902</v>
      </c>
      <c r="J443">
        <f>IFERROR(Table4[[#This Row],[energy_kwh]]/Table4[[#This Row],[expected_kwh]],0)</f>
        <v>1.0044847428219059</v>
      </c>
      <c r="K443" t="str">
        <f>IF(Table4[[#This Row],[Performance_Ratio]] &lt; 0.85, "Underperforming", "Performing")</f>
        <v>Performing</v>
      </c>
      <c r="L443">
        <f>Table4[[#This Row],[energy_kwh]] - Table4[[#This Row],[expected_kwh]]</f>
        <v>1.2684768244989755</v>
      </c>
      <c r="M443" t="str">
        <f>IF(Table4[[#This Row],[Performance_Deviation]] &lt; 0, "Underperforming", "Outperforming")</f>
        <v>Outperforming</v>
      </c>
      <c r="N443">
        <f>IF(Table4[[#This Row],[Performance_Ratio]] &lt; 0.85, Table4[[#This Row],[Performance_Deviation]] * 50 / 1000, 0)</f>
        <v>0</v>
      </c>
    </row>
    <row r="444" spans="1:14" x14ac:dyDescent="0.3">
      <c r="A444" s="4" t="s">
        <v>6</v>
      </c>
      <c r="B444" s="3">
        <v>45310.416666666664</v>
      </c>
      <c r="C444" s="4">
        <v>293.93250014668303</v>
      </c>
      <c r="D444" s="4">
        <v>280.700130679403</v>
      </c>
      <c r="E444" s="4">
        <v>280.700130679403</v>
      </c>
      <c r="F444" s="4">
        <v>85.748807137114994</v>
      </c>
      <c r="G444" s="4" t="str">
        <f t="shared" si="12"/>
        <v>OK</v>
      </c>
      <c r="H444" s="4" t="str">
        <f t="shared" si="13"/>
        <v>NON-ZERO</v>
      </c>
      <c r="I444">
        <v>346.41016151377499</v>
      </c>
      <c r="J444">
        <f>IFERROR(Table4[[#This Row],[energy_kwh]]/Table4[[#This Row],[expected_kwh]],0)</f>
        <v>0.81031148004658338</v>
      </c>
      <c r="K444" t="str">
        <f>IF(Table4[[#This Row],[Performance_Ratio]] &lt; 0.85, "Underperforming", "Performing")</f>
        <v>Underperforming</v>
      </c>
      <c r="L444">
        <f>Table4[[#This Row],[energy_kwh]] - Table4[[#This Row],[expected_kwh]]</f>
        <v>-65.710030834371992</v>
      </c>
      <c r="M444" t="str">
        <f>IF(Table4[[#This Row],[Performance_Deviation]] &lt; 0, "Underperforming", "Outperforming")</f>
        <v>Underperforming</v>
      </c>
      <c r="N444">
        <f>IF(Table4[[#This Row],[Performance_Ratio]] &lt; 0.85, Table4[[#This Row],[Performance_Deviation]] * 50 / 1000, 0)</f>
        <v>-3.2855015417185998</v>
      </c>
    </row>
    <row r="445" spans="1:14" x14ac:dyDescent="0.3">
      <c r="A445" s="6" t="s">
        <v>6</v>
      </c>
      <c r="B445" s="5">
        <v>45310.458333333336</v>
      </c>
      <c r="C445" s="6">
        <v>337.13068795551197</v>
      </c>
      <c r="D445" s="6">
        <v>321.953605395539</v>
      </c>
      <c r="E445" s="6">
        <v>321.953605395539</v>
      </c>
      <c r="F445" s="6">
        <v>53.645797321590599</v>
      </c>
      <c r="G445" s="6" t="str">
        <f t="shared" si="12"/>
        <v>OK</v>
      </c>
      <c r="H445" s="6" t="str">
        <f t="shared" si="13"/>
        <v>NON-ZERO</v>
      </c>
      <c r="I445">
        <v>386.37033051562702</v>
      </c>
      <c r="J445">
        <f>IFERROR(Table4[[#This Row],[energy_kwh]]/Table4[[#This Row],[expected_kwh]],0)</f>
        <v>0.83327724715787244</v>
      </c>
      <c r="K445" t="str">
        <f>IF(Table4[[#This Row],[Performance_Ratio]] &lt; 0.85, "Underperforming", "Performing")</f>
        <v>Underperforming</v>
      </c>
      <c r="L445">
        <f>Table4[[#This Row],[energy_kwh]] - Table4[[#This Row],[expected_kwh]]</f>
        <v>-64.416725120088017</v>
      </c>
      <c r="M445" t="str">
        <f>IF(Table4[[#This Row],[Performance_Deviation]] &lt; 0, "Underperforming", "Outperforming")</f>
        <v>Underperforming</v>
      </c>
      <c r="N445">
        <f>IF(Table4[[#This Row],[Performance_Ratio]] &lt; 0.85, Table4[[#This Row],[Performance_Deviation]] * 50 / 1000, 0)</f>
        <v>-3.2208362560044006</v>
      </c>
    </row>
    <row r="446" spans="1:14" x14ac:dyDescent="0.3">
      <c r="A446" s="4" t="s">
        <v>6</v>
      </c>
      <c r="B446" s="3">
        <v>45310.5</v>
      </c>
      <c r="C446" s="4">
        <v>396.493594527364</v>
      </c>
      <c r="D446" s="4">
        <v>378.64408917638201</v>
      </c>
      <c r="E446" s="4">
        <v>378.64408917638201</v>
      </c>
      <c r="F446" s="4">
        <v>50.946638063646702</v>
      </c>
      <c r="G446" s="4" t="str">
        <f t="shared" si="12"/>
        <v>OK</v>
      </c>
      <c r="H446" s="4" t="str">
        <f t="shared" si="13"/>
        <v>NON-ZERO</v>
      </c>
      <c r="I446">
        <v>400</v>
      </c>
      <c r="J446">
        <f>IFERROR(Table4[[#This Row],[energy_kwh]]/Table4[[#This Row],[expected_kwh]],0)</f>
        <v>0.94661022294095498</v>
      </c>
      <c r="K446" t="str">
        <f>IF(Table4[[#This Row],[Performance_Ratio]] &lt; 0.85, "Underperforming", "Performing")</f>
        <v>Performing</v>
      </c>
      <c r="L446">
        <f>Table4[[#This Row],[energy_kwh]] - Table4[[#This Row],[expected_kwh]]</f>
        <v>-21.35591082361799</v>
      </c>
      <c r="M446" t="str">
        <f>IF(Table4[[#This Row],[Performance_Deviation]] &lt; 0, "Underperforming", "Outperforming")</f>
        <v>Underperforming</v>
      </c>
      <c r="N446">
        <f>IF(Table4[[#This Row],[Performance_Ratio]] &lt; 0.85, Table4[[#This Row],[Performance_Deviation]] * 50 / 1000, 0)</f>
        <v>0</v>
      </c>
    </row>
    <row r="447" spans="1:14" x14ac:dyDescent="0.3">
      <c r="A447" s="6" t="s">
        <v>6</v>
      </c>
      <c r="B447" s="5">
        <v>45310.541666666664</v>
      </c>
      <c r="C447" s="6">
        <v>376.21282267507701</v>
      </c>
      <c r="D447" s="6">
        <v>451.455387210092</v>
      </c>
      <c r="E447" s="6">
        <v>451.455387210092</v>
      </c>
      <c r="F447" s="6">
        <v>66.469200309488002</v>
      </c>
      <c r="G447" s="6" t="str">
        <f t="shared" si="12"/>
        <v>ERROR</v>
      </c>
      <c r="H447" s="6" t="str">
        <f t="shared" si="13"/>
        <v>NON-ZERO</v>
      </c>
      <c r="I447">
        <v>386.37033051562702</v>
      </c>
      <c r="J447">
        <f>IFERROR(Table4[[#This Row],[energy_kwh]]/Table4[[#This Row],[expected_kwh]],0)</f>
        <v>1.1684525222410487</v>
      </c>
      <c r="K447" t="str">
        <f>IF(Table4[[#This Row],[Performance_Ratio]] &lt; 0.85, "Underperforming", "Performing")</f>
        <v>Performing</v>
      </c>
      <c r="L447">
        <f>Table4[[#This Row],[energy_kwh]] - Table4[[#This Row],[expected_kwh]]</f>
        <v>65.085056694464981</v>
      </c>
      <c r="M447" t="str">
        <f>IF(Table4[[#This Row],[Performance_Deviation]] &lt; 0, "Underperforming", "Outperforming")</f>
        <v>Outperforming</v>
      </c>
      <c r="N447">
        <f>IF(Table4[[#This Row],[Performance_Ratio]] &lt; 0.85, Table4[[#This Row],[Performance_Deviation]] * 50 / 1000, 0)</f>
        <v>0</v>
      </c>
    </row>
    <row r="448" spans="1:14" x14ac:dyDescent="0.3">
      <c r="A448" s="4" t="s">
        <v>6</v>
      </c>
      <c r="B448" s="3">
        <v>45310.583333333336</v>
      </c>
      <c r="C448" s="4">
        <v>357.37695344506699</v>
      </c>
      <c r="D448" s="4">
        <v>341.28841650302797</v>
      </c>
      <c r="E448" s="4">
        <v>341.28841650302797</v>
      </c>
      <c r="F448" s="4">
        <v>56.072966741459197</v>
      </c>
      <c r="G448" s="4" t="str">
        <f t="shared" si="12"/>
        <v>OK</v>
      </c>
      <c r="H448" s="4" t="str">
        <f t="shared" si="13"/>
        <v>NON-ZERO</v>
      </c>
      <c r="I448">
        <v>346.41016151377499</v>
      </c>
      <c r="J448">
        <f>IFERROR(Table4[[#This Row],[energy_kwh]]/Table4[[#This Row],[expected_kwh]],0)</f>
        <v>0.98521479569662296</v>
      </c>
      <c r="K448" t="str">
        <f>IF(Table4[[#This Row],[Performance_Ratio]] &lt; 0.85, "Underperforming", "Performing")</f>
        <v>Performing</v>
      </c>
      <c r="L448">
        <f>Table4[[#This Row],[energy_kwh]] - Table4[[#This Row],[expected_kwh]]</f>
        <v>-5.1217450107470199</v>
      </c>
      <c r="M448" t="str">
        <f>IF(Table4[[#This Row],[Performance_Deviation]] &lt; 0, "Underperforming", "Outperforming")</f>
        <v>Underperforming</v>
      </c>
      <c r="N448">
        <f>IF(Table4[[#This Row],[Performance_Ratio]] &lt; 0.85, Table4[[#This Row],[Performance_Deviation]] * 50 / 1000, 0)</f>
        <v>0</v>
      </c>
    </row>
    <row r="449" spans="1:14" x14ac:dyDescent="0.3">
      <c r="A449" s="6" t="s">
        <v>6</v>
      </c>
      <c r="B449" s="5">
        <v>45310.625</v>
      </c>
      <c r="C449" s="6">
        <v>257.355799112493</v>
      </c>
      <c r="D449" s="6">
        <v>245.77005402916899</v>
      </c>
      <c r="E449" s="6">
        <v>245.77005402916899</v>
      </c>
      <c r="F449" s="6">
        <v>63.498784057109802</v>
      </c>
      <c r="G449" s="6" t="str">
        <f t="shared" si="12"/>
        <v>OK</v>
      </c>
      <c r="H449" s="6" t="str">
        <f t="shared" si="13"/>
        <v>NON-ZERO</v>
      </c>
      <c r="I449">
        <v>282.84271247461902</v>
      </c>
      <c r="J449">
        <f>IFERROR(Table4[[#This Row],[energy_kwh]]/Table4[[#This Row],[expected_kwh]],0)</f>
        <v>0.86892835908304777</v>
      </c>
      <c r="K449" t="str">
        <f>IF(Table4[[#This Row],[Performance_Ratio]] &lt; 0.85, "Underperforming", "Performing")</f>
        <v>Performing</v>
      </c>
      <c r="L449">
        <f>Table4[[#This Row],[energy_kwh]] - Table4[[#This Row],[expected_kwh]]</f>
        <v>-37.072658445450031</v>
      </c>
      <c r="M449" t="str">
        <f>IF(Table4[[#This Row],[Performance_Deviation]] &lt; 0, "Underperforming", "Outperforming")</f>
        <v>Underperforming</v>
      </c>
      <c r="N449">
        <f>IF(Table4[[#This Row],[Performance_Ratio]] &lt; 0.85, Table4[[#This Row],[Performance_Deviation]] * 50 / 1000, 0)</f>
        <v>0</v>
      </c>
    </row>
    <row r="450" spans="1:14" x14ac:dyDescent="0.3">
      <c r="A450" s="4" t="s">
        <v>6</v>
      </c>
      <c r="B450" s="3">
        <v>45310.666666666664</v>
      </c>
      <c r="C450" s="4">
        <v>216.05841836130901</v>
      </c>
      <c r="D450" s="4">
        <v>206.331815087271</v>
      </c>
      <c r="E450" s="4">
        <v>206.331815087271</v>
      </c>
      <c r="F450" s="4">
        <v>80.374174976057702</v>
      </c>
      <c r="G450" s="4" t="str">
        <f t="shared" ref="G450:G513" si="14">IF(D450 &gt; C450, "ERROR", "OK")</f>
        <v>OK</v>
      </c>
      <c r="H450" s="4" t="str">
        <f t="shared" ref="H450:H513" si="15">IF(E450=0,"ZERO","NON-ZERO")</f>
        <v>NON-ZERO</v>
      </c>
      <c r="I450">
        <v>199.99999999999901</v>
      </c>
      <c r="J450">
        <f>IFERROR(Table4[[#This Row],[energy_kwh]]/Table4[[#This Row],[expected_kwh]],0)</f>
        <v>1.0316590754363602</v>
      </c>
      <c r="K450" t="str">
        <f>IF(Table4[[#This Row],[Performance_Ratio]] &lt; 0.85, "Underperforming", "Performing")</f>
        <v>Performing</v>
      </c>
      <c r="L450">
        <f>Table4[[#This Row],[energy_kwh]] - Table4[[#This Row],[expected_kwh]]</f>
        <v>6.3318150872719912</v>
      </c>
      <c r="M450" t="str">
        <f>IF(Table4[[#This Row],[Performance_Deviation]] &lt; 0, "Underperforming", "Outperforming")</f>
        <v>Outperforming</v>
      </c>
      <c r="N450">
        <f>IF(Table4[[#This Row],[Performance_Ratio]] &lt; 0.85, Table4[[#This Row],[Performance_Deviation]] * 50 / 1000, 0)</f>
        <v>0</v>
      </c>
    </row>
    <row r="451" spans="1:14" x14ac:dyDescent="0.3">
      <c r="A451" s="6" t="s">
        <v>6</v>
      </c>
      <c r="B451" s="5">
        <v>45310.708333333336</v>
      </c>
      <c r="C451" s="6">
        <v>112.02340757192199</v>
      </c>
      <c r="D451" s="6">
        <v>106.98029353303301</v>
      </c>
      <c r="E451" s="6">
        <v>106.98029353303301</v>
      </c>
      <c r="F451" s="6">
        <v>57.369176169759001</v>
      </c>
      <c r="G451" s="6" t="str">
        <f t="shared" si="14"/>
        <v>OK</v>
      </c>
      <c r="H451" s="6" t="str">
        <f t="shared" si="15"/>
        <v>NON-ZERO</v>
      </c>
      <c r="I451">
        <v>103.527618041008</v>
      </c>
      <c r="J451">
        <f>IFERROR(Table4[[#This Row],[energy_kwh]]/Table4[[#This Row],[expected_kwh]],0)</f>
        <v>1.0333502842754227</v>
      </c>
      <c r="K451" t="str">
        <f>IF(Table4[[#This Row],[Performance_Ratio]] &lt; 0.85, "Underperforming", "Performing")</f>
        <v>Performing</v>
      </c>
      <c r="L451">
        <f>Table4[[#This Row],[energy_kwh]] - Table4[[#This Row],[expected_kwh]]</f>
        <v>3.4526754920250085</v>
      </c>
      <c r="M451" t="str">
        <f>IF(Table4[[#This Row],[Performance_Deviation]] &lt; 0, "Underperforming", "Outperforming")</f>
        <v>Outperforming</v>
      </c>
      <c r="N451">
        <f>IF(Table4[[#This Row],[Performance_Ratio]] &lt; 0.85, Table4[[#This Row],[Performance_Deviation]] * 50 / 1000, 0)</f>
        <v>0</v>
      </c>
    </row>
    <row r="452" spans="1:14" x14ac:dyDescent="0.3">
      <c r="A452" s="4" t="s">
        <v>6</v>
      </c>
      <c r="B452" s="3">
        <v>45310.75</v>
      </c>
      <c r="C452" s="7">
        <v>5.0363018825483702E-14</v>
      </c>
      <c r="D452" s="7">
        <v>4.8095756538211099E-14</v>
      </c>
      <c r="E452" s="7">
        <v>4.8095756538211099E-14</v>
      </c>
      <c r="F452" s="4">
        <v>58.795179233120699</v>
      </c>
      <c r="G452" s="4" t="str">
        <f t="shared" si="14"/>
        <v>OK</v>
      </c>
      <c r="H452" s="4" t="str">
        <f t="shared" si="15"/>
        <v>NON-ZERO</v>
      </c>
      <c r="I452" s="2">
        <v>4.8985871965894097E-14</v>
      </c>
      <c r="J452">
        <f>IFERROR(Table4[[#This Row],[energy_kwh]]/Table4[[#This Row],[expected_kwh]],0)</f>
        <v>0.98182913987317133</v>
      </c>
      <c r="K452" t="str">
        <f>IF(Table4[[#This Row],[Performance_Ratio]] &lt; 0.85, "Underperforming", "Performing")</f>
        <v>Performing</v>
      </c>
      <c r="L452">
        <f>Table4[[#This Row],[energy_kwh]] - Table4[[#This Row],[expected_kwh]]</f>
        <v>-8.9011542768299837E-16</v>
      </c>
      <c r="M452" t="str">
        <f>IF(Table4[[#This Row],[Performance_Deviation]] &lt; 0, "Underperforming", "Outperforming")</f>
        <v>Underperforming</v>
      </c>
      <c r="N452">
        <f>IF(Table4[[#This Row],[Performance_Ratio]] &lt; 0.85, Table4[[#This Row],[Performance_Deviation]] * 50 / 1000, 0)</f>
        <v>0</v>
      </c>
    </row>
    <row r="453" spans="1:14" x14ac:dyDescent="0.3">
      <c r="A453" s="6" t="s">
        <v>6</v>
      </c>
      <c r="B453" s="5">
        <v>45310.791666666664</v>
      </c>
      <c r="C453" s="6">
        <v>0</v>
      </c>
      <c r="D453" s="6">
        <v>0</v>
      </c>
      <c r="E453" s="6">
        <v>0</v>
      </c>
      <c r="F453" s="6">
        <v>44.614456520698297</v>
      </c>
      <c r="G453" s="6" t="str">
        <f t="shared" si="14"/>
        <v>OK</v>
      </c>
      <c r="H453" s="6" t="str">
        <f t="shared" si="15"/>
        <v>ZERO</v>
      </c>
      <c r="I453">
        <v>0</v>
      </c>
      <c r="J453">
        <f>IFERROR(Table4[[#This Row],[energy_kwh]]/Table4[[#This Row],[expected_kwh]],0)</f>
        <v>0</v>
      </c>
      <c r="K453" t="str">
        <f>IF(Table4[[#This Row],[Performance_Ratio]] &lt; 0.85, "Underperforming", "Performing")</f>
        <v>Underperforming</v>
      </c>
      <c r="L453">
        <f>Table4[[#This Row],[energy_kwh]] - Table4[[#This Row],[expected_kwh]]</f>
        <v>0</v>
      </c>
      <c r="M453" t="str">
        <f>IF(Table4[[#This Row],[Performance_Deviation]] &lt; 0, "Underperforming", "Outperforming")</f>
        <v>Outperforming</v>
      </c>
      <c r="N453">
        <f>IF(Table4[[#This Row],[Performance_Ratio]] &lt; 0.85, Table4[[#This Row],[Performance_Deviation]] * 50 / 1000, 0)</f>
        <v>0</v>
      </c>
    </row>
    <row r="454" spans="1:14" x14ac:dyDescent="0.3">
      <c r="A454" s="4" t="s">
        <v>6</v>
      </c>
      <c r="B454" s="3">
        <v>45310.833333333336</v>
      </c>
      <c r="C454" s="4">
        <v>0</v>
      </c>
      <c r="D454" s="4">
        <v>0</v>
      </c>
      <c r="E454" s="4">
        <v>0</v>
      </c>
      <c r="F454" s="4">
        <v>75.174733567939199</v>
      </c>
      <c r="G454" s="4" t="str">
        <f t="shared" si="14"/>
        <v>OK</v>
      </c>
      <c r="H454" s="4" t="str">
        <f t="shared" si="15"/>
        <v>ZERO</v>
      </c>
      <c r="I454">
        <v>0</v>
      </c>
      <c r="J454">
        <f>IFERROR(Table4[[#This Row],[energy_kwh]]/Table4[[#This Row],[expected_kwh]],0)</f>
        <v>0</v>
      </c>
      <c r="K454" t="str">
        <f>IF(Table4[[#This Row],[Performance_Ratio]] &lt; 0.85, "Underperforming", "Performing")</f>
        <v>Underperforming</v>
      </c>
      <c r="L454">
        <f>Table4[[#This Row],[energy_kwh]] - Table4[[#This Row],[expected_kwh]]</f>
        <v>0</v>
      </c>
      <c r="M454" t="str">
        <f>IF(Table4[[#This Row],[Performance_Deviation]] &lt; 0, "Underperforming", "Outperforming")</f>
        <v>Outperforming</v>
      </c>
      <c r="N454">
        <f>IF(Table4[[#This Row],[Performance_Ratio]] &lt; 0.85, Table4[[#This Row],[Performance_Deviation]] * 50 / 1000, 0)</f>
        <v>0</v>
      </c>
    </row>
    <row r="455" spans="1:14" x14ac:dyDescent="0.3">
      <c r="A455" s="6" t="s">
        <v>6</v>
      </c>
      <c r="B455" s="5">
        <v>45310.875</v>
      </c>
      <c r="C455" s="6">
        <v>0</v>
      </c>
      <c r="D455" s="6">
        <v>0</v>
      </c>
      <c r="E455" s="6">
        <v>0</v>
      </c>
      <c r="F455" s="6">
        <v>68.192389965139299</v>
      </c>
      <c r="G455" s="6" t="str">
        <f t="shared" si="14"/>
        <v>OK</v>
      </c>
      <c r="H455" s="6" t="str">
        <f t="shared" si="15"/>
        <v>ZERO</v>
      </c>
      <c r="I455">
        <v>0</v>
      </c>
      <c r="J455">
        <f>IFERROR(Table4[[#This Row],[energy_kwh]]/Table4[[#This Row],[expected_kwh]],0)</f>
        <v>0</v>
      </c>
      <c r="K455" t="str">
        <f>IF(Table4[[#This Row],[Performance_Ratio]] &lt; 0.85, "Underperforming", "Performing")</f>
        <v>Underperforming</v>
      </c>
      <c r="L455">
        <f>Table4[[#This Row],[energy_kwh]] - Table4[[#This Row],[expected_kwh]]</f>
        <v>0</v>
      </c>
      <c r="M455" t="str">
        <f>IF(Table4[[#This Row],[Performance_Deviation]] &lt; 0, "Underperforming", "Outperforming")</f>
        <v>Outperforming</v>
      </c>
      <c r="N455">
        <f>IF(Table4[[#This Row],[Performance_Ratio]] &lt; 0.85, Table4[[#This Row],[Performance_Deviation]] * 50 / 1000, 0)</f>
        <v>0</v>
      </c>
    </row>
    <row r="456" spans="1:14" x14ac:dyDescent="0.3">
      <c r="A456" s="4" t="s">
        <v>6</v>
      </c>
      <c r="B456" s="3">
        <v>45310.916666666664</v>
      </c>
      <c r="C456" s="4">
        <v>0</v>
      </c>
      <c r="D456" s="4">
        <v>0</v>
      </c>
      <c r="E456" s="4">
        <v>0</v>
      </c>
      <c r="F456" s="4">
        <v>50.742866727221603</v>
      </c>
      <c r="G456" s="4" t="str">
        <f t="shared" si="14"/>
        <v>OK</v>
      </c>
      <c r="H456" s="4" t="str">
        <f t="shared" si="15"/>
        <v>ZERO</v>
      </c>
      <c r="I456">
        <v>0</v>
      </c>
      <c r="J456">
        <f>IFERROR(Table4[[#This Row],[energy_kwh]]/Table4[[#This Row],[expected_kwh]],0)</f>
        <v>0</v>
      </c>
      <c r="K456" t="str">
        <f>IF(Table4[[#This Row],[Performance_Ratio]] &lt; 0.85, "Underperforming", "Performing")</f>
        <v>Underperforming</v>
      </c>
      <c r="L456">
        <f>Table4[[#This Row],[energy_kwh]] - Table4[[#This Row],[expected_kwh]]</f>
        <v>0</v>
      </c>
      <c r="M456" t="str">
        <f>IF(Table4[[#This Row],[Performance_Deviation]] &lt; 0, "Underperforming", "Outperforming")</f>
        <v>Outperforming</v>
      </c>
      <c r="N456">
        <f>IF(Table4[[#This Row],[Performance_Ratio]] &lt; 0.85, Table4[[#This Row],[Performance_Deviation]] * 50 / 1000, 0)</f>
        <v>0</v>
      </c>
    </row>
    <row r="457" spans="1:14" x14ac:dyDescent="0.3">
      <c r="A457" s="6" t="s">
        <v>6</v>
      </c>
      <c r="B457" s="5">
        <v>45310.958333333336</v>
      </c>
      <c r="C457" s="6">
        <v>0</v>
      </c>
      <c r="D457" s="6">
        <v>0</v>
      </c>
      <c r="E457" s="6">
        <v>0</v>
      </c>
      <c r="F457" s="6">
        <v>62.890420342038901</v>
      </c>
      <c r="G457" s="6" t="str">
        <f t="shared" si="14"/>
        <v>OK</v>
      </c>
      <c r="H457" s="6" t="str">
        <f t="shared" si="15"/>
        <v>ZERO</v>
      </c>
      <c r="I457">
        <v>0</v>
      </c>
      <c r="J457">
        <f>IFERROR(Table4[[#This Row],[energy_kwh]]/Table4[[#This Row],[expected_kwh]],0)</f>
        <v>0</v>
      </c>
      <c r="K457" t="str">
        <f>IF(Table4[[#This Row],[Performance_Ratio]] &lt; 0.85, "Underperforming", "Performing")</f>
        <v>Underperforming</v>
      </c>
      <c r="L457">
        <f>Table4[[#This Row],[energy_kwh]] - Table4[[#This Row],[expected_kwh]]</f>
        <v>0</v>
      </c>
      <c r="M457" t="str">
        <f>IF(Table4[[#This Row],[Performance_Deviation]] &lt; 0, "Underperforming", "Outperforming")</f>
        <v>Outperforming</v>
      </c>
      <c r="N457">
        <f>IF(Table4[[#This Row],[Performance_Ratio]] &lt; 0.85, Table4[[#This Row],[Performance_Deviation]] * 50 / 1000, 0)</f>
        <v>0</v>
      </c>
    </row>
    <row r="458" spans="1:14" x14ac:dyDescent="0.3">
      <c r="A458" s="4" t="s">
        <v>6</v>
      </c>
      <c r="B458" s="3">
        <v>45311</v>
      </c>
      <c r="C458" s="4">
        <v>0</v>
      </c>
      <c r="D458" s="4">
        <v>0</v>
      </c>
      <c r="E458" s="4">
        <v>0</v>
      </c>
      <c r="F458" s="4">
        <v>21.964753139904801</v>
      </c>
      <c r="G458" s="4" t="str">
        <f t="shared" si="14"/>
        <v>OK</v>
      </c>
      <c r="H458" s="4" t="str">
        <f t="shared" si="15"/>
        <v>ZERO</v>
      </c>
      <c r="I458">
        <v>0</v>
      </c>
      <c r="J458">
        <f>IFERROR(Table4[[#This Row],[energy_kwh]]/Table4[[#This Row],[expected_kwh]],0)</f>
        <v>0</v>
      </c>
      <c r="K458" t="str">
        <f>IF(Table4[[#This Row],[Performance_Ratio]] &lt; 0.85, "Underperforming", "Performing")</f>
        <v>Underperforming</v>
      </c>
      <c r="L458">
        <f>Table4[[#This Row],[energy_kwh]] - Table4[[#This Row],[expected_kwh]]</f>
        <v>0</v>
      </c>
      <c r="M458" t="str">
        <f>IF(Table4[[#This Row],[Performance_Deviation]] &lt; 0, "Underperforming", "Outperforming")</f>
        <v>Outperforming</v>
      </c>
      <c r="N458">
        <f>IF(Table4[[#This Row],[Performance_Ratio]] &lt; 0.85, Table4[[#This Row],[Performance_Deviation]] * 50 / 1000, 0)</f>
        <v>0</v>
      </c>
    </row>
    <row r="459" spans="1:14" x14ac:dyDescent="0.3">
      <c r="A459" s="6" t="s">
        <v>6</v>
      </c>
      <c r="B459" s="5">
        <v>45311.041666666664</v>
      </c>
      <c r="C459" s="6">
        <v>0</v>
      </c>
      <c r="D459" s="6">
        <v>0</v>
      </c>
      <c r="E459" s="6">
        <v>0</v>
      </c>
      <c r="F459" s="6">
        <v>40.4803107479609</v>
      </c>
      <c r="G459" s="6" t="str">
        <f t="shared" si="14"/>
        <v>OK</v>
      </c>
      <c r="H459" s="6" t="str">
        <f t="shared" si="15"/>
        <v>ZERO</v>
      </c>
      <c r="I459">
        <v>0</v>
      </c>
      <c r="J459">
        <f>IFERROR(Table4[[#This Row],[energy_kwh]]/Table4[[#This Row],[expected_kwh]],0)</f>
        <v>0</v>
      </c>
      <c r="K459" t="str">
        <f>IF(Table4[[#This Row],[Performance_Ratio]] &lt; 0.85, "Underperforming", "Performing")</f>
        <v>Underperforming</v>
      </c>
      <c r="L459">
        <f>Table4[[#This Row],[energy_kwh]] - Table4[[#This Row],[expected_kwh]]</f>
        <v>0</v>
      </c>
      <c r="M459" t="str">
        <f>IF(Table4[[#This Row],[Performance_Deviation]] &lt; 0, "Underperforming", "Outperforming")</f>
        <v>Outperforming</v>
      </c>
      <c r="N459">
        <f>IF(Table4[[#This Row],[Performance_Ratio]] &lt; 0.85, Table4[[#This Row],[Performance_Deviation]] * 50 / 1000, 0)</f>
        <v>0</v>
      </c>
    </row>
    <row r="460" spans="1:14" x14ac:dyDescent="0.3">
      <c r="A460" s="4" t="s">
        <v>6</v>
      </c>
      <c r="B460" s="3">
        <v>45311.083333333336</v>
      </c>
      <c r="C460" s="4">
        <v>0</v>
      </c>
      <c r="D460" s="4">
        <v>0</v>
      </c>
      <c r="E460" s="4">
        <v>0</v>
      </c>
      <c r="F460" s="4">
        <v>52.2242609554201</v>
      </c>
      <c r="G460" s="4" t="str">
        <f t="shared" si="14"/>
        <v>OK</v>
      </c>
      <c r="H460" s="4" t="str">
        <f t="shared" si="15"/>
        <v>ZERO</v>
      </c>
      <c r="I460">
        <v>0</v>
      </c>
      <c r="J460">
        <f>IFERROR(Table4[[#This Row],[energy_kwh]]/Table4[[#This Row],[expected_kwh]],0)</f>
        <v>0</v>
      </c>
      <c r="K460" t="str">
        <f>IF(Table4[[#This Row],[Performance_Ratio]] &lt; 0.85, "Underperforming", "Performing")</f>
        <v>Underperforming</v>
      </c>
      <c r="L460">
        <f>Table4[[#This Row],[energy_kwh]] - Table4[[#This Row],[expected_kwh]]</f>
        <v>0</v>
      </c>
      <c r="M460" t="str">
        <f>IF(Table4[[#This Row],[Performance_Deviation]] &lt; 0, "Underperforming", "Outperforming")</f>
        <v>Outperforming</v>
      </c>
      <c r="N460">
        <f>IF(Table4[[#This Row],[Performance_Ratio]] &lt; 0.85, Table4[[#This Row],[Performance_Deviation]] * 50 / 1000, 0)</f>
        <v>0</v>
      </c>
    </row>
    <row r="461" spans="1:14" x14ac:dyDescent="0.3">
      <c r="A461" s="6" t="s">
        <v>6</v>
      </c>
      <c r="B461" s="5">
        <v>45311.125</v>
      </c>
      <c r="C461" s="6">
        <v>0</v>
      </c>
      <c r="D461" s="6">
        <v>0</v>
      </c>
      <c r="E461" s="6">
        <v>0</v>
      </c>
      <c r="F461" s="6">
        <v>33.957606338470796</v>
      </c>
      <c r="G461" s="6" t="str">
        <f t="shared" si="14"/>
        <v>OK</v>
      </c>
      <c r="H461" s="6" t="str">
        <f t="shared" si="15"/>
        <v>ZERO</v>
      </c>
      <c r="I461">
        <v>0</v>
      </c>
      <c r="J461">
        <f>IFERROR(Table4[[#This Row],[energy_kwh]]/Table4[[#This Row],[expected_kwh]],0)</f>
        <v>0</v>
      </c>
      <c r="K461" t="str">
        <f>IF(Table4[[#This Row],[Performance_Ratio]] &lt; 0.85, "Underperforming", "Performing")</f>
        <v>Underperforming</v>
      </c>
      <c r="L461">
        <f>Table4[[#This Row],[energy_kwh]] - Table4[[#This Row],[expected_kwh]]</f>
        <v>0</v>
      </c>
      <c r="M461" t="str">
        <f>IF(Table4[[#This Row],[Performance_Deviation]] &lt; 0, "Underperforming", "Outperforming")</f>
        <v>Outperforming</v>
      </c>
      <c r="N461">
        <f>IF(Table4[[#This Row],[Performance_Ratio]] &lt; 0.85, Table4[[#This Row],[Performance_Deviation]] * 50 / 1000, 0)</f>
        <v>0</v>
      </c>
    </row>
    <row r="462" spans="1:14" x14ac:dyDescent="0.3">
      <c r="A462" s="4" t="s">
        <v>6</v>
      </c>
      <c r="B462" s="3">
        <v>45311.166666666664</v>
      </c>
      <c r="C462" s="4">
        <v>0</v>
      </c>
      <c r="D462" s="4">
        <v>0</v>
      </c>
      <c r="E462" s="4">
        <v>0</v>
      </c>
      <c r="F462" s="4">
        <v>26.045113531784299</v>
      </c>
      <c r="G462" s="4" t="str">
        <f t="shared" si="14"/>
        <v>OK</v>
      </c>
      <c r="H462" s="4" t="str">
        <f t="shared" si="15"/>
        <v>ZERO</v>
      </c>
      <c r="I462">
        <v>0</v>
      </c>
      <c r="J462">
        <f>IFERROR(Table4[[#This Row],[energy_kwh]]/Table4[[#This Row],[expected_kwh]],0)</f>
        <v>0</v>
      </c>
      <c r="K462" t="str">
        <f>IF(Table4[[#This Row],[Performance_Ratio]] &lt; 0.85, "Underperforming", "Performing")</f>
        <v>Underperforming</v>
      </c>
      <c r="L462">
        <f>Table4[[#This Row],[energy_kwh]] - Table4[[#This Row],[expected_kwh]]</f>
        <v>0</v>
      </c>
      <c r="M462" t="str">
        <f>IF(Table4[[#This Row],[Performance_Deviation]] &lt; 0, "Underperforming", "Outperforming")</f>
        <v>Outperforming</v>
      </c>
      <c r="N462">
        <f>IF(Table4[[#This Row],[Performance_Ratio]] &lt; 0.85, Table4[[#This Row],[Performance_Deviation]] * 50 / 1000, 0)</f>
        <v>0</v>
      </c>
    </row>
    <row r="463" spans="1:14" x14ac:dyDescent="0.3">
      <c r="A463" s="6" t="s">
        <v>6</v>
      </c>
      <c r="B463" s="5">
        <v>45311.208333333336</v>
      </c>
      <c r="C463" s="6">
        <v>0</v>
      </c>
      <c r="D463" s="6">
        <v>0</v>
      </c>
      <c r="E463" s="6">
        <v>0</v>
      </c>
      <c r="F463" s="6">
        <v>52.763802696138399</v>
      </c>
      <c r="G463" s="6" t="str">
        <f t="shared" si="14"/>
        <v>OK</v>
      </c>
      <c r="H463" s="6" t="str">
        <f t="shared" si="15"/>
        <v>ZERO</v>
      </c>
      <c r="I463">
        <v>0</v>
      </c>
      <c r="J463">
        <f>IFERROR(Table4[[#This Row],[energy_kwh]]/Table4[[#This Row],[expected_kwh]],0)</f>
        <v>0</v>
      </c>
      <c r="K463" t="str">
        <f>IF(Table4[[#This Row],[Performance_Ratio]] &lt; 0.85, "Underperforming", "Performing")</f>
        <v>Underperforming</v>
      </c>
      <c r="L463">
        <f>Table4[[#This Row],[energy_kwh]] - Table4[[#This Row],[expected_kwh]]</f>
        <v>0</v>
      </c>
      <c r="M463" t="str">
        <f>IF(Table4[[#This Row],[Performance_Deviation]] &lt; 0, "Underperforming", "Outperforming")</f>
        <v>Outperforming</v>
      </c>
      <c r="N463">
        <f>IF(Table4[[#This Row],[Performance_Ratio]] &lt; 0.85, Table4[[#This Row],[Performance_Deviation]] * 50 / 1000, 0)</f>
        <v>0</v>
      </c>
    </row>
    <row r="464" spans="1:14" x14ac:dyDescent="0.3">
      <c r="A464" s="4" t="s">
        <v>6</v>
      </c>
      <c r="B464" s="3">
        <v>45311.25</v>
      </c>
      <c r="C464" s="4">
        <v>0</v>
      </c>
      <c r="D464" s="4">
        <v>0</v>
      </c>
      <c r="E464" s="4">
        <v>0</v>
      </c>
      <c r="F464" s="4">
        <v>30.151556170826399</v>
      </c>
      <c r="G464" s="4" t="str">
        <f t="shared" si="14"/>
        <v>OK</v>
      </c>
      <c r="H464" s="4" t="str">
        <f t="shared" si="15"/>
        <v>ZERO</v>
      </c>
      <c r="I464">
        <v>0</v>
      </c>
      <c r="J464">
        <f>IFERROR(Table4[[#This Row],[energy_kwh]]/Table4[[#This Row],[expected_kwh]],0)</f>
        <v>0</v>
      </c>
      <c r="K464" t="str">
        <f>IF(Table4[[#This Row],[Performance_Ratio]] &lt; 0.85, "Underperforming", "Performing")</f>
        <v>Underperforming</v>
      </c>
      <c r="L464">
        <f>Table4[[#This Row],[energy_kwh]] - Table4[[#This Row],[expected_kwh]]</f>
        <v>0</v>
      </c>
      <c r="M464" t="str">
        <f>IF(Table4[[#This Row],[Performance_Deviation]] &lt; 0, "Underperforming", "Outperforming")</f>
        <v>Outperforming</v>
      </c>
      <c r="N464">
        <f>IF(Table4[[#This Row],[Performance_Ratio]] &lt; 0.85, Table4[[#This Row],[Performance_Deviation]] * 50 / 1000, 0)</f>
        <v>0</v>
      </c>
    </row>
    <row r="465" spans="1:14" x14ac:dyDescent="0.3">
      <c r="A465" s="6" t="s">
        <v>6</v>
      </c>
      <c r="B465" s="5">
        <v>45311.291666666664</v>
      </c>
      <c r="C465" s="6">
        <v>103.990142482039</v>
      </c>
      <c r="D465" s="6">
        <v>99.308673146084303</v>
      </c>
      <c r="E465" s="6">
        <v>99.308673146084303</v>
      </c>
      <c r="F465" s="6">
        <v>91.746096581259295</v>
      </c>
      <c r="G465" s="6" t="str">
        <f t="shared" si="14"/>
        <v>OK</v>
      </c>
      <c r="H465" s="6" t="str">
        <f t="shared" si="15"/>
        <v>NON-ZERO</v>
      </c>
      <c r="I465">
        <v>103.527618041008</v>
      </c>
      <c r="J465">
        <f>IFERROR(Table4[[#This Row],[energy_kwh]]/Table4[[#This Row],[expected_kwh]],0)</f>
        <v>0.95924812166302775</v>
      </c>
      <c r="K465" t="str">
        <f>IF(Table4[[#This Row],[Performance_Ratio]] &lt; 0.85, "Underperforming", "Performing")</f>
        <v>Performing</v>
      </c>
      <c r="L465">
        <f>Table4[[#This Row],[energy_kwh]] - Table4[[#This Row],[expected_kwh]]</f>
        <v>-4.2189448949236947</v>
      </c>
      <c r="M465" t="str">
        <f>IF(Table4[[#This Row],[Performance_Deviation]] &lt; 0, "Underperforming", "Outperforming")</f>
        <v>Underperforming</v>
      </c>
      <c r="N465">
        <f>IF(Table4[[#This Row],[Performance_Ratio]] &lt; 0.85, Table4[[#This Row],[Performance_Deviation]] * 50 / 1000, 0)</f>
        <v>0</v>
      </c>
    </row>
    <row r="466" spans="1:14" x14ac:dyDescent="0.3">
      <c r="A466" s="4" t="s">
        <v>6</v>
      </c>
      <c r="B466" s="3">
        <v>45311.333333333336</v>
      </c>
      <c r="C466" s="4">
        <v>176.330746202032</v>
      </c>
      <c r="D466" s="4">
        <v>168.392618975468</v>
      </c>
      <c r="E466" s="4">
        <v>168.392618975468</v>
      </c>
      <c r="F466" s="4">
        <v>38.715964988712898</v>
      </c>
      <c r="G466" s="4" t="str">
        <f t="shared" si="14"/>
        <v>OK</v>
      </c>
      <c r="H466" s="4" t="str">
        <f t="shared" si="15"/>
        <v>NON-ZERO</v>
      </c>
      <c r="I466">
        <v>199.99999999999901</v>
      </c>
      <c r="J466">
        <f>IFERROR(Table4[[#This Row],[energy_kwh]]/Table4[[#This Row],[expected_kwh]],0)</f>
        <v>0.84196309487734422</v>
      </c>
      <c r="K466" t="str">
        <f>IF(Table4[[#This Row],[Performance_Ratio]] &lt; 0.85, "Underperforming", "Performing")</f>
        <v>Underperforming</v>
      </c>
      <c r="L466">
        <f>Table4[[#This Row],[energy_kwh]] - Table4[[#This Row],[expected_kwh]]</f>
        <v>-31.607381024531009</v>
      </c>
      <c r="M466" t="str">
        <f>IF(Table4[[#This Row],[Performance_Deviation]] &lt; 0, "Underperforming", "Outperforming")</f>
        <v>Underperforming</v>
      </c>
      <c r="N466">
        <f>IF(Table4[[#This Row],[Performance_Ratio]] &lt; 0.85, Table4[[#This Row],[Performance_Deviation]] * 50 / 1000, 0)</f>
        <v>-1.5803690512265505</v>
      </c>
    </row>
    <row r="467" spans="1:14" x14ac:dyDescent="0.3">
      <c r="A467" s="6" t="s">
        <v>6</v>
      </c>
      <c r="B467" s="5">
        <v>45311.375</v>
      </c>
      <c r="C467" s="6">
        <v>251.030852725161</v>
      </c>
      <c r="D467" s="6">
        <v>239.729846578213</v>
      </c>
      <c r="E467" s="6">
        <v>239.729846578213</v>
      </c>
      <c r="F467" s="6">
        <v>53.730488183790499</v>
      </c>
      <c r="G467" s="6" t="str">
        <f t="shared" si="14"/>
        <v>OK</v>
      </c>
      <c r="H467" s="6" t="str">
        <f t="shared" si="15"/>
        <v>NON-ZERO</v>
      </c>
      <c r="I467">
        <v>282.84271247461902</v>
      </c>
      <c r="J467">
        <f>IFERROR(Table4[[#This Row],[energy_kwh]]/Table4[[#This Row],[expected_kwh]],0)</f>
        <v>0.84757300084132536</v>
      </c>
      <c r="K467" t="str">
        <f>IF(Table4[[#This Row],[Performance_Ratio]] &lt; 0.85, "Underperforming", "Performing")</f>
        <v>Underperforming</v>
      </c>
      <c r="L467">
        <f>Table4[[#This Row],[energy_kwh]] - Table4[[#This Row],[expected_kwh]]</f>
        <v>-43.112865896406021</v>
      </c>
      <c r="M467" t="str">
        <f>IF(Table4[[#This Row],[Performance_Deviation]] &lt; 0, "Underperforming", "Outperforming")</f>
        <v>Underperforming</v>
      </c>
      <c r="N467">
        <f>IF(Table4[[#This Row],[Performance_Ratio]] &lt; 0.85, Table4[[#This Row],[Performance_Deviation]] * 50 / 1000, 0)</f>
        <v>-2.155643294820301</v>
      </c>
    </row>
    <row r="468" spans="1:14" x14ac:dyDescent="0.3">
      <c r="A468" s="4" t="s">
        <v>6</v>
      </c>
      <c r="B468" s="3">
        <v>45311.416666666664</v>
      </c>
      <c r="C468" s="4">
        <v>316.33293911056899</v>
      </c>
      <c r="D468" s="4">
        <v>302.092137828327</v>
      </c>
      <c r="E468" s="4">
        <v>302.092137828327</v>
      </c>
      <c r="F468" s="4">
        <v>30.443402833819601</v>
      </c>
      <c r="G468" s="4" t="str">
        <f t="shared" si="14"/>
        <v>OK</v>
      </c>
      <c r="H468" s="4" t="str">
        <f t="shared" si="15"/>
        <v>NON-ZERO</v>
      </c>
      <c r="I468">
        <v>346.41016151377499</v>
      </c>
      <c r="J468">
        <f>IFERROR(Table4[[#This Row],[energy_kwh]]/Table4[[#This Row],[expected_kwh]],0)</f>
        <v>0.87206488547627181</v>
      </c>
      <c r="K468" t="str">
        <f>IF(Table4[[#This Row],[Performance_Ratio]] &lt; 0.85, "Underperforming", "Performing")</f>
        <v>Performing</v>
      </c>
      <c r="L468">
        <f>Table4[[#This Row],[energy_kwh]] - Table4[[#This Row],[expected_kwh]]</f>
        <v>-44.318023685447997</v>
      </c>
      <c r="M468" t="str">
        <f>IF(Table4[[#This Row],[Performance_Deviation]] &lt; 0, "Underperforming", "Outperforming")</f>
        <v>Underperforming</v>
      </c>
      <c r="N468">
        <f>IF(Table4[[#This Row],[Performance_Ratio]] &lt; 0.85, Table4[[#This Row],[Performance_Deviation]] * 50 / 1000, 0)</f>
        <v>0</v>
      </c>
    </row>
    <row r="469" spans="1:14" x14ac:dyDescent="0.3">
      <c r="A469" s="6" t="s">
        <v>6</v>
      </c>
      <c r="B469" s="5">
        <v>45311.458333333336</v>
      </c>
      <c r="C469" s="6">
        <v>366.67264263572702</v>
      </c>
      <c r="D469" s="6">
        <v>350.16562868361802</v>
      </c>
      <c r="E469" s="6">
        <v>350.16562868361802</v>
      </c>
      <c r="F469" s="6">
        <v>46.050749469413198</v>
      </c>
      <c r="G469" s="6" t="str">
        <f t="shared" si="14"/>
        <v>OK</v>
      </c>
      <c r="H469" s="6" t="str">
        <f t="shared" si="15"/>
        <v>NON-ZERO</v>
      </c>
      <c r="I469">
        <v>386.37033051562702</v>
      </c>
      <c r="J469">
        <f>IFERROR(Table4[[#This Row],[energy_kwh]]/Table4[[#This Row],[expected_kwh]],0)</f>
        <v>0.90629533643617943</v>
      </c>
      <c r="K469" t="str">
        <f>IF(Table4[[#This Row],[Performance_Ratio]] &lt; 0.85, "Underperforming", "Performing")</f>
        <v>Performing</v>
      </c>
      <c r="L469">
        <f>Table4[[#This Row],[energy_kwh]] - Table4[[#This Row],[expected_kwh]]</f>
        <v>-36.204701832008993</v>
      </c>
      <c r="M469" t="str">
        <f>IF(Table4[[#This Row],[Performance_Deviation]] &lt; 0, "Underperforming", "Outperforming")</f>
        <v>Underperforming</v>
      </c>
      <c r="N469">
        <f>IF(Table4[[#This Row],[Performance_Ratio]] &lt; 0.85, Table4[[#This Row],[Performance_Deviation]] * 50 / 1000, 0)</f>
        <v>0</v>
      </c>
    </row>
    <row r="470" spans="1:14" x14ac:dyDescent="0.3">
      <c r="A470" s="4" t="s">
        <v>6</v>
      </c>
      <c r="B470" s="3">
        <v>45311.5</v>
      </c>
      <c r="C470" s="4">
        <v>386.91816657857601</v>
      </c>
      <c r="D470" s="4">
        <v>369.49973162764297</v>
      </c>
      <c r="E470" s="4">
        <v>369.49973162764297</v>
      </c>
      <c r="F470" s="4">
        <v>23.919340946451701</v>
      </c>
      <c r="G470" s="4" t="str">
        <f t="shared" si="14"/>
        <v>OK</v>
      </c>
      <c r="H470" s="4" t="str">
        <f t="shared" si="15"/>
        <v>NON-ZERO</v>
      </c>
      <c r="I470">
        <v>400</v>
      </c>
      <c r="J470">
        <f>IFERROR(Table4[[#This Row],[energy_kwh]]/Table4[[#This Row],[expected_kwh]],0)</f>
        <v>0.92374932906910745</v>
      </c>
      <c r="K470" t="str">
        <f>IF(Table4[[#This Row],[Performance_Ratio]] &lt; 0.85, "Underperforming", "Performing")</f>
        <v>Performing</v>
      </c>
      <c r="L470">
        <f>Table4[[#This Row],[energy_kwh]] - Table4[[#This Row],[expected_kwh]]</f>
        <v>-30.500268372357027</v>
      </c>
      <c r="M470" t="str">
        <f>IF(Table4[[#This Row],[Performance_Deviation]] &lt; 0, "Underperforming", "Outperforming")</f>
        <v>Underperforming</v>
      </c>
      <c r="N470">
        <f>IF(Table4[[#This Row],[Performance_Ratio]] &lt; 0.85, Table4[[#This Row],[Performance_Deviation]] * 50 / 1000, 0)</f>
        <v>0</v>
      </c>
    </row>
    <row r="471" spans="1:14" x14ac:dyDescent="0.3">
      <c r="A471" s="6" t="s">
        <v>6</v>
      </c>
      <c r="B471" s="5">
        <v>45311.541666666664</v>
      </c>
      <c r="C471" s="6">
        <v>369.41376306961899</v>
      </c>
      <c r="D471" s="6">
        <v>352.7833482744</v>
      </c>
      <c r="E471" s="6">
        <v>352.7833482744</v>
      </c>
      <c r="F471" s="6">
        <v>74.811572373554696</v>
      </c>
      <c r="G471" s="6" t="str">
        <f t="shared" si="14"/>
        <v>OK</v>
      </c>
      <c r="H471" s="6" t="str">
        <f t="shared" si="15"/>
        <v>NON-ZERO</v>
      </c>
      <c r="I471">
        <v>386.37033051562702</v>
      </c>
      <c r="J471">
        <f>IFERROR(Table4[[#This Row],[energy_kwh]]/Table4[[#This Row],[expected_kwh]],0)</f>
        <v>0.91307049328450296</v>
      </c>
      <c r="K471" t="str">
        <f>IF(Table4[[#This Row],[Performance_Ratio]] &lt; 0.85, "Underperforming", "Performing")</f>
        <v>Performing</v>
      </c>
      <c r="L471">
        <f>Table4[[#This Row],[energy_kwh]] - Table4[[#This Row],[expected_kwh]]</f>
        <v>-33.58698224122702</v>
      </c>
      <c r="M471" t="str">
        <f>IF(Table4[[#This Row],[Performance_Deviation]] &lt; 0, "Underperforming", "Outperforming")</f>
        <v>Underperforming</v>
      </c>
      <c r="N471">
        <f>IF(Table4[[#This Row],[Performance_Ratio]] &lt; 0.85, Table4[[#This Row],[Performance_Deviation]] * 50 / 1000, 0)</f>
        <v>0</v>
      </c>
    </row>
    <row r="472" spans="1:14" x14ac:dyDescent="0.3">
      <c r="A472" s="4" t="s">
        <v>6</v>
      </c>
      <c r="B472" s="3">
        <v>45311.583333333336</v>
      </c>
      <c r="C472" s="4">
        <v>302.16389610889303</v>
      </c>
      <c r="D472" s="4">
        <v>288.56096240476001</v>
      </c>
      <c r="E472" s="4">
        <v>288.56096240476001</v>
      </c>
      <c r="F472" s="4">
        <v>92.900399722365194</v>
      </c>
      <c r="G472" s="4" t="str">
        <f t="shared" si="14"/>
        <v>OK</v>
      </c>
      <c r="H472" s="4" t="str">
        <f t="shared" si="15"/>
        <v>NON-ZERO</v>
      </c>
      <c r="I472">
        <v>346.41016151377499</v>
      </c>
      <c r="J472">
        <f>IFERROR(Table4[[#This Row],[energy_kwh]]/Table4[[#This Row],[expected_kwh]],0)</f>
        <v>0.83300374661002941</v>
      </c>
      <c r="K472" t="str">
        <f>IF(Table4[[#This Row],[Performance_Ratio]] &lt; 0.85, "Underperforming", "Performing")</f>
        <v>Underperforming</v>
      </c>
      <c r="L472">
        <f>Table4[[#This Row],[energy_kwh]] - Table4[[#This Row],[expected_kwh]]</f>
        <v>-57.84919910901499</v>
      </c>
      <c r="M472" t="str">
        <f>IF(Table4[[#This Row],[Performance_Deviation]] &lt; 0, "Underperforming", "Outperforming")</f>
        <v>Underperforming</v>
      </c>
      <c r="N472">
        <f>IF(Table4[[#This Row],[Performance_Ratio]] &lt; 0.85, Table4[[#This Row],[Performance_Deviation]] * 50 / 1000, 0)</f>
        <v>-2.8924599554507493</v>
      </c>
    </row>
    <row r="473" spans="1:14" x14ac:dyDescent="0.3">
      <c r="A473" s="6" t="s">
        <v>6</v>
      </c>
      <c r="B473" s="5">
        <v>45311.625</v>
      </c>
      <c r="C473" s="6">
        <v>279.92770329720997</v>
      </c>
      <c r="D473" s="6">
        <v>267.32580730984199</v>
      </c>
      <c r="E473" s="6">
        <v>267.32580730984199</v>
      </c>
      <c r="F473" s="6">
        <v>28.557183866595</v>
      </c>
      <c r="G473" s="6" t="str">
        <f t="shared" si="14"/>
        <v>OK</v>
      </c>
      <c r="H473" s="6" t="str">
        <f t="shared" si="15"/>
        <v>NON-ZERO</v>
      </c>
      <c r="I473">
        <v>282.84271247461902</v>
      </c>
      <c r="J473">
        <f>IFERROR(Table4[[#This Row],[energy_kwh]]/Table4[[#This Row],[expected_kwh]],0)</f>
        <v>0.94513945567478796</v>
      </c>
      <c r="K473" t="str">
        <f>IF(Table4[[#This Row],[Performance_Ratio]] &lt; 0.85, "Underperforming", "Performing")</f>
        <v>Performing</v>
      </c>
      <c r="L473">
        <f>Table4[[#This Row],[energy_kwh]] - Table4[[#This Row],[expected_kwh]]</f>
        <v>-15.516905164777029</v>
      </c>
      <c r="M473" t="str">
        <f>IF(Table4[[#This Row],[Performance_Deviation]] &lt; 0, "Underperforming", "Outperforming")</f>
        <v>Underperforming</v>
      </c>
      <c r="N473">
        <f>IF(Table4[[#This Row],[Performance_Ratio]] &lt; 0.85, Table4[[#This Row],[Performance_Deviation]] * 50 / 1000, 0)</f>
        <v>0</v>
      </c>
    </row>
    <row r="474" spans="1:14" x14ac:dyDescent="0.3">
      <c r="A474" s="4" t="s">
        <v>6</v>
      </c>
      <c r="B474" s="3">
        <v>45311.666666666664</v>
      </c>
      <c r="C474" s="4">
        <v>184.02540036364701</v>
      </c>
      <c r="D474" s="4">
        <v>175.74087215475299</v>
      </c>
      <c r="E474" s="4">
        <v>175.74087215475299</v>
      </c>
      <c r="F474" s="4">
        <v>62.091709121189297</v>
      </c>
      <c r="G474" s="4" t="str">
        <f t="shared" si="14"/>
        <v>OK</v>
      </c>
      <c r="H474" s="4" t="str">
        <f t="shared" si="15"/>
        <v>NON-ZERO</v>
      </c>
      <c r="I474">
        <v>199.99999999999901</v>
      </c>
      <c r="J474">
        <f>IFERROR(Table4[[#This Row],[energy_kwh]]/Table4[[#This Row],[expected_kwh]],0)</f>
        <v>0.87870436077376934</v>
      </c>
      <c r="K474" t="str">
        <f>IF(Table4[[#This Row],[Performance_Ratio]] &lt; 0.85, "Underperforming", "Performing")</f>
        <v>Performing</v>
      </c>
      <c r="L474">
        <f>Table4[[#This Row],[energy_kwh]] - Table4[[#This Row],[expected_kwh]]</f>
        <v>-24.259127845246013</v>
      </c>
      <c r="M474" t="str">
        <f>IF(Table4[[#This Row],[Performance_Deviation]] &lt; 0, "Underperforming", "Outperforming")</f>
        <v>Underperforming</v>
      </c>
      <c r="N474">
        <f>IF(Table4[[#This Row],[Performance_Ratio]] &lt; 0.85, Table4[[#This Row],[Performance_Deviation]] * 50 / 1000, 0)</f>
        <v>0</v>
      </c>
    </row>
    <row r="475" spans="1:14" x14ac:dyDescent="0.3">
      <c r="A475" s="6" t="s">
        <v>6</v>
      </c>
      <c r="B475" s="5">
        <v>45311.708333333336</v>
      </c>
      <c r="C475" s="6">
        <v>94.424595143835006</v>
      </c>
      <c r="D475" s="6">
        <v>90.173751398696297</v>
      </c>
      <c r="E475" s="6">
        <v>90.173751398696297</v>
      </c>
      <c r="F475" s="6">
        <v>84.510477001207605</v>
      </c>
      <c r="G475" s="6" t="str">
        <f t="shared" si="14"/>
        <v>OK</v>
      </c>
      <c r="H475" s="6" t="str">
        <f t="shared" si="15"/>
        <v>NON-ZERO</v>
      </c>
      <c r="I475">
        <v>103.527618041008</v>
      </c>
      <c r="J475">
        <f>IFERROR(Table4[[#This Row],[energy_kwh]]/Table4[[#This Row],[expected_kwh]],0)</f>
        <v>0.87101155329371005</v>
      </c>
      <c r="K475" t="str">
        <f>IF(Table4[[#This Row],[Performance_Ratio]] &lt; 0.85, "Underperforming", "Performing")</f>
        <v>Performing</v>
      </c>
      <c r="L475">
        <f>Table4[[#This Row],[energy_kwh]] - Table4[[#This Row],[expected_kwh]]</f>
        <v>-13.353866642311701</v>
      </c>
      <c r="M475" t="str">
        <f>IF(Table4[[#This Row],[Performance_Deviation]] &lt; 0, "Underperforming", "Outperforming")</f>
        <v>Underperforming</v>
      </c>
      <c r="N475">
        <f>IF(Table4[[#This Row],[Performance_Ratio]] &lt; 0.85, Table4[[#This Row],[Performance_Deviation]] * 50 / 1000, 0)</f>
        <v>0</v>
      </c>
    </row>
    <row r="476" spans="1:14" x14ac:dyDescent="0.3">
      <c r="A476" s="4" t="s">
        <v>6</v>
      </c>
      <c r="B476" s="3">
        <v>45311.75</v>
      </c>
      <c r="C476" s="7">
        <v>4.5523164193067102E-14</v>
      </c>
      <c r="D476" s="7">
        <v>4.3473784394570299E-14</v>
      </c>
      <c r="E476" s="7">
        <v>4.3473784394570299E-14</v>
      </c>
      <c r="F476" s="4">
        <v>26.129400931008298</v>
      </c>
      <c r="G476" s="4" t="str">
        <f t="shared" si="14"/>
        <v>OK</v>
      </c>
      <c r="H476" s="4" t="str">
        <f t="shared" si="15"/>
        <v>NON-ZERO</v>
      </c>
      <c r="I476" s="2">
        <v>4.8985871965894097E-14</v>
      </c>
      <c r="J476">
        <f>IFERROR(Table4[[#This Row],[energy_kwh]]/Table4[[#This Row],[expected_kwh]],0)</f>
        <v>0.88747597317117211</v>
      </c>
      <c r="K476" t="str">
        <f>IF(Table4[[#This Row],[Performance_Ratio]] &lt; 0.85, "Underperforming", "Performing")</f>
        <v>Performing</v>
      </c>
      <c r="L476">
        <f>Table4[[#This Row],[energy_kwh]] - Table4[[#This Row],[expected_kwh]]</f>
        <v>-5.5120875713237982E-15</v>
      </c>
      <c r="M476" t="str">
        <f>IF(Table4[[#This Row],[Performance_Deviation]] &lt; 0, "Underperforming", "Outperforming")</f>
        <v>Underperforming</v>
      </c>
      <c r="N476">
        <f>IF(Table4[[#This Row],[Performance_Ratio]] &lt; 0.85, Table4[[#This Row],[Performance_Deviation]] * 50 / 1000, 0)</f>
        <v>0</v>
      </c>
    </row>
    <row r="477" spans="1:14" x14ac:dyDescent="0.3">
      <c r="A477" s="6" t="s">
        <v>6</v>
      </c>
      <c r="B477" s="5">
        <v>45311.791666666664</v>
      </c>
      <c r="C477" s="6">
        <v>0</v>
      </c>
      <c r="D477" s="6">
        <v>0</v>
      </c>
      <c r="E477" s="6">
        <v>0</v>
      </c>
      <c r="F477" s="6">
        <v>32.433090512245599</v>
      </c>
      <c r="G477" s="6" t="str">
        <f t="shared" si="14"/>
        <v>OK</v>
      </c>
      <c r="H477" s="6" t="str">
        <f t="shared" si="15"/>
        <v>ZERO</v>
      </c>
      <c r="I477">
        <v>0</v>
      </c>
      <c r="J477">
        <f>IFERROR(Table4[[#This Row],[energy_kwh]]/Table4[[#This Row],[expected_kwh]],0)</f>
        <v>0</v>
      </c>
      <c r="K477" t="str">
        <f>IF(Table4[[#This Row],[Performance_Ratio]] &lt; 0.85, "Underperforming", "Performing")</f>
        <v>Underperforming</v>
      </c>
      <c r="L477">
        <f>Table4[[#This Row],[energy_kwh]] - Table4[[#This Row],[expected_kwh]]</f>
        <v>0</v>
      </c>
      <c r="M477" t="str">
        <f>IF(Table4[[#This Row],[Performance_Deviation]] &lt; 0, "Underperforming", "Outperforming")</f>
        <v>Outperforming</v>
      </c>
      <c r="N477">
        <f>IF(Table4[[#This Row],[Performance_Ratio]] &lt; 0.85, Table4[[#This Row],[Performance_Deviation]] * 50 / 1000, 0)</f>
        <v>0</v>
      </c>
    </row>
    <row r="478" spans="1:14" x14ac:dyDescent="0.3">
      <c r="A478" s="4" t="s">
        <v>6</v>
      </c>
      <c r="B478" s="3">
        <v>45311.833333333336</v>
      </c>
      <c r="C478" s="4">
        <v>0</v>
      </c>
      <c r="D478" s="4">
        <v>0</v>
      </c>
      <c r="E478" s="4">
        <v>0</v>
      </c>
      <c r="F478" s="4">
        <v>60.907390205517899</v>
      </c>
      <c r="G478" s="4" t="str">
        <f t="shared" si="14"/>
        <v>OK</v>
      </c>
      <c r="H478" s="4" t="str">
        <f t="shared" si="15"/>
        <v>ZERO</v>
      </c>
      <c r="I478">
        <v>0</v>
      </c>
      <c r="J478">
        <f>IFERROR(Table4[[#This Row],[energy_kwh]]/Table4[[#This Row],[expected_kwh]],0)</f>
        <v>0</v>
      </c>
      <c r="K478" t="str">
        <f>IF(Table4[[#This Row],[Performance_Ratio]] &lt; 0.85, "Underperforming", "Performing")</f>
        <v>Underperforming</v>
      </c>
      <c r="L478">
        <f>Table4[[#This Row],[energy_kwh]] - Table4[[#This Row],[expected_kwh]]</f>
        <v>0</v>
      </c>
      <c r="M478" t="str">
        <f>IF(Table4[[#This Row],[Performance_Deviation]] &lt; 0, "Underperforming", "Outperforming")</f>
        <v>Outperforming</v>
      </c>
      <c r="N478">
        <f>IF(Table4[[#This Row],[Performance_Ratio]] &lt; 0.85, Table4[[#This Row],[Performance_Deviation]] * 50 / 1000, 0)</f>
        <v>0</v>
      </c>
    </row>
    <row r="479" spans="1:14" x14ac:dyDescent="0.3">
      <c r="A479" s="6" t="s">
        <v>6</v>
      </c>
      <c r="B479" s="5">
        <v>45311.875</v>
      </c>
      <c r="C479" s="6">
        <v>0</v>
      </c>
      <c r="D479" s="6">
        <v>0</v>
      </c>
      <c r="E479" s="6">
        <v>0</v>
      </c>
      <c r="F479" s="6">
        <v>80.480271292462902</v>
      </c>
      <c r="G479" s="6" t="str">
        <f t="shared" si="14"/>
        <v>OK</v>
      </c>
      <c r="H479" s="6" t="str">
        <f t="shared" si="15"/>
        <v>ZERO</v>
      </c>
      <c r="I479">
        <v>0</v>
      </c>
      <c r="J479">
        <f>IFERROR(Table4[[#This Row],[energy_kwh]]/Table4[[#This Row],[expected_kwh]],0)</f>
        <v>0</v>
      </c>
      <c r="K479" t="str">
        <f>IF(Table4[[#This Row],[Performance_Ratio]] &lt; 0.85, "Underperforming", "Performing")</f>
        <v>Underperforming</v>
      </c>
      <c r="L479">
        <f>Table4[[#This Row],[energy_kwh]] - Table4[[#This Row],[expected_kwh]]</f>
        <v>0</v>
      </c>
      <c r="M479" t="str">
        <f>IF(Table4[[#This Row],[Performance_Deviation]] &lt; 0, "Underperforming", "Outperforming")</f>
        <v>Outperforming</v>
      </c>
      <c r="N479">
        <f>IF(Table4[[#This Row],[Performance_Ratio]] &lt; 0.85, Table4[[#This Row],[Performance_Deviation]] * 50 / 1000, 0)</f>
        <v>0</v>
      </c>
    </row>
    <row r="480" spans="1:14" x14ac:dyDescent="0.3">
      <c r="A480" s="4" t="s">
        <v>6</v>
      </c>
      <c r="B480" s="3">
        <v>45311.916666666664</v>
      </c>
      <c r="C480" s="4">
        <v>0</v>
      </c>
      <c r="D480" s="4">
        <v>0</v>
      </c>
      <c r="E480" s="4">
        <v>0</v>
      </c>
      <c r="F480" s="4">
        <v>39.3965626166029</v>
      </c>
      <c r="G480" s="4" t="str">
        <f t="shared" si="14"/>
        <v>OK</v>
      </c>
      <c r="H480" s="4" t="str">
        <f t="shared" si="15"/>
        <v>ZERO</v>
      </c>
      <c r="I480">
        <v>0</v>
      </c>
      <c r="J480">
        <f>IFERROR(Table4[[#This Row],[energy_kwh]]/Table4[[#This Row],[expected_kwh]],0)</f>
        <v>0</v>
      </c>
      <c r="K480" t="str">
        <f>IF(Table4[[#This Row],[Performance_Ratio]] &lt; 0.85, "Underperforming", "Performing")</f>
        <v>Underperforming</v>
      </c>
      <c r="L480">
        <f>Table4[[#This Row],[energy_kwh]] - Table4[[#This Row],[expected_kwh]]</f>
        <v>0</v>
      </c>
      <c r="M480" t="str">
        <f>IF(Table4[[#This Row],[Performance_Deviation]] &lt; 0, "Underperforming", "Outperforming")</f>
        <v>Outperforming</v>
      </c>
      <c r="N480">
        <f>IF(Table4[[#This Row],[Performance_Ratio]] &lt; 0.85, Table4[[#This Row],[Performance_Deviation]] * 50 / 1000, 0)</f>
        <v>0</v>
      </c>
    </row>
    <row r="481" spans="1:14" x14ac:dyDescent="0.3">
      <c r="A481" s="6" t="s">
        <v>6</v>
      </c>
      <c r="B481" s="5">
        <v>45311.958333333336</v>
      </c>
      <c r="C481" s="6">
        <v>0</v>
      </c>
      <c r="D481" s="6">
        <v>0</v>
      </c>
      <c r="E481" s="6">
        <v>0</v>
      </c>
      <c r="F481" s="6">
        <v>76.756362926647597</v>
      </c>
      <c r="G481" s="6" t="str">
        <f t="shared" si="14"/>
        <v>OK</v>
      </c>
      <c r="H481" s="6" t="str">
        <f t="shared" si="15"/>
        <v>ZERO</v>
      </c>
      <c r="I481">
        <v>0</v>
      </c>
      <c r="J481">
        <f>IFERROR(Table4[[#This Row],[energy_kwh]]/Table4[[#This Row],[expected_kwh]],0)</f>
        <v>0</v>
      </c>
      <c r="K481" t="str">
        <f>IF(Table4[[#This Row],[Performance_Ratio]] &lt; 0.85, "Underperforming", "Performing")</f>
        <v>Underperforming</v>
      </c>
      <c r="L481">
        <f>Table4[[#This Row],[energy_kwh]] - Table4[[#This Row],[expected_kwh]]</f>
        <v>0</v>
      </c>
      <c r="M481" t="str">
        <f>IF(Table4[[#This Row],[Performance_Deviation]] &lt; 0, "Underperforming", "Outperforming")</f>
        <v>Outperforming</v>
      </c>
      <c r="N481">
        <f>IF(Table4[[#This Row],[Performance_Ratio]] &lt; 0.85, Table4[[#This Row],[Performance_Deviation]] * 50 / 1000, 0)</f>
        <v>0</v>
      </c>
    </row>
    <row r="482" spans="1:14" x14ac:dyDescent="0.3">
      <c r="A482" s="4" t="s">
        <v>6</v>
      </c>
      <c r="B482" s="3">
        <v>45312</v>
      </c>
      <c r="C482" s="4">
        <v>0</v>
      </c>
      <c r="D482" s="4">
        <v>0</v>
      </c>
      <c r="E482" s="4">
        <v>0</v>
      </c>
      <c r="F482" s="4">
        <v>85.293381878450504</v>
      </c>
      <c r="G482" s="4" t="str">
        <f t="shared" si="14"/>
        <v>OK</v>
      </c>
      <c r="H482" s="4" t="str">
        <f t="shared" si="15"/>
        <v>ZERO</v>
      </c>
      <c r="I482">
        <v>0</v>
      </c>
      <c r="J482">
        <f>IFERROR(Table4[[#This Row],[energy_kwh]]/Table4[[#This Row],[expected_kwh]],0)</f>
        <v>0</v>
      </c>
      <c r="K482" t="str">
        <f>IF(Table4[[#This Row],[Performance_Ratio]] &lt; 0.85, "Underperforming", "Performing")</f>
        <v>Underperforming</v>
      </c>
      <c r="L482">
        <f>Table4[[#This Row],[energy_kwh]] - Table4[[#This Row],[expected_kwh]]</f>
        <v>0</v>
      </c>
      <c r="M482" t="str">
        <f>IF(Table4[[#This Row],[Performance_Deviation]] &lt; 0, "Underperforming", "Outperforming")</f>
        <v>Outperforming</v>
      </c>
      <c r="N482">
        <f>IF(Table4[[#This Row],[Performance_Ratio]] &lt; 0.85, Table4[[#This Row],[Performance_Deviation]] * 50 / 1000, 0)</f>
        <v>0</v>
      </c>
    </row>
    <row r="483" spans="1:14" x14ac:dyDescent="0.3">
      <c r="A483" s="6" t="s">
        <v>6</v>
      </c>
      <c r="B483" s="5">
        <v>45312.041666666664</v>
      </c>
      <c r="C483" s="6">
        <v>0</v>
      </c>
      <c r="D483" s="6">
        <v>0</v>
      </c>
      <c r="E483" s="6">
        <v>0</v>
      </c>
      <c r="F483" s="6">
        <v>93.8742242105656</v>
      </c>
      <c r="G483" s="6" t="str">
        <f t="shared" si="14"/>
        <v>OK</v>
      </c>
      <c r="H483" s="6" t="str">
        <f t="shared" si="15"/>
        <v>ZERO</v>
      </c>
      <c r="I483">
        <v>0</v>
      </c>
      <c r="J483">
        <f>IFERROR(Table4[[#This Row],[energy_kwh]]/Table4[[#This Row],[expected_kwh]],0)</f>
        <v>0</v>
      </c>
      <c r="K483" t="str">
        <f>IF(Table4[[#This Row],[Performance_Ratio]] &lt; 0.85, "Underperforming", "Performing")</f>
        <v>Underperforming</v>
      </c>
      <c r="L483">
        <f>Table4[[#This Row],[energy_kwh]] - Table4[[#This Row],[expected_kwh]]</f>
        <v>0</v>
      </c>
      <c r="M483" t="str">
        <f>IF(Table4[[#This Row],[Performance_Deviation]] &lt; 0, "Underperforming", "Outperforming")</f>
        <v>Outperforming</v>
      </c>
      <c r="N483">
        <f>IF(Table4[[#This Row],[Performance_Ratio]] &lt; 0.85, Table4[[#This Row],[Performance_Deviation]] * 50 / 1000, 0)</f>
        <v>0</v>
      </c>
    </row>
    <row r="484" spans="1:14" x14ac:dyDescent="0.3">
      <c r="A484" s="4" t="s">
        <v>6</v>
      </c>
      <c r="B484" s="3">
        <v>45312.083333333336</v>
      </c>
      <c r="C484" s="4">
        <v>0</v>
      </c>
      <c r="D484" s="4">
        <v>0</v>
      </c>
      <c r="E484" s="4">
        <v>0</v>
      </c>
      <c r="F484" s="4">
        <v>57.335938102571703</v>
      </c>
      <c r="G484" s="4" t="str">
        <f t="shared" si="14"/>
        <v>OK</v>
      </c>
      <c r="H484" s="4" t="str">
        <f t="shared" si="15"/>
        <v>ZERO</v>
      </c>
      <c r="I484">
        <v>0</v>
      </c>
      <c r="J484">
        <f>IFERROR(Table4[[#This Row],[energy_kwh]]/Table4[[#This Row],[expected_kwh]],0)</f>
        <v>0</v>
      </c>
      <c r="K484" t="str">
        <f>IF(Table4[[#This Row],[Performance_Ratio]] &lt; 0.85, "Underperforming", "Performing")</f>
        <v>Underperforming</v>
      </c>
      <c r="L484">
        <f>Table4[[#This Row],[energy_kwh]] - Table4[[#This Row],[expected_kwh]]</f>
        <v>0</v>
      </c>
      <c r="M484" t="str">
        <f>IF(Table4[[#This Row],[Performance_Deviation]] &lt; 0, "Underperforming", "Outperforming")</f>
        <v>Outperforming</v>
      </c>
      <c r="N484">
        <f>IF(Table4[[#This Row],[Performance_Ratio]] &lt; 0.85, Table4[[#This Row],[Performance_Deviation]] * 50 / 1000, 0)</f>
        <v>0</v>
      </c>
    </row>
    <row r="485" spans="1:14" x14ac:dyDescent="0.3">
      <c r="A485" s="6" t="s">
        <v>6</v>
      </c>
      <c r="B485" s="5">
        <v>45312.125</v>
      </c>
      <c r="C485" s="6">
        <v>0</v>
      </c>
      <c r="D485" s="6">
        <v>0</v>
      </c>
      <c r="E485" s="6">
        <v>0</v>
      </c>
      <c r="F485" s="6">
        <v>81.657737045016901</v>
      </c>
      <c r="G485" s="6" t="str">
        <f t="shared" si="14"/>
        <v>OK</v>
      </c>
      <c r="H485" s="6" t="str">
        <f t="shared" si="15"/>
        <v>ZERO</v>
      </c>
      <c r="I485">
        <v>0</v>
      </c>
      <c r="J485">
        <f>IFERROR(Table4[[#This Row],[energy_kwh]]/Table4[[#This Row],[expected_kwh]],0)</f>
        <v>0</v>
      </c>
      <c r="K485" t="str">
        <f>IF(Table4[[#This Row],[Performance_Ratio]] &lt; 0.85, "Underperforming", "Performing")</f>
        <v>Underperforming</v>
      </c>
      <c r="L485">
        <f>Table4[[#This Row],[energy_kwh]] - Table4[[#This Row],[expected_kwh]]</f>
        <v>0</v>
      </c>
      <c r="M485" t="str">
        <f>IF(Table4[[#This Row],[Performance_Deviation]] &lt; 0, "Underperforming", "Outperforming")</f>
        <v>Outperforming</v>
      </c>
      <c r="N485">
        <f>IF(Table4[[#This Row],[Performance_Ratio]] &lt; 0.85, Table4[[#This Row],[Performance_Deviation]] * 50 / 1000, 0)</f>
        <v>0</v>
      </c>
    </row>
    <row r="486" spans="1:14" x14ac:dyDescent="0.3">
      <c r="A486" s="4" t="s">
        <v>6</v>
      </c>
      <c r="B486" s="3">
        <v>45312.166666666664</v>
      </c>
      <c r="C486" s="4">
        <v>0</v>
      </c>
      <c r="D486" s="4">
        <v>0</v>
      </c>
      <c r="E486" s="4">
        <v>0</v>
      </c>
      <c r="F486" s="4">
        <v>59.249722339605597</v>
      </c>
      <c r="G486" s="4" t="str">
        <f t="shared" si="14"/>
        <v>OK</v>
      </c>
      <c r="H486" s="4" t="str">
        <f t="shared" si="15"/>
        <v>ZERO</v>
      </c>
      <c r="I486">
        <v>0</v>
      </c>
      <c r="J486">
        <f>IFERROR(Table4[[#This Row],[energy_kwh]]/Table4[[#This Row],[expected_kwh]],0)</f>
        <v>0</v>
      </c>
      <c r="K486" t="str">
        <f>IF(Table4[[#This Row],[Performance_Ratio]] &lt; 0.85, "Underperforming", "Performing")</f>
        <v>Underperforming</v>
      </c>
      <c r="L486">
        <f>Table4[[#This Row],[energy_kwh]] - Table4[[#This Row],[expected_kwh]]</f>
        <v>0</v>
      </c>
      <c r="M486" t="str">
        <f>IF(Table4[[#This Row],[Performance_Deviation]] &lt; 0, "Underperforming", "Outperforming")</f>
        <v>Outperforming</v>
      </c>
      <c r="N486">
        <f>IF(Table4[[#This Row],[Performance_Ratio]] &lt; 0.85, Table4[[#This Row],[Performance_Deviation]] * 50 / 1000, 0)</f>
        <v>0</v>
      </c>
    </row>
    <row r="487" spans="1:14" x14ac:dyDescent="0.3">
      <c r="A487" s="6" t="s">
        <v>6</v>
      </c>
      <c r="B487" s="5">
        <v>45312.208333333336</v>
      </c>
      <c r="C487" s="6">
        <v>0</v>
      </c>
      <c r="D487" s="6">
        <v>0</v>
      </c>
      <c r="E487" s="6">
        <v>0</v>
      </c>
      <c r="F487" s="6">
        <v>63.319502441086797</v>
      </c>
      <c r="G487" s="6" t="str">
        <f t="shared" si="14"/>
        <v>OK</v>
      </c>
      <c r="H487" s="6" t="str">
        <f t="shared" si="15"/>
        <v>ZERO</v>
      </c>
      <c r="I487">
        <v>0</v>
      </c>
      <c r="J487">
        <f>IFERROR(Table4[[#This Row],[energy_kwh]]/Table4[[#This Row],[expected_kwh]],0)</f>
        <v>0</v>
      </c>
      <c r="K487" t="str">
        <f>IF(Table4[[#This Row],[Performance_Ratio]] &lt; 0.85, "Underperforming", "Performing")</f>
        <v>Underperforming</v>
      </c>
      <c r="L487">
        <f>Table4[[#This Row],[energy_kwh]] - Table4[[#This Row],[expected_kwh]]</f>
        <v>0</v>
      </c>
      <c r="M487" t="str">
        <f>IF(Table4[[#This Row],[Performance_Deviation]] &lt; 0, "Underperforming", "Outperforming")</f>
        <v>Outperforming</v>
      </c>
      <c r="N487">
        <f>IF(Table4[[#This Row],[Performance_Ratio]] &lt; 0.85, Table4[[#This Row],[Performance_Deviation]] * 50 / 1000, 0)</f>
        <v>0</v>
      </c>
    </row>
    <row r="488" spans="1:14" x14ac:dyDescent="0.3">
      <c r="A488" s="4" t="s">
        <v>6</v>
      </c>
      <c r="B488" s="3">
        <v>45312.25</v>
      </c>
      <c r="C488" s="4">
        <v>0</v>
      </c>
      <c r="D488" s="4">
        <v>0</v>
      </c>
      <c r="E488" s="4">
        <v>0</v>
      </c>
      <c r="F488" s="4">
        <v>59.977165043460403</v>
      </c>
      <c r="G488" s="4" t="str">
        <f t="shared" si="14"/>
        <v>OK</v>
      </c>
      <c r="H488" s="4" t="str">
        <f t="shared" si="15"/>
        <v>ZERO</v>
      </c>
      <c r="I488">
        <v>0</v>
      </c>
      <c r="J488">
        <f>IFERROR(Table4[[#This Row],[energy_kwh]]/Table4[[#This Row],[expected_kwh]],0)</f>
        <v>0</v>
      </c>
      <c r="K488" t="str">
        <f>IF(Table4[[#This Row],[Performance_Ratio]] &lt; 0.85, "Underperforming", "Performing")</f>
        <v>Underperforming</v>
      </c>
      <c r="L488">
        <f>Table4[[#This Row],[energy_kwh]] - Table4[[#This Row],[expected_kwh]]</f>
        <v>0</v>
      </c>
      <c r="M488" t="str">
        <f>IF(Table4[[#This Row],[Performance_Deviation]] &lt; 0, "Underperforming", "Outperforming")</f>
        <v>Outperforming</v>
      </c>
      <c r="N488">
        <f>IF(Table4[[#This Row],[Performance_Ratio]] &lt; 0.85, Table4[[#This Row],[Performance_Deviation]] * 50 / 1000, 0)</f>
        <v>0</v>
      </c>
    </row>
    <row r="489" spans="1:14" x14ac:dyDescent="0.3">
      <c r="A489" s="6" t="s">
        <v>6</v>
      </c>
      <c r="B489" s="5">
        <v>45312.291666666664</v>
      </c>
      <c r="C489" s="6">
        <v>102.2409823542</v>
      </c>
      <c r="D489" s="6">
        <v>97.638257400228994</v>
      </c>
      <c r="E489" s="6">
        <v>97.638257400228994</v>
      </c>
      <c r="F489" s="6">
        <v>79.494601282868999</v>
      </c>
      <c r="G489" s="6" t="str">
        <f t="shared" si="14"/>
        <v>OK</v>
      </c>
      <c r="H489" s="6" t="str">
        <f t="shared" si="15"/>
        <v>NON-ZERO</v>
      </c>
      <c r="I489">
        <v>103.527618041008</v>
      </c>
      <c r="J489">
        <f>IFERROR(Table4[[#This Row],[energy_kwh]]/Table4[[#This Row],[expected_kwh]],0)</f>
        <v>0.94311314456741213</v>
      </c>
      <c r="K489" t="str">
        <f>IF(Table4[[#This Row],[Performance_Ratio]] &lt; 0.85, "Underperforming", "Performing")</f>
        <v>Performing</v>
      </c>
      <c r="L489">
        <f>Table4[[#This Row],[energy_kwh]] - Table4[[#This Row],[expected_kwh]]</f>
        <v>-5.8893606407790031</v>
      </c>
      <c r="M489" t="str">
        <f>IF(Table4[[#This Row],[Performance_Deviation]] &lt; 0, "Underperforming", "Outperforming")</f>
        <v>Underperforming</v>
      </c>
      <c r="N489">
        <f>IF(Table4[[#This Row],[Performance_Ratio]] &lt; 0.85, Table4[[#This Row],[Performance_Deviation]] * 50 / 1000, 0)</f>
        <v>0</v>
      </c>
    </row>
    <row r="490" spans="1:14" x14ac:dyDescent="0.3">
      <c r="A490" s="4" t="s">
        <v>6</v>
      </c>
      <c r="B490" s="3">
        <v>45312.333333333336</v>
      </c>
      <c r="C490" s="4">
        <v>201.67330274823101</v>
      </c>
      <c r="D490" s="4">
        <v>192.594294294523</v>
      </c>
      <c r="E490" s="4">
        <v>192.594294294523</v>
      </c>
      <c r="F490" s="4">
        <v>93.764110453641607</v>
      </c>
      <c r="G490" s="4" t="str">
        <f t="shared" si="14"/>
        <v>OK</v>
      </c>
      <c r="H490" s="4" t="str">
        <f t="shared" si="15"/>
        <v>NON-ZERO</v>
      </c>
      <c r="I490">
        <v>199.99999999999901</v>
      </c>
      <c r="J490">
        <f>IFERROR(Table4[[#This Row],[energy_kwh]]/Table4[[#This Row],[expected_kwh]],0)</f>
        <v>0.96297147147261974</v>
      </c>
      <c r="K490" t="str">
        <f>IF(Table4[[#This Row],[Performance_Ratio]] &lt; 0.85, "Underperforming", "Performing")</f>
        <v>Performing</v>
      </c>
      <c r="L490">
        <f>Table4[[#This Row],[energy_kwh]] - Table4[[#This Row],[expected_kwh]]</f>
        <v>-7.4057057054760094</v>
      </c>
      <c r="M490" t="str">
        <f>IF(Table4[[#This Row],[Performance_Deviation]] &lt; 0, "Underperforming", "Outperforming")</f>
        <v>Underperforming</v>
      </c>
      <c r="N490">
        <f>IF(Table4[[#This Row],[Performance_Ratio]] &lt; 0.85, Table4[[#This Row],[Performance_Deviation]] * 50 / 1000, 0)</f>
        <v>0</v>
      </c>
    </row>
    <row r="491" spans="1:14" x14ac:dyDescent="0.3">
      <c r="A491" s="6" t="s">
        <v>6</v>
      </c>
      <c r="B491" s="5">
        <v>45312.375</v>
      </c>
      <c r="C491" s="6">
        <v>260.23144633483503</v>
      </c>
      <c r="D491" s="6">
        <v>248.51624422826799</v>
      </c>
      <c r="E491" s="6">
        <v>248.51624422826799</v>
      </c>
      <c r="F491" s="6">
        <v>33.816862942851898</v>
      </c>
      <c r="G491" s="6" t="str">
        <f t="shared" si="14"/>
        <v>OK</v>
      </c>
      <c r="H491" s="6" t="str">
        <f t="shared" si="15"/>
        <v>NON-ZERO</v>
      </c>
      <c r="I491">
        <v>282.84271247461902</v>
      </c>
      <c r="J491">
        <f>IFERROR(Table4[[#This Row],[energy_kwh]]/Table4[[#This Row],[expected_kwh]],0)</f>
        <v>0.87863760764410248</v>
      </c>
      <c r="K491" t="str">
        <f>IF(Table4[[#This Row],[Performance_Ratio]] &lt; 0.85, "Underperforming", "Performing")</f>
        <v>Performing</v>
      </c>
      <c r="L491">
        <f>Table4[[#This Row],[energy_kwh]] - Table4[[#This Row],[expected_kwh]]</f>
        <v>-34.326468246351027</v>
      </c>
      <c r="M491" t="str">
        <f>IF(Table4[[#This Row],[Performance_Deviation]] &lt; 0, "Underperforming", "Outperforming")</f>
        <v>Underperforming</v>
      </c>
      <c r="N491">
        <f>IF(Table4[[#This Row],[Performance_Ratio]] &lt; 0.85, Table4[[#This Row],[Performance_Deviation]] * 50 / 1000, 0)</f>
        <v>0</v>
      </c>
    </row>
    <row r="492" spans="1:14" x14ac:dyDescent="0.3">
      <c r="A492" s="4" t="s">
        <v>6</v>
      </c>
      <c r="B492" s="3">
        <v>45312.416666666664</v>
      </c>
      <c r="C492" s="4">
        <v>336.31533866230899</v>
      </c>
      <c r="D492" s="4">
        <v>321.17496181908098</v>
      </c>
      <c r="E492" s="4">
        <v>321.17496181908098</v>
      </c>
      <c r="F492" s="4">
        <v>66.147351880235107</v>
      </c>
      <c r="G492" s="4" t="str">
        <f t="shared" si="14"/>
        <v>OK</v>
      </c>
      <c r="H492" s="4" t="str">
        <f t="shared" si="15"/>
        <v>NON-ZERO</v>
      </c>
      <c r="I492">
        <v>346.41016151377499</v>
      </c>
      <c r="J492">
        <f>IFERROR(Table4[[#This Row],[energy_kwh]]/Table4[[#This Row],[expected_kwh]],0)</f>
        <v>0.92715225331607209</v>
      </c>
      <c r="K492" t="str">
        <f>IF(Table4[[#This Row],[Performance_Ratio]] &lt; 0.85, "Underperforming", "Performing")</f>
        <v>Performing</v>
      </c>
      <c r="L492">
        <f>Table4[[#This Row],[energy_kwh]] - Table4[[#This Row],[expected_kwh]]</f>
        <v>-25.235199694694018</v>
      </c>
      <c r="M492" t="str">
        <f>IF(Table4[[#This Row],[Performance_Deviation]] &lt; 0, "Underperforming", "Outperforming")</f>
        <v>Underperforming</v>
      </c>
      <c r="N492">
        <f>IF(Table4[[#This Row],[Performance_Ratio]] &lt; 0.85, Table4[[#This Row],[Performance_Deviation]] * 50 / 1000, 0)</f>
        <v>0</v>
      </c>
    </row>
    <row r="493" spans="1:14" x14ac:dyDescent="0.3">
      <c r="A493" s="6" t="s">
        <v>6</v>
      </c>
      <c r="B493" s="5">
        <v>45312.458333333336</v>
      </c>
      <c r="C493" s="6">
        <v>387.63118518715697</v>
      </c>
      <c r="D493" s="6">
        <v>370.18065128268501</v>
      </c>
      <c r="E493" s="6">
        <v>370.18065128268501</v>
      </c>
      <c r="F493" s="6">
        <v>80.270265158115095</v>
      </c>
      <c r="G493" s="6" t="str">
        <f t="shared" si="14"/>
        <v>OK</v>
      </c>
      <c r="H493" s="6" t="str">
        <f t="shared" si="15"/>
        <v>NON-ZERO</v>
      </c>
      <c r="I493">
        <v>386.37033051562702</v>
      </c>
      <c r="J493">
        <f>IFERROR(Table4[[#This Row],[energy_kwh]]/Table4[[#This Row],[expected_kwh]],0)</f>
        <v>0.95809802680413836</v>
      </c>
      <c r="K493" t="str">
        <f>IF(Table4[[#This Row],[Performance_Ratio]] &lt; 0.85, "Underperforming", "Performing")</f>
        <v>Performing</v>
      </c>
      <c r="L493">
        <f>Table4[[#This Row],[energy_kwh]] - Table4[[#This Row],[expected_kwh]]</f>
        <v>-16.189679232942012</v>
      </c>
      <c r="M493" t="str">
        <f>IF(Table4[[#This Row],[Performance_Deviation]] &lt; 0, "Underperforming", "Outperforming")</f>
        <v>Underperforming</v>
      </c>
      <c r="N493">
        <f>IF(Table4[[#This Row],[Performance_Ratio]] &lt; 0.85, Table4[[#This Row],[Performance_Deviation]] * 50 / 1000, 0)</f>
        <v>0</v>
      </c>
    </row>
    <row r="494" spans="1:14" x14ac:dyDescent="0.3">
      <c r="A494" s="4" t="s">
        <v>6</v>
      </c>
      <c r="B494" s="3">
        <v>45312.5</v>
      </c>
      <c r="C494" s="4">
        <v>394.59626813668098</v>
      </c>
      <c r="D494" s="4">
        <v>376.83217737506499</v>
      </c>
      <c r="E494" s="4">
        <v>376.83217737506499</v>
      </c>
      <c r="F494" s="4">
        <v>70.093999910272004</v>
      </c>
      <c r="G494" s="4" t="str">
        <f t="shared" si="14"/>
        <v>OK</v>
      </c>
      <c r="H494" s="4" t="str">
        <f t="shared" si="15"/>
        <v>NON-ZERO</v>
      </c>
      <c r="I494">
        <v>400</v>
      </c>
      <c r="J494">
        <f>IFERROR(Table4[[#This Row],[energy_kwh]]/Table4[[#This Row],[expected_kwh]],0)</f>
        <v>0.94208044343766251</v>
      </c>
      <c r="K494" t="str">
        <f>IF(Table4[[#This Row],[Performance_Ratio]] &lt; 0.85, "Underperforming", "Performing")</f>
        <v>Performing</v>
      </c>
      <c r="L494">
        <f>Table4[[#This Row],[energy_kwh]] - Table4[[#This Row],[expected_kwh]]</f>
        <v>-23.167822624935013</v>
      </c>
      <c r="M494" t="str">
        <f>IF(Table4[[#This Row],[Performance_Deviation]] &lt; 0, "Underperforming", "Outperforming")</f>
        <v>Underperforming</v>
      </c>
      <c r="N494">
        <f>IF(Table4[[#This Row],[Performance_Ratio]] &lt; 0.85, Table4[[#This Row],[Performance_Deviation]] * 50 / 1000, 0)</f>
        <v>0</v>
      </c>
    </row>
    <row r="495" spans="1:14" x14ac:dyDescent="0.3">
      <c r="A495" s="6" t="s">
        <v>6</v>
      </c>
      <c r="B495" s="5">
        <v>45312.541666666664</v>
      </c>
      <c r="C495" s="6">
        <v>367.20896590956198</v>
      </c>
      <c r="D495" s="6">
        <v>350.67780754433198</v>
      </c>
      <c r="E495" s="6">
        <v>350.67780754433198</v>
      </c>
      <c r="F495" s="6">
        <v>86.144581872848207</v>
      </c>
      <c r="G495" s="6" t="str">
        <f t="shared" si="14"/>
        <v>OK</v>
      </c>
      <c r="H495" s="6" t="str">
        <f t="shared" si="15"/>
        <v>NON-ZERO</v>
      </c>
      <c r="I495">
        <v>386.37033051562702</v>
      </c>
      <c r="J495">
        <f>IFERROR(Table4[[#This Row],[energy_kwh]]/Table4[[#This Row],[expected_kwh]],0)</f>
        <v>0.90762095287269628</v>
      </c>
      <c r="K495" t="str">
        <f>IF(Table4[[#This Row],[Performance_Ratio]] &lt; 0.85, "Underperforming", "Performing")</f>
        <v>Performing</v>
      </c>
      <c r="L495">
        <f>Table4[[#This Row],[energy_kwh]] - Table4[[#This Row],[expected_kwh]]</f>
        <v>-35.692522971295034</v>
      </c>
      <c r="M495" t="str">
        <f>IF(Table4[[#This Row],[Performance_Deviation]] &lt; 0, "Underperforming", "Outperforming")</f>
        <v>Underperforming</v>
      </c>
      <c r="N495">
        <f>IF(Table4[[#This Row],[Performance_Ratio]] &lt; 0.85, Table4[[#This Row],[Performance_Deviation]] * 50 / 1000, 0)</f>
        <v>0</v>
      </c>
    </row>
    <row r="496" spans="1:14" x14ac:dyDescent="0.3">
      <c r="A496" s="4" t="s">
        <v>6</v>
      </c>
      <c r="B496" s="3">
        <v>45312.583333333336</v>
      </c>
      <c r="C496" s="4">
        <v>300.257662112118</v>
      </c>
      <c r="D496" s="4">
        <v>286.74054400348302</v>
      </c>
      <c r="E496" s="4">
        <v>286.74054400348302</v>
      </c>
      <c r="F496" s="4">
        <v>59.554971659200703</v>
      </c>
      <c r="G496" s="4" t="str">
        <f t="shared" si="14"/>
        <v>OK</v>
      </c>
      <c r="H496" s="4" t="str">
        <f t="shared" si="15"/>
        <v>NON-ZERO</v>
      </c>
      <c r="I496">
        <v>346.41016151377499</v>
      </c>
      <c r="J496">
        <f>IFERROR(Table4[[#This Row],[energy_kwh]]/Table4[[#This Row],[expected_kwh]],0)</f>
        <v>0.82774865133995434</v>
      </c>
      <c r="K496" t="str">
        <f>IF(Table4[[#This Row],[Performance_Ratio]] &lt; 0.85, "Underperforming", "Performing")</f>
        <v>Underperforming</v>
      </c>
      <c r="L496">
        <f>Table4[[#This Row],[energy_kwh]] - Table4[[#This Row],[expected_kwh]]</f>
        <v>-59.669617510291971</v>
      </c>
      <c r="M496" t="str">
        <f>IF(Table4[[#This Row],[Performance_Deviation]] &lt; 0, "Underperforming", "Outperforming")</f>
        <v>Underperforming</v>
      </c>
      <c r="N496">
        <f>IF(Table4[[#This Row],[Performance_Ratio]] &lt; 0.85, Table4[[#This Row],[Performance_Deviation]] * 50 / 1000, 0)</f>
        <v>-2.9834808755145987</v>
      </c>
    </row>
    <row r="497" spans="1:14" x14ac:dyDescent="0.3">
      <c r="A497" s="6" t="s">
        <v>6</v>
      </c>
      <c r="B497" s="5">
        <v>45312.625</v>
      </c>
      <c r="C497" s="6">
        <v>263.64684623408402</v>
      </c>
      <c r="D497" s="6">
        <v>251.77788830492901</v>
      </c>
      <c r="E497" s="6">
        <v>251.77788830492901</v>
      </c>
      <c r="F497" s="6">
        <v>25.955493848227199</v>
      </c>
      <c r="G497" s="6" t="str">
        <f t="shared" si="14"/>
        <v>OK</v>
      </c>
      <c r="H497" s="6" t="str">
        <f t="shared" si="15"/>
        <v>NON-ZERO</v>
      </c>
      <c r="I497">
        <v>282.84271247461902</v>
      </c>
      <c r="J497">
        <f>IFERROR(Table4[[#This Row],[energy_kwh]]/Table4[[#This Row],[expected_kwh]],0)</f>
        <v>0.89016926086622217</v>
      </c>
      <c r="K497" t="str">
        <f>IF(Table4[[#This Row],[Performance_Ratio]] &lt; 0.85, "Underperforming", "Performing")</f>
        <v>Performing</v>
      </c>
      <c r="L497">
        <f>Table4[[#This Row],[energy_kwh]] - Table4[[#This Row],[expected_kwh]]</f>
        <v>-31.064824169690013</v>
      </c>
      <c r="M497" t="str">
        <f>IF(Table4[[#This Row],[Performance_Deviation]] &lt; 0, "Underperforming", "Outperforming")</f>
        <v>Underperforming</v>
      </c>
      <c r="N497">
        <f>IF(Table4[[#This Row],[Performance_Ratio]] &lt; 0.85, Table4[[#This Row],[Performance_Deviation]] * 50 / 1000, 0)</f>
        <v>0</v>
      </c>
    </row>
    <row r="498" spans="1:14" x14ac:dyDescent="0.3">
      <c r="A498" s="4" t="s">
        <v>6</v>
      </c>
      <c r="B498" s="3">
        <v>45312.666666666664</v>
      </c>
      <c r="C498" s="4">
        <v>178.724794421295</v>
      </c>
      <c r="D498" s="4">
        <v>170.67889098575799</v>
      </c>
      <c r="E498" s="4">
        <v>170.67889098575799</v>
      </c>
      <c r="F498" s="4">
        <v>60.559531623915802</v>
      </c>
      <c r="G498" s="4" t="str">
        <f t="shared" si="14"/>
        <v>OK</v>
      </c>
      <c r="H498" s="4" t="str">
        <f t="shared" si="15"/>
        <v>NON-ZERO</v>
      </c>
      <c r="I498">
        <v>199.99999999999901</v>
      </c>
      <c r="J498">
        <f>IFERROR(Table4[[#This Row],[energy_kwh]]/Table4[[#This Row],[expected_kwh]],0)</f>
        <v>0.85339445492879418</v>
      </c>
      <c r="K498" t="str">
        <f>IF(Table4[[#This Row],[Performance_Ratio]] &lt; 0.85, "Underperforming", "Performing")</f>
        <v>Performing</v>
      </c>
      <c r="L498">
        <f>Table4[[#This Row],[energy_kwh]] - Table4[[#This Row],[expected_kwh]]</f>
        <v>-29.321109014241017</v>
      </c>
      <c r="M498" t="str">
        <f>IF(Table4[[#This Row],[Performance_Deviation]] &lt; 0, "Underperforming", "Outperforming")</f>
        <v>Underperforming</v>
      </c>
      <c r="N498">
        <f>IF(Table4[[#This Row],[Performance_Ratio]] &lt; 0.85, Table4[[#This Row],[Performance_Deviation]] * 50 / 1000, 0)</f>
        <v>0</v>
      </c>
    </row>
    <row r="499" spans="1:14" x14ac:dyDescent="0.3">
      <c r="A499" s="6" t="s">
        <v>6</v>
      </c>
      <c r="B499" s="5">
        <v>45312.708333333336</v>
      </c>
      <c r="C499" s="6">
        <v>102.673614968904</v>
      </c>
      <c r="D499" s="6">
        <v>98.051413588887897</v>
      </c>
      <c r="E499" s="6">
        <v>98.051413588887897</v>
      </c>
      <c r="F499" s="6">
        <v>55.337592419961098</v>
      </c>
      <c r="G499" s="6" t="str">
        <f t="shared" si="14"/>
        <v>OK</v>
      </c>
      <c r="H499" s="6" t="str">
        <f t="shared" si="15"/>
        <v>NON-ZERO</v>
      </c>
      <c r="I499">
        <v>103.527618041008</v>
      </c>
      <c r="J499">
        <f>IFERROR(Table4[[#This Row],[energy_kwh]]/Table4[[#This Row],[expected_kwh]],0)</f>
        <v>0.94710392689657996</v>
      </c>
      <c r="K499" t="str">
        <f>IF(Table4[[#This Row],[Performance_Ratio]] &lt; 0.85, "Underperforming", "Performing")</f>
        <v>Performing</v>
      </c>
      <c r="L499">
        <f>Table4[[#This Row],[energy_kwh]] - Table4[[#This Row],[expected_kwh]]</f>
        <v>-5.4762044521201005</v>
      </c>
      <c r="M499" t="str">
        <f>IF(Table4[[#This Row],[Performance_Deviation]] &lt; 0, "Underperforming", "Outperforming")</f>
        <v>Underperforming</v>
      </c>
      <c r="N499">
        <f>IF(Table4[[#This Row],[Performance_Ratio]] &lt; 0.85, Table4[[#This Row],[Performance_Deviation]] * 50 / 1000, 0)</f>
        <v>0</v>
      </c>
    </row>
    <row r="500" spans="1:14" x14ac:dyDescent="0.3">
      <c r="A500" s="4" t="s">
        <v>6</v>
      </c>
      <c r="B500" s="3">
        <v>45312.75</v>
      </c>
      <c r="C500" s="7">
        <v>4.5969423308774997E-14</v>
      </c>
      <c r="D500" s="7">
        <v>4.3899953641024998E-14</v>
      </c>
      <c r="E500" s="7">
        <v>4.3899953641024998E-14</v>
      </c>
      <c r="F500" s="4">
        <v>82.118693932791302</v>
      </c>
      <c r="G500" s="4" t="str">
        <f t="shared" si="14"/>
        <v>OK</v>
      </c>
      <c r="H500" s="4" t="str">
        <f t="shared" si="15"/>
        <v>NON-ZERO</v>
      </c>
      <c r="I500" s="2">
        <v>4.8985871965894097E-14</v>
      </c>
      <c r="J500">
        <f>IFERROR(Table4[[#This Row],[energy_kwh]]/Table4[[#This Row],[expected_kwh]],0)</f>
        <v>0.89617581313220029</v>
      </c>
      <c r="K500" t="str">
        <f>IF(Table4[[#This Row],[Performance_Ratio]] &lt; 0.85, "Underperforming", "Performing")</f>
        <v>Performing</v>
      </c>
      <c r="L500">
        <f>Table4[[#This Row],[energy_kwh]] - Table4[[#This Row],[expected_kwh]]</f>
        <v>-5.0859183248690987E-15</v>
      </c>
      <c r="M500" t="str">
        <f>IF(Table4[[#This Row],[Performance_Deviation]] &lt; 0, "Underperforming", "Outperforming")</f>
        <v>Underperforming</v>
      </c>
      <c r="N500">
        <f>IF(Table4[[#This Row],[Performance_Ratio]] &lt; 0.85, Table4[[#This Row],[Performance_Deviation]] * 50 / 1000, 0)</f>
        <v>0</v>
      </c>
    </row>
    <row r="501" spans="1:14" x14ac:dyDescent="0.3">
      <c r="A501" s="6" t="s">
        <v>6</v>
      </c>
      <c r="B501" s="5">
        <v>45312.791666666664</v>
      </c>
      <c r="C501" s="6">
        <v>0</v>
      </c>
      <c r="D501" s="6">
        <v>0</v>
      </c>
      <c r="E501" s="6">
        <v>0</v>
      </c>
      <c r="F501" s="6">
        <v>73.401051524808494</v>
      </c>
      <c r="G501" s="6" t="str">
        <f t="shared" si="14"/>
        <v>OK</v>
      </c>
      <c r="H501" s="6" t="str">
        <f t="shared" si="15"/>
        <v>ZERO</v>
      </c>
      <c r="I501">
        <v>0</v>
      </c>
      <c r="J501">
        <f>IFERROR(Table4[[#This Row],[energy_kwh]]/Table4[[#This Row],[expected_kwh]],0)</f>
        <v>0</v>
      </c>
      <c r="K501" t="str">
        <f>IF(Table4[[#This Row],[Performance_Ratio]] &lt; 0.85, "Underperforming", "Performing")</f>
        <v>Underperforming</v>
      </c>
      <c r="L501">
        <f>Table4[[#This Row],[energy_kwh]] - Table4[[#This Row],[expected_kwh]]</f>
        <v>0</v>
      </c>
      <c r="M501" t="str">
        <f>IF(Table4[[#This Row],[Performance_Deviation]] &lt; 0, "Underperforming", "Outperforming")</f>
        <v>Outperforming</v>
      </c>
      <c r="N501">
        <f>IF(Table4[[#This Row],[Performance_Ratio]] &lt; 0.85, Table4[[#This Row],[Performance_Deviation]] * 50 / 1000, 0)</f>
        <v>0</v>
      </c>
    </row>
    <row r="502" spans="1:14" x14ac:dyDescent="0.3">
      <c r="A502" s="4" t="s">
        <v>6</v>
      </c>
      <c r="B502" s="3">
        <v>45312.833333333336</v>
      </c>
      <c r="C502" s="4">
        <v>0</v>
      </c>
      <c r="D502" s="4">
        <v>0</v>
      </c>
      <c r="E502" s="4">
        <v>0</v>
      </c>
      <c r="F502" s="4">
        <v>76.161975272247901</v>
      </c>
      <c r="G502" s="4" t="str">
        <f t="shared" si="14"/>
        <v>OK</v>
      </c>
      <c r="H502" s="4" t="str">
        <f t="shared" si="15"/>
        <v>ZERO</v>
      </c>
      <c r="I502">
        <v>0</v>
      </c>
      <c r="J502">
        <f>IFERROR(Table4[[#This Row],[energy_kwh]]/Table4[[#This Row],[expected_kwh]],0)</f>
        <v>0</v>
      </c>
      <c r="K502" t="str">
        <f>IF(Table4[[#This Row],[Performance_Ratio]] &lt; 0.85, "Underperforming", "Performing")</f>
        <v>Underperforming</v>
      </c>
      <c r="L502">
        <f>Table4[[#This Row],[energy_kwh]] - Table4[[#This Row],[expected_kwh]]</f>
        <v>0</v>
      </c>
      <c r="M502" t="str">
        <f>IF(Table4[[#This Row],[Performance_Deviation]] &lt; 0, "Underperforming", "Outperforming")</f>
        <v>Outperforming</v>
      </c>
      <c r="N502">
        <f>IF(Table4[[#This Row],[Performance_Ratio]] &lt; 0.85, Table4[[#This Row],[Performance_Deviation]] * 50 / 1000, 0)</f>
        <v>0</v>
      </c>
    </row>
    <row r="503" spans="1:14" x14ac:dyDescent="0.3">
      <c r="A503" s="6" t="s">
        <v>6</v>
      </c>
      <c r="B503" s="5">
        <v>45312.875</v>
      </c>
      <c r="C503" s="6">
        <v>0</v>
      </c>
      <c r="D503" s="6">
        <v>0</v>
      </c>
      <c r="E503" s="6">
        <v>0</v>
      </c>
      <c r="F503" s="6">
        <v>46.428120995724001</v>
      </c>
      <c r="G503" s="6" t="str">
        <f t="shared" si="14"/>
        <v>OK</v>
      </c>
      <c r="H503" s="6" t="str">
        <f t="shared" si="15"/>
        <v>ZERO</v>
      </c>
      <c r="I503">
        <v>0</v>
      </c>
      <c r="J503">
        <f>IFERROR(Table4[[#This Row],[energy_kwh]]/Table4[[#This Row],[expected_kwh]],0)</f>
        <v>0</v>
      </c>
      <c r="K503" t="str">
        <f>IF(Table4[[#This Row],[Performance_Ratio]] &lt; 0.85, "Underperforming", "Performing")</f>
        <v>Underperforming</v>
      </c>
      <c r="L503">
        <f>Table4[[#This Row],[energy_kwh]] - Table4[[#This Row],[expected_kwh]]</f>
        <v>0</v>
      </c>
      <c r="M503" t="str">
        <f>IF(Table4[[#This Row],[Performance_Deviation]] &lt; 0, "Underperforming", "Outperforming")</f>
        <v>Outperforming</v>
      </c>
      <c r="N503">
        <f>IF(Table4[[#This Row],[Performance_Ratio]] &lt; 0.85, Table4[[#This Row],[Performance_Deviation]] * 50 / 1000, 0)</f>
        <v>0</v>
      </c>
    </row>
    <row r="504" spans="1:14" x14ac:dyDescent="0.3">
      <c r="A504" s="4" t="s">
        <v>6</v>
      </c>
      <c r="B504" s="3">
        <v>45312.916666666664</v>
      </c>
      <c r="C504" s="4">
        <v>0</v>
      </c>
      <c r="D504" s="4">
        <v>0</v>
      </c>
      <c r="E504" s="4">
        <v>0</v>
      </c>
      <c r="F504" s="4">
        <v>29.4698556173377</v>
      </c>
      <c r="G504" s="4" t="str">
        <f t="shared" si="14"/>
        <v>OK</v>
      </c>
      <c r="H504" s="4" t="str">
        <f t="shared" si="15"/>
        <v>ZERO</v>
      </c>
      <c r="I504">
        <v>0</v>
      </c>
      <c r="J504">
        <f>IFERROR(Table4[[#This Row],[energy_kwh]]/Table4[[#This Row],[expected_kwh]],0)</f>
        <v>0</v>
      </c>
      <c r="K504" t="str">
        <f>IF(Table4[[#This Row],[Performance_Ratio]] &lt; 0.85, "Underperforming", "Performing")</f>
        <v>Underperforming</v>
      </c>
      <c r="L504">
        <f>Table4[[#This Row],[energy_kwh]] - Table4[[#This Row],[expected_kwh]]</f>
        <v>0</v>
      </c>
      <c r="M504" t="str">
        <f>IF(Table4[[#This Row],[Performance_Deviation]] &lt; 0, "Underperforming", "Outperforming")</f>
        <v>Outperforming</v>
      </c>
      <c r="N504">
        <f>IF(Table4[[#This Row],[Performance_Ratio]] &lt; 0.85, Table4[[#This Row],[Performance_Deviation]] * 50 / 1000, 0)</f>
        <v>0</v>
      </c>
    </row>
    <row r="505" spans="1:14" x14ac:dyDescent="0.3">
      <c r="A505" s="6" t="s">
        <v>6</v>
      </c>
      <c r="B505" s="5">
        <v>45312.958333333336</v>
      </c>
      <c r="C505" s="6">
        <v>0</v>
      </c>
      <c r="D505" s="6">
        <v>0</v>
      </c>
      <c r="E505" s="6">
        <v>0</v>
      </c>
      <c r="F505" s="6">
        <v>71.4745397514573</v>
      </c>
      <c r="G505" s="6" t="str">
        <f t="shared" si="14"/>
        <v>OK</v>
      </c>
      <c r="H505" s="6" t="str">
        <f t="shared" si="15"/>
        <v>ZERO</v>
      </c>
      <c r="I505">
        <v>0</v>
      </c>
      <c r="J505">
        <f>IFERROR(Table4[[#This Row],[energy_kwh]]/Table4[[#This Row],[expected_kwh]],0)</f>
        <v>0</v>
      </c>
      <c r="K505" t="str">
        <f>IF(Table4[[#This Row],[Performance_Ratio]] &lt; 0.85, "Underperforming", "Performing")</f>
        <v>Underperforming</v>
      </c>
      <c r="L505">
        <f>Table4[[#This Row],[energy_kwh]] - Table4[[#This Row],[expected_kwh]]</f>
        <v>0</v>
      </c>
      <c r="M505" t="str">
        <f>IF(Table4[[#This Row],[Performance_Deviation]] &lt; 0, "Underperforming", "Outperforming")</f>
        <v>Outperforming</v>
      </c>
      <c r="N505">
        <f>IF(Table4[[#This Row],[Performance_Ratio]] &lt; 0.85, Table4[[#This Row],[Performance_Deviation]] * 50 / 1000, 0)</f>
        <v>0</v>
      </c>
    </row>
    <row r="506" spans="1:14" x14ac:dyDescent="0.3">
      <c r="A506" s="4" t="s">
        <v>6</v>
      </c>
      <c r="B506" s="3">
        <v>45313</v>
      </c>
      <c r="C506" s="4">
        <v>0</v>
      </c>
      <c r="D506" s="4">
        <v>0</v>
      </c>
      <c r="E506" s="4">
        <v>0</v>
      </c>
      <c r="F506" s="4">
        <v>68.216143254402994</v>
      </c>
      <c r="G506" s="4" t="str">
        <f t="shared" si="14"/>
        <v>OK</v>
      </c>
      <c r="H506" s="4" t="str">
        <f t="shared" si="15"/>
        <v>ZERO</v>
      </c>
      <c r="I506">
        <v>0</v>
      </c>
      <c r="J506">
        <f>IFERROR(Table4[[#This Row],[energy_kwh]]/Table4[[#This Row],[expected_kwh]],0)</f>
        <v>0</v>
      </c>
      <c r="K506" t="str">
        <f>IF(Table4[[#This Row],[Performance_Ratio]] &lt; 0.85, "Underperforming", "Performing")</f>
        <v>Underperforming</v>
      </c>
      <c r="L506">
        <f>Table4[[#This Row],[energy_kwh]] - Table4[[#This Row],[expected_kwh]]</f>
        <v>0</v>
      </c>
      <c r="M506" t="str">
        <f>IF(Table4[[#This Row],[Performance_Deviation]] &lt; 0, "Underperforming", "Outperforming")</f>
        <v>Outperforming</v>
      </c>
      <c r="N506">
        <f>IF(Table4[[#This Row],[Performance_Ratio]] &lt; 0.85, Table4[[#This Row],[Performance_Deviation]] * 50 / 1000, 0)</f>
        <v>0</v>
      </c>
    </row>
    <row r="507" spans="1:14" x14ac:dyDescent="0.3">
      <c r="A507" s="6" t="s">
        <v>6</v>
      </c>
      <c r="B507" s="5">
        <v>45313.041666666664</v>
      </c>
      <c r="C507" s="6">
        <v>0</v>
      </c>
      <c r="D507" s="6">
        <v>0</v>
      </c>
      <c r="E507" s="6">
        <v>0</v>
      </c>
      <c r="F507" s="6">
        <v>42.898300752254798</v>
      </c>
      <c r="G507" s="6" t="str">
        <f t="shared" si="14"/>
        <v>OK</v>
      </c>
      <c r="H507" s="6" t="str">
        <f t="shared" si="15"/>
        <v>ZERO</v>
      </c>
      <c r="I507">
        <v>0</v>
      </c>
      <c r="J507">
        <f>IFERROR(Table4[[#This Row],[energy_kwh]]/Table4[[#This Row],[expected_kwh]],0)</f>
        <v>0</v>
      </c>
      <c r="K507" t="str">
        <f>IF(Table4[[#This Row],[Performance_Ratio]] &lt; 0.85, "Underperforming", "Performing")</f>
        <v>Underperforming</v>
      </c>
      <c r="L507">
        <f>Table4[[#This Row],[energy_kwh]] - Table4[[#This Row],[expected_kwh]]</f>
        <v>0</v>
      </c>
      <c r="M507" t="str">
        <f>IF(Table4[[#This Row],[Performance_Deviation]] &lt; 0, "Underperforming", "Outperforming")</f>
        <v>Outperforming</v>
      </c>
      <c r="N507">
        <f>IF(Table4[[#This Row],[Performance_Ratio]] &lt; 0.85, Table4[[#This Row],[Performance_Deviation]] * 50 / 1000, 0)</f>
        <v>0</v>
      </c>
    </row>
    <row r="508" spans="1:14" x14ac:dyDescent="0.3">
      <c r="A508" s="4" t="s">
        <v>6</v>
      </c>
      <c r="B508" s="3">
        <v>45313.083333333336</v>
      </c>
      <c r="C508" s="4">
        <v>0</v>
      </c>
      <c r="D508" s="4">
        <v>0</v>
      </c>
      <c r="E508" s="4">
        <v>0</v>
      </c>
      <c r="F508" s="4">
        <v>77.454858240147701</v>
      </c>
      <c r="G508" s="4" t="str">
        <f t="shared" si="14"/>
        <v>OK</v>
      </c>
      <c r="H508" s="4" t="str">
        <f t="shared" si="15"/>
        <v>ZERO</v>
      </c>
      <c r="I508">
        <v>0</v>
      </c>
      <c r="J508">
        <f>IFERROR(Table4[[#This Row],[energy_kwh]]/Table4[[#This Row],[expected_kwh]],0)</f>
        <v>0</v>
      </c>
      <c r="K508" t="str">
        <f>IF(Table4[[#This Row],[Performance_Ratio]] &lt; 0.85, "Underperforming", "Performing")</f>
        <v>Underperforming</v>
      </c>
      <c r="L508">
        <f>Table4[[#This Row],[energy_kwh]] - Table4[[#This Row],[expected_kwh]]</f>
        <v>0</v>
      </c>
      <c r="M508" t="str">
        <f>IF(Table4[[#This Row],[Performance_Deviation]] &lt; 0, "Underperforming", "Outperforming")</f>
        <v>Outperforming</v>
      </c>
      <c r="N508">
        <f>IF(Table4[[#This Row],[Performance_Ratio]] &lt; 0.85, Table4[[#This Row],[Performance_Deviation]] * 50 / 1000, 0)</f>
        <v>0</v>
      </c>
    </row>
    <row r="509" spans="1:14" x14ac:dyDescent="0.3">
      <c r="A509" s="6" t="s">
        <v>6</v>
      </c>
      <c r="B509" s="5">
        <v>45313.125</v>
      </c>
      <c r="C509" s="6">
        <v>0</v>
      </c>
      <c r="D509" s="6">
        <v>0</v>
      </c>
      <c r="E509" s="6">
        <v>0</v>
      </c>
      <c r="F509" s="6">
        <v>39.521514317450197</v>
      </c>
      <c r="G509" s="6" t="str">
        <f t="shared" si="14"/>
        <v>OK</v>
      </c>
      <c r="H509" s="6" t="str">
        <f t="shared" si="15"/>
        <v>ZERO</v>
      </c>
      <c r="I509">
        <v>0</v>
      </c>
      <c r="J509">
        <f>IFERROR(Table4[[#This Row],[energy_kwh]]/Table4[[#This Row],[expected_kwh]],0)</f>
        <v>0</v>
      </c>
      <c r="K509" t="str">
        <f>IF(Table4[[#This Row],[Performance_Ratio]] &lt; 0.85, "Underperforming", "Performing")</f>
        <v>Underperforming</v>
      </c>
      <c r="L509">
        <f>Table4[[#This Row],[energy_kwh]] - Table4[[#This Row],[expected_kwh]]</f>
        <v>0</v>
      </c>
      <c r="M509" t="str">
        <f>IF(Table4[[#This Row],[Performance_Deviation]] &lt; 0, "Underperforming", "Outperforming")</f>
        <v>Outperforming</v>
      </c>
      <c r="N509">
        <f>IF(Table4[[#This Row],[Performance_Ratio]] &lt; 0.85, Table4[[#This Row],[Performance_Deviation]] * 50 / 1000, 0)</f>
        <v>0</v>
      </c>
    </row>
    <row r="510" spans="1:14" x14ac:dyDescent="0.3">
      <c r="A510" s="4" t="s">
        <v>6</v>
      </c>
      <c r="B510" s="3">
        <v>45313.166666666664</v>
      </c>
      <c r="C510" s="4">
        <v>0</v>
      </c>
      <c r="D510" s="4">
        <v>0</v>
      </c>
      <c r="E510" s="4">
        <v>0</v>
      </c>
      <c r="F510" s="4">
        <v>53.529165785481901</v>
      </c>
      <c r="G510" s="4" t="str">
        <f t="shared" si="14"/>
        <v>OK</v>
      </c>
      <c r="H510" s="4" t="str">
        <f t="shared" si="15"/>
        <v>ZERO</v>
      </c>
      <c r="I510">
        <v>0</v>
      </c>
      <c r="J510">
        <f>IFERROR(Table4[[#This Row],[energy_kwh]]/Table4[[#This Row],[expected_kwh]],0)</f>
        <v>0</v>
      </c>
      <c r="K510" t="str">
        <f>IF(Table4[[#This Row],[Performance_Ratio]] &lt; 0.85, "Underperforming", "Performing")</f>
        <v>Underperforming</v>
      </c>
      <c r="L510">
        <f>Table4[[#This Row],[energy_kwh]] - Table4[[#This Row],[expected_kwh]]</f>
        <v>0</v>
      </c>
      <c r="M510" t="str">
        <f>IF(Table4[[#This Row],[Performance_Deviation]] &lt; 0, "Underperforming", "Outperforming")</f>
        <v>Outperforming</v>
      </c>
      <c r="N510">
        <f>IF(Table4[[#This Row],[Performance_Ratio]] &lt; 0.85, Table4[[#This Row],[Performance_Deviation]] * 50 / 1000, 0)</f>
        <v>0</v>
      </c>
    </row>
    <row r="511" spans="1:14" x14ac:dyDescent="0.3">
      <c r="A511" s="6" t="s">
        <v>6</v>
      </c>
      <c r="B511" s="5">
        <v>45313.208333333336</v>
      </c>
      <c r="C511" s="6">
        <v>0</v>
      </c>
      <c r="D511" s="6">
        <v>0</v>
      </c>
      <c r="E511" s="6">
        <v>0</v>
      </c>
      <c r="F511" s="6">
        <v>60.998616514084098</v>
      </c>
      <c r="G511" s="6" t="str">
        <f t="shared" si="14"/>
        <v>OK</v>
      </c>
      <c r="H511" s="6" t="str">
        <f t="shared" si="15"/>
        <v>ZERO</v>
      </c>
      <c r="I511">
        <v>0</v>
      </c>
      <c r="J511">
        <f>IFERROR(Table4[[#This Row],[energy_kwh]]/Table4[[#This Row],[expected_kwh]],0)</f>
        <v>0</v>
      </c>
      <c r="K511" t="str">
        <f>IF(Table4[[#This Row],[Performance_Ratio]] &lt; 0.85, "Underperforming", "Performing")</f>
        <v>Underperforming</v>
      </c>
      <c r="L511">
        <f>Table4[[#This Row],[energy_kwh]] - Table4[[#This Row],[expected_kwh]]</f>
        <v>0</v>
      </c>
      <c r="M511" t="str">
        <f>IF(Table4[[#This Row],[Performance_Deviation]] &lt; 0, "Underperforming", "Outperforming")</f>
        <v>Outperforming</v>
      </c>
      <c r="N511">
        <f>IF(Table4[[#This Row],[Performance_Ratio]] &lt; 0.85, Table4[[#This Row],[Performance_Deviation]] * 50 / 1000, 0)</f>
        <v>0</v>
      </c>
    </row>
    <row r="512" spans="1:14" x14ac:dyDescent="0.3">
      <c r="A512" s="4" t="s">
        <v>6</v>
      </c>
      <c r="B512" s="3">
        <v>45313.25</v>
      </c>
      <c r="C512" s="4">
        <v>0</v>
      </c>
      <c r="D512" s="4">
        <v>0</v>
      </c>
      <c r="E512" s="4">
        <v>0</v>
      </c>
      <c r="F512" s="4">
        <v>23.151850637855301</v>
      </c>
      <c r="G512" s="4" t="str">
        <f t="shared" si="14"/>
        <v>OK</v>
      </c>
      <c r="H512" s="4" t="str">
        <f t="shared" si="15"/>
        <v>ZERO</v>
      </c>
      <c r="I512">
        <v>0</v>
      </c>
      <c r="J512">
        <f>IFERROR(Table4[[#This Row],[energy_kwh]]/Table4[[#This Row],[expected_kwh]],0)</f>
        <v>0</v>
      </c>
      <c r="K512" t="str">
        <f>IF(Table4[[#This Row],[Performance_Ratio]] &lt; 0.85, "Underperforming", "Performing")</f>
        <v>Underperforming</v>
      </c>
      <c r="L512">
        <f>Table4[[#This Row],[energy_kwh]] - Table4[[#This Row],[expected_kwh]]</f>
        <v>0</v>
      </c>
      <c r="M512" t="str">
        <f>IF(Table4[[#This Row],[Performance_Deviation]] &lt; 0, "Underperforming", "Outperforming")</f>
        <v>Outperforming</v>
      </c>
      <c r="N512">
        <f>IF(Table4[[#This Row],[Performance_Ratio]] &lt; 0.85, Table4[[#This Row],[Performance_Deviation]] * 50 / 1000, 0)</f>
        <v>0</v>
      </c>
    </row>
    <row r="513" spans="1:14" x14ac:dyDescent="0.3">
      <c r="A513" s="6" t="s">
        <v>6</v>
      </c>
      <c r="B513" s="5">
        <v>45313.291666666664</v>
      </c>
      <c r="C513" s="6">
        <v>97.891447747762797</v>
      </c>
      <c r="D513" s="6">
        <v>93.484531861840495</v>
      </c>
      <c r="E513" s="6">
        <v>93.484531861840495</v>
      </c>
      <c r="F513" s="6">
        <v>41.002799716286702</v>
      </c>
      <c r="G513" s="6" t="str">
        <f t="shared" si="14"/>
        <v>OK</v>
      </c>
      <c r="H513" s="6" t="str">
        <f t="shared" si="15"/>
        <v>NON-ZERO</v>
      </c>
      <c r="I513">
        <v>103.527618041008</v>
      </c>
      <c r="J513">
        <f>IFERROR(Table4[[#This Row],[energy_kwh]]/Table4[[#This Row],[expected_kwh]],0)</f>
        <v>0.90299123683895277</v>
      </c>
      <c r="K513" t="str">
        <f>IF(Table4[[#This Row],[Performance_Ratio]] &lt; 0.85, "Underperforming", "Performing")</f>
        <v>Performing</v>
      </c>
      <c r="L513">
        <f>Table4[[#This Row],[energy_kwh]] - Table4[[#This Row],[expected_kwh]]</f>
        <v>-10.043086179167503</v>
      </c>
      <c r="M513" t="str">
        <f>IF(Table4[[#This Row],[Performance_Deviation]] &lt; 0, "Underperforming", "Outperforming")</f>
        <v>Underperforming</v>
      </c>
      <c r="N513">
        <f>IF(Table4[[#This Row],[Performance_Ratio]] &lt; 0.85, Table4[[#This Row],[Performance_Deviation]] * 50 / 1000, 0)</f>
        <v>0</v>
      </c>
    </row>
    <row r="514" spans="1:14" x14ac:dyDescent="0.3">
      <c r="A514" s="4" t="s">
        <v>6</v>
      </c>
      <c r="B514" s="3">
        <v>45313.333333333336</v>
      </c>
      <c r="C514" s="4">
        <v>183.906888740791</v>
      </c>
      <c r="D514" s="4">
        <v>175.62769573497599</v>
      </c>
      <c r="E514" s="4">
        <v>175.62769573497599</v>
      </c>
      <c r="F514" s="4">
        <v>80.368008263107896</v>
      </c>
      <c r="G514" s="4" t="str">
        <f t="shared" ref="G514:G577" si="16">IF(D514 &gt; C514, "ERROR", "OK")</f>
        <v>OK</v>
      </c>
      <c r="H514" s="4" t="str">
        <f t="shared" ref="H514:H577" si="17">IF(E514=0,"ZERO","NON-ZERO")</f>
        <v>NON-ZERO</v>
      </c>
      <c r="I514">
        <v>199.99999999999901</v>
      </c>
      <c r="J514">
        <f>IFERROR(Table4[[#This Row],[energy_kwh]]/Table4[[#This Row],[expected_kwh]],0)</f>
        <v>0.87813847867488426</v>
      </c>
      <c r="K514" t="str">
        <f>IF(Table4[[#This Row],[Performance_Ratio]] &lt; 0.85, "Underperforming", "Performing")</f>
        <v>Performing</v>
      </c>
      <c r="L514">
        <f>Table4[[#This Row],[energy_kwh]] - Table4[[#This Row],[expected_kwh]]</f>
        <v>-24.372304265023018</v>
      </c>
      <c r="M514" t="str">
        <f>IF(Table4[[#This Row],[Performance_Deviation]] &lt; 0, "Underperforming", "Outperforming")</f>
        <v>Underperforming</v>
      </c>
      <c r="N514">
        <f>IF(Table4[[#This Row],[Performance_Ratio]] &lt; 0.85, Table4[[#This Row],[Performance_Deviation]] * 50 / 1000, 0)</f>
        <v>0</v>
      </c>
    </row>
    <row r="515" spans="1:14" x14ac:dyDescent="0.3">
      <c r="A515" s="6" t="s">
        <v>6</v>
      </c>
      <c r="B515" s="5">
        <v>45313.375</v>
      </c>
      <c r="C515" s="6">
        <v>283.561438368957</v>
      </c>
      <c r="D515" s="6">
        <v>270.795957459909</v>
      </c>
      <c r="E515" s="6">
        <v>270.795957459909</v>
      </c>
      <c r="F515" s="6">
        <v>74.500324405274199</v>
      </c>
      <c r="G515" s="6" t="str">
        <f t="shared" si="16"/>
        <v>OK</v>
      </c>
      <c r="H515" s="6" t="str">
        <f t="shared" si="17"/>
        <v>NON-ZERO</v>
      </c>
      <c r="I515">
        <v>282.84271247461902</v>
      </c>
      <c r="J515">
        <f>IFERROR(Table4[[#This Row],[energy_kwh]]/Table4[[#This Row],[expected_kwh]],0)</f>
        <v>0.95740828918902754</v>
      </c>
      <c r="K515" t="str">
        <f>IF(Table4[[#This Row],[Performance_Ratio]] &lt; 0.85, "Underperforming", "Performing")</f>
        <v>Performing</v>
      </c>
      <c r="L515">
        <f>Table4[[#This Row],[energy_kwh]] - Table4[[#This Row],[expected_kwh]]</f>
        <v>-12.046755014710016</v>
      </c>
      <c r="M515" t="str">
        <f>IF(Table4[[#This Row],[Performance_Deviation]] &lt; 0, "Underperforming", "Outperforming")</f>
        <v>Underperforming</v>
      </c>
      <c r="N515">
        <f>IF(Table4[[#This Row],[Performance_Ratio]] &lt; 0.85, Table4[[#This Row],[Performance_Deviation]] * 50 / 1000, 0)</f>
        <v>0</v>
      </c>
    </row>
    <row r="516" spans="1:14" x14ac:dyDescent="0.3">
      <c r="A516" s="4" t="s">
        <v>6</v>
      </c>
      <c r="B516" s="3">
        <v>45313.416666666664</v>
      </c>
      <c r="C516" s="4">
        <v>350.63857999730698</v>
      </c>
      <c r="D516" s="4">
        <v>334.85339381445499</v>
      </c>
      <c r="E516" s="4">
        <v>334.85339381445499</v>
      </c>
      <c r="F516" s="4">
        <v>28.443529280895198</v>
      </c>
      <c r="G516" s="4" t="str">
        <f t="shared" si="16"/>
        <v>OK</v>
      </c>
      <c r="H516" s="4" t="str">
        <f t="shared" si="17"/>
        <v>NON-ZERO</v>
      </c>
      <c r="I516">
        <v>346.41016151377499</v>
      </c>
      <c r="J516">
        <f>IFERROR(Table4[[#This Row],[energy_kwh]]/Table4[[#This Row],[expected_kwh]],0)</f>
        <v>0.96663848528917806</v>
      </c>
      <c r="K516" t="str">
        <f>IF(Table4[[#This Row],[Performance_Ratio]] &lt; 0.85, "Underperforming", "Performing")</f>
        <v>Performing</v>
      </c>
      <c r="L516">
        <f>Table4[[#This Row],[energy_kwh]] - Table4[[#This Row],[expected_kwh]]</f>
        <v>-11.556767699320005</v>
      </c>
      <c r="M516" t="str">
        <f>IF(Table4[[#This Row],[Performance_Deviation]] &lt; 0, "Underperforming", "Outperforming")</f>
        <v>Underperforming</v>
      </c>
      <c r="N516">
        <f>IF(Table4[[#This Row],[Performance_Ratio]] &lt; 0.85, Table4[[#This Row],[Performance_Deviation]] * 50 / 1000, 0)</f>
        <v>0</v>
      </c>
    </row>
    <row r="517" spans="1:14" x14ac:dyDescent="0.3">
      <c r="A517" s="6" t="s">
        <v>6</v>
      </c>
      <c r="B517" s="5">
        <v>45313.458333333336</v>
      </c>
      <c r="C517" s="6">
        <v>352.80522704673899</v>
      </c>
      <c r="D517" s="6">
        <v>336.92250189065697</v>
      </c>
      <c r="E517" s="6">
        <v>336.92250189065697</v>
      </c>
      <c r="F517" s="6">
        <v>27.240085264657999</v>
      </c>
      <c r="G517" s="6" t="str">
        <f t="shared" si="16"/>
        <v>OK</v>
      </c>
      <c r="H517" s="6" t="str">
        <f t="shared" si="17"/>
        <v>NON-ZERO</v>
      </c>
      <c r="I517">
        <v>386.37033051562702</v>
      </c>
      <c r="J517">
        <f>IFERROR(Table4[[#This Row],[energy_kwh]]/Table4[[#This Row],[expected_kwh]],0)</f>
        <v>0.87201960212892149</v>
      </c>
      <c r="K517" t="str">
        <f>IF(Table4[[#This Row],[Performance_Ratio]] &lt; 0.85, "Underperforming", "Performing")</f>
        <v>Performing</v>
      </c>
      <c r="L517">
        <f>Table4[[#This Row],[energy_kwh]] - Table4[[#This Row],[expected_kwh]]</f>
        <v>-49.447828624970043</v>
      </c>
      <c r="M517" t="str">
        <f>IF(Table4[[#This Row],[Performance_Deviation]] &lt; 0, "Underperforming", "Outperforming")</f>
        <v>Underperforming</v>
      </c>
      <c r="N517">
        <f>IF(Table4[[#This Row],[Performance_Ratio]] &lt; 0.85, Table4[[#This Row],[Performance_Deviation]] * 50 / 1000, 0)</f>
        <v>0</v>
      </c>
    </row>
    <row r="518" spans="1:14" x14ac:dyDescent="0.3">
      <c r="A518" s="4" t="s">
        <v>6</v>
      </c>
      <c r="B518" s="3">
        <v>45313.5</v>
      </c>
      <c r="C518" s="4">
        <v>327.21439854340798</v>
      </c>
      <c r="D518" s="4">
        <v>312.48373141956398</v>
      </c>
      <c r="E518" s="4">
        <v>312.48373141956398</v>
      </c>
      <c r="F518" s="4">
        <v>42.4939333630238</v>
      </c>
      <c r="G518" s="4" t="str">
        <f t="shared" si="16"/>
        <v>OK</v>
      </c>
      <c r="H518" s="4" t="str">
        <f t="shared" si="17"/>
        <v>NON-ZERO</v>
      </c>
      <c r="I518">
        <v>400</v>
      </c>
      <c r="J518">
        <f>IFERROR(Table4[[#This Row],[energy_kwh]]/Table4[[#This Row],[expected_kwh]],0)</f>
        <v>0.7812093285489099</v>
      </c>
      <c r="K518" t="str">
        <f>IF(Table4[[#This Row],[Performance_Ratio]] &lt; 0.85, "Underperforming", "Performing")</f>
        <v>Underperforming</v>
      </c>
      <c r="L518">
        <f>Table4[[#This Row],[energy_kwh]] - Table4[[#This Row],[expected_kwh]]</f>
        <v>-87.516268580436019</v>
      </c>
      <c r="M518" t="str">
        <f>IF(Table4[[#This Row],[Performance_Deviation]] &lt; 0, "Underperforming", "Outperforming")</f>
        <v>Underperforming</v>
      </c>
      <c r="N518">
        <f>IF(Table4[[#This Row],[Performance_Ratio]] &lt; 0.85, Table4[[#This Row],[Performance_Deviation]] * 50 / 1000, 0)</f>
        <v>-4.3758134290218011</v>
      </c>
    </row>
    <row r="519" spans="1:14" x14ac:dyDescent="0.3">
      <c r="A519" s="6" t="s">
        <v>6</v>
      </c>
      <c r="B519" s="5">
        <v>45313.541666666664</v>
      </c>
      <c r="C519" s="6">
        <v>359.03898748497699</v>
      </c>
      <c r="D519" s="6">
        <v>342.87562843761702</v>
      </c>
      <c r="E519" s="6">
        <v>342.87562843761702</v>
      </c>
      <c r="F519" s="6">
        <v>87.717124639399003</v>
      </c>
      <c r="G519" s="6" t="str">
        <f t="shared" si="16"/>
        <v>OK</v>
      </c>
      <c r="H519" s="6" t="str">
        <f t="shared" si="17"/>
        <v>NON-ZERO</v>
      </c>
      <c r="I519">
        <v>386.37033051562702</v>
      </c>
      <c r="J519">
        <f>IFERROR(Table4[[#This Row],[energy_kwh]]/Table4[[#This Row],[expected_kwh]],0)</f>
        <v>0.88742742741150815</v>
      </c>
      <c r="K519" t="str">
        <f>IF(Table4[[#This Row],[Performance_Ratio]] &lt; 0.85, "Underperforming", "Performing")</f>
        <v>Performing</v>
      </c>
      <c r="L519">
        <f>Table4[[#This Row],[energy_kwh]] - Table4[[#This Row],[expected_kwh]]</f>
        <v>-43.494702078009993</v>
      </c>
      <c r="M519" t="str">
        <f>IF(Table4[[#This Row],[Performance_Deviation]] &lt; 0, "Underperforming", "Outperforming")</f>
        <v>Underperforming</v>
      </c>
      <c r="N519">
        <f>IF(Table4[[#This Row],[Performance_Ratio]] &lt; 0.85, Table4[[#This Row],[Performance_Deviation]] * 50 / 1000, 0)</f>
        <v>0</v>
      </c>
    </row>
    <row r="520" spans="1:14" x14ac:dyDescent="0.3">
      <c r="A520" s="4" t="s">
        <v>6</v>
      </c>
      <c r="B520" s="3">
        <v>45313.583333333336</v>
      </c>
      <c r="C520" s="4">
        <v>339.47569081370801</v>
      </c>
      <c r="D520" s="4">
        <v>324.19303998821198</v>
      </c>
      <c r="E520" s="4">
        <v>324.19303998821198</v>
      </c>
      <c r="F520" s="4">
        <v>33.899763464653503</v>
      </c>
      <c r="G520" s="4" t="str">
        <f t="shared" si="16"/>
        <v>OK</v>
      </c>
      <c r="H520" s="4" t="str">
        <f t="shared" si="17"/>
        <v>NON-ZERO</v>
      </c>
      <c r="I520">
        <v>346.41016151377499</v>
      </c>
      <c r="J520">
        <f>IFERROR(Table4[[#This Row],[energy_kwh]]/Table4[[#This Row],[expected_kwh]],0)</f>
        <v>0.93586469453298771</v>
      </c>
      <c r="K520" t="str">
        <f>IF(Table4[[#This Row],[Performance_Ratio]] &lt; 0.85, "Underperforming", "Performing")</f>
        <v>Performing</v>
      </c>
      <c r="L520">
        <f>Table4[[#This Row],[energy_kwh]] - Table4[[#This Row],[expected_kwh]]</f>
        <v>-22.217121525563016</v>
      </c>
      <c r="M520" t="str">
        <f>IF(Table4[[#This Row],[Performance_Deviation]] &lt; 0, "Underperforming", "Outperforming")</f>
        <v>Underperforming</v>
      </c>
      <c r="N520">
        <f>IF(Table4[[#This Row],[Performance_Ratio]] &lt; 0.85, Table4[[#This Row],[Performance_Deviation]] * 50 / 1000, 0)</f>
        <v>0</v>
      </c>
    </row>
    <row r="521" spans="1:14" x14ac:dyDescent="0.3">
      <c r="A521" s="6" t="s">
        <v>6</v>
      </c>
      <c r="B521" s="5">
        <v>45313.625</v>
      </c>
      <c r="C521" s="6">
        <v>286.50255574084002</v>
      </c>
      <c r="D521" s="6">
        <v>273.60467044747901</v>
      </c>
      <c r="E521" s="6">
        <v>273.60467044747901</v>
      </c>
      <c r="F521" s="6">
        <v>79.593370902514195</v>
      </c>
      <c r="G521" s="6" t="str">
        <f t="shared" si="16"/>
        <v>OK</v>
      </c>
      <c r="H521" s="6" t="str">
        <f t="shared" si="17"/>
        <v>NON-ZERO</v>
      </c>
      <c r="I521">
        <v>282.84271247461902</v>
      </c>
      <c r="J521">
        <f>IFERROR(Table4[[#This Row],[energy_kwh]]/Table4[[#This Row],[expected_kwh]],0)</f>
        <v>0.96733858918861493</v>
      </c>
      <c r="K521" t="str">
        <f>IF(Table4[[#This Row],[Performance_Ratio]] &lt; 0.85, "Underperforming", "Performing")</f>
        <v>Performing</v>
      </c>
      <c r="L521">
        <f>Table4[[#This Row],[energy_kwh]] - Table4[[#This Row],[expected_kwh]]</f>
        <v>-9.2380420271400112</v>
      </c>
      <c r="M521" t="str">
        <f>IF(Table4[[#This Row],[Performance_Deviation]] &lt; 0, "Underperforming", "Outperforming")</f>
        <v>Underperforming</v>
      </c>
      <c r="N521">
        <f>IF(Table4[[#This Row],[Performance_Ratio]] &lt; 0.85, Table4[[#This Row],[Performance_Deviation]] * 50 / 1000, 0)</f>
        <v>0</v>
      </c>
    </row>
    <row r="522" spans="1:14" x14ac:dyDescent="0.3">
      <c r="A522" s="4" t="s">
        <v>6</v>
      </c>
      <c r="B522" s="3">
        <v>45313.666666666664</v>
      </c>
      <c r="C522" s="4">
        <v>191.16371451919301</v>
      </c>
      <c r="D522" s="4">
        <v>182.55783086225401</v>
      </c>
      <c r="E522" s="4">
        <v>182.55783086225401</v>
      </c>
      <c r="F522" s="4">
        <v>59.108426678269197</v>
      </c>
      <c r="G522" s="4" t="str">
        <f t="shared" si="16"/>
        <v>OK</v>
      </c>
      <c r="H522" s="4" t="str">
        <f t="shared" si="17"/>
        <v>NON-ZERO</v>
      </c>
      <c r="I522">
        <v>199.99999999999901</v>
      </c>
      <c r="J522">
        <f>IFERROR(Table4[[#This Row],[energy_kwh]]/Table4[[#This Row],[expected_kwh]],0)</f>
        <v>0.91278915431127461</v>
      </c>
      <c r="K522" t="str">
        <f>IF(Table4[[#This Row],[Performance_Ratio]] &lt; 0.85, "Underperforming", "Performing")</f>
        <v>Performing</v>
      </c>
      <c r="L522">
        <f>Table4[[#This Row],[energy_kwh]] - Table4[[#This Row],[expected_kwh]]</f>
        <v>-17.442169137744997</v>
      </c>
      <c r="M522" t="str">
        <f>IF(Table4[[#This Row],[Performance_Deviation]] &lt; 0, "Underperforming", "Outperforming")</f>
        <v>Underperforming</v>
      </c>
      <c r="N522">
        <f>IF(Table4[[#This Row],[Performance_Ratio]] &lt; 0.85, Table4[[#This Row],[Performance_Deviation]] * 50 / 1000, 0)</f>
        <v>0</v>
      </c>
    </row>
    <row r="523" spans="1:14" x14ac:dyDescent="0.3">
      <c r="A523" s="6" t="s">
        <v>6</v>
      </c>
      <c r="B523" s="5">
        <v>45313.708333333336</v>
      </c>
      <c r="C523" s="6">
        <v>94.966169923085701</v>
      </c>
      <c r="D523" s="6">
        <v>90.690945350479396</v>
      </c>
      <c r="E523" s="6">
        <v>90.690945350479396</v>
      </c>
      <c r="F523" s="6">
        <v>64.923388113290798</v>
      </c>
      <c r="G523" s="6" t="str">
        <f t="shared" si="16"/>
        <v>OK</v>
      </c>
      <c r="H523" s="6" t="str">
        <f t="shared" si="17"/>
        <v>NON-ZERO</v>
      </c>
      <c r="I523">
        <v>103.527618041008</v>
      </c>
      <c r="J523">
        <f>IFERROR(Table4[[#This Row],[energy_kwh]]/Table4[[#This Row],[expected_kwh]],0)</f>
        <v>0.8760072632459881</v>
      </c>
      <c r="K523" t="str">
        <f>IF(Table4[[#This Row],[Performance_Ratio]] &lt; 0.85, "Underperforming", "Performing")</f>
        <v>Performing</v>
      </c>
      <c r="L523">
        <f>Table4[[#This Row],[energy_kwh]] - Table4[[#This Row],[expected_kwh]]</f>
        <v>-12.836672690528601</v>
      </c>
      <c r="M523" t="str">
        <f>IF(Table4[[#This Row],[Performance_Deviation]] &lt; 0, "Underperforming", "Outperforming")</f>
        <v>Underperforming</v>
      </c>
      <c r="N523">
        <f>IF(Table4[[#This Row],[Performance_Ratio]] &lt; 0.85, Table4[[#This Row],[Performance_Deviation]] * 50 / 1000, 0)</f>
        <v>0</v>
      </c>
    </row>
    <row r="524" spans="1:14" x14ac:dyDescent="0.3">
      <c r="A524" s="4" t="s">
        <v>6</v>
      </c>
      <c r="B524" s="3">
        <v>45313.75</v>
      </c>
      <c r="C524" s="7">
        <v>4.74457995973912E-14</v>
      </c>
      <c r="D524" s="7">
        <v>4.53098658383484E-14</v>
      </c>
      <c r="E524" s="7">
        <v>4.53098658383484E-14</v>
      </c>
      <c r="F524" s="4">
        <v>62.882926403624097</v>
      </c>
      <c r="G524" s="4" t="str">
        <f t="shared" si="16"/>
        <v>OK</v>
      </c>
      <c r="H524" s="4" t="str">
        <f t="shared" si="17"/>
        <v>NON-ZERO</v>
      </c>
      <c r="I524" s="2">
        <v>4.8985871965894097E-14</v>
      </c>
      <c r="J524">
        <f>IFERROR(Table4[[#This Row],[energy_kwh]]/Table4[[#This Row],[expected_kwh]],0)</f>
        <v>0.92495783008404797</v>
      </c>
      <c r="K524" t="str">
        <f>IF(Table4[[#This Row],[Performance_Ratio]] &lt; 0.85, "Underperforming", "Performing")</f>
        <v>Performing</v>
      </c>
      <c r="L524">
        <f>Table4[[#This Row],[energy_kwh]] - Table4[[#This Row],[expected_kwh]]</f>
        <v>-3.676006127545697E-15</v>
      </c>
      <c r="M524" t="str">
        <f>IF(Table4[[#This Row],[Performance_Deviation]] &lt; 0, "Underperforming", "Outperforming")</f>
        <v>Underperforming</v>
      </c>
      <c r="N524">
        <f>IF(Table4[[#This Row],[Performance_Ratio]] &lt; 0.85, Table4[[#This Row],[Performance_Deviation]] * 50 / 1000, 0)</f>
        <v>0</v>
      </c>
    </row>
    <row r="525" spans="1:14" x14ac:dyDescent="0.3">
      <c r="A525" s="6" t="s">
        <v>6</v>
      </c>
      <c r="B525" s="5">
        <v>45313.791666666664</v>
      </c>
      <c r="C525" s="6">
        <v>0</v>
      </c>
      <c r="D525" s="6">
        <v>0</v>
      </c>
      <c r="E525" s="6">
        <v>0</v>
      </c>
      <c r="F525" s="6">
        <v>43.7709940843339</v>
      </c>
      <c r="G525" s="6" t="str">
        <f t="shared" si="16"/>
        <v>OK</v>
      </c>
      <c r="H525" s="6" t="str">
        <f t="shared" si="17"/>
        <v>ZERO</v>
      </c>
      <c r="I525">
        <v>0</v>
      </c>
      <c r="J525">
        <f>IFERROR(Table4[[#This Row],[energy_kwh]]/Table4[[#This Row],[expected_kwh]],0)</f>
        <v>0</v>
      </c>
      <c r="K525" t="str">
        <f>IF(Table4[[#This Row],[Performance_Ratio]] &lt; 0.85, "Underperforming", "Performing")</f>
        <v>Underperforming</v>
      </c>
      <c r="L525">
        <f>Table4[[#This Row],[energy_kwh]] - Table4[[#This Row],[expected_kwh]]</f>
        <v>0</v>
      </c>
      <c r="M525" t="str">
        <f>IF(Table4[[#This Row],[Performance_Deviation]] &lt; 0, "Underperforming", "Outperforming")</f>
        <v>Outperforming</v>
      </c>
      <c r="N525">
        <f>IF(Table4[[#This Row],[Performance_Ratio]] &lt; 0.85, Table4[[#This Row],[Performance_Deviation]] * 50 / 1000, 0)</f>
        <v>0</v>
      </c>
    </row>
    <row r="526" spans="1:14" x14ac:dyDescent="0.3">
      <c r="A526" s="4" t="s">
        <v>6</v>
      </c>
      <c r="B526" s="3">
        <v>45313.833333333336</v>
      </c>
      <c r="C526" s="4">
        <v>0</v>
      </c>
      <c r="D526" s="4">
        <v>0</v>
      </c>
      <c r="E526" s="4">
        <v>0</v>
      </c>
      <c r="F526" s="4">
        <v>53.253501078439001</v>
      </c>
      <c r="G526" s="4" t="str">
        <f t="shared" si="16"/>
        <v>OK</v>
      </c>
      <c r="H526" s="4" t="str">
        <f t="shared" si="17"/>
        <v>ZERO</v>
      </c>
      <c r="I526">
        <v>0</v>
      </c>
      <c r="J526">
        <f>IFERROR(Table4[[#This Row],[energy_kwh]]/Table4[[#This Row],[expected_kwh]],0)</f>
        <v>0</v>
      </c>
      <c r="K526" t="str">
        <f>IF(Table4[[#This Row],[Performance_Ratio]] &lt; 0.85, "Underperforming", "Performing")</f>
        <v>Underperforming</v>
      </c>
      <c r="L526">
        <f>Table4[[#This Row],[energy_kwh]] - Table4[[#This Row],[expected_kwh]]</f>
        <v>0</v>
      </c>
      <c r="M526" t="str">
        <f>IF(Table4[[#This Row],[Performance_Deviation]] &lt; 0, "Underperforming", "Outperforming")</f>
        <v>Outperforming</v>
      </c>
      <c r="N526">
        <f>IF(Table4[[#This Row],[Performance_Ratio]] &lt; 0.85, Table4[[#This Row],[Performance_Deviation]] * 50 / 1000, 0)</f>
        <v>0</v>
      </c>
    </row>
    <row r="527" spans="1:14" x14ac:dyDescent="0.3">
      <c r="A527" s="6" t="s">
        <v>6</v>
      </c>
      <c r="B527" s="5">
        <v>45313.875</v>
      </c>
      <c r="C527" s="6">
        <v>0</v>
      </c>
      <c r="D527" s="6">
        <v>0</v>
      </c>
      <c r="E527" s="6">
        <v>0</v>
      </c>
      <c r="F527" s="6">
        <v>64.377287172974405</v>
      </c>
      <c r="G527" s="6" t="str">
        <f t="shared" si="16"/>
        <v>OK</v>
      </c>
      <c r="H527" s="6" t="str">
        <f t="shared" si="17"/>
        <v>ZERO</v>
      </c>
      <c r="I527">
        <v>0</v>
      </c>
      <c r="J527">
        <f>IFERROR(Table4[[#This Row],[energy_kwh]]/Table4[[#This Row],[expected_kwh]],0)</f>
        <v>0</v>
      </c>
      <c r="K527" t="str">
        <f>IF(Table4[[#This Row],[Performance_Ratio]] &lt; 0.85, "Underperforming", "Performing")</f>
        <v>Underperforming</v>
      </c>
      <c r="L527">
        <f>Table4[[#This Row],[energy_kwh]] - Table4[[#This Row],[expected_kwh]]</f>
        <v>0</v>
      </c>
      <c r="M527" t="str">
        <f>IF(Table4[[#This Row],[Performance_Deviation]] &lt; 0, "Underperforming", "Outperforming")</f>
        <v>Outperforming</v>
      </c>
      <c r="N527">
        <f>IF(Table4[[#This Row],[Performance_Ratio]] &lt; 0.85, Table4[[#This Row],[Performance_Deviation]] * 50 / 1000, 0)</f>
        <v>0</v>
      </c>
    </row>
    <row r="528" spans="1:14" x14ac:dyDescent="0.3">
      <c r="A528" s="4" t="s">
        <v>6</v>
      </c>
      <c r="B528" s="3">
        <v>45313.916666666664</v>
      </c>
      <c r="C528" s="4">
        <v>0</v>
      </c>
      <c r="D528" s="4">
        <v>0</v>
      </c>
      <c r="E528" s="4">
        <v>0</v>
      </c>
      <c r="F528" s="4">
        <v>48.838349573360901</v>
      </c>
      <c r="G528" s="4" t="str">
        <f t="shared" si="16"/>
        <v>OK</v>
      </c>
      <c r="H528" s="4" t="str">
        <f t="shared" si="17"/>
        <v>ZERO</v>
      </c>
      <c r="I528">
        <v>0</v>
      </c>
      <c r="J528">
        <f>IFERROR(Table4[[#This Row],[energy_kwh]]/Table4[[#This Row],[expected_kwh]],0)</f>
        <v>0</v>
      </c>
      <c r="K528" t="str">
        <f>IF(Table4[[#This Row],[Performance_Ratio]] &lt; 0.85, "Underperforming", "Performing")</f>
        <v>Underperforming</v>
      </c>
      <c r="L528">
        <f>Table4[[#This Row],[energy_kwh]] - Table4[[#This Row],[expected_kwh]]</f>
        <v>0</v>
      </c>
      <c r="M528" t="str">
        <f>IF(Table4[[#This Row],[Performance_Deviation]] &lt; 0, "Underperforming", "Outperforming")</f>
        <v>Outperforming</v>
      </c>
      <c r="N528">
        <f>IF(Table4[[#This Row],[Performance_Ratio]] &lt; 0.85, Table4[[#This Row],[Performance_Deviation]] * 50 / 1000, 0)</f>
        <v>0</v>
      </c>
    </row>
    <row r="529" spans="1:14" x14ac:dyDescent="0.3">
      <c r="A529" s="6" t="s">
        <v>6</v>
      </c>
      <c r="B529" s="5">
        <v>45313.958333333336</v>
      </c>
      <c r="C529" s="6">
        <v>0</v>
      </c>
      <c r="D529" s="6">
        <v>0</v>
      </c>
      <c r="E529" s="6">
        <v>0</v>
      </c>
      <c r="F529" s="6">
        <v>91.289828943965205</v>
      </c>
      <c r="G529" s="6" t="str">
        <f t="shared" si="16"/>
        <v>OK</v>
      </c>
      <c r="H529" s="6" t="str">
        <f t="shared" si="17"/>
        <v>ZERO</v>
      </c>
      <c r="I529">
        <v>0</v>
      </c>
      <c r="J529">
        <f>IFERROR(Table4[[#This Row],[energy_kwh]]/Table4[[#This Row],[expected_kwh]],0)</f>
        <v>0</v>
      </c>
      <c r="K529" t="str">
        <f>IF(Table4[[#This Row],[Performance_Ratio]] &lt; 0.85, "Underperforming", "Performing")</f>
        <v>Underperforming</v>
      </c>
      <c r="L529">
        <f>Table4[[#This Row],[energy_kwh]] - Table4[[#This Row],[expected_kwh]]</f>
        <v>0</v>
      </c>
      <c r="M529" t="str">
        <f>IF(Table4[[#This Row],[Performance_Deviation]] &lt; 0, "Underperforming", "Outperforming")</f>
        <v>Outperforming</v>
      </c>
      <c r="N529">
        <f>IF(Table4[[#This Row],[Performance_Ratio]] &lt; 0.85, Table4[[#This Row],[Performance_Deviation]] * 50 / 1000, 0)</f>
        <v>0</v>
      </c>
    </row>
    <row r="530" spans="1:14" x14ac:dyDescent="0.3">
      <c r="A530" s="4" t="s">
        <v>6</v>
      </c>
      <c r="B530" s="3">
        <v>45314</v>
      </c>
      <c r="C530" s="4">
        <v>0</v>
      </c>
      <c r="D530" s="4">
        <v>0</v>
      </c>
      <c r="E530" s="4">
        <v>0</v>
      </c>
      <c r="F530" s="4">
        <v>25.319916210033</v>
      </c>
      <c r="G530" s="4" t="str">
        <f t="shared" si="16"/>
        <v>OK</v>
      </c>
      <c r="H530" s="4" t="str">
        <f t="shared" si="17"/>
        <v>ZERO</v>
      </c>
      <c r="I530">
        <v>0</v>
      </c>
      <c r="J530">
        <f>IFERROR(Table4[[#This Row],[energy_kwh]]/Table4[[#This Row],[expected_kwh]],0)</f>
        <v>0</v>
      </c>
      <c r="K530" t="str">
        <f>IF(Table4[[#This Row],[Performance_Ratio]] &lt; 0.85, "Underperforming", "Performing")</f>
        <v>Underperforming</v>
      </c>
      <c r="L530">
        <f>Table4[[#This Row],[energy_kwh]] - Table4[[#This Row],[expected_kwh]]</f>
        <v>0</v>
      </c>
      <c r="M530" t="str">
        <f>IF(Table4[[#This Row],[Performance_Deviation]] &lt; 0, "Underperforming", "Outperforming")</f>
        <v>Outperforming</v>
      </c>
      <c r="N530">
        <f>IF(Table4[[#This Row],[Performance_Ratio]] &lt; 0.85, Table4[[#This Row],[Performance_Deviation]] * 50 / 1000, 0)</f>
        <v>0</v>
      </c>
    </row>
    <row r="531" spans="1:14" x14ac:dyDescent="0.3">
      <c r="A531" s="6" t="s">
        <v>6</v>
      </c>
      <c r="B531" s="5">
        <v>45314.041666666664</v>
      </c>
      <c r="C531" s="6">
        <v>0</v>
      </c>
      <c r="D531" s="6">
        <v>0</v>
      </c>
      <c r="E531" s="6">
        <v>0</v>
      </c>
      <c r="F531" s="6">
        <v>55.437001625488499</v>
      </c>
      <c r="G531" s="6" t="str">
        <f t="shared" si="16"/>
        <v>OK</v>
      </c>
      <c r="H531" s="6" t="str">
        <f t="shared" si="17"/>
        <v>ZERO</v>
      </c>
      <c r="I531">
        <v>0</v>
      </c>
      <c r="J531">
        <f>IFERROR(Table4[[#This Row],[energy_kwh]]/Table4[[#This Row],[expected_kwh]],0)</f>
        <v>0</v>
      </c>
      <c r="K531" t="str">
        <f>IF(Table4[[#This Row],[Performance_Ratio]] &lt; 0.85, "Underperforming", "Performing")</f>
        <v>Underperforming</v>
      </c>
      <c r="L531">
        <f>Table4[[#This Row],[energy_kwh]] - Table4[[#This Row],[expected_kwh]]</f>
        <v>0</v>
      </c>
      <c r="M531" t="str">
        <f>IF(Table4[[#This Row],[Performance_Deviation]] &lt; 0, "Underperforming", "Outperforming")</f>
        <v>Outperforming</v>
      </c>
      <c r="N531">
        <f>IF(Table4[[#This Row],[Performance_Ratio]] &lt; 0.85, Table4[[#This Row],[Performance_Deviation]] * 50 / 1000, 0)</f>
        <v>0</v>
      </c>
    </row>
    <row r="532" spans="1:14" x14ac:dyDescent="0.3">
      <c r="A532" s="4" t="s">
        <v>6</v>
      </c>
      <c r="B532" s="3">
        <v>45314.083333333336</v>
      </c>
      <c r="C532" s="4">
        <v>0</v>
      </c>
      <c r="D532" s="4">
        <v>0</v>
      </c>
      <c r="E532" s="4">
        <v>0</v>
      </c>
      <c r="F532" s="4">
        <v>41.051241163698002</v>
      </c>
      <c r="G532" s="4" t="str">
        <f t="shared" si="16"/>
        <v>OK</v>
      </c>
      <c r="H532" s="4" t="str">
        <f t="shared" si="17"/>
        <v>ZERO</v>
      </c>
      <c r="I532">
        <v>0</v>
      </c>
      <c r="J532">
        <f>IFERROR(Table4[[#This Row],[energy_kwh]]/Table4[[#This Row],[expected_kwh]],0)</f>
        <v>0</v>
      </c>
      <c r="K532" t="str">
        <f>IF(Table4[[#This Row],[Performance_Ratio]] &lt; 0.85, "Underperforming", "Performing")</f>
        <v>Underperforming</v>
      </c>
      <c r="L532">
        <f>Table4[[#This Row],[energy_kwh]] - Table4[[#This Row],[expected_kwh]]</f>
        <v>0</v>
      </c>
      <c r="M532" t="str">
        <f>IF(Table4[[#This Row],[Performance_Deviation]] &lt; 0, "Underperforming", "Outperforming")</f>
        <v>Outperforming</v>
      </c>
      <c r="N532">
        <f>IF(Table4[[#This Row],[Performance_Ratio]] &lt; 0.85, Table4[[#This Row],[Performance_Deviation]] * 50 / 1000, 0)</f>
        <v>0</v>
      </c>
    </row>
    <row r="533" spans="1:14" x14ac:dyDescent="0.3">
      <c r="A533" s="6" t="s">
        <v>6</v>
      </c>
      <c r="B533" s="5">
        <v>45314.125</v>
      </c>
      <c r="C533" s="6">
        <v>0</v>
      </c>
      <c r="D533" s="6">
        <v>0</v>
      </c>
      <c r="E533" s="6">
        <v>0</v>
      </c>
      <c r="F533" s="6">
        <v>20.412934937031501</v>
      </c>
      <c r="G533" s="6" t="str">
        <f t="shared" si="16"/>
        <v>OK</v>
      </c>
      <c r="H533" s="6" t="str">
        <f t="shared" si="17"/>
        <v>ZERO</v>
      </c>
      <c r="I533">
        <v>0</v>
      </c>
      <c r="J533">
        <f>IFERROR(Table4[[#This Row],[energy_kwh]]/Table4[[#This Row],[expected_kwh]],0)</f>
        <v>0</v>
      </c>
      <c r="K533" t="str">
        <f>IF(Table4[[#This Row],[Performance_Ratio]] &lt; 0.85, "Underperforming", "Performing")</f>
        <v>Underperforming</v>
      </c>
      <c r="L533">
        <f>Table4[[#This Row],[energy_kwh]] - Table4[[#This Row],[expected_kwh]]</f>
        <v>0</v>
      </c>
      <c r="M533" t="str">
        <f>IF(Table4[[#This Row],[Performance_Deviation]] &lt; 0, "Underperforming", "Outperforming")</f>
        <v>Outperforming</v>
      </c>
      <c r="N533">
        <f>IF(Table4[[#This Row],[Performance_Ratio]] &lt; 0.85, Table4[[#This Row],[Performance_Deviation]] * 50 / 1000, 0)</f>
        <v>0</v>
      </c>
    </row>
    <row r="534" spans="1:14" x14ac:dyDescent="0.3">
      <c r="A534" s="4" t="s">
        <v>6</v>
      </c>
      <c r="B534" s="3">
        <v>45314.166666666664</v>
      </c>
      <c r="C534" s="4">
        <v>0</v>
      </c>
      <c r="D534" s="4">
        <v>0</v>
      </c>
      <c r="E534" s="4">
        <v>0</v>
      </c>
      <c r="F534" s="4">
        <v>42.0116617406091</v>
      </c>
      <c r="G534" s="4" t="str">
        <f t="shared" si="16"/>
        <v>OK</v>
      </c>
      <c r="H534" s="4" t="str">
        <f t="shared" si="17"/>
        <v>ZERO</v>
      </c>
      <c r="I534">
        <v>0</v>
      </c>
      <c r="J534">
        <f>IFERROR(Table4[[#This Row],[energy_kwh]]/Table4[[#This Row],[expected_kwh]],0)</f>
        <v>0</v>
      </c>
      <c r="K534" t="str">
        <f>IF(Table4[[#This Row],[Performance_Ratio]] &lt; 0.85, "Underperforming", "Performing")</f>
        <v>Underperforming</v>
      </c>
      <c r="L534">
        <f>Table4[[#This Row],[energy_kwh]] - Table4[[#This Row],[expected_kwh]]</f>
        <v>0</v>
      </c>
      <c r="M534" t="str">
        <f>IF(Table4[[#This Row],[Performance_Deviation]] &lt; 0, "Underperforming", "Outperforming")</f>
        <v>Outperforming</v>
      </c>
      <c r="N534">
        <f>IF(Table4[[#This Row],[Performance_Ratio]] &lt; 0.85, Table4[[#This Row],[Performance_Deviation]] * 50 / 1000, 0)</f>
        <v>0</v>
      </c>
    </row>
    <row r="535" spans="1:14" x14ac:dyDescent="0.3">
      <c r="A535" s="6" t="s">
        <v>6</v>
      </c>
      <c r="B535" s="5">
        <v>45314.208333333336</v>
      </c>
      <c r="C535" s="6">
        <v>0</v>
      </c>
      <c r="D535" s="6">
        <v>0</v>
      </c>
      <c r="E535" s="6">
        <v>0</v>
      </c>
      <c r="F535" s="6">
        <v>26.531957509682801</v>
      </c>
      <c r="G535" s="6" t="str">
        <f t="shared" si="16"/>
        <v>OK</v>
      </c>
      <c r="H535" s="6" t="str">
        <f t="shared" si="17"/>
        <v>ZERO</v>
      </c>
      <c r="I535">
        <v>0</v>
      </c>
      <c r="J535">
        <f>IFERROR(Table4[[#This Row],[energy_kwh]]/Table4[[#This Row],[expected_kwh]],0)</f>
        <v>0</v>
      </c>
      <c r="K535" t="str">
        <f>IF(Table4[[#This Row],[Performance_Ratio]] &lt; 0.85, "Underperforming", "Performing")</f>
        <v>Underperforming</v>
      </c>
      <c r="L535">
        <f>Table4[[#This Row],[energy_kwh]] - Table4[[#This Row],[expected_kwh]]</f>
        <v>0</v>
      </c>
      <c r="M535" t="str">
        <f>IF(Table4[[#This Row],[Performance_Deviation]] &lt; 0, "Underperforming", "Outperforming")</f>
        <v>Outperforming</v>
      </c>
      <c r="N535">
        <f>IF(Table4[[#This Row],[Performance_Ratio]] &lt; 0.85, Table4[[#This Row],[Performance_Deviation]] * 50 / 1000, 0)</f>
        <v>0</v>
      </c>
    </row>
    <row r="536" spans="1:14" x14ac:dyDescent="0.3">
      <c r="A536" s="4" t="s">
        <v>6</v>
      </c>
      <c r="B536" s="3">
        <v>45314.25</v>
      </c>
      <c r="C536" s="4">
        <v>0</v>
      </c>
      <c r="D536" s="4">
        <v>0</v>
      </c>
      <c r="E536" s="4">
        <v>0</v>
      </c>
      <c r="F536" s="4">
        <v>85.566689351388106</v>
      </c>
      <c r="G536" s="4" t="str">
        <f t="shared" si="16"/>
        <v>OK</v>
      </c>
      <c r="H536" s="4" t="str">
        <f t="shared" si="17"/>
        <v>ZERO</v>
      </c>
      <c r="I536">
        <v>0</v>
      </c>
      <c r="J536">
        <f>IFERROR(Table4[[#This Row],[energy_kwh]]/Table4[[#This Row],[expected_kwh]],0)</f>
        <v>0</v>
      </c>
      <c r="K536" t="str">
        <f>IF(Table4[[#This Row],[Performance_Ratio]] &lt; 0.85, "Underperforming", "Performing")</f>
        <v>Underperforming</v>
      </c>
      <c r="L536">
        <f>Table4[[#This Row],[energy_kwh]] - Table4[[#This Row],[expected_kwh]]</f>
        <v>0</v>
      </c>
      <c r="M536" t="str">
        <f>IF(Table4[[#This Row],[Performance_Deviation]] &lt; 0, "Underperforming", "Outperforming")</f>
        <v>Outperforming</v>
      </c>
      <c r="N536">
        <f>IF(Table4[[#This Row],[Performance_Ratio]] &lt; 0.85, Table4[[#This Row],[Performance_Deviation]] * 50 / 1000, 0)</f>
        <v>0</v>
      </c>
    </row>
    <row r="537" spans="1:14" x14ac:dyDescent="0.3">
      <c r="A537" s="6" t="s">
        <v>6</v>
      </c>
      <c r="B537" s="5">
        <v>45314.291666666664</v>
      </c>
      <c r="C537" s="6">
        <v>100.29820856844201</v>
      </c>
      <c r="D537" s="6">
        <v>95.782944172632199</v>
      </c>
      <c r="E537" s="6">
        <v>95.782944172632199</v>
      </c>
      <c r="F537" s="6">
        <v>94.461262924930196</v>
      </c>
      <c r="G537" s="6" t="str">
        <f t="shared" si="16"/>
        <v>OK</v>
      </c>
      <c r="H537" s="6" t="str">
        <f t="shared" si="17"/>
        <v>NON-ZERO</v>
      </c>
      <c r="I537">
        <v>103.527618041008</v>
      </c>
      <c r="J537">
        <f>IFERROR(Table4[[#This Row],[energy_kwh]]/Table4[[#This Row],[expected_kwh]],0)</f>
        <v>0.92519219494349725</v>
      </c>
      <c r="K537" t="str">
        <f>IF(Table4[[#This Row],[Performance_Ratio]] &lt; 0.85, "Underperforming", "Performing")</f>
        <v>Performing</v>
      </c>
      <c r="L537">
        <f>Table4[[#This Row],[energy_kwh]] - Table4[[#This Row],[expected_kwh]]</f>
        <v>-7.7446738683757985</v>
      </c>
      <c r="M537" t="str">
        <f>IF(Table4[[#This Row],[Performance_Deviation]] &lt; 0, "Underperforming", "Outperforming")</f>
        <v>Underperforming</v>
      </c>
      <c r="N537">
        <f>IF(Table4[[#This Row],[Performance_Ratio]] &lt; 0.85, Table4[[#This Row],[Performance_Deviation]] * 50 / 1000, 0)</f>
        <v>0</v>
      </c>
    </row>
    <row r="538" spans="1:14" x14ac:dyDescent="0.3">
      <c r="A538" s="4" t="s">
        <v>6</v>
      </c>
      <c r="B538" s="3">
        <v>45314.333333333336</v>
      </c>
      <c r="C538" s="4">
        <v>184.41243406916101</v>
      </c>
      <c r="D538" s="4">
        <v>176.11048222393899</v>
      </c>
      <c r="E538" s="4">
        <v>176.11048222393899</v>
      </c>
      <c r="F538" s="4">
        <v>50.8265806449159</v>
      </c>
      <c r="G538" s="4" t="str">
        <f t="shared" si="16"/>
        <v>OK</v>
      </c>
      <c r="H538" s="4" t="str">
        <f t="shared" si="17"/>
        <v>NON-ZERO</v>
      </c>
      <c r="I538">
        <v>199.99999999999901</v>
      </c>
      <c r="J538">
        <f>IFERROR(Table4[[#This Row],[energy_kwh]]/Table4[[#This Row],[expected_kwh]],0)</f>
        <v>0.88055241111969929</v>
      </c>
      <c r="K538" t="str">
        <f>IF(Table4[[#This Row],[Performance_Ratio]] &lt; 0.85, "Underperforming", "Performing")</f>
        <v>Performing</v>
      </c>
      <c r="L538">
        <f>Table4[[#This Row],[energy_kwh]] - Table4[[#This Row],[expected_kwh]]</f>
        <v>-23.889517776060018</v>
      </c>
      <c r="M538" t="str">
        <f>IF(Table4[[#This Row],[Performance_Deviation]] &lt; 0, "Underperforming", "Outperforming")</f>
        <v>Underperforming</v>
      </c>
      <c r="N538">
        <f>IF(Table4[[#This Row],[Performance_Ratio]] &lt; 0.85, Table4[[#This Row],[Performance_Deviation]] * 50 / 1000, 0)</f>
        <v>0</v>
      </c>
    </row>
    <row r="539" spans="1:14" x14ac:dyDescent="0.3">
      <c r="A539" s="6" t="s">
        <v>6</v>
      </c>
      <c r="B539" s="5">
        <v>45314.375</v>
      </c>
      <c r="C539" s="6">
        <v>255.773880265651</v>
      </c>
      <c r="D539" s="6">
        <v>244.259350630222</v>
      </c>
      <c r="E539" s="6">
        <v>244.259350630222</v>
      </c>
      <c r="F539" s="6">
        <v>65.592891056802699</v>
      </c>
      <c r="G539" s="6" t="str">
        <f t="shared" si="16"/>
        <v>OK</v>
      </c>
      <c r="H539" s="6" t="str">
        <f t="shared" si="17"/>
        <v>NON-ZERO</v>
      </c>
      <c r="I539">
        <v>282.84271247461902</v>
      </c>
      <c r="J539">
        <f>IFERROR(Table4[[#This Row],[energy_kwh]]/Table4[[#This Row],[expected_kwh]],0)</f>
        <v>0.86358721599426291</v>
      </c>
      <c r="K539" t="str">
        <f>IF(Table4[[#This Row],[Performance_Ratio]] &lt; 0.85, "Underperforming", "Performing")</f>
        <v>Performing</v>
      </c>
      <c r="L539">
        <f>Table4[[#This Row],[energy_kwh]] - Table4[[#This Row],[expected_kwh]]</f>
        <v>-38.583361844397018</v>
      </c>
      <c r="M539" t="str">
        <f>IF(Table4[[#This Row],[Performance_Deviation]] &lt; 0, "Underperforming", "Outperforming")</f>
        <v>Underperforming</v>
      </c>
      <c r="N539">
        <f>IF(Table4[[#This Row],[Performance_Ratio]] &lt; 0.85, Table4[[#This Row],[Performance_Deviation]] * 50 / 1000, 0)</f>
        <v>0</v>
      </c>
    </row>
    <row r="540" spans="1:14" x14ac:dyDescent="0.3">
      <c r="A540" s="4" t="s">
        <v>6</v>
      </c>
      <c r="B540" s="3">
        <v>45314.416666666664</v>
      </c>
      <c r="C540" s="4">
        <v>351.42872259076501</v>
      </c>
      <c r="D540" s="4">
        <v>335.60796545634003</v>
      </c>
      <c r="E540" s="4">
        <v>335.60796545634003</v>
      </c>
      <c r="F540" s="4">
        <v>20.1173828893604</v>
      </c>
      <c r="G540" s="4" t="str">
        <f t="shared" si="16"/>
        <v>OK</v>
      </c>
      <c r="H540" s="4" t="str">
        <f t="shared" si="17"/>
        <v>NON-ZERO</v>
      </c>
      <c r="I540">
        <v>346.41016151377499</v>
      </c>
      <c r="J540">
        <f>IFERROR(Table4[[#This Row],[energy_kwh]]/Table4[[#This Row],[expected_kwh]],0)</f>
        <v>0.96881674599200396</v>
      </c>
      <c r="K540" t="str">
        <f>IF(Table4[[#This Row],[Performance_Ratio]] &lt; 0.85, "Underperforming", "Performing")</f>
        <v>Performing</v>
      </c>
      <c r="L540">
        <f>Table4[[#This Row],[energy_kwh]] - Table4[[#This Row],[expected_kwh]]</f>
        <v>-10.802196057434969</v>
      </c>
      <c r="M540" t="str">
        <f>IF(Table4[[#This Row],[Performance_Deviation]] &lt; 0, "Underperforming", "Outperforming")</f>
        <v>Underperforming</v>
      </c>
      <c r="N540">
        <f>IF(Table4[[#This Row],[Performance_Ratio]] &lt; 0.85, Table4[[#This Row],[Performance_Deviation]] * 50 / 1000, 0)</f>
        <v>0</v>
      </c>
    </row>
    <row r="541" spans="1:14" x14ac:dyDescent="0.3">
      <c r="A541" s="6" t="s">
        <v>6</v>
      </c>
      <c r="B541" s="5">
        <v>45314.458333333336</v>
      </c>
      <c r="C541" s="6">
        <v>352.38285387306701</v>
      </c>
      <c r="D541" s="6">
        <v>336.519143279459</v>
      </c>
      <c r="E541" s="6">
        <v>336.519143279459</v>
      </c>
      <c r="F541" s="6">
        <v>39.3205415250291</v>
      </c>
      <c r="G541" s="6" t="str">
        <f t="shared" si="16"/>
        <v>OK</v>
      </c>
      <c r="H541" s="6" t="str">
        <f t="shared" si="17"/>
        <v>NON-ZERO</v>
      </c>
      <c r="I541">
        <v>386.37033051562702</v>
      </c>
      <c r="J541">
        <f>IFERROR(Table4[[#This Row],[energy_kwh]]/Table4[[#This Row],[expected_kwh]],0)</f>
        <v>0.87097563322308014</v>
      </c>
      <c r="K541" t="str">
        <f>IF(Table4[[#This Row],[Performance_Ratio]] &lt; 0.85, "Underperforming", "Performing")</f>
        <v>Performing</v>
      </c>
      <c r="L541">
        <f>Table4[[#This Row],[energy_kwh]] - Table4[[#This Row],[expected_kwh]]</f>
        <v>-49.851187236168016</v>
      </c>
      <c r="M541" t="str">
        <f>IF(Table4[[#This Row],[Performance_Deviation]] &lt; 0, "Underperforming", "Outperforming")</f>
        <v>Underperforming</v>
      </c>
      <c r="N541">
        <f>IF(Table4[[#This Row],[Performance_Ratio]] &lt; 0.85, Table4[[#This Row],[Performance_Deviation]] * 50 / 1000, 0)</f>
        <v>0</v>
      </c>
    </row>
    <row r="542" spans="1:14" x14ac:dyDescent="0.3">
      <c r="A542" s="4" t="s">
        <v>6</v>
      </c>
      <c r="B542" s="3">
        <v>45314.5</v>
      </c>
      <c r="C542" s="4">
        <v>384.05629461041099</v>
      </c>
      <c r="D542" s="4">
        <v>366.76669654288497</v>
      </c>
      <c r="E542" s="4">
        <v>366.76669654288497</v>
      </c>
      <c r="F542" s="4">
        <v>48.787916228373398</v>
      </c>
      <c r="G542" s="4" t="str">
        <f t="shared" si="16"/>
        <v>OK</v>
      </c>
      <c r="H542" s="4" t="str">
        <f t="shared" si="17"/>
        <v>NON-ZERO</v>
      </c>
      <c r="I542">
        <v>400</v>
      </c>
      <c r="J542">
        <f>IFERROR(Table4[[#This Row],[energy_kwh]]/Table4[[#This Row],[expected_kwh]],0)</f>
        <v>0.91691674135721246</v>
      </c>
      <c r="K542" t="str">
        <f>IF(Table4[[#This Row],[Performance_Ratio]] &lt; 0.85, "Underperforming", "Performing")</f>
        <v>Performing</v>
      </c>
      <c r="L542">
        <f>Table4[[#This Row],[energy_kwh]] - Table4[[#This Row],[expected_kwh]]</f>
        <v>-33.233303457115028</v>
      </c>
      <c r="M542" t="str">
        <f>IF(Table4[[#This Row],[Performance_Deviation]] &lt; 0, "Underperforming", "Outperforming")</f>
        <v>Underperforming</v>
      </c>
      <c r="N542">
        <f>IF(Table4[[#This Row],[Performance_Ratio]] &lt; 0.85, Table4[[#This Row],[Performance_Deviation]] * 50 / 1000, 0)</f>
        <v>0</v>
      </c>
    </row>
    <row r="543" spans="1:14" x14ac:dyDescent="0.3">
      <c r="A543" s="6" t="s">
        <v>6</v>
      </c>
      <c r="B543" s="5">
        <v>45314.541666666664</v>
      </c>
      <c r="C543" s="6">
        <v>350.42471433265501</v>
      </c>
      <c r="D543" s="6">
        <v>334.649156038824</v>
      </c>
      <c r="E543" s="6">
        <v>334.649156038824</v>
      </c>
      <c r="F543" s="6">
        <v>29.076875036389399</v>
      </c>
      <c r="G543" s="6" t="str">
        <f t="shared" si="16"/>
        <v>OK</v>
      </c>
      <c r="H543" s="6" t="str">
        <f t="shared" si="17"/>
        <v>NON-ZERO</v>
      </c>
      <c r="I543">
        <v>386.37033051562702</v>
      </c>
      <c r="J543">
        <f>IFERROR(Table4[[#This Row],[energy_kwh]]/Table4[[#This Row],[expected_kwh]],0)</f>
        <v>0.86613575010332966</v>
      </c>
      <c r="K543" t="str">
        <f>IF(Table4[[#This Row],[Performance_Ratio]] &lt; 0.85, "Underperforming", "Performing")</f>
        <v>Performing</v>
      </c>
      <c r="L543">
        <f>Table4[[#This Row],[energy_kwh]] - Table4[[#This Row],[expected_kwh]]</f>
        <v>-51.721174476803014</v>
      </c>
      <c r="M543" t="str">
        <f>IF(Table4[[#This Row],[Performance_Deviation]] &lt; 0, "Underperforming", "Outperforming")</f>
        <v>Underperforming</v>
      </c>
      <c r="N543">
        <f>IF(Table4[[#This Row],[Performance_Ratio]] &lt; 0.85, Table4[[#This Row],[Performance_Deviation]] * 50 / 1000, 0)</f>
        <v>0</v>
      </c>
    </row>
    <row r="544" spans="1:14" x14ac:dyDescent="0.3">
      <c r="A544" s="4" t="s">
        <v>6</v>
      </c>
      <c r="B544" s="3">
        <v>45314.583333333336</v>
      </c>
      <c r="C544" s="4">
        <v>365.98160639333997</v>
      </c>
      <c r="D544" s="4">
        <v>349.50570178392002</v>
      </c>
      <c r="E544" s="4">
        <v>349.50570178392002</v>
      </c>
      <c r="F544" s="4">
        <v>46.607846887698798</v>
      </c>
      <c r="G544" s="4" t="str">
        <f t="shared" si="16"/>
        <v>OK</v>
      </c>
      <c r="H544" s="4" t="str">
        <f t="shared" si="17"/>
        <v>NON-ZERO</v>
      </c>
      <c r="I544">
        <v>346.41016151377499</v>
      </c>
      <c r="J544">
        <f>IFERROR(Table4[[#This Row],[energy_kwh]]/Table4[[#This Row],[expected_kwh]],0)</f>
        <v>1.0089360550412778</v>
      </c>
      <c r="K544" t="str">
        <f>IF(Table4[[#This Row],[Performance_Ratio]] &lt; 0.85, "Underperforming", "Performing")</f>
        <v>Performing</v>
      </c>
      <c r="L544">
        <f>Table4[[#This Row],[energy_kwh]] - Table4[[#This Row],[expected_kwh]]</f>
        <v>3.0955402701450225</v>
      </c>
      <c r="M544" t="str">
        <f>IF(Table4[[#This Row],[Performance_Deviation]] &lt; 0, "Underperforming", "Outperforming")</f>
        <v>Outperforming</v>
      </c>
      <c r="N544">
        <f>IF(Table4[[#This Row],[Performance_Ratio]] &lt; 0.85, Table4[[#This Row],[Performance_Deviation]] * 50 / 1000, 0)</f>
        <v>0</v>
      </c>
    </row>
    <row r="545" spans="1:14" x14ac:dyDescent="0.3">
      <c r="A545" s="6" t="s">
        <v>6</v>
      </c>
      <c r="B545" s="5">
        <v>45314.625</v>
      </c>
      <c r="C545" s="6">
        <v>258.98051125249799</v>
      </c>
      <c r="D545" s="6">
        <v>247.321624235895</v>
      </c>
      <c r="E545" s="6">
        <v>247.321624235895</v>
      </c>
      <c r="F545" s="6">
        <v>70.900246750442307</v>
      </c>
      <c r="G545" s="6" t="str">
        <f t="shared" si="16"/>
        <v>OK</v>
      </c>
      <c r="H545" s="6" t="str">
        <f t="shared" si="17"/>
        <v>NON-ZERO</v>
      </c>
      <c r="I545">
        <v>282.84271247461902</v>
      </c>
      <c r="J545">
        <f>IFERROR(Table4[[#This Row],[energy_kwh]]/Table4[[#This Row],[expected_kwh]],0)</f>
        <v>0.87441398815636262</v>
      </c>
      <c r="K545" t="str">
        <f>IF(Table4[[#This Row],[Performance_Ratio]] &lt; 0.85, "Underperforming", "Performing")</f>
        <v>Performing</v>
      </c>
      <c r="L545">
        <f>Table4[[#This Row],[energy_kwh]] - Table4[[#This Row],[expected_kwh]]</f>
        <v>-35.521088238724019</v>
      </c>
      <c r="M545" t="str">
        <f>IF(Table4[[#This Row],[Performance_Deviation]] &lt; 0, "Underperforming", "Outperforming")</f>
        <v>Underperforming</v>
      </c>
      <c r="N545">
        <f>IF(Table4[[#This Row],[Performance_Ratio]] &lt; 0.85, Table4[[#This Row],[Performance_Deviation]] * 50 / 1000, 0)</f>
        <v>0</v>
      </c>
    </row>
    <row r="546" spans="1:14" x14ac:dyDescent="0.3">
      <c r="A546" s="4" t="s">
        <v>6</v>
      </c>
      <c r="B546" s="3">
        <v>45314.666666666664</v>
      </c>
      <c r="C546" s="4">
        <v>206.46645147335801</v>
      </c>
      <c r="D546" s="4">
        <v>197.17166315586999</v>
      </c>
      <c r="E546" s="4">
        <v>197.17166315586999</v>
      </c>
      <c r="F546" s="4">
        <v>88.496521068217703</v>
      </c>
      <c r="G546" s="4" t="str">
        <f t="shared" si="16"/>
        <v>OK</v>
      </c>
      <c r="H546" s="4" t="str">
        <f t="shared" si="17"/>
        <v>NON-ZERO</v>
      </c>
      <c r="I546">
        <v>199.99999999999901</v>
      </c>
      <c r="J546">
        <f>IFERROR(Table4[[#This Row],[energy_kwh]]/Table4[[#This Row],[expected_kwh]],0)</f>
        <v>0.9858583157793549</v>
      </c>
      <c r="K546" t="str">
        <f>IF(Table4[[#This Row],[Performance_Ratio]] &lt; 0.85, "Underperforming", "Performing")</f>
        <v>Performing</v>
      </c>
      <c r="L546">
        <f>Table4[[#This Row],[energy_kwh]] - Table4[[#This Row],[expected_kwh]]</f>
        <v>-2.8283368441290122</v>
      </c>
      <c r="M546" t="str">
        <f>IF(Table4[[#This Row],[Performance_Deviation]] &lt; 0, "Underperforming", "Outperforming")</f>
        <v>Underperforming</v>
      </c>
      <c r="N546">
        <f>IF(Table4[[#This Row],[Performance_Ratio]] &lt; 0.85, Table4[[#This Row],[Performance_Deviation]] * 50 / 1000, 0)</f>
        <v>0</v>
      </c>
    </row>
    <row r="547" spans="1:14" x14ac:dyDescent="0.3">
      <c r="A547" s="6" t="s">
        <v>6</v>
      </c>
      <c r="B547" s="5">
        <v>45314.708333333336</v>
      </c>
      <c r="C547" s="6">
        <v>85.785174222353604</v>
      </c>
      <c r="D547" s="6">
        <v>81.923263342955593</v>
      </c>
      <c r="E547" s="6">
        <v>81.923263342955593</v>
      </c>
      <c r="F547" s="6">
        <v>74.297979159956995</v>
      </c>
      <c r="G547" s="6" t="str">
        <f t="shared" si="16"/>
        <v>OK</v>
      </c>
      <c r="H547" s="6" t="str">
        <f t="shared" si="17"/>
        <v>NON-ZERO</v>
      </c>
      <c r="I547">
        <v>103.527618041008</v>
      </c>
      <c r="J547">
        <f>IFERROR(Table4[[#This Row],[energy_kwh]]/Table4[[#This Row],[expected_kwh]],0)</f>
        <v>0.79131795836841556</v>
      </c>
      <c r="K547" t="str">
        <f>IF(Table4[[#This Row],[Performance_Ratio]] &lt; 0.85, "Underperforming", "Performing")</f>
        <v>Underperforming</v>
      </c>
      <c r="L547">
        <f>Table4[[#This Row],[energy_kwh]] - Table4[[#This Row],[expected_kwh]]</f>
        <v>-21.604354698052404</v>
      </c>
      <c r="M547" t="str">
        <f>IF(Table4[[#This Row],[Performance_Deviation]] &lt; 0, "Underperforming", "Outperforming")</f>
        <v>Underperforming</v>
      </c>
      <c r="N547">
        <f>IF(Table4[[#This Row],[Performance_Ratio]] &lt; 0.85, Table4[[#This Row],[Performance_Deviation]] * 50 / 1000, 0)</f>
        <v>-1.0802177349026201</v>
      </c>
    </row>
    <row r="548" spans="1:14" x14ac:dyDescent="0.3">
      <c r="A548" s="4" t="s">
        <v>6</v>
      </c>
      <c r="B548" s="3">
        <v>45314.75</v>
      </c>
      <c r="C548" s="7">
        <v>4.6736664605350098E-14</v>
      </c>
      <c r="D548" s="7">
        <v>4.4632654965661702E-14</v>
      </c>
      <c r="E548" s="7">
        <v>4.4632654965661702E-14</v>
      </c>
      <c r="F548" s="4">
        <v>51.652569509572899</v>
      </c>
      <c r="G548" s="4" t="str">
        <f t="shared" si="16"/>
        <v>OK</v>
      </c>
      <c r="H548" s="4" t="str">
        <f t="shared" si="17"/>
        <v>NON-ZERO</v>
      </c>
      <c r="I548" s="2">
        <v>4.8985871965894097E-14</v>
      </c>
      <c r="J548">
        <f>IFERROR(Table4[[#This Row],[energy_kwh]]/Table4[[#This Row],[expected_kwh]],0)</f>
        <v>0.911133214016007</v>
      </c>
      <c r="K548" t="str">
        <f>IF(Table4[[#This Row],[Performance_Ratio]] &lt; 0.85, "Underperforming", "Performing")</f>
        <v>Performing</v>
      </c>
      <c r="L548">
        <f>Table4[[#This Row],[energy_kwh]] - Table4[[#This Row],[expected_kwh]]</f>
        <v>-4.3532170002323952E-15</v>
      </c>
      <c r="M548" t="str">
        <f>IF(Table4[[#This Row],[Performance_Deviation]] &lt; 0, "Underperforming", "Outperforming")</f>
        <v>Underperforming</v>
      </c>
      <c r="N548">
        <f>IF(Table4[[#This Row],[Performance_Ratio]] &lt; 0.85, Table4[[#This Row],[Performance_Deviation]] * 50 / 1000, 0)</f>
        <v>0</v>
      </c>
    </row>
    <row r="549" spans="1:14" x14ac:dyDescent="0.3">
      <c r="A549" s="6" t="s">
        <v>6</v>
      </c>
      <c r="B549" s="5">
        <v>45314.791666666664</v>
      </c>
      <c r="C549" s="6">
        <v>0</v>
      </c>
      <c r="D549" s="6">
        <v>0</v>
      </c>
      <c r="E549" s="6">
        <v>0</v>
      </c>
      <c r="F549" s="6">
        <v>63.289991505091301</v>
      </c>
      <c r="G549" s="6" t="str">
        <f t="shared" si="16"/>
        <v>OK</v>
      </c>
      <c r="H549" s="6" t="str">
        <f t="shared" si="17"/>
        <v>ZERO</v>
      </c>
      <c r="I549">
        <v>0</v>
      </c>
      <c r="J549">
        <f>IFERROR(Table4[[#This Row],[energy_kwh]]/Table4[[#This Row],[expected_kwh]],0)</f>
        <v>0</v>
      </c>
      <c r="K549" t="str">
        <f>IF(Table4[[#This Row],[Performance_Ratio]] &lt; 0.85, "Underperforming", "Performing")</f>
        <v>Underperforming</v>
      </c>
      <c r="L549">
        <f>Table4[[#This Row],[energy_kwh]] - Table4[[#This Row],[expected_kwh]]</f>
        <v>0</v>
      </c>
      <c r="M549" t="str">
        <f>IF(Table4[[#This Row],[Performance_Deviation]] &lt; 0, "Underperforming", "Outperforming")</f>
        <v>Outperforming</v>
      </c>
      <c r="N549">
        <f>IF(Table4[[#This Row],[Performance_Ratio]] &lt; 0.85, Table4[[#This Row],[Performance_Deviation]] * 50 / 1000, 0)</f>
        <v>0</v>
      </c>
    </row>
    <row r="550" spans="1:14" x14ac:dyDescent="0.3">
      <c r="A550" s="4" t="s">
        <v>6</v>
      </c>
      <c r="B550" s="3">
        <v>45314.833333333336</v>
      </c>
      <c r="C550" s="4">
        <v>0</v>
      </c>
      <c r="D550" s="4">
        <v>0</v>
      </c>
      <c r="E550" s="4">
        <v>0</v>
      </c>
      <c r="F550" s="4">
        <v>83.420327224242996</v>
      </c>
      <c r="G550" s="4" t="str">
        <f t="shared" si="16"/>
        <v>OK</v>
      </c>
      <c r="H550" s="4" t="str">
        <f t="shared" si="17"/>
        <v>ZERO</v>
      </c>
      <c r="I550">
        <v>0</v>
      </c>
      <c r="J550">
        <f>IFERROR(Table4[[#This Row],[energy_kwh]]/Table4[[#This Row],[expected_kwh]],0)</f>
        <v>0</v>
      </c>
      <c r="K550" t="str">
        <f>IF(Table4[[#This Row],[Performance_Ratio]] &lt; 0.85, "Underperforming", "Performing")</f>
        <v>Underperforming</v>
      </c>
      <c r="L550">
        <f>Table4[[#This Row],[energy_kwh]] - Table4[[#This Row],[expected_kwh]]</f>
        <v>0</v>
      </c>
      <c r="M550" t="str">
        <f>IF(Table4[[#This Row],[Performance_Deviation]] &lt; 0, "Underperforming", "Outperforming")</f>
        <v>Outperforming</v>
      </c>
      <c r="N550">
        <f>IF(Table4[[#This Row],[Performance_Ratio]] &lt; 0.85, Table4[[#This Row],[Performance_Deviation]] * 50 / 1000, 0)</f>
        <v>0</v>
      </c>
    </row>
    <row r="551" spans="1:14" x14ac:dyDescent="0.3">
      <c r="A551" s="6" t="s">
        <v>6</v>
      </c>
      <c r="B551" s="5">
        <v>45314.875</v>
      </c>
      <c r="C551" s="6">
        <v>0</v>
      </c>
      <c r="D551" s="6">
        <v>0</v>
      </c>
      <c r="E551" s="6">
        <v>0</v>
      </c>
      <c r="F551" s="6">
        <v>70.472496679582406</v>
      </c>
      <c r="G551" s="6" t="str">
        <f t="shared" si="16"/>
        <v>OK</v>
      </c>
      <c r="H551" s="6" t="str">
        <f t="shared" si="17"/>
        <v>ZERO</v>
      </c>
      <c r="I551">
        <v>0</v>
      </c>
      <c r="J551">
        <f>IFERROR(Table4[[#This Row],[energy_kwh]]/Table4[[#This Row],[expected_kwh]],0)</f>
        <v>0</v>
      </c>
      <c r="K551" t="str">
        <f>IF(Table4[[#This Row],[Performance_Ratio]] &lt; 0.85, "Underperforming", "Performing")</f>
        <v>Underperforming</v>
      </c>
      <c r="L551">
        <f>Table4[[#This Row],[energy_kwh]] - Table4[[#This Row],[expected_kwh]]</f>
        <v>0</v>
      </c>
      <c r="M551" t="str">
        <f>IF(Table4[[#This Row],[Performance_Deviation]] &lt; 0, "Underperforming", "Outperforming")</f>
        <v>Outperforming</v>
      </c>
      <c r="N551">
        <f>IF(Table4[[#This Row],[Performance_Ratio]] &lt; 0.85, Table4[[#This Row],[Performance_Deviation]] * 50 / 1000, 0)</f>
        <v>0</v>
      </c>
    </row>
    <row r="552" spans="1:14" x14ac:dyDescent="0.3">
      <c r="A552" s="4" t="s">
        <v>6</v>
      </c>
      <c r="B552" s="3">
        <v>45314.916666666664</v>
      </c>
      <c r="C552" s="4">
        <v>0</v>
      </c>
      <c r="D552" s="4">
        <v>0</v>
      </c>
      <c r="E552" s="4">
        <v>0</v>
      </c>
      <c r="F552" s="4">
        <v>79.878525538876403</v>
      </c>
      <c r="G552" s="4" t="str">
        <f t="shared" si="16"/>
        <v>OK</v>
      </c>
      <c r="H552" s="4" t="str">
        <f t="shared" si="17"/>
        <v>ZERO</v>
      </c>
      <c r="I552">
        <v>0</v>
      </c>
      <c r="J552">
        <f>IFERROR(Table4[[#This Row],[energy_kwh]]/Table4[[#This Row],[expected_kwh]],0)</f>
        <v>0</v>
      </c>
      <c r="K552" t="str">
        <f>IF(Table4[[#This Row],[Performance_Ratio]] &lt; 0.85, "Underperforming", "Performing")</f>
        <v>Underperforming</v>
      </c>
      <c r="L552">
        <f>Table4[[#This Row],[energy_kwh]] - Table4[[#This Row],[expected_kwh]]</f>
        <v>0</v>
      </c>
      <c r="M552" t="str">
        <f>IF(Table4[[#This Row],[Performance_Deviation]] &lt; 0, "Underperforming", "Outperforming")</f>
        <v>Outperforming</v>
      </c>
      <c r="N552">
        <f>IF(Table4[[#This Row],[Performance_Ratio]] &lt; 0.85, Table4[[#This Row],[Performance_Deviation]] * 50 / 1000, 0)</f>
        <v>0</v>
      </c>
    </row>
    <row r="553" spans="1:14" x14ac:dyDescent="0.3">
      <c r="A553" s="6" t="s">
        <v>6</v>
      </c>
      <c r="B553" s="5">
        <v>45314.958333333336</v>
      </c>
      <c r="C553" s="6">
        <v>0</v>
      </c>
      <c r="D553" s="6">
        <v>0</v>
      </c>
      <c r="E553" s="6">
        <v>0</v>
      </c>
      <c r="F553" s="6">
        <v>88.747642688090494</v>
      </c>
      <c r="G553" s="6" t="str">
        <f t="shared" si="16"/>
        <v>OK</v>
      </c>
      <c r="H553" s="6" t="str">
        <f t="shared" si="17"/>
        <v>ZERO</v>
      </c>
      <c r="I553">
        <v>0</v>
      </c>
      <c r="J553">
        <f>IFERROR(Table4[[#This Row],[energy_kwh]]/Table4[[#This Row],[expected_kwh]],0)</f>
        <v>0</v>
      </c>
      <c r="K553" t="str">
        <f>IF(Table4[[#This Row],[Performance_Ratio]] &lt; 0.85, "Underperforming", "Performing")</f>
        <v>Underperforming</v>
      </c>
      <c r="L553">
        <f>Table4[[#This Row],[energy_kwh]] - Table4[[#This Row],[expected_kwh]]</f>
        <v>0</v>
      </c>
      <c r="M553" t="str">
        <f>IF(Table4[[#This Row],[Performance_Deviation]] &lt; 0, "Underperforming", "Outperforming")</f>
        <v>Outperforming</v>
      </c>
      <c r="N553">
        <f>IF(Table4[[#This Row],[Performance_Ratio]] &lt; 0.85, Table4[[#This Row],[Performance_Deviation]] * 50 / 1000, 0)</f>
        <v>0</v>
      </c>
    </row>
    <row r="554" spans="1:14" x14ac:dyDescent="0.3">
      <c r="A554" s="4" t="s">
        <v>6</v>
      </c>
      <c r="B554" s="3">
        <v>45315</v>
      </c>
      <c r="C554" s="4">
        <v>0</v>
      </c>
      <c r="D554" s="4">
        <v>0</v>
      </c>
      <c r="E554" s="4">
        <v>0</v>
      </c>
      <c r="F554" s="4">
        <v>65.080562510017401</v>
      </c>
      <c r="G554" s="4" t="str">
        <f t="shared" si="16"/>
        <v>OK</v>
      </c>
      <c r="H554" s="4" t="str">
        <f t="shared" si="17"/>
        <v>ZERO</v>
      </c>
      <c r="I554">
        <v>0</v>
      </c>
      <c r="J554">
        <f>IFERROR(Table4[[#This Row],[energy_kwh]]/Table4[[#This Row],[expected_kwh]],0)</f>
        <v>0</v>
      </c>
      <c r="K554" t="str">
        <f>IF(Table4[[#This Row],[Performance_Ratio]] &lt; 0.85, "Underperforming", "Performing")</f>
        <v>Underperforming</v>
      </c>
      <c r="L554">
        <f>Table4[[#This Row],[energy_kwh]] - Table4[[#This Row],[expected_kwh]]</f>
        <v>0</v>
      </c>
      <c r="M554" t="str">
        <f>IF(Table4[[#This Row],[Performance_Deviation]] &lt; 0, "Underperforming", "Outperforming")</f>
        <v>Outperforming</v>
      </c>
      <c r="N554">
        <f>IF(Table4[[#This Row],[Performance_Ratio]] &lt; 0.85, Table4[[#This Row],[Performance_Deviation]] * 50 / 1000, 0)</f>
        <v>0</v>
      </c>
    </row>
    <row r="555" spans="1:14" x14ac:dyDescent="0.3">
      <c r="A555" s="6" t="s">
        <v>6</v>
      </c>
      <c r="B555" s="5">
        <v>45315.041666666664</v>
      </c>
      <c r="C555" s="6">
        <v>0</v>
      </c>
      <c r="D555" s="6">
        <v>0</v>
      </c>
      <c r="E555" s="6">
        <v>0</v>
      </c>
      <c r="F555" s="6">
        <v>48.091466526509102</v>
      </c>
      <c r="G555" s="6" t="str">
        <f t="shared" si="16"/>
        <v>OK</v>
      </c>
      <c r="H555" s="6" t="str">
        <f t="shared" si="17"/>
        <v>ZERO</v>
      </c>
      <c r="I555">
        <v>0</v>
      </c>
      <c r="J555">
        <f>IFERROR(Table4[[#This Row],[energy_kwh]]/Table4[[#This Row],[expected_kwh]],0)</f>
        <v>0</v>
      </c>
      <c r="K555" t="str">
        <f>IF(Table4[[#This Row],[Performance_Ratio]] &lt; 0.85, "Underperforming", "Performing")</f>
        <v>Underperforming</v>
      </c>
      <c r="L555">
        <f>Table4[[#This Row],[energy_kwh]] - Table4[[#This Row],[expected_kwh]]</f>
        <v>0</v>
      </c>
      <c r="M555" t="str">
        <f>IF(Table4[[#This Row],[Performance_Deviation]] &lt; 0, "Underperforming", "Outperforming")</f>
        <v>Outperforming</v>
      </c>
      <c r="N555">
        <f>IF(Table4[[#This Row],[Performance_Ratio]] &lt; 0.85, Table4[[#This Row],[Performance_Deviation]] * 50 / 1000, 0)</f>
        <v>0</v>
      </c>
    </row>
    <row r="556" spans="1:14" x14ac:dyDescent="0.3">
      <c r="A556" s="4" t="s">
        <v>6</v>
      </c>
      <c r="B556" s="3">
        <v>45315.083333333336</v>
      </c>
      <c r="C556" s="4">
        <v>0</v>
      </c>
      <c r="D556" s="4">
        <v>0</v>
      </c>
      <c r="E556" s="4">
        <v>0</v>
      </c>
      <c r="F556" s="4">
        <v>45.9408095553393</v>
      </c>
      <c r="G556" s="4" t="str">
        <f t="shared" si="16"/>
        <v>OK</v>
      </c>
      <c r="H556" s="4" t="str">
        <f t="shared" si="17"/>
        <v>ZERO</v>
      </c>
      <c r="I556">
        <v>0</v>
      </c>
      <c r="J556">
        <f>IFERROR(Table4[[#This Row],[energy_kwh]]/Table4[[#This Row],[expected_kwh]],0)</f>
        <v>0</v>
      </c>
      <c r="K556" t="str">
        <f>IF(Table4[[#This Row],[Performance_Ratio]] &lt; 0.85, "Underperforming", "Performing")</f>
        <v>Underperforming</v>
      </c>
      <c r="L556">
        <f>Table4[[#This Row],[energy_kwh]] - Table4[[#This Row],[expected_kwh]]</f>
        <v>0</v>
      </c>
      <c r="M556" t="str">
        <f>IF(Table4[[#This Row],[Performance_Deviation]] &lt; 0, "Underperforming", "Outperforming")</f>
        <v>Outperforming</v>
      </c>
      <c r="N556">
        <f>IF(Table4[[#This Row],[Performance_Ratio]] &lt; 0.85, Table4[[#This Row],[Performance_Deviation]] * 50 / 1000, 0)</f>
        <v>0</v>
      </c>
    </row>
    <row r="557" spans="1:14" x14ac:dyDescent="0.3">
      <c r="A557" s="6" t="s">
        <v>6</v>
      </c>
      <c r="B557" s="5">
        <v>45315.125</v>
      </c>
      <c r="C557" s="6">
        <v>0</v>
      </c>
      <c r="D557" s="6">
        <v>0</v>
      </c>
      <c r="E557" s="6">
        <v>0</v>
      </c>
      <c r="F557" s="6">
        <v>68.436678971486302</v>
      </c>
      <c r="G557" s="6" t="str">
        <f t="shared" si="16"/>
        <v>OK</v>
      </c>
      <c r="H557" s="6" t="str">
        <f t="shared" si="17"/>
        <v>ZERO</v>
      </c>
      <c r="I557">
        <v>0</v>
      </c>
      <c r="J557">
        <f>IFERROR(Table4[[#This Row],[energy_kwh]]/Table4[[#This Row],[expected_kwh]],0)</f>
        <v>0</v>
      </c>
      <c r="K557" t="str">
        <f>IF(Table4[[#This Row],[Performance_Ratio]] &lt; 0.85, "Underperforming", "Performing")</f>
        <v>Underperforming</v>
      </c>
      <c r="L557">
        <f>Table4[[#This Row],[energy_kwh]] - Table4[[#This Row],[expected_kwh]]</f>
        <v>0</v>
      </c>
      <c r="M557" t="str">
        <f>IF(Table4[[#This Row],[Performance_Deviation]] &lt; 0, "Underperforming", "Outperforming")</f>
        <v>Outperforming</v>
      </c>
      <c r="N557">
        <f>IF(Table4[[#This Row],[Performance_Ratio]] &lt; 0.85, Table4[[#This Row],[Performance_Deviation]] * 50 / 1000, 0)</f>
        <v>0</v>
      </c>
    </row>
    <row r="558" spans="1:14" x14ac:dyDescent="0.3">
      <c r="A558" s="4" t="s">
        <v>6</v>
      </c>
      <c r="B558" s="3">
        <v>45315.166666666664</v>
      </c>
      <c r="C558" s="4">
        <v>0</v>
      </c>
      <c r="D558" s="4">
        <v>0</v>
      </c>
      <c r="E558" s="4">
        <v>0</v>
      </c>
      <c r="F558" s="4">
        <v>43.341312129754499</v>
      </c>
      <c r="G558" s="4" t="str">
        <f t="shared" si="16"/>
        <v>OK</v>
      </c>
      <c r="H558" s="4" t="str">
        <f t="shared" si="17"/>
        <v>ZERO</v>
      </c>
      <c r="I558">
        <v>0</v>
      </c>
      <c r="J558">
        <f>IFERROR(Table4[[#This Row],[energy_kwh]]/Table4[[#This Row],[expected_kwh]],0)</f>
        <v>0</v>
      </c>
      <c r="K558" t="str">
        <f>IF(Table4[[#This Row],[Performance_Ratio]] &lt; 0.85, "Underperforming", "Performing")</f>
        <v>Underperforming</v>
      </c>
      <c r="L558">
        <f>Table4[[#This Row],[energy_kwh]] - Table4[[#This Row],[expected_kwh]]</f>
        <v>0</v>
      </c>
      <c r="M558" t="str">
        <f>IF(Table4[[#This Row],[Performance_Deviation]] &lt; 0, "Underperforming", "Outperforming")</f>
        <v>Outperforming</v>
      </c>
      <c r="N558">
        <f>IF(Table4[[#This Row],[Performance_Ratio]] &lt; 0.85, Table4[[#This Row],[Performance_Deviation]] * 50 / 1000, 0)</f>
        <v>0</v>
      </c>
    </row>
    <row r="559" spans="1:14" x14ac:dyDescent="0.3">
      <c r="A559" s="6" t="s">
        <v>6</v>
      </c>
      <c r="B559" s="5">
        <v>45315.208333333336</v>
      </c>
      <c r="C559" s="6">
        <v>0</v>
      </c>
      <c r="D559" s="6">
        <v>0</v>
      </c>
      <c r="E559" s="6">
        <v>0</v>
      </c>
      <c r="F559" s="6">
        <v>47.344529614815499</v>
      </c>
      <c r="G559" s="6" t="str">
        <f t="shared" si="16"/>
        <v>OK</v>
      </c>
      <c r="H559" s="6" t="str">
        <f t="shared" si="17"/>
        <v>ZERO</v>
      </c>
      <c r="I559">
        <v>0</v>
      </c>
      <c r="J559">
        <f>IFERROR(Table4[[#This Row],[energy_kwh]]/Table4[[#This Row],[expected_kwh]],0)</f>
        <v>0</v>
      </c>
      <c r="K559" t="str">
        <f>IF(Table4[[#This Row],[Performance_Ratio]] &lt; 0.85, "Underperforming", "Performing")</f>
        <v>Underperforming</v>
      </c>
      <c r="L559">
        <f>Table4[[#This Row],[energy_kwh]] - Table4[[#This Row],[expected_kwh]]</f>
        <v>0</v>
      </c>
      <c r="M559" t="str">
        <f>IF(Table4[[#This Row],[Performance_Deviation]] &lt; 0, "Underperforming", "Outperforming")</f>
        <v>Outperforming</v>
      </c>
      <c r="N559">
        <f>IF(Table4[[#This Row],[Performance_Ratio]] &lt; 0.85, Table4[[#This Row],[Performance_Deviation]] * 50 / 1000, 0)</f>
        <v>0</v>
      </c>
    </row>
    <row r="560" spans="1:14" x14ac:dyDescent="0.3">
      <c r="A560" s="4" t="s">
        <v>6</v>
      </c>
      <c r="B560" s="3">
        <v>45315.25</v>
      </c>
      <c r="C560" s="4">
        <v>0</v>
      </c>
      <c r="D560" s="4">
        <v>0</v>
      </c>
      <c r="E560" s="4">
        <v>0</v>
      </c>
      <c r="F560" s="4">
        <v>22.0652539902099</v>
      </c>
      <c r="G560" s="4" t="str">
        <f t="shared" si="16"/>
        <v>OK</v>
      </c>
      <c r="H560" s="4" t="str">
        <f t="shared" si="17"/>
        <v>ZERO</v>
      </c>
      <c r="I560">
        <v>0</v>
      </c>
      <c r="J560">
        <f>IFERROR(Table4[[#This Row],[energy_kwh]]/Table4[[#This Row],[expected_kwh]],0)</f>
        <v>0</v>
      </c>
      <c r="K560" t="str">
        <f>IF(Table4[[#This Row],[Performance_Ratio]] &lt; 0.85, "Underperforming", "Performing")</f>
        <v>Underperforming</v>
      </c>
      <c r="L560">
        <f>Table4[[#This Row],[energy_kwh]] - Table4[[#This Row],[expected_kwh]]</f>
        <v>0</v>
      </c>
      <c r="M560" t="str">
        <f>IF(Table4[[#This Row],[Performance_Deviation]] &lt; 0, "Underperforming", "Outperforming")</f>
        <v>Outperforming</v>
      </c>
      <c r="N560">
        <f>IF(Table4[[#This Row],[Performance_Ratio]] &lt; 0.85, Table4[[#This Row],[Performance_Deviation]] * 50 / 1000, 0)</f>
        <v>0</v>
      </c>
    </row>
    <row r="561" spans="1:14" x14ac:dyDescent="0.3">
      <c r="A561" s="6" t="s">
        <v>6</v>
      </c>
      <c r="B561" s="5">
        <v>45315.291666666664</v>
      </c>
      <c r="C561" s="6">
        <v>95.002458130752998</v>
      </c>
      <c r="D561" s="6">
        <v>90.725599921271098</v>
      </c>
      <c r="E561" s="6">
        <v>90.725599921271098</v>
      </c>
      <c r="F561" s="6">
        <v>48.815503473935003</v>
      </c>
      <c r="G561" s="6" t="str">
        <f t="shared" si="16"/>
        <v>OK</v>
      </c>
      <c r="H561" s="6" t="str">
        <f t="shared" si="17"/>
        <v>NON-ZERO</v>
      </c>
      <c r="I561">
        <v>103.527618041008</v>
      </c>
      <c r="J561">
        <f>IFERROR(Table4[[#This Row],[energy_kwh]]/Table4[[#This Row],[expected_kwh]],0)</f>
        <v>0.8763420006952547</v>
      </c>
      <c r="K561" t="str">
        <f>IF(Table4[[#This Row],[Performance_Ratio]] &lt; 0.85, "Underperforming", "Performing")</f>
        <v>Performing</v>
      </c>
      <c r="L561">
        <f>Table4[[#This Row],[energy_kwh]] - Table4[[#This Row],[expected_kwh]]</f>
        <v>-12.8020181197369</v>
      </c>
      <c r="M561" t="str">
        <f>IF(Table4[[#This Row],[Performance_Deviation]] &lt; 0, "Underperforming", "Outperforming")</f>
        <v>Underperforming</v>
      </c>
      <c r="N561">
        <f>IF(Table4[[#This Row],[Performance_Ratio]] &lt; 0.85, Table4[[#This Row],[Performance_Deviation]] * 50 / 1000, 0)</f>
        <v>0</v>
      </c>
    </row>
    <row r="562" spans="1:14" x14ac:dyDescent="0.3">
      <c r="A562" s="4" t="s">
        <v>6</v>
      </c>
      <c r="B562" s="3">
        <v>45315.333333333336</v>
      </c>
      <c r="C562" s="4">
        <v>174.62596330756799</v>
      </c>
      <c r="D562" s="4">
        <v>166.76458267115601</v>
      </c>
      <c r="E562" s="4">
        <v>166.76458267115601</v>
      </c>
      <c r="F562" s="4">
        <v>54.389225666141797</v>
      </c>
      <c r="G562" s="4" t="str">
        <f t="shared" si="16"/>
        <v>OK</v>
      </c>
      <c r="H562" s="4" t="str">
        <f t="shared" si="17"/>
        <v>NON-ZERO</v>
      </c>
      <c r="I562">
        <v>199.99999999999901</v>
      </c>
      <c r="J562">
        <f>IFERROR(Table4[[#This Row],[energy_kwh]]/Table4[[#This Row],[expected_kwh]],0)</f>
        <v>0.83382291335578418</v>
      </c>
      <c r="K562" t="str">
        <f>IF(Table4[[#This Row],[Performance_Ratio]] &lt; 0.85, "Underperforming", "Performing")</f>
        <v>Underperforming</v>
      </c>
      <c r="L562">
        <f>Table4[[#This Row],[energy_kwh]] - Table4[[#This Row],[expected_kwh]]</f>
        <v>-33.235417328842999</v>
      </c>
      <c r="M562" t="str">
        <f>IF(Table4[[#This Row],[Performance_Deviation]] &lt; 0, "Underperforming", "Outperforming")</f>
        <v>Underperforming</v>
      </c>
      <c r="N562">
        <f>IF(Table4[[#This Row],[Performance_Ratio]] &lt; 0.85, Table4[[#This Row],[Performance_Deviation]] * 50 / 1000, 0)</f>
        <v>-1.66177086644215</v>
      </c>
    </row>
    <row r="563" spans="1:14" x14ac:dyDescent="0.3">
      <c r="A563" s="6" t="s">
        <v>6</v>
      </c>
      <c r="B563" s="5">
        <v>45315.375</v>
      </c>
      <c r="C563" s="6">
        <v>261.53707780940499</v>
      </c>
      <c r="D563" s="6">
        <v>249.76309826906899</v>
      </c>
      <c r="E563" s="6">
        <v>249.76309826906899</v>
      </c>
      <c r="F563" s="6">
        <v>28.710422015039399</v>
      </c>
      <c r="G563" s="6" t="str">
        <f t="shared" si="16"/>
        <v>OK</v>
      </c>
      <c r="H563" s="6" t="str">
        <f t="shared" si="17"/>
        <v>NON-ZERO</v>
      </c>
      <c r="I563">
        <v>282.84271247461902</v>
      </c>
      <c r="J563">
        <f>IFERROR(Table4[[#This Row],[energy_kwh]]/Table4[[#This Row],[expected_kwh]],0)</f>
        <v>0.88304590238110359</v>
      </c>
      <c r="K563" t="str">
        <f>IF(Table4[[#This Row],[Performance_Ratio]] &lt; 0.85, "Underperforming", "Performing")</f>
        <v>Performing</v>
      </c>
      <c r="L563">
        <f>Table4[[#This Row],[energy_kwh]] - Table4[[#This Row],[expected_kwh]]</f>
        <v>-33.07961420555003</v>
      </c>
      <c r="M563" t="str">
        <f>IF(Table4[[#This Row],[Performance_Deviation]] &lt; 0, "Underperforming", "Outperforming")</f>
        <v>Underperforming</v>
      </c>
      <c r="N563">
        <f>IF(Table4[[#This Row],[Performance_Ratio]] &lt; 0.85, Table4[[#This Row],[Performance_Deviation]] * 50 / 1000, 0)</f>
        <v>0</v>
      </c>
    </row>
    <row r="564" spans="1:14" x14ac:dyDescent="0.3">
      <c r="A564" s="4" t="s">
        <v>6</v>
      </c>
      <c r="B564" s="3">
        <v>45315.416666666664</v>
      </c>
      <c r="C564" s="4">
        <v>326.82399762627898</v>
      </c>
      <c r="D564" s="4">
        <v>312.11090572522698</v>
      </c>
      <c r="E564" s="4">
        <v>312.11090572522698</v>
      </c>
      <c r="F564" s="4">
        <v>82.003051980611502</v>
      </c>
      <c r="G564" s="4" t="str">
        <f t="shared" si="16"/>
        <v>OK</v>
      </c>
      <c r="H564" s="4" t="str">
        <f t="shared" si="17"/>
        <v>NON-ZERO</v>
      </c>
      <c r="I564">
        <v>346.41016151377499</v>
      </c>
      <c r="J564">
        <f>IFERROR(Table4[[#This Row],[energy_kwh]]/Table4[[#This Row],[expected_kwh]],0)</f>
        <v>0.90098657718738973</v>
      </c>
      <c r="K564" t="str">
        <f>IF(Table4[[#This Row],[Performance_Ratio]] &lt; 0.85, "Underperforming", "Performing")</f>
        <v>Performing</v>
      </c>
      <c r="L564">
        <f>Table4[[#This Row],[energy_kwh]] - Table4[[#This Row],[expected_kwh]]</f>
        <v>-34.29925578854801</v>
      </c>
      <c r="M564" t="str">
        <f>IF(Table4[[#This Row],[Performance_Deviation]] &lt; 0, "Underperforming", "Outperforming")</f>
        <v>Underperforming</v>
      </c>
      <c r="N564">
        <f>IF(Table4[[#This Row],[Performance_Ratio]] &lt; 0.85, Table4[[#This Row],[Performance_Deviation]] * 50 / 1000, 0)</f>
        <v>0</v>
      </c>
    </row>
    <row r="565" spans="1:14" x14ac:dyDescent="0.3">
      <c r="A565" s="6" t="s">
        <v>6</v>
      </c>
      <c r="B565" s="5">
        <v>45315.458333333336</v>
      </c>
      <c r="C565" s="6">
        <v>373.244855057564</v>
      </c>
      <c r="D565" s="6">
        <v>356.44197064900698</v>
      </c>
      <c r="E565" s="6">
        <v>356.44197064900698</v>
      </c>
      <c r="F565" s="6">
        <v>92.085161405569394</v>
      </c>
      <c r="G565" s="6" t="str">
        <f t="shared" si="16"/>
        <v>OK</v>
      </c>
      <c r="H565" s="6" t="str">
        <f t="shared" si="17"/>
        <v>NON-ZERO</v>
      </c>
      <c r="I565">
        <v>386.37033051562702</v>
      </c>
      <c r="J565">
        <f>IFERROR(Table4[[#This Row],[energy_kwh]]/Table4[[#This Row],[expected_kwh]],0)</f>
        <v>0.92253970477836789</v>
      </c>
      <c r="K565" t="str">
        <f>IF(Table4[[#This Row],[Performance_Ratio]] &lt; 0.85, "Underperforming", "Performing")</f>
        <v>Performing</v>
      </c>
      <c r="L565">
        <f>Table4[[#This Row],[energy_kwh]] - Table4[[#This Row],[expected_kwh]]</f>
        <v>-29.928359866620042</v>
      </c>
      <c r="M565" t="str">
        <f>IF(Table4[[#This Row],[Performance_Deviation]] &lt; 0, "Underperforming", "Outperforming")</f>
        <v>Underperforming</v>
      </c>
      <c r="N565">
        <f>IF(Table4[[#This Row],[Performance_Ratio]] &lt; 0.85, Table4[[#This Row],[Performance_Deviation]] * 50 / 1000, 0)</f>
        <v>0</v>
      </c>
    </row>
    <row r="566" spans="1:14" x14ac:dyDescent="0.3">
      <c r="A566" s="4" t="s">
        <v>6</v>
      </c>
      <c r="B566" s="3">
        <v>45315.5</v>
      </c>
      <c r="C566" s="4">
        <v>336.88933746034701</v>
      </c>
      <c r="D566" s="4">
        <v>321.723120112358</v>
      </c>
      <c r="E566" s="4">
        <v>321.723120112358</v>
      </c>
      <c r="F566" s="4">
        <v>31.560878238386501</v>
      </c>
      <c r="G566" s="4" t="str">
        <f t="shared" si="16"/>
        <v>OK</v>
      </c>
      <c r="H566" s="4" t="str">
        <f t="shared" si="17"/>
        <v>NON-ZERO</v>
      </c>
      <c r="I566">
        <v>400</v>
      </c>
      <c r="J566">
        <f>IFERROR(Table4[[#This Row],[energy_kwh]]/Table4[[#This Row],[expected_kwh]],0)</f>
        <v>0.80430780028089499</v>
      </c>
      <c r="K566" t="str">
        <f>IF(Table4[[#This Row],[Performance_Ratio]] &lt; 0.85, "Underperforming", "Performing")</f>
        <v>Underperforming</v>
      </c>
      <c r="L566">
        <f>Table4[[#This Row],[energy_kwh]] - Table4[[#This Row],[expected_kwh]]</f>
        <v>-78.276879887641996</v>
      </c>
      <c r="M566" t="str">
        <f>IF(Table4[[#This Row],[Performance_Deviation]] &lt; 0, "Underperforming", "Outperforming")</f>
        <v>Underperforming</v>
      </c>
      <c r="N566">
        <f>IF(Table4[[#This Row],[Performance_Ratio]] &lt; 0.85, Table4[[#This Row],[Performance_Deviation]] * 50 / 1000, 0)</f>
        <v>-3.9138439943820997</v>
      </c>
    </row>
    <row r="567" spans="1:14" x14ac:dyDescent="0.3">
      <c r="A567" s="6" t="s">
        <v>6</v>
      </c>
      <c r="B567" s="5">
        <v>45315.541666666664</v>
      </c>
      <c r="C567" s="6">
        <v>326.854079678868</v>
      </c>
      <c r="D567" s="6">
        <v>312.139633532083</v>
      </c>
      <c r="E567" s="6">
        <v>312.139633532083</v>
      </c>
      <c r="F567" s="6">
        <v>77.1426359453652</v>
      </c>
      <c r="G567" s="6" t="str">
        <f t="shared" si="16"/>
        <v>OK</v>
      </c>
      <c r="H567" s="6" t="str">
        <f t="shared" si="17"/>
        <v>NON-ZERO</v>
      </c>
      <c r="I567">
        <v>386.37033051562702</v>
      </c>
      <c r="J567">
        <f>IFERROR(Table4[[#This Row],[energy_kwh]]/Table4[[#This Row],[expected_kwh]],0)</f>
        <v>0.80787681889424556</v>
      </c>
      <c r="K567" t="str">
        <f>IF(Table4[[#This Row],[Performance_Ratio]] &lt; 0.85, "Underperforming", "Performing")</f>
        <v>Underperforming</v>
      </c>
      <c r="L567">
        <f>Table4[[#This Row],[energy_kwh]] - Table4[[#This Row],[expected_kwh]]</f>
        <v>-74.230696983544021</v>
      </c>
      <c r="M567" t="str">
        <f>IF(Table4[[#This Row],[Performance_Deviation]] &lt; 0, "Underperforming", "Outperforming")</f>
        <v>Underperforming</v>
      </c>
      <c r="N567">
        <f>IF(Table4[[#This Row],[Performance_Ratio]] &lt; 0.85, Table4[[#This Row],[Performance_Deviation]] * 50 / 1000, 0)</f>
        <v>-3.7115348491772009</v>
      </c>
    </row>
    <row r="568" spans="1:14" x14ac:dyDescent="0.3">
      <c r="A568" s="4" t="s">
        <v>6</v>
      </c>
      <c r="B568" s="3">
        <v>45315.583333333336</v>
      </c>
      <c r="C568" s="4">
        <v>323.77540238509999</v>
      </c>
      <c r="D568" s="4">
        <v>309.19955334956097</v>
      </c>
      <c r="E568" s="4">
        <v>309.19955334956097</v>
      </c>
      <c r="F568" s="4">
        <v>34.596787752865303</v>
      </c>
      <c r="G568" s="4" t="str">
        <f t="shared" si="16"/>
        <v>OK</v>
      </c>
      <c r="H568" s="4" t="str">
        <f t="shared" si="17"/>
        <v>NON-ZERO</v>
      </c>
      <c r="I568">
        <v>346.41016151377499</v>
      </c>
      <c r="J568">
        <f>IFERROR(Table4[[#This Row],[energy_kwh]]/Table4[[#This Row],[expected_kwh]],0)</f>
        <v>0.8925822267984066</v>
      </c>
      <c r="K568" t="str">
        <f>IF(Table4[[#This Row],[Performance_Ratio]] &lt; 0.85, "Underperforming", "Performing")</f>
        <v>Performing</v>
      </c>
      <c r="L568">
        <f>Table4[[#This Row],[energy_kwh]] - Table4[[#This Row],[expected_kwh]]</f>
        <v>-37.210608164214023</v>
      </c>
      <c r="M568" t="str">
        <f>IF(Table4[[#This Row],[Performance_Deviation]] &lt; 0, "Underperforming", "Outperforming")</f>
        <v>Underperforming</v>
      </c>
      <c r="N568">
        <f>IF(Table4[[#This Row],[Performance_Ratio]] &lt; 0.85, Table4[[#This Row],[Performance_Deviation]] * 50 / 1000, 0)</f>
        <v>0</v>
      </c>
    </row>
    <row r="569" spans="1:14" x14ac:dyDescent="0.3">
      <c r="A569" s="6" t="s">
        <v>6</v>
      </c>
      <c r="B569" s="5">
        <v>45315.625</v>
      </c>
      <c r="C569" s="6">
        <v>293.00821006451099</v>
      </c>
      <c r="D569" s="6">
        <v>279.81745065347297</v>
      </c>
      <c r="E569" s="6">
        <v>279.81745065347297</v>
      </c>
      <c r="F569" s="6">
        <v>40.268576909808701</v>
      </c>
      <c r="G569" s="6" t="str">
        <f t="shared" si="16"/>
        <v>OK</v>
      </c>
      <c r="H569" s="6" t="str">
        <f t="shared" si="17"/>
        <v>NON-ZERO</v>
      </c>
      <c r="I569">
        <v>282.84271247461902</v>
      </c>
      <c r="J569">
        <f>IFERROR(Table4[[#This Row],[energy_kwh]]/Table4[[#This Row],[expected_kwh]],0)</f>
        <v>0.98930408425701433</v>
      </c>
      <c r="K569" t="str">
        <f>IF(Table4[[#This Row],[Performance_Ratio]] &lt; 0.85, "Underperforming", "Performing")</f>
        <v>Performing</v>
      </c>
      <c r="L569">
        <f>Table4[[#This Row],[energy_kwh]] - Table4[[#This Row],[expected_kwh]]</f>
        <v>-3.0252618211460458</v>
      </c>
      <c r="M569" t="str">
        <f>IF(Table4[[#This Row],[Performance_Deviation]] &lt; 0, "Underperforming", "Outperforming")</f>
        <v>Underperforming</v>
      </c>
      <c r="N569">
        <f>IF(Table4[[#This Row],[Performance_Ratio]] &lt; 0.85, Table4[[#This Row],[Performance_Deviation]] * 50 / 1000, 0)</f>
        <v>0</v>
      </c>
    </row>
    <row r="570" spans="1:14" x14ac:dyDescent="0.3">
      <c r="A570" s="4" t="s">
        <v>6</v>
      </c>
      <c r="B570" s="3">
        <v>45315.666666666664</v>
      </c>
      <c r="C570" s="4">
        <v>190.85561853114299</v>
      </c>
      <c r="D570" s="4">
        <v>182.26360486116801</v>
      </c>
      <c r="E570" s="4">
        <v>182.26360486116801</v>
      </c>
      <c r="F570" s="4">
        <v>30.4397526009271</v>
      </c>
      <c r="G570" s="4" t="str">
        <f t="shared" si="16"/>
        <v>OK</v>
      </c>
      <c r="H570" s="4" t="str">
        <f t="shared" si="17"/>
        <v>NON-ZERO</v>
      </c>
      <c r="I570">
        <v>199.99999999999901</v>
      </c>
      <c r="J570">
        <f>IFERROR(Table4[[#This Row],[energy_kwh]]/Table4[[#This Row],[expected_kwh]],0)</f>
        <v>0.91131802430584452</v>
      </c>
      <c r="K570" t="str">
        <f>IF(Table4[[#This Row],[Performance_Ratio]] &lt; 0.85, "Underperforming", "Performing")</f>
        <v>Performing</v>
      </c>
      <c r="L570">
        <f>Table4[[#This Row],[energy_kwh]] - Table4[[#This Row],[expected_kwh]]</f>
        <v>-17.736395138831</v>
      </c>
      <c r="M570" t="str">
        <f>IF(Table4[[#This Row],[Performance_Deviation]] &lt; 0, "Underperforming", "Outperforming")</f>
        <v>Underperforming</v>
      </c>
      <c r="N570">
        <f>IF(Table4[[#This Row],[Performance_Ratio]] &lt; 0.85, Table4[[#This Row],[Performance_Deviation]] * 50 / 1000, 0)</f>
        <v>0</v>
      </c>
    </row>
    <row r="571" spans="1:14" x14ac:dyDescent="0.3">
      <c r="A571" s="6" t="s">
        <v>6</v>
      </c>
      <c r="B571" s="5">
        <v>45315.708333333336</v>
      </c>
      <c r="C571" s="6">
        <v>101.930873390366</v>
      </c>
      <c r="D571" s="6">
        <v>97.342109044298198</v>
      </c>
      <c r="E571" s="6">
        <v>97.342109044298198</v>
      </c>
      <c r="F571" s="6">
        <v>56.6673373844338</v>
      </c>
      <c r="G571" s="6" t="str">
        <f t="shared" si="16"/>
        <v>OK</v>
      </c>
      <c r="H571" s="6" t="str">
        <f t="shared" si="17"/>
        <v>NON-ZERO</v>
      </c>
      <c r="I571">
        <v>103.527618041008</v>
      </c>
      <c r="J571">
        <f>IFERROR(Table4[[#This Row],[energy_kwh]]/Table4[[#This Row],[expected_kwh]],0)</f>
        <v>0.94025257111334604</v>
      </c>
      <c r="K571" t="str">
        <f>IF(Table4[[#This Row],[Performance_Ratio]] &lt; 0.85, "Underperforming", "Performing")</f>
        <v>Performing</v>
      </c>
      <c r="L571">
        <f>Table4[[#This Row],[energy_kwh]] - Table4[[#This Row],[expected_kwh]]</f>
        <v>-6.1855089967097996</v>
      </c>
      <c r="M571" t="str">
        <f>IF(Table4[[#This Row],[Performance_Deviation]] &lt; 0, "Underperforming", "Outperforming")</f>
        <v>Underperforming</v>
      </c>
      <c r="N571">
        <f>IF(Table4[[#This Row],[Performance_Ratio]] &lt; 0.85, Table4[[#This Row],[Performance_Deviation]] * 50 / 1000, 0)</f>
        <v>0</v>
      </c>
    </row>
    <row r="572" spans="1:14" x14ac:dyDescent="0.3">
      <c r="A572" s="4" t="s">
        <v>6</v>
      </c>
      <c r="B572" s="3">
        <v>45315.75</v>
      </c>
      <c r="C572" s="7">
        <v>4.7537375570954499E-14</v>
      </c>
      <c r="D572" s="7">
        <v>4.5397319208538697E-14</v>
      </c>
      <c r="E572" s="7">
        <v>4.5397319208538697E-14</v>
      </c>
      <c r="F572" s="4">
        <v>35.098408086682497</v>
      </c>
      <c r="G572" s="4" t="str">
        <f t="shared" si="16"/>
        <v>OK</v>
      </c>
      <c r="H572" s="4" t="str">
        <f t="shared" si="17"/>
        <v>NON-ZERO</v>
      </c>
      <c r="I572" s="2">
        <v>4.8985871965894097E-14</v>
      </c>
      <c r="J572">
        <f>IFERROR(Table4[[#This Row],[energy_kwh]]/Table4[[#This Row],[expected_kwh]],0)</f>
        <v>0.9267431074850746</v>
      </c>
      <c r="K572" t="str">
        <f>IF(Table4[[#This Row],[Performance_Ratio]] &lt; 0.85, "Underperforming", "Performing")</f>
        <v>Performing</v>
      </c>
      <c r="L572">
        <f>Table4[[#This Row],[energy_kwh]] - Table4[[#This Row],[expected_kwh]]</f>
        <v>-3.5885527573553996E-15</v>
      </c>
      <c r="M572" t="str">
        <f>IF(Table4[[#This Row],[Performance_Deviation]] &lt; 0, "Underperforming", "Outperforming")</f>
        <v>Underperforming</v>
      </c>
      <c r="N572">
        <f>IF(Table4[[#This Row],[Performance_Ratio]] &lt; 0.85, Table4[[#This Row],[Performance_Deviation]] * 50 / 1000, 0)</f>
        <v>0</v>
      </c>
    </row>
    <row r="573" spans="1:14" x14ac:dyDescent="0.3">
      <c r="A573" s="6" t="s">
        <v>6</v>
      </c>
      <c r="B573" s="5">
        <v>45315.791666666664</v>
      </c>
      <c r="C573" s="6">
        <v>0</v>
      </c>
      <c r="D573" s="6">
        <v>0</v>
      </c>
      <c r="E573" s="6">
        <v>0</v>
      </c>
      <c r="F573" s="6">
        <v>55.665952811512</v>
      </c>
      <c r="G573" s="6" t="str">
        <f t="shared" si="16"/>
        <v>OK</v>
      </c>
      <c r="H573" s="6" t="str">
        <f t="shared" si="17"/>
        <v>ZERO</v>
      </c>
      <c r="I573">
        <v>0</v>
      </c>
      <c r="J573">
        <f>IFERROR(Table4[[#This Row],[energy_kwh]]/Table4[[#This Row],[expected_kwh]],0)</f>
        <v>0</v>
      </c>
      <c r="K573" t="str">
        <f>IF(Table4[[#This Row],[Performance_Ratio]] &lt; 0.85, "Underperforming", "Performing")</f>
        <v>Underperforming</v>
      </c>
      <c r="L573">
        <f>Table4[[#This Row],[energy_kwh]] - Table4[[#This Row],[expected_kwh]]</f>
        <v>0</v>
      </c>
      <c r="M573" t="str">
        <f>IF(Table4[[#This Row],[Performance_Deviation]] &lt; 0, "Underperforming", "Outperforming")</f>
        <v>Outperforming</v>
      </c>
      <c r="N573">
        <f>IF(Table4[[#This Row],[Performance_Ratio]] &lt; 0.85, Table4[[#This Row],[Performance_Deviation]] * 50 / 1000, 0)</f>
        <v>0</v>
      </c>
    </row>
    <row r="574" spans="1:14" x14ac:dyDescent="0.3">
      <c r="A574" s="4" t="s">
        <v>6</v>
      </c>
      <c r="B574" s="3">
        <v>45315.833333333336</v>
      </c>
      <c r="C574" s="4">
        <v>0</v>
      </c>
      <c r="D574" s="4">
        <v>0</v>
      </c>
      <c r="E574" s="4">
        <v>0</v>
      </c>
      <c r="F574" s="4">
        <v>74.160742659192906</v>
      </c>
      <c r="G574" s="4" t="str">
        <f t="shared" si="16"/>
        <v>OK</v>
      </c>
      <c r="H574" s="4" t="str">
        <f t="shared" si="17"/>
        <v>ZERO</v>
      </c>
      <c r="I574">
        <v>0</v>
      </c>
      <c r="J574">
        <f>IFERROR(Table4[[#This Row],[energy_kwh]]/Table4[[#This Row],[expected_kwh]],0)</f>
        <v>0</v>
      </c>
      <c r="K574" t="str">
        <f>IF(Table4[[#This Row],[Performance_Ratio]] &lt; 0.85, "Underperforming", "Performing")</f>
        <v>Underperforming</v>
      </c>
      <c r="L574">
        <f>Table4[[#This Row],[energy_kwh]] - Table4[[#This Row],[expected_kwh]]</f>
        <v>0</v>
      </c>
      <c r="M574" t="str">
        <f>IF(Table4[[#This Row],[Performance_Deviation]] &lt; 0, "Underperforming", "Outperforming")</f>
        <v>Outperforming</v>
      </c>
      <c r="N574">
        <f>IF(Table4[[#This Row],[Performance_Ratio]] &lt; 0.85, Table4[[#This Row],[Performance_Deviation]] * 50 / 1000, 0)</f>
        <v>0</v>
      </c>
    </row>
    <row r="575" spans="1:14" x14ac:dyDescent="0.3">
      <c r="A575" s="6" t="s">
        <v>6</v>
      </c>
      <c r="B575" s="5">
        <v>45315.875</v>
      </c>
      <c r="C575" s="6">
        <v>0</v>
      </c>
      <c r="D575" s="6">
        <v>0</v>
      </c>
      <c r="E575" s="6">
        <v>0</v>
      </c>
      <c r="F575" s="6">
        <v>29.7989257867597</v>
      </c>
      <c r="G575" s="6" t="str">
        <f t="shared" si="16"/>
        <v>OK</v>
      </c>
      <c r="H575" s="6" t="str">
        <f t="shared" si="17"/>
        <v>ZERO</v>
      </c>
      <c r="I575">
        <v>0</v>
      </c>
      <c r="J575">
        <f>IFERROR(Table4[[#This Row],[energy_kwh]]/Table4[[#This Row],[expected_kwh]],0)</f>
        <v>0</v>
      </c>
      <c r="K575" t="str">
        <f>IF(Table4[[#This Row],[Performance_Ratio]] &lt; 0.85, "Underperforming", "Performing")</f>
        <v>Underperforming</v>
      </c>
      <c r="L575">
        <f>Table4[[#This Row],[energy_kwh]] - Table4[[#This Row],[expected_kwh]]</f>
        <v>0</v>
      </c>
      <c r="M575" t="str">
        <f>IF(Table4[[#This Row],[Performance_Deviation]] &lt; 0, "Underperforming", "Outperforming")</f>
        <v>Outperforming</v>
      </c>
      <c r="N575">
        <f>IF(Table4[[#This Row],[Performance_Ratio]] &lt; 0.85, Table4[[#This Row],[Performance_Deviation]] * 50 / 1000, 0)</f>
        <v>0</v>
      </c>
    </row>
    <row r="576" spans="1:14" x14ac:dyDescent="0.3">
      <c r="A576" s="4" t="s">
        <v>6</v>
      </c>
      <c r="B576" s="3">
        <v>45315.916666666664</v>
      </c>
      <c r="C576" s="4">
        <v>0</v>
      </c>
      <c r="D576" s="4">
        <v>0</v>
      </c>
      <c r="E576" s="4">
        <v>0</v>
      </c>
      <c r="F576" s="4">
        <v>85.781793576364095</v>
      </c>
      <c r="G576" s="4" t="str">
        <f t="shared" si="16"/>
        <v>OK</v>
      </c>
      <c r="H576" s="4" t="str">
        <f t="shared" si="17"/>
        <v>ZERO</v>
      </c>
      <c r="I576">
        <v>0</v>
      </c>
      <c r="J576">
        <f>IFERROR(Table4[[#This Row],[energy_kwh]]/Table4[[#This Row],[expected_kwh]],0)</f>
        <v>0</v>
      </c>
      <c r="K576" t="str">
        <f>IF(Table4[[#This Row],[Performance_Ratio]] &lt; 0.85, "Underperforming", "Performing")</f>
        <v>Underperforming</v>
      </c>
      <c r="L576">
        <f>Table4[[#This Row],[energy_kwh]] - Table4[[#This Row],[expected_kwh]]</f>
        <v>0</v>
      </c>
      <c r="M576" t="str">
        <f>IF(Table4[[#This Row],[Performance_Deviation]] &lt; 0, "Underperforming", "Outperforming")</f>
        <v>Outperforming</v>
      </c>
      <c r="N576">
        <f>IF(Table4[[#This Row],[Performance_Ratio]] &lt; 0.85, Table4[[#This Row],[Performance_Deviation]] * 50 / 1000, 0)</f>
        <v>0</v>
      </c>
    </row>
    <row r="577" spans="1:14" x14ac:dyDescent="0.3">
      <c r="A577" s="6" t="s">
        <v>6</v>
      </c>
      <c r="B577" s="5">
        <v>45315.958333333336</v>
      </c>
      <c r="C577" s="6">
        <v>0</v>
      </c>
      <c r="D577" s="6">
        <v>0</v>
      </c>
      <c r="E577" s="6">
        <v>0</v>
      </c>
      <c r="F577" s="6">
        <v>54.700670379904501</v>
      </c>
      <c r="G577" s="6" t="str">
        <f t="shared" si="16"/>
        <v>OK</v>
      </c>
      <c r="H577" s="6" t="str">
        <f t="shared" si="17"/>
        <v>ZERO</v>
      </c>
      <c r="I577">
        <v>0</v>
      </c>
      <c r="J577">
        <f>IFERROR(Table4[[#This Row],[energy_kwh]]/Table4[[#This Row],[expected_kwh]],0)</f>
        <v>0</v>
      </c>
      <c r="K577" t="str">
        <f>IF(Table4[[#This Row],[Performance_Ratio]] &lt; 0.85, "Underperforming", "Performing")</f>
        <v>Underperforming</v>
      </c>
      <c r="L577">
        <f>Table4[[#This Row],[energy_kwh]] - Table4[[#This Row],[expected_kwh]]</f>
        <v>0</v>
      </c>
      <c r="M577" t="str">
        <f>IF(Table4[[#This Row],[Performance_Deviation]] &lt; 0, "Underperforming", "Outperforming")</f>
        <v>Outperforming</v>
      </c>
      <c r="N577">
        <f>IF(Table4[[#This Row],[Performance_Ratio]] &lt; 0.85, Table4[[#This Row],[Performance_Deviation]] * 50 / 1000, 0)</f>
        <v>0</v>
      </c>
    </row>
    <row r="578" spans="1:14" x14ac:dyDescent="0.3">
      <c r="A578" s="4" t="s">
        <v>6</v>
      </c>
      <c r="B578" s="3">
        <v>45316</v>
      </c>
      <c r="C578" s="4">
        <v>0</v>
      </c>
      <c r="D578" s="4">
        <v>0</v>
      </c>
      <c r="E578" s="4">
        <v>0</v>
      </c>
      <c r="F578" s="4">
        <v>48.149743093970102</v>
      </c>
      <c r="G578" s="4" t="str">
        <f t="shared" ref="G578:G641" si="18">IF(D578 &gt; C578, "ERROR", "OK")</f>
        <v>OK</v>
      </c>
      <c r="H578" s="4" t="str">
        <f t="shared" ref="H578:H641" si="19">IF(E578=0,"ZERO","NON-ZERO")</f>
        <v>ZERO</v>
      </c>
      <c r="I578">
        <v>0</v>
      </c>
      <c r="J578">
        <f>IFERROR(Table4[[#This Row],[energy_kwh]]/Table4[[#This Row],[expected_kwh]],0)</f>
        <v>0</v>
      </c>
      <c r="K578" t="str">
        <f>IF(Table4[[#This Row],[Performance_Ratio]] &lt; 0.85, "Underperforming", "Performing")</f>
        <v>Underperforming</v>
      </c>
      <c r="L578">
        <f>Table4[[#This Row],[energy_kwh]] - Table4[[#This Row],[expected_kwh]]</f>
        <v>0</v>
      </c>
      <c r="M578" t="str">
        <f>IF(Table4[[#This Row],[Performance_Deviation]] &lt; 0, "Underperforming", "Outperforming")</f>
        <v>Outperforming</v>
      </c>
      <c r="N578">
        <f>IF(Table4[[#This Row],[Performance_Ratio]] &lt; 0.85, Table4[[#This Row],[Performance_Deviation]] * 50 / 1000, 0)</f>
        <v>0</v>
      </c>
    </row>
    <row r="579" spans="1:14" x14ac:dyDescent="0.3">
      <c r="A579" s="6" t="s">
        <v>6</v>
      </c>
      <c r="B579" s="5">
        <v>45316.041666666664</v>
      </c>
      <c r="C579" s="6">
        <v>0</v>
      </c>
      <c r="D579" s="6">
        <v>0</v>
      </c>
      <c r="E579" s="6">
        <v>0</v>
      </c>
      <c r="F579" s="6">
        <v>77.134864353327202</v>
      </c>
      <c r="G579" s="6" t="str">
        <f t="shared" si="18"/>
        <v>OK</v>
      </c>
      <c r="H579" s="6" t="str">
        <f t="shared" si="19"/>
        <v>ZERO</v>
      </c>
      <c r="I579">
        <v>0</v>
      </c>
      <c r="J579">
        <f>IFERROR(Table4[[#This Row],[energy_kwh]]/Table4[[#This Row],[expected_kwh]],0)</f>
        <v>0</v>
      </c>
      <c r="K579" t="str">
        <f>IF(Table4[[#This Row],[Performance_Ratio]] &lt; 0.85, "Underperforming", "Performing")</f>
        <v>Underperforming</v>
      </c>
      <c r="L579">
        <f>Table4[[#This Row],[energy_kwh]] - Table4[[#This Row],[expected_kwh]]</f>
        <v>0</v>
      </c>
      <c r="M579" t="str">
        <f>IF(Table4[[#This Row],[Performance_Deviation]] &lt; 0, "Underperforming", "Outperforming")</f>
        <v>Outperforming</v>
      </c>
      <c r="N579">
        <f>IF(Table4[[#This Row],[Performance_Ratio]] &lt; 0.85, Table4[[#This Row],[Performance_Deviation]] * 50 / 1000, 0)</f>
        <v>0</v>
      </c>
    </row>
    <row r="580" spans="1:14" x14ac:dyDescent="0.3">
      <c r="A580" s="4" t="s">
        <v>6</v>
      </c>
      <c r="B580" s="3">
        <v>45316.083333333336</v>
      </c>
      <c r="C580" s="4">
        <v>0</v>
      </c>
      <c r="D580" s="4">
        <v>0</v>
      </c>
      <c r="E580" s="4">
        <v>0</v>
      </c>
      <c r="F580" s="4">
        <v>84.918285921841402</v>
      </c>
      <c r="G580" s="4" t="str">
        <f t="shared" si="18"/>
        <v>OK</v>
      </c>
      <c r="H580" s="4" t="str">
        <f t="shared" si="19"/>
        <v>ZERO</v>
      </c>
      <c r="I580">
        <v>0</v>
      </c>
      <c r="J580">
        <f>IFERROR(Table4[[#This Row],[energy_kwh]]/Table4[[#This Row],[expected_kwh]],0)</f>
        <v>0</v>
      </c>
      <c r="K580" t="str">
        <f>IF(Table4[[#This Row],[Performance_Ratio]] &lt; 0.85, "Underperforming", "Performing")</f>
        <v>Underperforming</v>
      </c>
      <c r="L580">
        <f>Table4[[#This Row],[energy_kwh]] - Table4[[#This Row],[expected_kwh]]</f>
        <v>0</v>
      </c>
      <c r="M580" t="str">
        <f>IF(Table4[[#This Row],[Performance_Deviation]] &lt; 0, "Underperforming", "Outperforming")</f>
        <v>Outperforming</v>
      </c>
      <c r="N580">
        <f>IF(Table4[[#This Row],[Performance_Ratio]] &lt; 0.85, Table4[[#This Row],[Performance_Deviation]] * 50 / 1000, 0)</f>
        <v>0</v>
      </c>
    </row>
    <row r="581" spans="1:14" x14ac:dyDescent="0.3">
      <c r="A581" s="6" t="s">
        <v>6</v>
      </c>
      <c r="B581" s="5">
        <v>45316.125</v>
      </c>
      <c r="C581" s="6">
        <v>0</v>
      </c>
      <c r="D581" s="6">
        <v>0</v>
      </c>
      <c r="E581" s="6">
        <v>0</v>
      </c>
      <c r="F581" s="6">
        <v>82.063919157972705</v>
      </c>
      <c r="G581" s="6" t="str">
        <f t="shared" si="18"/>
        <v>OK</v>
      </c>
      <c r="H581" s="6" t="str">
        <f t="shared" si="19"/>
        <v>ZERO</v>
      </c>
      <c r="I581">
        <v>0</v>
      </c>
      <c r="J581">
        <f>IFERROR(Table4[[#This Row],[energy_kwh]]/Table4[[#This Row],[expected_kwh]],0)</f>
        <v>0</v>
      </c>
      <c r="K581" t="str">
        <f>IF(Table4[[#This Row],[Performance_Ratio]] &lt; 0.85, "Underperforming", "Performing")</f>
        <v>Underperforming</v>
      </c>
      <c r="L581">
        <f>Table4[[#This Row],[energy_kwh]] - Table4[[#This Row],[expected_kwh]]</f>
        <v>0</v>
      </c>
      <c r="M581" t="str">
        <f>IF(Table4[[#This Row],[Performance_Deviation]] &lt; 0, "Underperforming", "Outperforming")</f>
        <v>Outperforming</v>
      </c>
      <c r="N581">
        <f>IF(Table4[[#This Row],[Performance_Ratio]] &lt; 0.85, Table4[[#This Row],[Performance_Deviation]] * 50 / 1000, 0)</f>
        <v>0</v>
      </c>
    </row>
    <row r="582" spans="1:14" x14ac:dyDescent="0.3">
      <c r="A582" s="4" t="s">
        <v>6</v>
      </c>
      <c r="B582" s="3">
        <v>45316.166666666664</v>
      </c>
      <c r="C582" s="4">
        <v>0</v>
      </c>
      <c r="D582" s="4">
        <v>0</v>
      </c>
      <c r="E582" s="4">
        <v>0</v>
      </c>
      <c r="F582" s="4">
        <v>28.194815773221599</v>
      </c>
      <c r="G582" s="4" t="str">
        <f t="shared" si="18"/>
        <v>OK</v>
      </c>
      <c r="H582" s="4" t="str">
        <f t="shared" si="19"/>
        <v>ZERO</v>
      </c>
      <c r="I582">
        <v>0</v>
      </c>
      <c r="J582">
        <f>IFERROR(Table4[[#This Row],[energy_kwh]]/Table4[[#This Row],[expected_kwh]],0)</f>
        <v>0</v>
      </c>
      <c r="K582" t="str">
        <f>IF(Table4[[#This Row],[Performance_Ratio]] &lt; 0.85, "Underperforming", "Performing")</f>
        <v>Underperforming</v>
      </c>
      <c r="L582">
        <f>Table4[[#This Row],[energy_kwh]] - Table4[[#This Row],[expected_kwh]]</f>
        <v>0</v>
      </c>
      <c r="M582" t="str">
        <f>IF(Table4[[#This Row],[Performance_Deviation]] &lt; 0, "Underperforming", "Outperforming")</f>
        <v>Outperforming</v>
      </c>
      <c r="N582">
        <f>IF(Table4[[#This Row],[Performance_Ratio]] &lt; 0.85, Table4[[#This Row],[Performance_Deviation]] * 50 / 1000, 0)</f>
        <v>0</v>
      </c>
    </row>
    <row r="583" spans="1:14" x14ac:dyDescent="0.3">
      <c r="A583" s="6" t="s">
        <v>6</v>
      </c>
      <c r="B583" s="5">
        <v>45316.208333333336</v>
      </c>
      <c r="C583" s="6">
        <v>0</v>
      </c>
      <c r="D583" s="6">
        <v>0</v>
      </c>
      <c r="E583" s="6">
        <v>0</v>
      </c>
      <c r="F583" s="6">
        <v>83.522664065529497</v>
      </c>
      <c r="G583" s="6" t="str">
        <f t="shared" si="18"/>
        <v>OK</v>
      </c>
      <c r="H583" s="6" t="str">
        <f t="shared" si="19"/>
        <v>ZERO</v>
      </c>
      <c r="I583">
        <v>0</v>
      </c>
      <c r="J583">
        <f>IFERROR(Table4[[#This Row],[energy_kwh]]/Table4[[#This Row],[expected_kwh]],0)</f>
        <v>0</v>
      </c>
      <c r="K583" t="str">
        <f>IF(Table4[[#This Row],[Performance_Ratio]] &lt; 0.85, "Underperforming", "Performing")</f>
        <v>Underperforming</v>
      </c>
      <c r="L583">
        <f>Table4[[#This Row],[energy_kwh]] - Table4[[#This Row],[expected_kwh]]</f>
        <v>0</v>
      </c>
      <c r="M583" t="str">
        <f>IF(Table4[[#This Row],[Performance_Deviation]] &lt; 0, "Underperforming", "Outperforming")</f>
        <v>Outperforming</v>
      </c>
      <c r="N583">
        <f>IF(Table4[[#This Row],[Performance_Ratio]] &lt; 0.85, Table4[[#This Row],[Performance_Deviation]] * 50 / 1000, 0)</f>
        <v>0</v>
      </c>
    </row>
    <row r="584" spans="1:14" x14ac:dyDescent="0.3">
      <c r="A584" s="4" t="s">
        <v>6</v>
      </c>
      <c r="B584" s="3">
        <v>45316.25</v>
      </c>
      <c r="C584" s="4">
        <v>0</v>
      </c>
      <c r="D584" s="4">
        <v>0</v>
      </c>
      <c r="E584" s="4">
        <v>0</v>
      </c>
      <c r="F584" s="4">
        <v>89.478695504756502</v>
      </c>
      <c r="G584" s="4" t="str">
        <f t="shared" si="18"/>
        <v>OK</v>
      </c>
      <c r="H584" s="4" t="str">
        <f t="shared" si="19"/>
        <v>ZERO</v>
      </c>
      <c r="I584">
        <v>0</v>
      </c>
      <c r="J584">
        <f>IFERROR(Table4[[#This Row],[energy_kwh]]/Table4[[#This Row],[expected_kwh]],0)</f>
        <v>0</v>
      </c>
      <c r="K584" t="str">
        <f>IF(Table4[[#This Row],[Performance_Ratio]] &lt; 0.85, "Underperforming", "Performing")</f>
        <v>Underperforming</v>
      </c>
      <c r="L584">
        <f>Table4[[#This Row],[energy_kwh]] - Table4[[#This Row],[expected_kwh]]</f>
        <v>0</v>
      </c>
      <c r="M584" t="str">
        <f>IF(Table4[[#This Row],[Performance_Deviation]] &lt; 0, "Underperforming", "Outperforming")</f>
        <v>Outperforming</v>
      </c>
      <c r="N584">
        <f>IF(Table4[[#This Row],[Performance_Ratio]] &lt; 0.85, Table4[[#This Row],[Performance_Deviation]] * 50 / 1000, 0)</f>
        <v>0</v>
      </c>
    </row>
    <row r="585" spans="1:14" x14ac:dyDescent="0.3">
      <c r="A585" s="6" t="s">
        <v>6</v>
      </c>
      <c r="B585" s="5">
        <v>45316.291666666664</v>
      </c>
      <c r="C585" s="6">
        <v>105.62401702545399</v>
      </c>
      <c r="D585" s="6">
        <v>100.86899327952101</v>
      </c>
      <c r="E585" s="6">
        <v>100.86899327952101</v>
      </c>
      <c r="F585" s="6">
        <v>71.579153182292004</v>
      </c>
      <c r="G585" s="6" t="str">
        <f t="shared" si="18"/>
        <v>OK</v>
      </c>
      <c r="H585" s="6" t="str">
        <f t="shared" si="19"/>
        <v>NON-ZERO</v>
      </c>
      <c r="I585">
        <v>103.527618041008</v>
      </c>
      <c r="J585">
        <f>IFERROR(Table4[[#This Row],[energy_kwh]]/Table4[[#This Row],[expected_kwh]],0)</f>
        <v>0.97431965680468091</v>
      </c>
      <c r="K585" t="str">
        <f>IF(Table4[[#This Row],[Performance_Ratio]] &lt; 0.85, "Underperforming", "Performing")</f>
        <v>Performing</v>
      </c>
      <c r="L585">
        <f>Table4[[#This Row],[energy_kwh]] - Table4[[#This Row],[expected_kwh]]</f>
        <v>-2.6586247614869905</v>
      </c>
      <c r="M585" t="str">
        <f>IF(Table4[[#This Row],[Performance_Deviation]] &lt; 0, "Underperforming", "Outperforming")</f>
        <v>Underperforming</v>
      </c>
      <c r="N585">
        <f>IF(Table4[[#This Row],[Performance_Ratio]] &lt; 0.85, Table4[[#This Row],[Performance_Deviation]] * 50 / 1000, 0)</f>
        <v>0</v>
      </c>
    </row>
    <row r="586" spans="1:14" x14ac:dyDescent="0.3">
      <c r="A586" s="4" t="s">
        <v>6</v>
      </c>
      <c r="B586" s="3">
        <v>45316.333333333336</v>
      </c>
      <c r="C586" s="4">
        <v>203.327445089137</v>
      </c>
      <c r="D586" s="4">
        <v>194.17396980173299</v>
      </c>
      <c r="E586" s="4">
        <v>194.17396980173299</v>
      </c>
      <c r="F586" s="4">
        <v>46.903664406276</v>
      </c>
      <c r="G586" s="4" t="str">
        <f t="shared" si="18"/>
        <v>OK</v>
      </c>
      <c r="H586" s="4" t="str">
        <f t="shared" si="19"/>
        <v>NON-ZERO</v>
      </c>
      <c r="I586">
        <v>199.99999999999901</v>
      </c>
      <c r="J586">
        <f>IFERROR(Table4[[#This Row],[energy_kwh]]/Table4[[#This Row],[expected_kwh]],0)</f>
        <v>0.97086984900866979</v>
      </c>
      <c r="K586" t="str">
        <f>IF(Table4[[#This Row],[Performance_Ratio]] &lt; 0.85, "Underperforming", "Performing")</f>
        <v>Performing</v>
      </c>
      <c r="L586">
        <f>Table4[[#This Row],[energy_kwh]] - Table4[[#This Row],[expected_kwh]]</f>
        <v>-5.826030198266011</v>
      </c>
      <c r="M586" t="str">
        <f>IF(Table4[[#This Row],[Performance_Deviation]] &lt; 0, "Underperforming", "Outperforming")</f>
        <v>Underperforming</v>
      </c>
      <c r="N586">
        <f>IF(Table4[[#This Row],[Performance_Ratio]] &lt; 0.85, Table4[[#This Row],[Performance_Deviation]] * 50 / 1000, 0)</f>
        <v>0</v>
      </c>
    </row>
    <row r="587" spans="1:14" x14ac:dyDescent="0.3">
      <c r="A587" s="6" t="s">
        <v>6</v>
      </c>
      <c r="B587" s="5">
        <v>45316.375</v>
      </c>
      <c r="C587" s="6">
        <v>290.50234863646301</v>
      </c>
      <c r="D587" s="6">
        <v>277.424399085625</v>
      </c>
      <c r="E587" s="6">
        <v>277.424399085625</v>
      </c>
      <c r="F587" s="6">
        <v>35.802872290040199</v>
      </c>
      <c r="G587" s="6" t="str">
        <f t="shared" si="18"/>
        <v>OK</v>
      </c>
      <c r="H587" s="6" t="str">
        <f t="shared" si="19"/>
        <v>NON-ZERO</v>
      </c>
      <c r="I587">
        <v>282.84271247461902</v>
      </c>
      <c r="J587">
        <f>IFERROR(Table4[[#This Row],[energy_kwh]]/Table4[[#This Row],[expected_kwh]],0)</f>
        <v>0.9808433693002423</v>
      </c>
      <c r="K587" t="str">
        <f>IF(Table4[[#This Row],[Performance_Ratio]] &lt; 0.85, "Underperforming", "Performing")</f>
        <v>Performing</v>
      </c>
      <c r="L587">
        <f>Table4[[#This Row],[energy_kwh]] - Table4[[#This Row],[expected_kwh]]</f>
        <v>-5.4183133889940223</v>
      </c>
      <c r="M587" t="str">
        <f>IF(Table4[[#This Row],[Performance_Deviation]] &lt; 0, "Underperforming", "Outperforming")</f>
        <v>Underperforming</v>
      </c>
      <c r="N587">
        <f>IF(Table4[[#This Row],[Performance_Ratio]] &lt; 0.85, Table4[[#This Row],[Performance_Deviation]] * 50 / 1000, 0)</f>
        <v>0</v>
      </c>
    </row>
    <row r="588" spans="1:14" x14ac:dyDescent="0.3">
      <c r="A588" s="4" t="s">
        <v>6</v>
      </c>
      <c r="B588" s="3">
        <v>45316.416666666664</v>
      </c>
      <c r="C588" s="4">
        <v>316.10172022298502</v>
      </c>
      <c r="D588" s="4">
        <v>301.87132804401199</v>
      </c>
      <c r="E588" s="4">
        <v>301.87132804401199</v>
      </c>
      <c r="F588" s="4">
        <v>82.560844775050597</v>
      </c>
      <c r="G588" s="4" t="str">
        <f t="shared" si="18"/>
        <v>OK</v>
      </c>
      <c r="H588" s="4" t="str">
        <f t="shared" si="19"/>
        <v>NON-ZERO</v>
      </c>
      <c r="I588">
        <v>346.41016151377499</v>
      </c>
      <c r="J588">
        <f>IFERROR(Table4[[#This Row],[energy_kwh]]/Table4[[#This Row],[expected_kwh]],0)</f>
        <v>0.87142746253420189</v>
      </c>
      <c r="K588" t="str">
        <f>IF(Table4[[#This Row],[Performance_Ratio]] &lt; 0.85, "Underperforming", "Performing")</f>
        <v>Performing</v>
      </c>
      <c r="L588">
        <f>Table4[[#This Row],[energy_kwh]] - Table4[[#This Row],[expected_kwh]]</f>
        <v>-44.538833469763006</v>
      </c>
      <c r="M588" t="str">
        <f>IF(Table4[[#This Row],[Performance_Deviation]] &lt; 0, "Underperforming", "Outperforming")</f>
        <v>Underperforming</v>
      </c>
      <c r="N588">
        <f>IF(Table4[[#This Row],[Performance_Ratio]] &lt; 0.85, Table4[[#This Row],[Performance_Deviation]] * 50 / 1000, 0)</f>
        <v>0</v>
      </c>
    </row>
    <row r="589" spans="1:14" x14ac:dyDescent="0.3">
      <c r="A589" s="6" t="s">
        <v>6</v>
      </c>
      <c r="B589" s="5">
        <v>45316.458333333336</v>
      </c>
      <c r="C589" s="6">
        <v>390.219814358615</v>
      </c>
      <c r="D589" s="6">
        <v>372.65274452295699</v>
      </c>
      <c r="E589" s="6">
        <v>372.65274452295699</v>
      </c>
      <c r="F589" s="6">
        <v>76.507094169272605</v>
      </c>
      <c r="G589" s="6" t="str">
        <f t="shared" si="18"/>
        <v>OK</v>
      </c>
      <c r="H589" s="6" t="str">
        <f t="shared" si="19"/>
        <v>NON-ZERO</v>
      </c>
      <c r="I589">
        <v>386.37033051562702</v>
      </c>
      <c r="J589">
        <f>IFERROR(Table4[[#This Row],[energy_kwh]]/Table4[[#This Row],[expected_kwh]],0)</f>
        <v>0.96449627492265422</v>
      </c>
      <c r="K589" t="str">
        <f>IF(Table4[[#This Row],[Performance_Ratio]] &lt; 0.85, "Underperforming", "Performing")</f>
        <v>Performing</v>
      </c>
      <c r="L589">
        <f>Table4[[#This Row],[energy_kwh]] - Table4[[#This Row],[expected_kwh]]</f>
        <v>-13.717585992670024</v>
      </c>
      <c r="M589" t="str">
        <f>IF(Table4[[#This Row],[Performance_Deviation]] &lt; 0, "Underperforming", "Outperforming")</f>
        <v>Underperforming</v>
      </c>
      <c r="N589">
        <f>IF(Table4[[#This Row],[Performance_Ratio]] &lt; 0.85, Table4[[#This Row],[Performance_Deviation]] * 50 / 1000, 0)</f>
        <v>0</v>
      </c>
    </row>
    <row r="590" spans="1:14" x14ac:dyDescent="0.3">
      <c r="A590" s="4" t="s">
        <v>6</v>
      </c>
      <c r="B590" s="3">
        <v>45316.5</v>
      </c>
      <c r="C590" s="4">
        <v>399.51887996543098</v>
      </c>
      <c r="D590" s="4">
        <v>381.53318111886603</v>
      </c>
      <c r="E590" s="4">
        <v>381.53318111886603</v>
      </c>
      <c r="F590" s="4">
        <v>66.020308567809295</v>
      </c>
      <c r="G590" s="4" t="str">
        <f t="shared" si="18"/>
        <v>OK</v>
      </c>
      <c r="H590" s="4" t="str">
        <f t="shared" si="19"/>
        <v>NON-ZERO</v>
      </c>
      <c r="I590">
        <v>400</v>
      </c>
      <c r="J590">
        <f>IFERROR(Table4[[#This Row],[energy_kwh]]/Table4[[#This Row],[expected_kwh]],0)</f>
        <v>0.95383295279716507</v>
      </c>
      <c r="K590" t="str">
        <f>IF(Table4[[#This Row],[Performance_Ratio]] &lt; 0.85, "Underperforming", "Performing")</f>
        <v>Performing</v>
      </c>
      <c r="L590">
        <f>Table4[[#This Row],[energy_kwh]] - Table4[[#This Row],[expected_kwh]]</f>
        <v>-18.466818881133975</v>
      </c>
      <c r="M590" t="str">
        <f>IF(Table4[[#This Row],[Performance_Deviation]] &lt; 0, "Underperforming", "Outperforming")</f>
        <v>Underperforming</v>
      </c>
      <c r="N590">
        <f>IF(Table4[[#This Row],[Performance_Ratio]] &lt; 0.85, Table4[[#This Row],[Performance_Deviation]] * 50 / 1000, 0)</f>
        <v>0</v>
      </c>
    </row>
    <row r="591" spans="1:14" x14ac:dyDescent="0.3">
      <c r="A591" s="6" t="s">
        <v>6</v>
      </c>
      <c r="B591" s="5">
        <v>45316.541666666664</v>
      </c>
      <c r="C591" s="6">
        <v>399.032369296193</v>
      </c>
      <c r="D591" s="6">
        <v>381.06857237922702</v>
      </c>
      <c r="E591" s="6">
        <v>381.06857237922702</v>
      </c>
      <c r="F591" s="6">
        <v>25.823700100370299</v>
      </c>
      <c r="G591" s="6" t="str">
        <f t="shared" si="18"/>
        <v>OK</v>
      </c>
      <c r="H591" s="6" t="str">
        <f t="shared" si="19"/>
        <v>NON-ZERO</v>
      </c>
      <c r="I591">
        <v>386.37033051562702</v>
      </c>
      <c r="J591">
        <f>IFERROR(Table4[[#This Row],[energy_kwh]]/Table4[[#This Row],[expected_kwh]],0)</f>
        <v>0.98627804021772436</v>
      </c>
      <c r="K591" t="str">
        <f>IF(Table4[[#This Row],[Performance_Ratio]] &lt; 0.85, "Underperforming", "Performing")</f>
        <v>Performing</v>
      </c>
      <c r="L591">
        <f>Table4[[#This Row],[energy_kwh]] - Table4[[#This Row],[expected_kwh]]</f>
        <v>-5.3017581363999966</v>
      </c>
      <c r="M591" t="str">
        <f>IF(Table4[[#This Row],[Performance_Deviation]] &lt; 0, "Underperforming", "Outperforming")</f>
        <v>Underperforming</v>
      </c>
      <c r="N591">
        <f>IF(Table4[[#This Row],[Performance_Ratio]] &lt; 0.85, Table4[[#This Row],[Performance_Deviation]] * 50 / 1000, 0)</f>
        <v>0</v>
      </c>
    </row>
    <row r="592" spans="1:14" x14ac:dyDescent="0.3">
      <c r="A592" s="4" t="s">
        <v>6</v>
      </c>
      <c r="B592" s="3">
        <v>45316.583333333336</v>
      </c>
      <c r="C592" s="4">
        <v>289.31530123870698</v>
      </c>
      <c r="D592" s="4">
        <v>276.29079065679701</v>
      </c>
      <c r="E592" s="4">
        <v>276.29079065679701</v>
      </c>
      <c r="F592" s="4">
        <v>28.324857409348599</v>
      </c>
      <c r="G592" s="4" t="str">
        <f t="shared" si="18"/>
        <v>OK</v>
      </c>
      <c r="H592" s="4" t="str">
        <f t="shared" si="19"/>
        <v>NON-ZERO</v>
      </c>
      <c r="I592">
        <v>346.41016151377499</v>
      </c>
      <c r="J592">
        <f>IFERROR(Table4[[#This Row],[energy_kwh]]/Table4[[#This Row],[expected_kwh]],0)</f>
        <v>0.79758281180158253</v>
      </c>
      <c r="K592" t="str">
        <f>IF(Table4[[#This Row],[Performance_Ratio]] &lt; 0.85, "Underperforming", "Performing")</f>
        <v>Underperforming</v>
      </c>
      <c r="L592">
        <f>Table4[[#This Row],[energy_kwh]] - Table4[[#This Row],[expected_kwh]]</f>
        <v>-70.11937085697798</v>
      </c>
      <c r="M592" t="str">
        <f>IF(Table4[[#This Row],[Performance_Deviation]] &lt; 0, "Underperforming", "Outperforming")</f>
        <v>Underperforming</v>
      </c>
      <c r="N592">
        <f>IF(Table4[[#This Row],[Performance_Ratio]] &lt; 0.85, Table4[[#This Row],[Performance_Deviation]] * 50 / 1000, 0)</f>
        <v>-3.5059685428488994</v>
      </c>
    </row>
    <row r="593" spans="1:14" x14ac:dyDescent="0.3">
      <c r="A593" s="6" t="s">
        <v>6</v>
      </c>
      <c r="B593" s="5">
        <v>45316.625</v>
      </c>
      <c r="C593" s="6">
        <v>236.377569562601</v>
      </c>
      <c r="D593" s="6">
        <v>225.73623070871801</v>
      </c>
      <c r="E593" s="6">
        <v>225.73623070871801</v>
      </c>
      <c r="F593" s="6">
        <v>25.4237356443453</v>
      </c>
      <c r="G593" s="6" t="str">
        <f t="shared" si="18"/>
        <v>OK</v>
      </c>
      <c r="H593" s="6" t="str">
        <f t="shared" si="19"/>
        <v>NON-ZERO</v>
      </c>
      <c r="I593">
        <v>282.84271247461902</v>
      </c>
      <c r="J593">
        <f>IFERROR(Table4[[#This Row],[energy_kwh]]/Table4[[#This Row],[expected_kwh]],0)</f>
        <v>0.79809809746812732</v>
      </c>
      <c r="K593" t="str">
        <f>IF(Table4[[#This Row],[Performance_Ratio]] &lt; 0.85, "Underperforming", "Performing")</f>
        <v>Underperforming</v>
      </c>
      <c r="L593">
        <f>Table4[[#This Row],[energy_kwh]] - Table4[[#This Row],[expected_kwh]]</f>
        <v>-57.106481765901009</v>
      </c>
      <c r="M593" t="str">
        <f>IF(Table4[[#This Row],[Performance_Deviation]] &lt; 0, "Underperforming", "Outperforming")</f>
        <v>Underperforming</v>
      </c>
      <c r="N593">
        <f>IF(Table4[[#This Row],[Performance_Ratio]] &lt; 0.85, Table4[[#This Row],[Performance_Deviation]] * 50 / 1000, 0)</f>
        <v>-2.8553240882950504</v>
      </c>
    </row>
    <row r="594" spans="1:14" x14ac:dyDescent="0.3">
      <c r="A594" s="4" t="s">
        <v>6</v>
      </c>
      <c r="B594" s="3">
        <v>45316.666666666664</v>
      </c>
      <c r="C594" s="4">
        <v>190.422671020942</v>
      </c>
      <c r="D594" s="4">
        <v>181.85014795310201</v>
      </c>
      <c r="E594" s="4">
        <v>181.85014795310201</v>
      </c>
      <c r="F594" s="4">
        <v>57.546820105281299</v>
      </c>
      <c r="G594" s="4" t="str">
        <f t="shared" si="18"/>
        <v>OK</v>
      </c>
      <c r="H594" s="4" t="str">
        <f t="shared" si="19"/>
        <v>NON-ZERO</v>
      </c>
      <c r="I594">
        <v>199.99999999999901</v>
      </c>
      <c r="J594">
        <f>IFERROR(Table4[[#This Row],[energy_kwh]]/Table4[[#This Row],[expected_kwh]],0)</f>
        <v>0.90925073976551452</v>
      </c>
      <c r="K594" t="str">
        <f>IF(Table4[[#This Row],[Performance_Ratio]] &lt; 0.85, "Underperforming", "Performing")</f>
        <v>Performing</v>
      </c>
      <c r="L594">
        <f>Table4[[#This Row],[energy_kwh]] - Table4[[#This Row],[expected_kwh]]</f>
        <v>-18.149852046896996</v>
      </c>
      <c r="M594" t="str">
        <f>IF(Table4[[#This Row],[Performance_Deviation]] &lt; 0, "Underperforming", "Outperforming")</f>
        <v>Underperforming</v>
      </c>
      <c r="N594">
        <f>IF(Table4[[#This Row],[Performance_Ratio]] &lt; 0.85, Table4[[#This Row],[Performance_Deviation]] * 50 / 1000, 0)</f>
        <v>0</v>
      </c>
    </row>
    <row r="595" spans="1:14" x14ac:dyDescent="0.3">
      <c r="A595" s="6" t="s">
        <v>6</v>
      </c>
      <c r="B595" s="5">
        <v>45316.708333333336</v>
      </c>
      <c r="C595" s="6">
        <v>102.761774657003</v>
      </c>
      <c r="D595" s="6">
        <v>98.135604469303402</v>
      </c>
      <c r="E595" s="6">
        <v>98.135604469303402</v>
      </c>
      <c r="F595" s="6">
        <v>23.766950859798001</v>
      </c>
      <c r="G595" s="6" t="str">
        <f t="shared" si="18"/>
        <v>OK</v>
      </c>
      <c r="H595" s="6" t="str">
        <f t="shared" si="19"/>
        <v>NON-ZERO</v>
      </c>
      <c r="I595">
        <v>103.527618041008</v>
      </c>
      <c r="J595">
        <f>IFERROR(Table4[[#This Row],[energy_kwh]]/Table4[[#This Row],[expected_kwh]],0)</f>
        <v>0.94791714835389351</v>
      </c>
      <c r="K595" t="str">
        <f>IF(Table4[[#This Row],[Performance_Ratio]] &lt; 0.85, "Underperforming", "Performing")</f>
        <v>Performing</v>
      </c>
      <c r="L595">
        <f>Table4[[#This Row],[energy_kwh]] - Table4[[#This Row],[expected_kwh]]</f>
        <v>-5.3920135717045952</v>
      </c>
      <c r="M595" t="str">
        <f>IF(Table4[[#This Row],[Performance_Deviation]] &lt; 0, "Underperforming", "Outperforming")</f>
        <v>Underperforming</v>
      </c>
      <c r="N595">
        <f>IF(Table4[[#This Row],[Performance_Ratio]] &lt; 0.85, Table4[[#This Row],[Performance_Deviation]] * 50 / 1000, 0)</f>
        <v>0</v>
      </c>
    </row>
    <row r="596" spans="1:14" x14ac:dyDescent="0.3">
      <c r="A596" s="4" t="s">
        <v>6</v>
      </c>
      <c r="B596" s="3">
        <v>45316.75</v>
      </c>
      <c r="C596" s="7">
        <v>4.5983258151472297E-14</v>
      </c>
      <c r="D596" s="7">
        <v>4.3913165661305603E-14</v>
      </c>
      <c r="E596" s="7">
        <v>4.3913165661305603E-14</v>
      </c>
      <c r="F596" s="4">
        <v>41.075337418153502</v>
      </c>
      <c r="G596" s="4" t="str">
        <f t="shared" si="18"/>
        <v>OK</v>
      </c>
      <c r="H596" s="4" t="str">
        <f t="shared" si="19"/>
        <v>NON-ZERO</v>
      </c>
      <c r="I596" s="2">
        <v>4.8985871965894097E-14</v>
      </c>
      <c r="J596">
        <f>IFERROR(Table4[[#This Row],[energy_kwh]]/Table4[[#This Row],[expected_kwh]],0)</f>
        <v>0.89644552396412758</v>
      </c>
      <c r="K596" t="str">
        <f>IF(Table4[[#This Row],[Performance_Ratio]] &lt; 0.85, "Underperforming", "Performing")</f>
        <v>Performing</v>
      </c>
      <c r="L596">
        <f>Table4[[#This Row],[energy_kwh]] - Table4[[#This Row],[expected_kwh]]</f>
        <v>-5.0727063045884941E-15</v>
      </c>
      <c r="M596" t="str">
        <f>IF(Table4[[#This Row],[Performance_Deviation]] &lt; 0, "Underperforming", "Outperforming")</f>
        <v>Underperforming</v>
      </c>
      <c r="N596">
        <f>IF(Table4[[#This Row],[Performance_Ratio]] &lt; 0.85, Table4[[#This Row],[Performance_Deviation]] * 50 / 1000, 0)</f>
        <v>0</v>
      </c>
    </row>
    <row r="597" spans="1:14" x14ac:dyDescent="0.3">
      <c r="A597" s="6" t="s">
        <v>6</v>
      </c>
      <c r="B597" s="5">
        <v>45316.791666666664</v>
      </c>
      <c r="C597" s="6">
        <v>0</v>
      </c>
      <c r="D597" s="6">
        <v>0</v>
      </c>
      <c r="E597" s="6">
        <v>0</v>
      </c>
      <c r="F597" s="6">
        <v>50.382702089567402</v>
      </c>
      <c r="G597" s="6" t="str">
        <f t="shared" si="18"/>
        <v>OK</v>
      </c>
      <c r="H597" s="6" t="str">
        <f t="shared" si="19"/>
        <v>ZERO</v>
      </c>
      <c r="I597">
        <v>0</v>
      </c>
      <c r="J597">
        <f>IFERROR(Table4[[#This Row],[energy_kwh]]/Table4[[#This Row],[expected_kwh]],0)</f>
        <v>0</v>
      </c>
      <c r="K597" t="str">
        <f>IF(Table4[[#This Row],[Performance_Ratio]] &lt; 0.85, "Underperforming", "Performing")</f>
        <v>Underperforming</v>
      </c>
      <c r="L597">
        <f>Table4[[#This Row],[energy_kwh]] - Table4[[#This Row],[expected_kwh]]</f>
        <v>0</v>
      </c>
      <c r="M597" t="str">
        <f>IF(Table4[[#This Row],[Performance_Deviation]] &lt; 0, "Underperforming", "Outperforming")</f>
        <v>Outperforming</v>
      </c>
      <c r="N597">
        <f>IF(Table4[[#This Row],[Performance_Ratio]] &lt; 0.85, Table4[[#This Row],[Performance_Deviation]] * 50 / 1000, 0)</f>
        <v>0</v>
      </c>
    </row>
    <row r="598" spans="1:14" x14ac:dyDescent="0.3">
      <c r="A598" s="4" t="s">
        <v>6</v>
      </c>
      <c r="B598" s="3">
        <v>45316.833333333336</v>
      </c>
      <c r="C598" s="4">
        <v>0</v>
      </c>
      <c r="D598" s="4">
        <v>0</v>
      </c>
      <c r="E598" s="4">
        <v>0</v>
      </c>
      <c r="F598" s="4">
        <v>68.035703163188202</v>
      </c>
      <c r="G598" s="4" t="str">
        <f t="shared" si="18"/>
        <v>OK</v>
      </c>
      <c r="H598" s="4" t="str">
        <f t="shared" si="19"/>
        <v>ZERO</v>
      </c>
      <c r="I598">
        <v>0</v>
      </c>
      <c r="J598">
        <f>IFERROR(Table4[[#This Row],[energy_kwh]]/Table4[[#This Row],[expected_kwh]],0)</f>
        <v>0</v>
      </c>
      <c r="K598" t="str">
        <f>IF(Table4[[#This Row],[Performance_Ratio]] &lt; 0.85, "Underperforming", "Performing")</f>
        <v>Underperforming</v>
      </c>
      <c r="L598">
        <f>Table4[[#This Row],[energy_kwh]] - Table4[[#This Row],[expected_kwh]]</f>
        <v>0</v>
      </c>
      <c r="M598" t="str">
        <f>IF(Table4[[#This Row],[Performance_Deviation]] &lt; 0, "Underperforming", "Outperforming")</f>
        <v>Outperforming</v>
      </c>
      <c r="N598">
        <f>IF(Table4[[#This Row],[Performance_Ratio]] &lt; 0.85, Table4[[#This Row],[Performance_Deviation]] * 50 / 1000, 0)</f>
        <v>0</v>
      </c>
    </row>
    <row r="599" spans="1:14" x14ac:dyDescent="0.3">
      <c r="A599" s="6" t="s">
        <v>6</v>
      </c>
      <c r="B599" s="5">
        <v>45316.875</v>
      </c>
      <c r="C599" s="6">
        <v>0</v>
      </c>
      <c r="D599" s="6">
        <v>0</v>
      </c>
      <c r="E599" s="6">
        <v>0</v>
      </c>
      <c r="F599" s="6">
        <v>46.836056308516099</v>
      </c>
      <c r="G599" s="6" t="str">
        <f t="shared" si="18"/>
        <v>OK</v>
      </c>
      <c r="H599" s="6" t="str">
        <f t="shared" si="19"/>
        <v>ZERO</v>
      </c>
      <c r="I599">
        <v>0</v>
      </c>
      <c r="J599">
        <f>IFERROR(Table4[[#This Row],[energy_kwh]]/Table4[[#This Row],[expected_kwh]],0)</f>
        <v>0</v>
      </c>
      <c r="K599" t="str">
        <f>IF(Table4[[#This Row],[Performance_Ratio]] &lt; 0.85, "Underperforming", "Performing")</f>
        <v>Underperforming</v>
      </c>
      <c r="L599">
        <f>Table4[[#This Row],[energy_kwh]] - Table4[[#This Row],[expected_kwh]]</f>
        <v>0</v>
      </c>
      <c r="M599" t="str">
        <f>IF(Table4[[#This Row],[Performance_Deviation]] &lt; 0, "Underperforming", "Outperforming")</f>
        <v>Outperforming</v>
      </c>
      <c r="N599">
        <f>IF(Table4[[#This Row],[Performance_Ratio]] &lt; 0.85, Table4[[#This Row],[Performance_Deviation]] * 50 / 1000, 0)</f>
        <v>0</v>
      </c>
    </row>
    <row r="600" spans="1:14" x14ac:dyDescent="0.3">
      <c r="A600" s="4" t="s">
        <v>6</v>
      </c>
      <c r="B600" s="3">
        <v>45316.916666666664</v>
      </c>
      <c r="C600" s="4">
        <v>0</v>
      </c>
      <c r="D600" s="4">
        <v>0</v>
      </c>
      <c r="E600" s="4">
        <v>0</v>
      </c>
      <c r="F600" s="4">
        <v>53.701230652973102</v>
      </c>
      <c r="G600" s="4" t="str">
        <f t="shared" si="18"/>
        <v>OK</v>
      </c>
      <c r="H600" s="4" t="str">
        <f t="shared" si="19"/>
        <v>ZERO</v>
      </c>
      <c r="I600">
        <v>0</v>
      </c>
      <c r="J600">
        <f>IFERROR(Table4[[#This Row],[energy_kwh]]/Table4[[#This Row],[expected_kwh]],0)</f>
        <v>0</v>
      </c>
      <c r="K600" t="str">
        <f>IF(Table4[[#This Row],[Performance_Ratio]] &lt; 0.85, "Underperforming", "Performing")</f>
        <v>Underperforming</v>
      </c>
      <c r="L600">
        <f>Table4[[#This Row],[energy_kwh]] - Table4[[#This Row],[expected_kwh]]</f>
        <v>0</v>
      </c>
      <c r="M600" t="str">
        <f>IF(Table4[[#This Row],[Performance_Deviation]] &lt; 0, "Underperforming", "Outperforming")</f>
        <v>Outperforming</v>
      </c>
      <c r="N600">
        <f>IF(Table4[[#This Row],[Performance_Ratio]] &lt; 0.85, Table4[[#This Row],[Performance_Deviation]] * 50 / 1000, 0)</f>
        <v>0</v>
      </c>
    </row>
    <row r="601" spans="1:14" x14ac:dyDescent="0.3">
      <c r="A601" s="6" t="s">
        <v>6</v>
      </c>
      <c r="B601" s="5">
        <v>45316.958333333336</v>
      </c>
      <c r="C601" s="6">
        <v>0</v>
      </c>
      <c r="D601" s="6">
        <v>0</v>
      </c>
      <c r="E601" s="6">
        <v>0</v>
      </c>
      <c r="F601" s="6">
        <v>25.383185466988401</v>
      </c>
      <c r="G601" s="6" t="str">
        <f t="shared" si="18"/>
        <v>OK</v>
      </c>
      <c r="H601" s="6" t="str">
        <f t="shared" si="19"/>
        <v>ZERO</v>
      </c>
      <c r="I601">
        <v>0</v>
      </c>
      <c r="J601">
        <f>IFERROR(Table4[[#This Row],[energy_kwh]]/Table4[[#This Row],[expected_kwh]],0)</f>
        <v>0</v>
      </c>
      <c r="K601" t="str">
        <f>IF(Table4[[#This Row],[Performance_Ratio]] &lt; 0.85, "Underperforming", "Performing")</f>
        <v>Underperforming</v>
      </c>
      <c r="L601">
        <f>Table4[[#This Row],[energy_kwh]] - Table4[[#This Row],[expected_kwh]]</f>
        <v>0</v>
      </c>
      <c r="M601" t="str">
        <f>IF(Table4[[#This Row],[Performance_Deviation]] &lt; 0, "Underperforming", "Outperforming")</f>
        <v>Outperforming</v>
      </c>
      <c r="N601">
        <f>IF(Table4[[#This Row],[Performance_Ratio]] &lt; 0.85, Table4[[#This Row],[Performance_Deviation]] * 50 / 1000, 0)</f>
        <v>0</v>
      </c>
    </row>
    <row r="602" spans="1:14" x14ac:dyDescent="0.3">
      <c r="A602" s="4" t="s">
        <v>6</v>
      </c>
      <c r="B602" s="3">
        <v>45317</v>
      </c>
      <c r="C602" s="4">
        <v>0</v>
      </c>
      <c r="D602" s="4">
        <v>0</v>
      </c>
      <c r="E602" s="4">
        <v>0</v>
      </c>
      <c r="F602" s="4">
        <v>80.296888066438996</v>
      </c>
      <c r="G602" s="4" t="str">
        <f t="shared" si="18"/>
        <v>OK</v>
      </c>
      <c r="H602" s="4" t="str">
        <f t="shared" si="19"/>
        <v>ZERO</v>
      </c>
      <c r="I602">
        <v>0</v>
      </c>
      <c r="J602">
        <f>IFERROR(Table4[[#This Row],[energy_kwh]]/Table4[[#This Row],[expected_kwh]],0)</f>
        <v>0</v>
      </c>
      <c r="K602" t="str">
        <f>IF(Table4[[#This Row],[Performance_Ratio]] &lt; 0.85, "Underperforming", "Performing")</f>
        <v>Underperforming</v>
      </c>
      <c r="L602">
        <f>Table4[[#This Row],[energy_kwh]] - Table4[[#This Row],[expected_kwh]]</f>
        <v>0</v>
      </c>
      <c r="M602" t="str">
        <f>IF(Table4[[#This Row],[Performance_Deviation]] &lt; 0, "Underperforming", "Outperforming")</f>
        <v>Outperforming</v>
      </c>
      <c r="N602">
        <f>IF(Table4[[#This Row],[Performance_Ratio]] &lt; 0.85, Table4[[#This Row],[Performance_Deviation]] * 50 / 1000, 0)</f>
        <v>0</v>
      </c>
    </row>
    <row r="603" spans="1:14" x14ac:dyDescent="0.3">
      <c r="A603" s="6" t="s">
        <v>6</v>
      </c>
      <c r="B603" s="5">
        <v>45317.041666666664</v>
      </c>
      <c r="C603" s="6">
        <v>0</v>
      </c>
      <c r="D603" s="6">
        <v>0</v>
      </c>
      <c r="E603" s="6">
        <v>0</v>
      </c>
      <c r="F603" s="6">
        <v>30.715697100455799</v>
      </c>
      <c r="G603" s="6" t="str">
        <f t="shared" si="18"/>
        <v>OK</v>
      </c>
      <c r="H603" s="6" t="str">
        <f t="shared" si="19"/>
        <v>ZERO</v>
      </c>
      <c r="I603">
        <v>0</v>
      </c>
      <c r="J603">
        <f>IFERROR(Table4[[#This Row],[energy_kwh]]/Table4[[#This Row],[expected_kwh]],0)</f>
        <v>0</v>
      </c>
      <c r="K603" t="str">
        <f>IF(Table4[[#This Row],[Performance_Ratio]] &lt; 0.85, "Underperforming", "Performing")</f>
        <v>Underperforming</v>
      </c>
      <c r="L603">
        <f>Table4[[#This Row],[energy_kwh]] - Table4[[#This Row],[expected_kwh]]</f>
        <v>0</v>
      </c>
      <c r="M603" t="str">
        <f>IF(Table4[[#This Row],[Performance_Deviation]] &lt; 0, "Underperforming", "Outperforming")</f>
        <v>Outperforming</v>
      </c>
      <c r="N603">
        <f>IF(Table4[[#This Row],[Performance_Ratio]] &lt; 0.85, Table4[[#This Row],[Performance_Deviation]] * 50 / 1000, 0)</f>
        <v>0</v>
      </c>
    </row>
    <row r="604" spans="1:14" x14ac:dyDescent="0.3">
      <c r="A604" s="4" t="s">
        <v>6</v>
      </c>
      <c r="B604" s="3">
        <v>45317.083333333336</v>
      </c>
      <c r="C604" s="4">
        <v>0</v>
      </c>
      <c r="D604" s="4">
        <v>0</v>
      </c>
      <c r="E604" s="4">
        <v>0</v>
      </c>
      <c r="F604" s="4">
        <v>30.037127224976899</v>
      </c>
      <c r="G604" s="4" t="str">
        <f t="shared" si="18"/>
        <v>OK</v>
      </c>
      <c r="H604" s="4" t="str">
        <f t="shared" si="19"/>
        <v>ZERO</v>
      </c>
      <c r="I604">
        <v>0</v>
      </c>
      <c r="J604">
        <f>IFERROR(Table4[[#This Row],[energy_kwh]]/Table4[[#This Row],[expected_kwh]],0)</f>
        <v>0</v>
      </c>
      <c r="K604" t="str">
        <f>IF(Table4[[#This Row],[Performance_Ratio]] &lt; 0.85, "Underperforming", "Performing")</f>
        <v>Underperforming</v>
      </c>
      <c r="L604">
        <f>Table4[[#This Row],[energy_kwh]] - Table4[[#This Row],[expected_kwh]]</f>
        <v>0</v>
      </c>
      <c r="M604" t="str">
        <f>IF(Table4[[#This Row],[Performance_Deviation]] &lt; 0, "Underperforming", "Outperforming")</f>
        <v>Outperforming</v>
      </c>
      <c r="N604">
        <f>IF(Table4[[#This Row],[Performance_Ratio]] &lt; 0.85, Table4[[#This Row],[Performance_Deviation]] * 50 / 1000, 0)</f>
        <v>0</v>
      </c>
    </row>
    <row r="605" spans="1:14" x14ac:dyDescent="0.3">
      <c r="A605" s="6" t="s">
        <v>6</v>
      </c>
      <c r="B605" s="5">
        <v>45317.125</v>
      </c>
      <c r="C605" s="6">
        <v>0</v>
      </c>
      <c r="D605" s="6">
        <v>0</v>
      </c>
      <c r="E605" s="6">
        <v>0</v>
      </c>
      <c r="F605" s="6">
        <v>76.148392559464995</v>
      </c>
      <c r="G605" s="6" t="str">
        <f t="shared" si="18"/>
        <v>OK</v>
      </c>
      <c r="H605" s="6" t="str">
        <f t="shared" si="19"/>
        <v>ZERO</v>
      </c>
      <c r="I605">
        <v>0</v>
      </c>
      <c r="J605">
        <f>IFERROR(Table4[[#This Row],[energy_kwh]]/Table4[[#This Row],[expected_kwh]],0)</f>
        <v>0</v>
      </c>
      <c r="K605" t="str">
        <f>IF(Table4[[#This Row],[Performance_Ratio]] &lt; 0.85, "Underperforming", "Performing")</f>
        <v>Underperforming</v>
      </c>
      <c r="L605">
        <f>Table4[[#This Row],[energy_kwh]] - Table4[[#This Row],[expected_kwh]]</f>
        <v>0</v>
      </c>
      <c r="M605" t="str">
        <f>IF(Table4[[#This Row],[Performance_Deviation]] &lt; 0, "Underperforming", "Outperforming")</f>
        <v>Outperforming</v>
      </c>
      <c r="N605">
        <f>IF(Table4[[#This Row],[Performance_Ratio]] &lt; 0.85, Table4[[#This Row],[Performance_Deviation]] * 50 / 1000, 0)</f>
        <v>0</v>
      </c>
    </row>
    <row r="606" spans="1:14" x14ac:dyDescent="0.3">
      <c r="A606" s="4" t="s">
        <v>6</v>
      </c>
      <c r="B606" s="3">
        <v>45317.166666666664</v>
      </c>
      <c r="C606" s="4">
        <v>0</v>
      </c>
      <c r="D606" s="4">
        <v>0</v>
      </c>
      <c r="E606" s="4">
        <v>0</v>
      </c>
      <c r="F606" s="4">
        <v>24.701721621639901</v>
      </c>
      <c r="G606" s="4" t="str">
        <f t="shared" si="18"/>
        <v>OK</v>
      </c>
      <c r="H606" s="4" t="str">
        <f t="shared" si="19"/>
        <v>ZERO</v>
      </c>
      <c r="I606">
        <v>0</v>
      </c>
      <c r="J606">
        <f>IFERROR(Table4[[#This Row],[energy_kwh]]/Table4[[#This Row],[expected_kwh]],0)</f>
        <v>0</v>
      </c>
      <c r="K606" t="str">
        <f>IF(Table4[[#This Row],[Performance_Ratio]] &lt; 0.85, "Underperforming", "Performing")</f>
        <v>Underperforming</v>
      </c>
      <c r="L606">
        <f>Table4[[#This Row],[energy_kwh]] - Table4[[#This Row],[expected_kwh]]</f>
        <v>0</v>
      </c>
      <c r="M606" t="str">
        <f>IF(Table4[[#This Row],[Performance_Deviation]] &lt; 0, "Underperforming", "Outperforming")</f>
        <v>Outperforming</v>
      </c>
      <c r="N606">
        <f>IF(Table4[[#This Row],[Performance_Ratio]] &lt; 0.85, Table4[[#This Row],[Performance_Deviation]] * 50 / 1000, 0)</f>
        <v>0</v>
      </c>
    </row>
    <row r="607" spans="1:14" x14ac:dyDescent="0.3">
      <c r="A607" s="6" t="s">
        <v>6</v>
      </c>
      <c r="B607" s="5">
        <v>45317.208333333336</v>
      </c>
      <c r="C607" s="6">
        <v>0</v>
      </c>
      <c r="D607" s="6">
        <v>0</v>
      </c>
      <c r="E607" s="6">
        <v>0</v>
      </c>
      <c r="F607" s="6">
        <v>38.511790190142598</v>
      </c>
      <c r="G607" s="6" t="str">
        <f t="shared" si="18"/>
        <v>OK</v>
      </c>
      <c r="H607" s="6" t="str">
        <f t="shared" si="19"/>
        <v>ZERO</v>
      </c>
      <c r="I607">
        <v>0</v>
      </c>
      <c r="J607">
        <f>IFERROR(Table4[[#This Row],[energy_kwh]]/Table4[[#This Row],[expected_kwh]],0)</f>
        <v>0</v>
      </c>
      <c r="K607" t="str">
        <f>IF(Table4[[#This Row],[Performance_Ratio]] &lt; 0.85, "Underperforming", "Performing")</f>
        <v>Underperforming</v>
      </c>
      <c r="L607">
        <f>Table4[[#This Row],[energy_kwh]] - Table4[[#This Row],[expected_kwh]]</f>
        <v>0</v>
      </c>
      <c r="M607" t="str">
        <f>IF(Table4[[#This Row],[Performance_Deviation]] &lt; 0, "Underperforming", "Outperforming")</f>
        <v>Outperforming</v>
      </c>
      <c r="N607">
        <f>IF(Table4[[#This Row],[Performance_Ratio]] &lt; 0.85, Table4[[#This Row],[Performance_Deviation]] * 50 / 1000, 0)</f>
        <v>0</v>
      </c>
    </row>
    <row r="608" spans="1:14" x14ac:dyDescent="0.3">
      <c r="A608" s="4" t="s">
        <v>6</v>
      </c>
      <c r="B608" s="3">
        <v>45317.25</v>
      </c>
      <c r="C608" s="4">
        <v>0</v>
      </c>
      <c r="D608" s="4">
        <v>0</v>
      </c>
      <c r="E608" s="4">
        <v>0</v>
      </c>
      <c r="F608" s="4">
        <v>40.279496478839398</v>
      </c>
      <c r="G608" s="4" t="str">
        <f t="shared" si="18"/>
        <v>OK</v>
      </c>
      <c r="H608" s="4" t="str">
        <f t="shared" si="19"/>
        <v>ZERO</v>
      </c>
      <c r="I608">
        <v>0</v>
      </c>
      <c r="J608">
        <f>IFERROR(Table4[[#This Row],[energy_kwh]]/Table4[[#This Row],[expected_kwh]],0)</f>
        <v>0</v>
      </c>
      <c r="K608" t="str">
        <f>IF(Table4[[#This Row],[Performance_Ratio]] &lt; 0.85, "Underperforming", "Performing")</f>
        <v>Underperforming</v>
      </c>
      <c r="L608">
        <f>Table4[[#This Row],[energy_kwh]] - Table4[[#This Row],[expected_kwh]]</f>
        <v>0</v>
      </c>
      <c r="M608" t="str">
        <f>IF(Table4[[#This Row],[Performance_Deviation]] &lt; 0, "Underperforming", "Outperforming")</f>
        <v>Outperforming</v>
      </c>
      <c r="N608">
        <f>IF(Table4[[#This Row],[Performance_Ratio]] &lt; 0.85, Table4[[#This Row],[Performance_Deviation]] * 50 / 1000, 0)</f>
        <v>0</v>
      </c>
    </row>
    <row r="609" spans="1:14" x14ac:dyDescent="0.3">
      <c r="A609" s="6" t="s">
        <v>6</v>
      </c>
      <c r="B609" s="5">
        <v>45317.291666666664</v>
      </c>
      <c r="C609" s="6">
        <v>106.50829659719</v>
      </c>
      <c r="D609" s="6">
        <v>101.71346400398799</v>
      </c>
      <c r="E609" s="6">
        <v>101.71346400398799</v>
      </c>
      <c r="F609" s="6">
        <v>79.169935383200496</v>
      </c>
      <c r="G609" s="6" t="str">
        <f t="shared" si="18"/>
        <v>OK</v>
      </c>
      <c r="H609" s="6" t="str">
        <f t="shared" si="19"/>
        <v>NON-ZERO</v>
      </c>
      <c r="I609">
        <v>103.527618041008</v>
      </c>
      <c r="J609">
        <f>IFERROR(Table4[[#This Row],[energy_kwh]]/Table4[[#This Row],[expected_kwh]],0)</f>
        <v>0.98247661762775795</v>
      </c>
      <c r="K609" t="str">
        <f>IF(Table4[[#This Row],[Performance_Ratio]] &lt; 0.85, "Underperforming", "Performing")</f>
        <v>Performing</v>
      </c>
      <c r="L609">
        <f>Table4[[#This Row],[energy_kwh]] - Table4[[#This Row],[expected_kwh]]</f>
        <v>-1.8141540370200033</v>
      </c>
      <c r="M609" t="str">
        <f>IF(Table4[[#This Row],[Performance_Deviation]] &lt; 0, "Underperforming", "Outperforming")</f>
        <v>Underperforming</v>
      </c>
      <c r="N609">
        <f>IF(Table4[[#This Row],[Performance_Ratio]] &lt; 0.85, Table4[[#This Row],[Performance_Deviation]] * 50 / 1000, 0)</f>
        <v>0</v>
      </c>
    </row>
    <row r="610" spans="1:14" x14ac:dyDescent="0.3">
      <c r="A610" s="4" t="s">
        <v>6</v>
      </c>
      <c r="B610" s="3">
        <v>45317.333333333336</v>
      </c>
      <c r="C610" s="4">
        <v>187.76567613444999</v>
      </c>
      <c r="D610" s="4">
        <v>179.312766712577</v>
      </c>
      <c r="E610" s="4">
        <v>179.312766712577</v>
      </c>
      <c r="F610" s="4">
        <v>92.305881236758097</v>
      </c>
      <c r="G610" s="4" t="str">
        <f t="shared" si="18"/>
        <v>OK</v>
      </c>
      <c r="H610" s="4" t="str">
        <f t="shared" si="19"/>
        <v>NON-ZERO</v>
      </c>
      <c r="I610">
        <v>199.99999999999901</v>
      </c>
      <c r="J610">
        <f>IFERROR(Table4[[#This Row],[energy_kwh]]/Table4[[#This Row],[expected_kwh]],0)</f>
        <v>0.89656383356288949</v>
      </c>
      <c r="K610" t="str">
        <f>IF(Table4[[#This Row],[Performance_Ratio]] &lt; 0.85, "Underperforming", "Performing")</f>
        <v>Performing</v>
      </c>
      <c r="L610">
        <f>Table4[[#This Row],[energy_kwh]] - Table4[[#This Row],[expected_kwh]]</f>
        <v>-20.687233287422004</v>
      </c>
      <c r="M610" t="str">
        <f>IF(Table4[[#This Row],[Performance_Deviation]] &lt; 0, "Underperforming", "Outperforming")</f>
        <v>Underperforming</v>
      </c>
      <c r="N610">
        <f>IF(Table4[[#This Row],[Performance_Ratio]] &lt; 0.85, Table4[[#This Row],[Performance_Deviation]] * 50 / 1000, 0)</f>
        <v>0</v>
      </c>
    </row>
    <row r="611" spans="1:14" x14ac:dyDescent="0.3">
      <c r="A611" s="6" t="s">
        <v>6</v>
      </c>
      <c r="B611" s="5">
        <v>45317.375</v>
      </c>
      <c r="C611" s="6">
        <v>287.41006128440199</v>
      </c>
      <c r="D611" s="6">
        <v>274.47132154779302</v>
      </c>
      <c r="E611" s="6">
        <v>274.47132154779302</v>
      </c>
      <c r="F611" s="6">
        <v>57.036053034269599</v>
      </c>
      <c r="G611" s="6" t="str">
        <f t="shared" si="18"/>
        <v>OK</v>
      </c>
      <c r="H611" s="6" t="str">
        <f t="shared" si="19"/>
        <v>NON-ZERO</v>
      </c>
      <c r="I611">
        <v>282.84271247461902</v>
      </c>
      <c r="J611">
        <f>IFERROR(Table4[[#This Row],[energy_kwh]]/Table4[[#This Row],[expected_kwh]],0)</f>
        <v>0.970402663538389</v>
      </c>
      <c r="K611" t="str">
        <f>IF(Table4[[#This Row],[Performance_Ratio]] &lt; 0.85, "Underperforming", "Performing")</f>
        <v>Performing</v>
      </c>
      <c r="L611">
        <f>Table4[[#This Row],[energy_kwh]] - Table4[[#This Row],[expected_kwh]]</f>
        <v>-8.3713909268259954</v>
      </c>
      <c r="M611" t="str">
        <f>IF(Table4[[#This Row],[Performance_Deviation]] &lt; 0, "Underperforming", "Outperforming")</f>
        <v>Underperforming</v>
      </c>
      <c r="N611">
        <f>IF(Table4[[#This Row],[Performance_Ratio]] &lt; 0.85, Table4[[#This Row],[Performance_Deviation]] * 50 / 1000, 0)</f>
        <v>0</v>
      </c>
    </row>
    <row r="612" spans="1:14" x14ac:dyDescent="0.3">
      <c r="A612" s="4" t="s">
        <v>6</v>
      </c>
      <c r="B612" s="3">
        <v>45317.416666666664</v>
      </c>
      <c r="C612" s="4">
        <v>367.13051291195001</v>
      </c>
      <c r="D612" s="4">
        <v>440.55661549434001</v>
      </c>
      <c r="E612" s="4">
        <v>440.55661549434001</v>
      </c>
      <c r="F612" s="4">
        <v>32.521481656039903</v>
      </c>
      <c r="G612" s="4" t="str">
        <f t="shared" si="18"/>
        <v>ERROR</v>
      </c>
      <c r="H612" s="4" t="str">
        <f t="shared" si="19"/>
        <v>NON-ZERO</v>
      </c>
      <c r="I612">
        <v>346.41016151377499</v>
      </c>
      <c r="J612">
        <f>IFERROR(Table4[[#This Row],[energy_kwh]]/Table4[[#This Row],[expected_kwh]],0)</f>
        <v>1.27177740274464</v>
      </c>
      <c r="K612" t="str">
        <f>IF(Table4[[#This Row],[Performance_Ratio]] &lt; 0.85, "Underperforming", "Performing")</f>
        <v>Performing</v>
      </c>
      <c r="L612">
        <f>Table4[[#This Row],[energy_kwh]] - Table4[[#This Row],[expected_kwh]]</f>
        <v>94.146453980565013</v>
      </c>
      <c r="M612" t="str">
        <f>IF(Table4[[#This Row],[Performance_Deviation]] &lt; 0, "Underperforming", "Outperforming")</f>
        <v>Outperforming</v>
      </c>
      <c r="N612">
        <f>IF(Table4[[#This Row],[Performance_Ratio]] &lt; 0.85, Table4[[#This Row],[Performance_Deviation]] * 50 / 1000, 0)</f>
        <v>0</v>
      </c>
    </row>
    <row r="613" spans="1:14" x14ac:dyDescent="0.3">
      <c r="A613" s="6" t="s">
        <v>6</v>
      </c>
      <c r="B613" s="5">
        <v>45317.458333333336</v>
      </c>
      <c r="C613" s="6">
        <v>331.13222455872898</v>
      </c>
      <c r="D613" s="6">
        <v>316.22518319482202</v>
      </c>
      <c r="E613" s="6">
        <v>316.22518319482202</v>
      </c>
      <c r="F613" s="6">
        <v>92.453562884650793</v>
      </c>
      <c r="G613" s="6" t="str">
        <f t="shared" si="18"/>
        <v>OK</v>
      </c>
      <c r="H613" s="6" t="str">
        <f t="shared" si="19"/>
        <v>NON-ZERO</v>
      </c>
      <c r="I613">
        <v>386.37033051562702</v>
      </c>
      <c r="J613">
        <f>IFERROR(Table4[[#This Row],[energy_kwh]]/Table4[[#This Row],[expected_kwh]],0)</f>
        <v>0.81845099951853595</v>
      </c>
      <c r="K613" t="str">
        <f>IF(Table4[[#This Row],[Performance_Ratio]] &lt; 0.85, "Underperforming", "Performing")</f>
        <v>Underperforming</v>
      </c>
      <c r="L613">
        <f>Table4[[#This Row],[energy_kwh]] - Table4[[#This Row],[expected_kwh]]</f>
        <v>-70.145147320804995</v>
      </c>
      <c r="M613" t="str">
        <f>IF(Table4[[#This Row],[Performance_Deviation]] &lt; 0, "Underperforming", "Outperforming")</f>
        <v>Underperforming</v>
      </c>
      <c r="N613">
        <f>IF(Table4[[#This Row],[Performance_Ratio]] &lt; 0.85, Table4[[#This Row],[Performance_Deviation]] * 50 / 1000, 0)</f>
        <v>-3.5072573660402493</v>
      </c>
    </row>
    <row r="614" spans="1:14" x14ac:dyDescent="0.3">
      <c r="A614" s="4" t="s">
        <v>6</v>
      </c>
      <c r="B614" s="3">
        <v>45317.5</v>
      </c>
      <c r="C614" s="4">
        <v>350.44916352141001</v>
      </c>
      <c r="D614" s="4">
        <v>334.67250456433601</v>
      </c>
      <c r="E614" s="4">
        <v>334.67250456433601</v>
      </c>
      <c r="F614" s="4">
        <v>68.311191610693697</v>
      </c>
      <c r="G614" s="4" t="str">
        <f t="shared" si="18"/>
        <v>OK</v>
      </c>
      <c r="H614" s="4" t="str">
        <f t="shared" si="19"/>
        <v>NON-ZERO</v>
      </c>
      <c r="I614">
        <v>400</v>
      </c>
      <c r="J614">
        <f>IFERROR(Table4[[#This Row],[energy_kwh]]/Table4[[#This Row],[expected_kwh]],0)</f>
        <v>0.83668126141083998</v>
      </c>
      <c r="K614" t="str">
        <f>IF(Table4[[#This Row],[Performance_Ratio]] &lt; 0.85, "Underperforming", "Performing")</f>
        <v>Underperforming</v>
      </c>
      <c r="L614">
        <f>Table4[[#This Row],[energy_kwh]] - Table4[[#This Row],[expected_kwh]]</f>
        <v>-65.327495435663991</v>
      </c>
      <c r="M614" t="str">
        <f>IF(Table4[[#This Row],[Performance_Deviation]] &lt; 0, "Underperforming", "Outperforming")</f>
        <v>Underperforming</v>
      </c>
      <c r="N614">
        <f>IF(Table4[[#This Row],[Performance_Ratio]] &lt; 0.85, Table4[[#This Row],[Performance_Deviation]] * 50 / 1000, 0)</f>
        <v>-3.2663747717831995</v>
      </c>
    </row>
    <row r="615" spans="1:14" x14ac:dyDescent="0.3">
      <c r="A615" s="6" t="s">
        <v>6</v>
      </c>
      <c r="B615" s="5">
        <v>45317.541666666664</v>
      </c>
      <c r="C615" s="6">
        <v>395.67950559490998</v>
      </c>
      <c r="D615" s="6">
        <v>377.86664922125499</v>
      </c>
      <c r="E615" s="6">
        <v>377.86664922125499</v>
      </c>
      <c r="F615" s="6">
        <v>91.759986161321393</v>
      </c>
      <c r="G615" s="6" t="str">
        <f t="shared" si="18"/>
        <v>OK</v>
      </c>
      <c r="H615" s="6" t="str">
        <f t="shared" si="19"/>
        <v>NON-ZERO</v>
      </c>
      <c r="I615">
        <v>386.37033051562702</v>
      </c>
      <c r="J615">
        <f>IFERROR(Table4[[#This Row],[energy_kwh]]/Table4[[#This Row],[expected_kwh]],0)</f>
        <v>0.97799085327534463</v>
      </c>
      <c r="K615" t="str">
        <f>IF(Table4[[#This Row],[Performance_Ratio]] &lt; 0.85, "Underperforming", "Performing")</f>
        <v>Performing</v>
      </c>
      <c r="L615">
        <f>Table4[[#This Row],[energy_kwh]] - Table4[[#This Row],[expected_kwh]]</f>
        <v>-8.5036812943720292</v>
      </c>
      <c r="M615" t="str">
        <f>IF(Table4[[#This Row],[Performance_Deviation]] &lt; 0, "Underperforming", "Outperforming")</f>
        <v>Underperforming</v>
      </c>
      <c r="N615">
        <f>IF(Table4[[#This Row],[Performance_Ratio]] &lt; 0.85, Table4[[#This Row],[Performance_Deviation]] * 50 / 1000, 0)</f>
        <v>0</v>
      </c>
    </row>
    <row r="616" spans="1:14" x14ac:dyDescent="0.3">
      <c r="A616" s="4" t="s">
        <v>6</v>
      </c>
      <c r="B616" s="3">
        <v>45317.583333333336</v>
      </c>
      <c r="C616" s="4">
        <v>260.40470409784001</v>
      </c>
      <c r="D616" s="4">
        <v>248.68170220481801</v>
      </c>
      <c r="E616" s="4">
        <v>248.68170220481801</v>
      </c>
      <c r="F616" s="4">
        <v>47.653037814859601</v>
      </c>
      <c r="G616" s="4" t="str">
        <f t="shared" si="18"/>
        <v>OK</v>
      </c>
      <c r="H616" s="4" t="str">
        <f t="shared" si="19"/>
        <v>NON-ZERO</v>
      </c>
      <c r="I616">
        <v>346.41016151377499</v>
      </c>
      <c r="J616">
        <f>IFERROR(Table4[[#This Row],[energy_kwh]]/Table4[[#This Row],[expected_kwh]],0)</f>
        <v>0.71788223855243105</v>
      </c>
      <c r="K616" t="str">
        <f>IF(Table4[[#This Row],[Performance_Ratio]] &lt; 0.85, "Underperforming", "Performing")</f>
        <v>Underperforming</v>
      </c>
      <c r="L616">
        <f>Table4[[#This Row],[energy_kwh]] - Table4[[#This Row],[expected_kwh]]</f>
        <v>-97.728459308956985</v>
      </c>
      <c r="M616" t="str">
        <f>IF(Table4[[#This Row],[Performance_Deviation]] &lt; 0, "Underperforming", "Outperforming")</f>
        <v>Underperforming</v>
      </c>
      <c r="N616">
        <f>IF(Table4[[#This Row],[Performance_Ratio]] &lt; 0.85, Table4[[#This Row],[Performance_Deviation]] * 50 / 1000, 0)</f>
        <v>-4.8864229654478493</v>
      </c>
    </row>
    <row r="617" spans="1:14" x14ac:dyDescent="0.3">
      <c r="A617" s="6" t="s">
        <v>6</v>
      </c>
      <c r="B617" s="5">
        <v>45317.625</v>
      </c>
      <c r="C617" s="6">
        <v>269.03499597072403</v>
      </c>
      <c r="D617" s="6">
        <v>256.92347218707999</v>
      </c>
      <c r="E617" s="6">
        <v>256.92347218707999</v>
      </c>
      <c r="F617" s="6">
        <v>77.567572138843801</v>
      </c>
      <c r="G617" s="6" t="str">
        <f t="shared" si="18"/>
        <v>OK</v>
      </c>
      <c r="H617" s="6" t="str">
        <f t="shared" si="19"/>
        <v>NON-ZERO</v>
      </c>
      <c r="I617">
        <v>282.84271247461902</v>
      </c>
      <c r="J617">
        <f>IFERROR(Table4[[#This Row],[energy_kwh]]/Table4[[#This Row],[expected_kwh]],0)</f>
        <v>0.90836164714738798</v>
      </c>
      <c r="K617" t="str">
        <f>IF(Table4[[#This Row],[Performance_Ratio]] &lt; 0.85, "Underperforming", "Performing")</f>
        <v>Performing</v>
      </c>
      <c r="L617">
        <f>Table4[[#This Row],[energy_kwh]] - Table4[[#This Row],[expected_kwh]]</f>
        <v>-25.919240287539026</v>
      </c>
      <c r="M617" t="str">
        <f>IF(Table4[[#This Row],[Performance_Deviation]] &lt; 0, "Underperforming", "Outperforming")</f>
        <v>Underperforming</v>
      </c>
      <c r="N617">
        <f>IF(Table4[[#This Row],[Performance_Ratio]] &lt; 0.85, Table4[[#This Row],[Performance_Deviation]] * 50 / 1000, 0)</f>
        <v>0</v>
      </c>
    </row>
    <row r="618" spans="1:14" x14ac:dyDescent="0.3">
      <c r="A618" s="4" t="s">
        <v>6</v>
      </c>
      <c r="B618" s="3">
        <v>45317.666666666664</v>
      </c>
      <c r="C618" s="4">
        <v>207.291705507279</v>
      </c>
      <c r="D618" s="4">
        <v>197.959765577513</v>
      </c>
      <c r="E618" s="4">
        <v>197.959765577513</v>
      </c>
      <c r="F618" s="4">
        <v>69.301511162759596</v>
      </c>
      <c r="G618" s="4" t="str">
        <f t="shared" si="18"/>
        <v>OK</v>
      </c>
      <c r="H618" s="4" t="str">
        <f t="shared" si="19"/>
        <v>NON-ZERO</v>
      </c>
      <c r="I618">
        <v>199.99999999999901</v>
      </c>
      <c r="J618">
        <f>IFERROR(Table4[[#This Row],[energy_kwh]]/Table4[[#This Row],[expected_kwh]],0)</f>
        <v>0.9897988278875699</v>
      </c>
      <c r="K618" t="str">
        <f>IF(Table4[[#This Row],[Performance_Ratio]] &lt; 0.85, "Underperforming", "Performing")</f>
        <v>Performing</v>
      </c>
      <c r="L618">
        <f>Table4[[#This Row],[energy_kwh]] - Table4[[#This Row],[expected_kwh]]</f>
        <v>-2.0402344224860087</v>
      </c>
      <c r="M618" t="str">
        <f>IF(Table4[[#This Row],[Performance_Deviation]] &lt; 0, "Underperforming", "Outperforming")</f>
        <v>Underperforming</v>
      </c>
      <c r="N618">
        <f>IF(Table4[[#This Row],[Performance_Ratio]] &lt; 0.85, Table4[[#This Row],[Performance_Deviation]] * 50 / 1000, 0)</f>
        <v>0</v>
      </c>
    </row>
    <row r="619" spans="1:14" x14ac:dyDescent="0.3">
      <c r="A619" s="6" t="s">
        <v>6</v>
      </c>
      <c r="B619" s="5">
        <v>45317.708333333336</v>
      </c>
      <c r="C619" s="6">
        <v>96.031551915073905</v>
      </c>
      <c r="D619" s="6">
        <v>91.708365554864201</v>
      </c>
      <c r="E619" s="6">
        <v>91.708365554864201</v>
      </c>
      <c r="F619" s="6">
        <v>36.180550938233999</v>
      </c>
      <c r="G619" s="6" t="str">
        <f t="shared" si="18"/>
        <v>OK</v>
      </c>
      <c r="H619" s="6" t="str">
        <f t="shared" si="19"/>
        <v>NON-ZERO</v>
      </c>
      <c r="I619">
        <v>103.527618041008</v>
      </c>
      <c r="J619">
        <f>IFERROR(Table4[[#This Row],[energy_kwh]]/Table4[[#This Row],[expected_kwh]],0)</f>
        <v>0.88583478776202396</v>
      </c>
      <c r="K619" t="str">
        <f>IF(Table4[[#This Row],[Performance_Ratio]] &lt; 0.85, "Underperforming", "Performing")</f>
        <v>Performing</v>
      </c>
      <c r="L619">
        <f>Table4[[#This Row],[energy_kwh]] - Table4[[#This Row],[expected_kwh]]</f>
        <v>-11.819252486143796</v>
      </c>
      <c r="M619" t="str">
        <f>IF(Table4[[#This Row],[Performance_Deviation]] &lt; 0, "Underperforming", "Outperforming")</f>
        <v>Underperforming</v>
      </c>
      <c r="N619">
        <f>IF(Table4[[#This Row],[Performance_Ratio]] &lt; 0.85, Table4[[#This Row],[Performance_Deviation]] * 50 / 1000, 0)</f>
        <v>0</v>
      </c>
    </row>
    <row r="620" spans="1:14" x14ac:dyDescent="0.3">
      <c r="A620" s="4" t="s">
        <v>6</v>
      </c>
      <c r="B620" s="3">
        <v>45317.75</v>
      </c>
      <c r="C620" s="7">
        <v>4.98659469097649E-14</v>
      </c>
      <c r="D620" s="7">
        <v>4.7621062002459802E-14</v>
      </c>
      <c r="E620" s="7">
        <v>4.7621062002459802E-14</v>
      </c>
      <c r="F620" s="4">
        <v>68.872982035795701</v>
      </c>
      <c r="G620" s="4" t="str">
        <f t="shared" si="18"/>
        <v>OK</v>
      </c>
      <c r="H620" s="4" t="str">
        <f t="shared" si="19"/>
        <v>NON-ZERO</v>
      </c>
      <c r="I620" s="2">
        <v>4.8985871965894097E-14</v>
      </c>
      <c r="J620">
        <f>IFERROR(Table4[[#This Row],[energy_kwh]]/Table4[[#This Row],[expected_kwh]],0)</f>
        <v>0.9721387022694109</v>
      </c>
      <c r="K620" t="str">
        <f>IF(Table4[[#This Row],[Performance_Ratio]] &lt; 0.85, "Underperforming", "Performing")</f>
        <v>Performing</v>
      </c>
      <c r="L620">
        <f>Table4[[#This Row],[energy_kwh]] - Table4[[#This Row],[expected_kwh]]</f>
        <v>-1.3648099634342951E-15</v>
      </c>
      <c r="M620" t="str">
        <f>IF(Table4[[#This Row],[Performance_Deviation]] &lt; 0, "Underperforming", "Outperforming")</f>
        <v>Underperforming</v>
      </c>
      <c r="N620">
        <f>IF(Table4[[#This Row],[Performance_Ratio]] &lt; 0.85, Table4[[#This Row],[Performance_Deviation]] * 50 / 1000, 0)</f>
        <v>0</v>
      </c>
    </row>
    <row r="621" spans="1:14" x14ac:dyDescent="0.3">
      <c r="A621" s="6" t="s">
        <v>6</v>
      </c>
      <c r="B621" s="5">
        <v>45317.791666666664</v>
      </c>
      <c r="C621" s="6">
        <v>0</v>
      </c>
      <c r="D621" s="6">
        <v>0</v>
      </c>
      <c r="E621" s="6">
        <v>0</v>
      </c>
      <c r="F621" s="6">
        <v>68.362445301673503</v>
      </c>
      <c r="G621" s="6" t="str">
        <f t="shared" si="18"/>
        <v>OK</v>
      </c>
      <c r="H621" s="6" t="str">
        <f t="shared" si="19"/>
        <v>ZERO</v>
      </c>
      <c r="I621">
        <v>0</v>
      </c>
      <c r="J621">
        <f>IFERROR(Table4[[#This Row],[energy_kwh]]/Table4[[#This Row],[expected_kwh]],0)</f>
        <v>0</v>
      </c>
      <c r="K621" t="str">
        <f>IF(Table4[[#This Row],[Performance_Ratio]] &lt; 0.85, "Underperforming", "Performing")</f>
        <v>Underperforming</v>
      </c>
      <c r="L621">
        <f>Table4[[#This Row],[energy_kwh]] - Table4[[#This Row],[expected_kwh]]</f>
        <v>0</v>
      </c>
      <c r="M621" t="str">
        <f>IF(Table4[[#This Row],[Performance_Deviation]] &lt; 0, "Underperforming", "Outperforming")</f>
        <v>Outperforming</v>
      </c>
      <c r="N621">
        <f>IF(Table4[[#This Row],[Performance_Ratio]] &lt; 0.85, Table4[[#This Row],[Performance_Deviation]] * 50 / 1000, 0)</f>
        <v>0</v>
      </c>
    </row>
    <row r="622" spans="1:14" x14ac:dyDescent="0.3">
      <c r="A622" s="4" t="s">
        <v>6</v>
      </c>
      <c r="B622" s="3">
        <v>45317.833333333336</v>
      </c>
      <c r="C622" s="4">
        <v>0</v>
      </c>
      <c r="D622" s="4">
        <v>0</v>
      </c>
      <c r="E622" s="4">
        <v>0</v>
      </c>
      <c r="F622" s="4">
        <v>41.555719734918398</v>
      </c>
      <c r="G622" s="4" t="str">
        <f t="shared" si="18"/>
        <v>OK</v>
      </c>
      <c r="H622" s="4" t="str">
        <f t="shared" si="19"/>
        <v>ZERO</v>
      </c>
      <c r="I622">
        <v>0</v>
      </c>
      <c r="J622">
        <f>IFERROR(Table4[[#This Row],[energy_kwh]]/Table4[[#This Row],[expected_kwh]],0)</f>
        <v>0</v>
      </c>
      <c r="K622" t="str">
        <f>IF(Table4[[#This Row],[Performance_Ratio]] &lt; 0.85, "Underperforming", "Performing")</f>
        <v>Underperforming</v>
      </c>
      <c r="L622">
        <f>Table4[[#This Row],[energy_kwh]] - Table4[[#This Row],[expected_kwh]]</f>
        <v>0</v>
      </c>
      <c r="M622" t="str">
        <f>IF(Table4[[#This Row],[Performance_Deviation]] &lt; 0, "Underperforming", "Outperforming")</f>
        <v>Outperforming</v>
      </c>
      <c r="N622">
        <f>IF(Table4[[#This Row],[Performance_Ratio]] &lt; 0.85, Table4[[#This Row],[Performance_Deviation]] * 50 / 1000, 0)</f>
        <v>0</v>
      </c>
    </row>
    <row r="623" spans="1:14" x14ac:dyDescent="0.3">
      <c r="A623" s="6" t="s">
        <v>6</v>
      </c>
      <c r="B623" s="5">
        <v>45317.875</v>
      </c>
      <c r="C623" s="6">
        <v>0</v>
      </c>
      <c r="D623" s="6">
        <v>0</v>
      </c>
      <c r="E623" s="6">
        <v>0</v>
      </c>
      <c r="F623" s="6">
        <v>28.363415924095701</v>
      </c>
      <c r="G623" s="6" t="str">
        <f t="shared" si="18"/>
        <v>OK</v>
      </c>
      <c r="H623" s="6" t="str">
        <f t="shared" si="19"/>
        <v>ZERO</v>
      </c>
      <c r="I623">
        <v>0</v>
      </c>
      <c r="J623">
        <f>IFERROR(Table4[[#This Row],[energy_kwh]]/Table4[[#This Row],[expected_kwh]],0)</f>
        <v>0</v>
      </c>
      <c r="K623" t="str">
        <f>IF(Table4[[#This Row],[Performance_Ratio]] &lt; 0.85, "Underperforming", "Performing")</f>
        <v>Underperforming</v>
      </c>
      <c r="L623">
        <f>Table4[[#This Row],[energy_kwh]] - Table4[[#This Row],[expected_kwh]]</f>
        <v>0</v>
      </c>
      <c r="M623" t="str">
        <f>IF(Table4[[#This Row],[Performance_Deviation]] &lt; 0, "Underperforming", "Outperforming")</f>
        <v>Outperforming</v>
      </c>
      <c r="N623">
        <f>IF(Table4[[#This Row],[Performance_Ratio]] &lt; 0.85, Table4[[#This Row],[Performance_Deviation]] * 50 / 1000, 0)</f>
        <v>0</v>
      </c>
    </row>
    <row r="624" spans="1:14" x14ac:dyDescent="0.3">
      <c r="A624" s="4" t="s">
        <v>6</v>
      </c>
      <c r="B624" s="3">
        <v>45317.916666666664</v>
      </c>
      <c r="C624" s="4">
        <v>0</v>
      </c>
      <c r="D624" s="4">
        <v>0</v>
      </c>
      <c r="E624" s="4">
        <v>0</v>
      </c>
      <c r="F624" s="4">
        <v>48.432053650395197</v>
      </c>
      <c r="G624" s="4" t="str">
        <f t="shared" si="18"/>
        <v>OK</v>
      </c>
      <c r="H624" s="4" t="str">
        <f t="shared" si="19"/>
        <v>ZERO</v>
      </c>
      <c r="I624">
        <v>0</v>
      </c>
      <c r="J624">
        <f>IFERROR(Table4[[#This Row],[energy_kwh]]/Table4[[#This Row],[expected_kwh]],0)</f>
        <v>0</v>
      </c>
      <c r="K624" t="str">
        <f>IF(Table4[[#This Row],[Performance_Ratio]] &lt; 0.85, "Underperforming", "Performing")</f>
        <v>Underperforming</v>
      </c>
      <c r="L624">
        <f>Table4[[#This Row],[energy_kwh]] - Table4[[#This Row],[expected_kwh]]</f>
        <v>0</v>
      </c>
      <c r="M624" t="str">
        <f>IF(Table4[[#This Row],[Performance_Deviation]] &lt; 0, "Underperforming", "Outperforming")</f>
        <v>Outperforming</v>
      </c>
      <c r="N624">
        <f>IF(Table4[[#This Row],[Performance_Ratio]] &lt; 0.85, Table4[[#This Row],[Performance_Deviation]] * 50 / 1000, 0)</f>
        <v>0</v>
      </c>
    </row>
    <row r="625" spans="1:14" x14ac:dyDescent="0.3">
      <c r="A625" s="6" t="s">
        <v>6</v>
      </c>
      <c r="B625" s="5">
        <v>45317.958333333336</v>
      </c>
      <c r="C625" s="6">
        <v>0</v>
      </c>
      <c r="D625" s="6">
        <v>0</v>
      </c>
      <c r="E625" s="6">
        <v>0</v>
      </c>
      <c r="F625" s="6">
        <v>29.327629925038199</v>
      </c>
      <c r="G625" s="6" t="str">
        <f t="shared" si="18"/>
        <v>OK</v>
      </c>
      <c r="H625" s="6" t="str">
        <f t="shared" si="19"/>
        <v>ZERO</v>
      </c>
      <c r="I625">
        <v>0</v>
      </c>
      <c r="J625">
        <f>IFERROR(Table4[[#This Row],[energy_kwh]]/Table4[[#This Row],[expected_kwh]],0)</f>
        <v>0</v>
      </c>
      <c r="K625" t="str">
        <f>IF(Table4[[#This Row],[Performance_Ratio]] &lt; 0.85, "Underperforming", "Performing")</f>
        <v>Underperforming</v>
      </c>
      <c r="L625">
        <f>Table4[[#This Row],[energy_kwh]] - Table4[[#This Row],[expected_kwh]]</f>
        <v>0</v>
      </c>
      <c r="M625" t="str">
        <f>IF(Table4[[#This Row],[Performance_Deviation]] &lt; 0, "Underperforming", "Outperforming")</f>
        <v>Outperforming</v>
      </c>
      <c r="N625">
        <f>IF(Table4[[#This Row],[Performance_Ratio]] &lt; 0.85, Table4[[#This Row],[Performance_Deviation]] * 50 / 1000, 0)</f>
        <v>0</v>
      </c>
    </row>
    <row r="626" spans="1:14" x14ac:dyDescent="0.3">
      <c r="A626" s="4" t="s">
        <v>6</v>
      </c>
      <c r="B626" s="3">
        <v>45318</v>
      </c>
      <c r="C626" s="4">
        <v>0</v>
      </c>
      <c r="D626" s="4">
        <v>0</v>
      </c>
      <c r="E626" s="4">
        <v>0</v>
      </c>
      <c r="F626" s="4">
        <v>64.634875617926099</v>
      </c>
      <c r="G626" s="4" t="str">
        <f t="shared" si="18"/>
        <v>OK</v>
      </c>
      <c r="H626" s="4" t="str">
        <f t="shared" si="19"/>
        <v>ZERO</v>
      </c>
      <c r="I626">
        <v>0</v>
      </c>
      <c r="J626">
        <f>IFERROR(Table4[[#This Row],[energy_kwh]]/Table4[[#This Row],[expected_kwh]],0)</f>
        <v>0</v>
      </c>
      <c r="K626" t="str">
        <f>IF(Table4[[#This Row],[Performance_Ratio]] &lt; 0.85, "Underperforming", "Performing")</f>
        <v>Underperforming</v>
      </c>
      <c r="L626">
        <f>Table4[[#This Row],[energy_kwh]] - Table4[[#This Row],[expected_kwh]]</f>
        <v>0</v>
      </c>
      <c r="M626" t="str">
        <f>IF(Table4[[#This Row],[Performance_Deviation]] &lt; 0, "Underperforming", "Outperforming")</f>
        <v>Outperforming</v>
      </c>
      <c r="N626">
        <f>IF(Table4[[#This Row],[Performance_Ratio]] &lt; 0.85, Table4[[#This Row],[Performance_Deviation]] * 50 / 1000, 0)</f>
        <v>0</v>
      </c>
    </row>
    <row r="627" spans="1:14" x14ac:dyDescent="0.3">
      <c r="A627" s="6" t="s">
        <v>6</v>
      </c>
      <c r="B627" s="5">
        <v>45318.041666666664</v>
      </c>
      <c r="C627" s="6">
        <v>0</v>
      </c>
      <c r="D627" s="6">
        <v>0</v>
      </c>
      <c r="E627" s="6">
        <v>0</v>
      </c>
      <c r="F627" s="6">
        <v>92.262443066569105</v>
      </c>
      <c r="G627" s="6" t="str">
        <f t="shared" si="18"/>
        <v>OK</v>
      </c>
      <c r="H627" s="6" t="str">
        <f t="shared" si="19"/>
        <v>ZERO</v>
      </c>
      <c r="I627">
        <v>0</v>
      </c>
      <c r="J627">
        <f>IFERROR(Table4[[#This Row],[energy_kwh]]/Table4[[#This Row],[expected_kwh]],0)</f>
        <v>0</v>
      </c>
      <c r="K627" t="str">
        <f>IF(Table4[[#This Row],[Performance_Ratio]] &lt; 0.85, "Underperforming", "Performing")</f>
        <v>Underperforming</v>
      </c>
      <c r="L627">
        <f>Table4[[#This Row],[energy_kwh]] - Table4[[#This Row],[expected_kwh]]</f>
        <v>0</v>
      </c>
      <c r="M627" t="str">
        <f>IF(Table4[[#This Row],[Performance_Deviation]] &lt; 0, "Underperforming", "Outperforming")</f>
        <v>Outperforming</v>
      </c>
      <c r="N627">
        <f>IF(Table4[[#This Row],[Performance_Ratio]] &lt; 0.85, Table4[[#This Row],[Performance_Deviation]] * 50 / 1000, 0)</f>
        <v>0</v>
      </c>
    </row>
    <row r="628" spans="1:14" x14ac:dyDescent="0.3">
      <c r="A628" s="4" t="s">
        <v>6</v>
      </c>
      <c r="B628" s="3">
        <v>45318.083333333336</v>
      </c>
      <c r="C628" s="4">
        <v>0</v>
      </c>
      <c r="D628" s="4">
        <v>0</v>
      </c>
      <c r="E628" s="4">
        <v>0</v>
      </c>
      <c r="F628" s="4">
        <v>77.969111140708605</v>
      </c>
      <c r="G628" s="4" t="str">
        <f t="shared" si="18"/>
        <v>OK</v>
      </c>
      <c r="H628" s="4" t="str">
        <f t="shared" si="19"/>
        <v>ZERO</v>
      </c>
      <c r="I628">
        <v>0</v>
      </c>
      <c r="J628">
        <f>IFERROR(Table4[[#This Row],[energy_kwh]]/Table4[[#This Row],[expected_kwh]],0)</f>
        <v>0</v>
      </c>
      <c r="K628" t="str">
        <f>IF(Table4[[#This Row],[Performance_Ratio]] &lt; 0.85, "Underperforming", "Performing")</f>
        <v>Underperforming</v>
      </c>
      <c r="L628">
        <f>Table4[[#This Row],[energy_kwh]] - Table4[[#This Row],[expected_kwh]]</f>
        <v>0</v>
      </c>
      <c r="M628" t="str">
        <f>IF(Table4[[#This Row],[Performance_Deviation]] &lt; 0, "Underperforming", "Outperforming")</f>
        <v>Outperforming</v>
      </c>
      <c r="N628">
        <f>IF(Table4[[#This Row],[Performance_Ratio]] &lt; 0.85, Table4[[#This Row],[Performance_Deviation]] * 50 / 1000, 0)</f>
        <v>0</v>
      </c>
    </row>
    <row r="629" spans="1:14" x14ac:dyDescent="0.3">
      <c r="A629" s="6" t="s">
        <v>6</v>
      </c>
      <c r="B629" s="5">
        <v>45318.125</v>
      </c>
      <c r="C629" s="6">
        <v>0</v>
      </c>
      <c r="D629" s="6">
        <v>0</v>
      </c>
      <c r="E629" s="6">
        <v>0</v>
      </c>
      <c r="F629" s="6">
        <v>29.416266107199</v>
      </c>
      <c r="G629" s="6" t="str">
        <f t="shared" si="18"/>
        <v>OK</v>
      </c>
      <c r="H629" s="6" t="str">
        <f t="shared" si="19"/>
        <v>ZERO</v>
      </c>
      <c r="I629">
        <v>0</v>
      </c>
      <c r="J629">
        <f>IFERROR(Table4[[#This Row],[energy_kwh]]/Table4[[#This Row],[expected_kwh]],0)</f>
        <v>0</v>
      </c>
      <c r="K629" t="str">
        <f>IF(Table4[[#This Row],[Performance_Ratio]] &lt; 0.85, "Underperforming", "Performing")</f>
        <v>Underperforming</v>
      </c>
      <c r="L629">
        <f>Table4[[#This Row],[energy_kwh]] - Table4[[#This Row],[expected_kwh]]</f>
        <v>0</v>
      </c>
      <c r="M629" t="str">
        <f>IF(Table4[[#This Row],[Performance_Deviation]] &lt; 0, "Underperforming", "Outperforming")</f>
        <v>Outperforming</v>
      </c>
      <c r="N629">
        <f>IF(Table4[[#This Row],[Performance_Ratio]] &lt; 0.85, Table4[[#This Row],[Performance_Deviation]] * 50 / 1000, 0)</f>
        <v>0</v>
      </c>
    </row>
    <row r="630" spans="1:14" x14ac:dyDescent="0.3">
      <c r="A630" s="4" t="s">
        <v>6</v>
      </c>
      <c r="B630" s="3">
        <v>45318.166666666664</v>
      </c>
      <c r="C630" s="4">
        <v>0</v>
      </c>
      <c r="D630" s="4">
        <v>0</v>
      </c>
      <c r="E630" s="4">
        <v>0</v>
      </c>
      <c r="F630" s="4">
        <v>41.998145808542297</v>
      </c>
      <c r="G630" s="4" t="str">
        <f t="shared" si="18"/>
        <v>OK</v>
      </c>
      <c r="H630" s="4" t="str">
        <f t="shared" si="19"/>
        <v>ZERO</v>
      </c>
      <c r="I630">
        <v>0</v>
      </c>
      <c r="J630">
        <f>IFERROR(Table4[[#This Row],[energy_kwh]]/Table4[[#This Row],[expected_kwh]],0)</f>
        <v>0</v>
      </c>
      <c r="K630" t="str">
        <f>IF(Table4[[#This Row],[Performance_Ratio]] &lt; 0.85, "Underperforming", "Performing")</f>
        <v>Underperforming</v>
      </c>
      <c r="L630">
        <f>Table4[[#This Row],[energy_kwh]] - Table4[[#This Row],[expected_kwh]]</f>
        <v>0</v>
      </c>
      <c r="M630" t="str">
        <f>IF(Table4[[#This Row],[Performance_Deviation]] &lt; 0, "Underperforming", "Outperforming")</f>
        <v>Outperforming</v>
      </c>
      <c r="N630">
        <f>IF(Table4[[#This Row],[Performance_Ratio]] &lt; 0.85, Table4[[#This Row],[Performance_Deviation]] * 50 / 1000, 0)</f>
        <v>0</v>
      </c>
    </row>
    <row r="631" spans="1:14" x14ac:dyDescent="0.3">
      <c r="A631" s="6" t="s">
        <v>6</v>
      </c>
      <c r="B631" s="5">
        <v>45318.208333333336</v>
      </c>
      <c r="C631" s="6">
        <v>0</v>
      </c>
      <c r="D631" s="6">
        <v>0</v>
      </c>
      <c r="E631" s="6">
        <v>0</v>
      </c>
      <c r="F631" s="6">
        <v>46.107169487621597</v>
      </c>
      <c r="G631" s="6" t="str">
        <f t="shared" si="18"/>
        <v>OK</v>
      </c>
      <c r="H631" s="6" t="str">
        <f t="shared" si="19"/>
        <v>ZERO</v>
      </c>
      <c r="I631">
        <v>0</v>
      </c>
      <c r="J631">
        <f>IFERROR(Table4[[#This Row],[energy_kwh]]/Table4[[#This Row],[expected_kwh]],0)</f>
        <v>0</v>
      </c>
      <c r="K631" t="str">
        <f>IF(Table4[[#This Row],[Performance_Ratio]] &lt; 0.85, "Underperforming", "Performing")</f>
        <v>Underperforming</v>
      </c>
      <c r="L631">
        <f>Table4[[#This Row],[energy_kwh]] - Table4[[#This Row],[expected_kwh]]</f>
        <v>0</v>
      </c>
      <c r="M631" t="str">
        <f>IF(Table4[[#This Row],[Performance_Deviation]] &lt; 0, "Underperforming", "Outperforming")</f>
        <v>Outperforming</v>
      </c>
      <c r="N631">
        <f>IF(Table4[[#This Row],[Performance_Ratio]] &lt; 0.85, Table4[[#This Row],[Performance_Deviation]] * 50 / 1000, 0)</f>
        <v>0</v>
      </c>
    </row>
    <row r="632" spans="1:14" x14ac:dyDescent="0.3">
      <c r="A632" s="4" t="s">
        <v>6</v>
      </c>
      <c r="B632" s="3">
        <v>45318.25</v>
      </c>
      <c r="C632" s="4">
        <v>0</v>
      </c>
      <c r="D632" s="4">
        <v>0</v>
      </c>
      <c r="E632" s="4">
        <v>0</v>
      </c>
      <c r="F632" s="4">
        <v>21.7696223484146</v>
      </c>
      <c r="G632" s="4" t="str">
        <f t="shared" si="18"/>
        <v>OK</v>
      </c>
      <c r="H632" s="4" t="str">
        <f t="shared" si="19"/>
        <v>ZERO</v>
      </c>
      <c r="I632">
        <v>0</v>
      </c>
      <c r="J632">
        <f>IFERROR(Table4[[#This Row],[energy_kwh]]/Table4[[#This Row],[expected_kwh]],0)</f>
        <v>0</v>
      </c>
      <c r="K632" t="str">
        <f>IF(Table4[[#This Row],[Performance_Ratio]] &lt; 0.85, "Underperforming", "Performing")</f>
        <v>Underperforming</v>
      </c>
      <c r="L632">
        <f>Table4[[#This Row],[energy_kwh]] - Table4[[#This Row],[expected_kwh]]</f>
        <v>0</v>
      </c>
      <c r="M632" t="str">
        <f>IF(Table4[[#This Row],[Performance_Deviation]] &lt; 0, "Underperforming", "Outperforming")</f>
        <v>Outperforming</v>
      </c>
      <c r="N632">
        <f>IF(Table4[[#This Row],[Performance_Ratio]] &lt; 0.85, Table4[[#This Row],[Performance_Deviation]] * 50 / 1000, 0)</f>
        <v>0</v>
      </c>
    </row>
    <row r="633" spans="1:14" x14ac:dyDescent="0.3">
      <c r="A633" s="6" t="s">
        <v>6</v>
      </c>
      <c r="B633" s="5">
        <v>45318.291666666664</v>
      </c>
      <c r="C633" s="6">
        <v>88.557399872396601</v>
      </c>
      <c r="D633" s="6">
        <v>84.570687842973697</v>
      </c>
      <c r="E633" s="6">
        <v>84.570687842973697</v>
      </c>
      <c r="F633" s="6">
        <v>78.528209267823499</v>
      </c>
      <c r="G633" s="6" t="str">
        <f t="shared" si="18"/>
        <v>OK</v>
      </c>
      <c r="H633" s="6" t="str">
        <f t="shared" si="19"/>
        <v>NON-ZERO</v>
      </c>
      <c r="I633">
        <v>103.527618041008</v>
      </c>
      <c r="J633">
        <f>IFERROR(Table4[[#This Row],[energy_kwh]]/Table4[[#This Row],[expected_kwh]],0)</f>
        <v>0.81689011534559475</v>
      </c>
      <c r="K633" t="str">
        <f>IF(Table4[[#This Row],[Performance_Ratio]] &lt; 0.85, "Underperforming", "Performing")</f>
        <v>Underperforming</v>
      </c>
      <c r="L633">
        <f>Table4[[#This Row],[energy_kwh]] - Table4[[#This Row],[expected_kwh]]</f>
        <v>-18.9569301980343</v>
      </c>
      <c r="M633" t="str">
        <f>IF(Table4[[#This Row],[Performance_Deviation]] &lt; 0, "Underperforming", "Outperforming")</f>
        <v>Underperforming</v>
      </c>
      <c r="N633">
        <f>IF(Table4[[#This Row],[Performance_Ratio]] &lt; 0.85, Table4[[#This Row],[Performance_Deviation]] * 50 / 1000, 0)</f>
        <v>-0.94784650990171493</v>
      </c>
    </row>
    <row r="634" spans="1:14" x14ac:dyDescent="0.3">
      <c r="A634" s="4" t="s">
        <v>6</v>
      </c>
      <c r="B634" s="3">
        <v>45318.333333333336</v>
      </c>
      <c r="C634" s="4">
        <v>158.17105237238499</v>
      </c>
      <c r="D634" s="4">
        <v>151.050445420193</v>
      </c>
      <c r="E634" s="4">
        <v>151.050445420193</v>
      </c>
      <c r="F634" s="4">
        <v>37.117652262027399</v>
      </c>
      <c r="G634" s="4" t="str">
        <f t="shared" si="18"/>
        <v>OK</v>
      </c>
      <c r="H634" s="4" t="str">
        <f t="shared" si="19"/>
        <v>NON-ZERO</v>
      </c>
      <c r="I634">
        <v>199.99999999999901</v>
      </c>
      <c r="J634">
        <f>IFERROR(Table4[[#This Row],[energy_kwh]]/Table4[[#This Row],[expected_kwh]],0)</f>
        <v>0.75525222710096873</v>
      </c>
      <c r="K634" t="str">
        <f>IF(Table4[[#This Row],[Performance_Ratio]] &lt; 0.85, "Underperforming", "Performing")</f>
        <v>Underperforming</v>
      </c>
      <c r="L634">
        <f>Table4[[#This Row],[energy_kwh]] - Table4[[#This Row],[expected_kwh]]</f>
        <v>-48.949554579806005</v>
      </c>
      <c r="M634" t="str">
        <f>IF(Table4[[#This Row],[Performance_Deviation]] &lt; 0, "Underperforming", "Outperforming")</f>
        <v>Underperforming</v>
      </c>
      <c r="N634">
        <f>IF(Table4[[#This Row],[Performance_Ratio]] &lt; 0.85, Table4[[#This Row],[Performance_Deviation]] * 50 / 1000, 0)</f>
        <v>-2.4474777289903002</v>
      </c>
    </row>
    <row r="635" spans="1:14" x14ac:dyDescent="0.3">
      <c r="A635" s="6" t="s">
        <v>6</v>
      </c>
      <c r="B635" s="5">
        <v>45318.375</v>
      </c>
      <c r="C635" s="6">
        <v>250.16300769945201</v>
      </c>
      <c r="D635" s="6">
        <v>238.90107054288299</v>
      </c>
      <c r="E635" s="6">
        <v>238.90107054288299</v>
      </c>
      <c r="F635" s="6">
        <v>76.058330494751999</v>
      </c>
      <c r="G635" s="6" t="str">
        <f t="shared" si="18"/>
        <v>OK</v>
      </c>
      <c r="H635" s="6" t="str">
        <f t="shared" si="19"/>
        <v>NON-ZERO</v>
      </c>
      <c r="I635">
        <v>282.84271247461902</v>
      </c>
      <c r="J635">
        <f>IFERROR(Table4[[#This Row],[energy_kwh]]/Table4[[#This Row],[expected_kwh]],0)</f>
        <v>0.84464283506799154</v>
      </c>
      <c r="K635" t="str">
        <f>IF(Table4[[#This Row],[Performance_Ratio]] &lt; 0.85, "Underperforming", "Performing")</f>
        <v>Underperforming</v>
      </c>
      <c r="L635">
        <f>Table4[[#This Row],[energy_kwh]] - Table4[[#This Row],[expected_kwh]]</f>
        <v>-43.941641931736029</v>
      </c>
      <c r="M635" t="str">
        <f>IF(Table4[[#This Row],[Performance_Deviation]] &lt; 0, "Underperforming", "Outperforming")</f>
        <v>Underperforming</v>
      </c>
      <c r="N635">
        <f>IF(Table4[[#This Row],[Performance_Ratio]] &lt; 0.85, Table4[[#This Row],[Performance_Deviation]] * 50 / 1000, 0)</f>
        <v>-2.1970820965868016</v>
      </c>
    </row>
    <row r="636" spans="1:14" x14ac:dyDescent="0.3">
      <c r="A636" s="4" t="s">
        <v>6</v>
      </c>
      <c r="B636" s="3">
        <v>45318.416666666664</v>
      </c>
      <c r="C636" s="4">
        <v>312.23574037807401</v>
      </c>
      <c r="D636" s="4">
        <v>298.17938840777401</v>
      </c>
      <c r="E636" s="4">
        <v>298.17938840777401</v>
      </c>
      <c r="F636" s="4">
        <v>78.889215736130595</v>
      </c>
      <c r="G636" s="4" t="str">
        <f t="shared" si="18"/>
        <v>OK</v>
      </c>
      <c r="H636" s="4" t="str">
        <f t="shared" si="19"/>
        <v>NON-ZERO</v>
      </c>
      <c r="I636">
        <v>346.41016151377499</v>
      </c>
      <c r="J636">
        <f>IFERROR(Table4[[#This Row],[energy_kwh]]/Table4[[#This Row],[expected_kwh]],0)</f>
        <v>0.86076975082013263</v>
      </c>
      <c r="K636" t="str">
        <f>IF(Table4[[#This Row],[Performance_Ratio]] &lt; 0.85, "Underperforming", "Performing")</f>
        <v>Performing</v>
      </c>
      <c r="L636">
        <f>Table4[[#This Row],[energy_kwh]] - Table4[[#This Row],[expected_kwh]]</f>
        <v>-48.230773106000981</v>
      </c>
      <c r="M636" t="str">
        <f>IF(Table4[[#This Row],[Performance_Deviation]] &lt; 0, "Underperforming", "Outperforming")</f>
        <v>Underperforming</v>
      </c>
      <c r="N636">
        <f>IF(Table4[[#This Row],[Performance_Ratio]] &lt; 0.85, Table4[[#This Row],[Performance_Deviation]] * 50 / 1000, 0)</f>
        <v>0</v>
      </c>
    </row>
    <row r="637" spans="1:14" x14ac:dyDescent="0.3">
      <c r="A637" s="6" t="s">
        <v>6</v>
      </c>
      <c r="B637" s="5">
        <v>45318.458333333336</v>
      </c>
      <c r="C637" s="6">
        <v>365.93834748171503</v>
      </c>
      <c r="D637" s="6">
        <v>349.46439031907698</v>
      </c>
      <c r="E637" s="6">
        <v>349.46439031907698</v>
      </c>
      <c r="F637" s="6">
        <v>92.207626268990396</v>
      </c>
      <c r="G637" s="6" t="str">
        <f t="shared" si="18"/>
        <v>OK</v>
      </c>
      <c r="H637" s="6" t="str">
        <f t="shared" si="19"/>
        <v>NON-ZERO</v>
      </c>
      <c r="I637">
        <v>386.37033051562702</v>
      </c>
      <c r="J637">
        <f>IFERROR(Table4[[#This Row],[energy_kwh]]/Table4[[#This Row],[expected_kwh]],0)</f>
        <v>0.90448039799718172</v>
      </c>
      <c r="K637" t="str">
        <f>IF(Table4[[#This Row],[Performance_Ratio]] &lt; 0.85, "Underperforming", "Performing")</f>
        <v>Performing</v>
      </c>
      <c r="L637">
        <f>Table4[[#This Row],[energy_kwh]] - Table4[[#This Row],[expected_kwh]]</f>
        <v>-36.905940196550034</v>
      </c>
      <c r="M637" t="str">
        <f>IF(Table4[[#This Row],[Performance_Deviation]] &lt; 0, "Underperforming", "Outperforming")</f>
        <v>Underperforming</v>
      </c>
      <c r="N637">
        <f>IF(Table4[[#This Row],[Performance_Ratio]] &lt; 0.85, Table4[[#This Row],[Performance_Deviation]] * 50 / 1000, 0)</f>
        <v>0</v>
      </c>
    </row>
    <row r="638" spans="1:14" x14ac:dyDescent="0.3">
      <c r="A638" s="4" t="s">
        <v>6</v>
      </c>
      <c r="B638" s="3">
        <v>45318.5</v>
      </c>
      <c r="C638" s="4">
        <v>374.23962745681598</v>
      </c>
      <c r="D638" s="4">
        <v>357.39195999121</v>
      </c>
      <c r="E638" s="4">
        <v>357.39195999121</v>
      </c>
      <c r="F638" s="4">
        <v>30.560221166950701</v>
      </c>
      <c r="G638" s="4" t="str">
        <f t="shared" si="18"/>
        <v>OK</v>
      </c>
      <c r="H638" s="4" t="str">
        <f t="shared" si="19"/>
        <v>NON-ZERO</v>
      </c>
      <c r="I638">
        <v>400</v>
      </c>
      <c r="J638">
        <f>IFERROR(Table4[[#This Row],[energy_kwh]]/Table4[[#This Row],[expected_kwh]],0)</f>
        <v>0.89347989997802502</v>
      </c>
      <c r="K638" t="str">
        <f>IF(Table4[[#This Row],[Performance_Ratio]] &lt; 0.85, "Underperforming", "Performing")</f>
        <v>Performing</v>
      </c>
      <c r="L638">
        <f>Table4[[#This Row],[energy_kwh]] - Table4[[#This Row],[expected_kwh]]</f>
        <v>-42.608040008789999</v>
      </c>
      <c r="M638" t="str">
        <f>IF(Table4[[#This Row],[Performance_Deviation]] &lt; 0, "Underperforming", "Outperforming")</f>
        <v>Underperforming</v>
      </c>
      <c r="N638">
        <f>IF(Table4[[#This Row],[Performance_Ratio]] &lt; 0.85, Table4[[#This Row],[Performance_Deviation]] * 50 / 1000, 0)</f>
        <v>0</v>
      </c>
    </row>
    <row r="639" spans="1:14" x14ac:dyDescent="0.3">
      <c r="A639" s="6" t="s">
        <v>6</v>
      </c>
      <c r="B639" s="5">
        <v>45318.541666666664</v>
      </c>
      <c r="C639" s="6">
        <v>349.47151313180501</v>
      </c>
      <c r="D639" s="6">
        <v>333.738866426382</v>
      </c>
      <c r="E639" s="6">
        <v>333.738866426382</v>
      </c>
      <c r="F639" s="6">
        <v>63.372379956526999</v>
      </c>
      <c r="G639" s="6" t="str">
        <f t="shared" si="18"/>
        <v>OK</v>
      </c>
      <c r="H639" s="6" t="str">
        <f t="shared" si="19"/>
        <v>NON-ZERO</v>
      </c>
      <c r="I639">
        <v>386.37033051562702</v>
      </c>
      <c r="J639">
        <f>IFERROR(Table4[[#This Row],[energy_kwh]]/Table4[[#This Row],[expected_kwh]],0)</f>
        <v>0.8637797472207398</v>
      </c>
      <c r="K639" t="str">
        <f>IF(Table4[[#This Row],[Performance_Ratio]] &lt; 0.85, "Underperforming", "Performing")</f>
        <v>Performing</v>
      </c>
      <c r="L639">
        <f>Table4[[#This Row],[energy_kwh]] - Table4[[#This Row],[expected_kwh]]</f>
        <v>-52.631464089245014</v>
      </c>
      <c r="M639" t="str">
        <f>IF(Table4[[#This Row],[Performance_Deviation]] &lt; 0, "Underperforming", "Outperforming")</f>
        <v>Underperforming</v>
      </c>
      <c r="N639">
        <f>IF(Table4[[#This Row],[Performance_Ratio]] &lt; 0.85, Table4[[#This Row],[Performance_Deviation]] * 50 / 1000, 0)</f>
        <v>0</v>
      </c>
    </row>
    <row r="640" spans="1:14" x14ac:dyDescent="0.3">
      <c r="A640" s="4" t="s">
        <v>6</v>
      </c>
      <c r="B640" s="3">
        <v>45318.583333333336</v>
      </c>
      <c r="C640" s="4">
        <v>336.98763712792697</v>
      </c>
      <c r="D640" s="4">
        <v>321.81699448665103</v>
      </c>
      <c r="E640" s="4">
        <v>321.81699448665103</v>
      </c>
      <c r="F640" s="4">
        <v>70.559772165204706</v>
      </c>
      <c r="G640" s="4" t="str">
        <f t="shared" si="18"/>
        <v>OK</v>
      </c>
      <c r="H640" s="4" t="str">
        <f t="shared" si="19"/>
        <v>NON-ZERO</v>
      </c>
      <c r="I640">
        <v>346.41016151377499</v>
      </c>
      <c r="J640">
        <f>IFERROR(Table4[[#This Row],[energy_kwh]]/Table4[[#This Row],[expected_kwh]],0)</f>
        <v>0.92900564198332269</v>
      </c>
      <c r="K640" t="str">
        <f>IF(Table4[[#This Row],[Performance_Ratio]] &lt; 0.85, "Underperforming", "Performing")</f>
        <v>Performing</v>
      </c>
      <c r="L640">
        <f>Table4[[#This Row],[energy_kwh]] - Table4[[#This Row],[expected_kwh]]</f>
        <v>-24.593167027123968</v>
      </c>
      <c r="M640" t="str">
        <f>IF(Table4[[#This Row],[Performance_Deviation]] &lt; 0, "Underperforming", "Outperforming")</f>
        <v>Underperforming</v>
      </c>
      <c r="N640">
        <f>IF(Table4[[#This Row],[Performance_Ratio]] &lt; 0.85, Table4[[#This Row],[Performance_Deviation]] * 50 / 1000, 0)</f>
        <v>0</v>
      </c>
    </row>
    <row r="641" spans="1:14" x14ac:dyDescent="0.3">
      <c r="A641" s="6" t="s">
        <v>6</v>
      </c>
      <c r="B641" s="5">
        <v>45318.625</v>
      </c>
      <c r="C641" s="6">
        <v>261.38315670656698</v>
      </c>
      <c r="D641" s="6">
        <v>249.616106447276</v>
      </c>
      <c r="E641" s="6">
        <v>249.616106447276</v>
      </c>
      <c r="F641" s="6">
        <v>88.8114382348992</v>
      </c>
      <c r="G641" s="6" t="str">
        <f t="shared" si="18"/>
        <v>OK</v>
      </c>
      <c r="H641" s="6" t="str">
        <f t="shared" si="19"/>
        <v>NON-ZERO</v>
      </c>
      <c r="I641">
        <v>282.84271247461902</v>
      </c>
      <c r="J641">
        <f>IFERROR(Table4[[#This Row],[energy_kwh]]/Table4[[#This Row],[expected_kwh]],0)</f>
        <v>0.88252620781125968</v>
      </c>
      <c r="K641" t="str">
        <f>IF(Table4[[#This Row],[Performance_Ratio]] &lt; 0.85, "Underperforming", "Performing")</f>
        <v>Performing</v>
      </c>
      <c r="L641">
        <f>Table4[[#This Row],[energy_kwh]] - Table4[[#This Row],[expected_kwh]]</f>
        <v>-33.226606027343024</v>
      </c>
      <c r="M641" t="str">
        <f>IF(Table4[[#This Row],[Performance_Deviation]] &lt; 0, "Underperforming", "Outperforming")</f>
        <v>Underperforming</v>
      </c>
      <c r="N641">
        <f>IF(Table4[[#This Row],[Performance_Ratio]] &lt; 0.85, Table4[[#This Row],[Performance_Deviation]] * 50 / 1000, 0)</f>
        <v>0</v>
      </c>
    </row>
    <row r="642" spans="1:14" x14ac:dyDescent="0.3">
      <c r="A642" s="4" t="s">
        <v>6</v>
      </c>
      <c r="B642" s="3">
        <v>45318.666666666664</v>
      </c>
      <c r="C642" s="4">
        <v>186.31829674707001</v>
      </c>
      <c r="D642" s="4">
        <v>177.930546022529</v>
      </c>
      <c r="E642" s="4">
        <v>177.930546022529</v>
      </c>
      <c r="F642" s="4">
        <v>24.665241962352699</v>
      </c>
      <c r="G642" s="4" t="str">
        <f t="shared" ref="G642:G705" si="20">IF(D642 &gt; C642, "ERROR", "OK")</f>
        <v>OK</v>
      </c>
      <c r="H642" s="4" t="str">
        <f t="shared" ref="H642:H705" si="21">IF(E642=0,"ZERO","NON-ZERO")</f>
        <v>NON-ZERO</v>
      </c>
      <c r="I642">
        <v>199.99999999999901</v>
      </c>
      <c r="J642">
        <f>IFERROR(Table4[[#This Row],[energy_kwh]]/Table4[[#This Row],[expected_kwh]],0)</f>
        <v>0.88965273011264945</v>
      </c>
      <c r="K642" t="str">
        <f>IF(Table4[[#This Row],[Performance_Ratio]] &lt; 0.85, "Underperforming", "Performing")</f>
        <v>Performing</v>
      </c>
      <c r="L642">
        <f>Table4[[#This Row],[energy_kwh]] - Table4[[#This Row],[expected_kwh]]</f>
        <v>-22.069453977470005</v>
      </c>
      <c r="M642" t="str">
        <f>IF(Table4[[#This Row],[Performance_Deviation]] &lt; 0, "Underperforming", "Outperforming")</f>
        <v>Underperforming</v>
      </c>
      <c r="N642">
        <f>IF(Table4[[#This Row],[Performance_Ratio]] &lt; 0.85, Table4[[#This Row],[Performance_Deviation]] * 50 / 1000, 0)</f>
        <v>0</v>
      </c>
    </row>
    <row r="643" spans="1:14" x14ac:dyDescent="0.3">
      <c r="A643" s="6" t="s">
        <v>6</v>
      </c>
      <c r="B643" s="5">
        <v>45318.708333333336</v>
      </c>
      <c r="C643" s="6">
        <v>85.047960046083503</v>
      </c>
      <c r="D643" s="6">
        <v>81.219237365853999</v>
      </c>
      <c r="E643" s="6">
        <v>81.219237365853999</v>
      </c>
      <c r="F643" s="6">
        <v>67.319134267187195</v>
      </c>
      <c r="G643" s="6" t="str">
        <f t="shared" si="20"/>
        <v>OK</v>
      </c>
      <c r="H643" s="6" t="str">
        <f t="shared" si="21"/>
        <v>NON-ZERO</v>
      </c>
      <c r="I643">
        <v>103.527618041008</v>
      </c>
      <c r="J643">
        <f>IFERROR(Table4[[#This Row],[energy_kwh]]/Table4[[#This Row],[expected_kwh]],0)</f>
        <v>0.78451758963180729</v>
      </c>
      <c r="K643" t="str">
        <f>IF(Table4[[#This Row],[Performance_Ratio]] &lt; 0.85, "Underperforming", "Performing")</f>
        <v>Underperforming</v>
      </c>
      <c r="L643">
        <f>Table4[[#This Row],[energy_kwh]] - Table4[[#This Row],[expected_kwh]]</f>
        <v>-22.308380675153998</v>
      </c>
      <c r="M643" t="str">
        <f>IF(Table4[[#This Row],[Performance_Deviation]] &lt; 0, "Underperforming", "Outperforming")</f>
        <v>Underperforming</v>
      </c>
      <c r="N643">
        <f>IF(Table4[[#This Row],[Performance_Ratio]] &lt; 0.85, Table4[[#This Row],[Performance_Deviation]] * 50 / 1000, 0)</f>
        <v>-1.1154190337576999</v>
      </c>
    </row>
    <row r="644" spans="1:14" x14ac:dyDescent="0.3">
      <c r="A644" s="4" t="s">
        <v>6</v>
      </c>
      <c r="B644" s="3">
        <v>45318.75</v>
      </c>
      <c r="C644" s="7">
        <v>4.2802110628484199E-14</v>
      </c>
      <c r="D644" s="7">
        <v>4.0875228294843503E-14</v>
      </c>
      <c r="E644" s="7">
        <v>4.0875228294843503E-14</v>
      </c>
      <c r="F644" s="4">
        <v>38.1419970584666</v>
      </c>
      <c r="G644" s="4" t="str">
        <f t="shared" si="20"/>
        <v>OK</v>
      </c>
      <c r="H644" s="4" t="str">
        <f t="shared" si="21"/>
        <v>NON-ZERO</v>
      </c>
      <c r="I644" s="2">
        <v>4.8985871965894097E-14</v>
      </c>
      <c r="J644">
        <f>IFERROR(Table4[[#This Row],[energy_kwh]]/Table4[[#This Row],[expected_kwh]],0)</f>
        <v>0.83442892112449185</v>
      </c>
      <c r="K644" t="str">
        <f>IF(Table4[[#This Row],[Performance_Ratio]] &lt; 0.85, "Underperforming", "Performing")</f>
        <v>Underperforming</v>
      </c>
      <c r="L644">
        <f>Table4[[#This Row],[energy_kwh]] - Table4[[#This Row],[expected_kwh]]</f>
        <v>-8.1106436710505944E-15</v>
      </c>
      <c r="M644" t="str">
        <f>IF(Table4[[#This Row],[Performance_Deviation]] &lt; 0, "Underperforming", "Outperforming")</f>
        <v>Underperforming</v>
      </c>
      <c r="N644">
        <f>IF(Table4[[#This Row],[Performance_Ratio]] &lt; 0.85, Table4[[#This Row],[Performance_Deviation]] * 50 / 1000, 0)</f>
        <v>-4.0553218355252973E-16</v>
      </c>
    </row>
    <row r="645" spans="1:14" x14ac:dyDescent="0.3">
      <c r="A645" s="6" t="s">
        <v>6</v>
      </c>
      <c r="B645" s="5">
        <v>45318.791666666664</v>
      </c>
      <c r="C645" s="6">
        <v>0</v>
      </c>
      <c r="D645" s="6">
        <v>0</v>
      </c>
      <c r="E645" s="6">
        <v>0</v>
      </c>
      <c r="F645" s="6">
        <v>25.717941348017298</v>
      </c>
      <c r="G645" s="6" t="str">
        <f t="shared" si="20"/>
        <v>OK</v>
      </c>
      <c r="H645" s="6" t="str">
        <f t="shared" si="21"/>
        <v>ZERO</v>
      </c>
      <c r="I645">
        <v>0</v>
      </c>
      <c r="J645">
        <f>IFERROR(Table4[[#This Row],[energy_kwh]]/Table4[[#This Row],[expected_kwh]],0)</f>
        <v>0</v>
      </c>
      <c r="K645" t="str">
        <f>IF(Table4[[#This Row],[Performance_Ratio]] &lt; 0.85, "Underperforming", "Performing")</f>
        <v>Underperforming</v>
      </c>
      <c r="L645">
        <f>Table4[[#This Row],[energy_kwh]] - Table4[[#This Row],[expected_kwh]]</f>
        <v>0</v>
      </c>
      <c r="M645" t="str">
        <f>IF(Table4[[#This Row],[Performance_Deviation]] &lt; 0, "Underperforming", "Outperforming")</f>
        <v>Outperforming</v>
      </c>
      <c r="N645">
        <f>IF(Table4[[#This Row],[Performance_Ratio]] &lt; 0.85, Table4[[#This Row],[Performance_Deviation]] * 50 / 1000, 0)</f>
        <v>0</v>
      </c>
    </row>
    <row r="646" spans="1:14" x14ac:dyDescent="0.3">
      <c r="A646" s="4" t="s">
        <v>6</v>
      </c>
      <c r="B646" s="3">
        <v>45318.833333333336</v>
      </c>
      <c r="C646" s="4">
        <v>0</v>
      </c>
      <c r="D646" s="4">
        <v>0</v>
      </c>
      <c r="E646" s="4">
        <v>0</v>
      </c>
      <c r="F646" s="4">
        <v>52.461200165710103</v>
      </c>
      <c r="G646" s="4" t="str">
        <f t="shared" si="20"/>
        <v>OK</v>
      </c>
      <c r="H646" s="4" t="str">
        <f t="shared" si="21"/>
        <v>ZERO</v>
      </c>
      <c r="I646">
        <v>0</v>
      </c>
      <c r="J646">
        <f>IFERROR(Table4[[#This Row],[energy_kwh]]/Table4[[#This Row],[expected_kwh]],0)</f>
        <v>0</v>
      </c>
      <c r="K646" t="str">
        <f>IF(Table4[[#This Row],[Performance_Ratio]] &lt; 0.85, "Underperforming", "Performing")</f>
        <v>Underperforming</v>
      </c>
      <c r="L646">
        <f>Table4[[#This Row],[energy_kwh]] - Table4[[#This Row],[expected_kwh]]</f>
        <v>0</v>
      </c>
      <c r="M646" t="str">
        <f>IF(Table4[[#This Row],[Performance_Deviation]] &lt; 0, "Underperforming", "Outperforming")</f>
        <v>Outperforming</v>
      </c>
      <c r="N646">
        <f>IF(Table4[[#This Row],[Performance_Ratio]] &lt; 0.85, Table4[[#This Row],[Performance_Deviation]] * 50 / 1000, 0)</f>
        <v>0</v>
      </c>
    </row>
    <row r="647" spans="1:14" x14ac:dyDescent="0.3">
      <c r="A647" s="6" t="s">
        <v>6</v>
      </c>
      <c r="B647" s="5">
        <v>45318.875</v>
      </c>
      <c r="C647" s="6">
        <v>0</v>
      </c>
      <c r="D647" s="6">
        <v>0</v>
      </c>
      <c r="E647" s="6">
        <v>0</v>
      </c>
      <c r="F647" s="6">
        <v>53.415622905641797</v>
      </c>
      <c r="G647" s="6" t="str">
        <f t="shared" si="20"/>
        <v>OK</v>
      </c>
      <c r="H647" s="6" t="str">
        <f t="shared" si="21"/>
        <v>ZERO</v>
      </c>
      <c r="I647">
        <v>0</v>
      </c>
      <c r="J647">
        <f>IFERROR(Table4[[#This Row],[energy_kwh]]/Table4[[#This Row],[expected_kwh]],0)</f>
        <v>0</v>
      </c>
      <c r="K647" t="str">
        <f>IF(Table4[[#This Row],[Performance_Ratio]] &lt; 0.85, "Underperforming", "Performing")</f>
        <v>Underperforming</v>
      </c>
      <c r="L647">
        <f>Table4[[#This Row],[energy_kwh]] - Table4[[#This Row],[expected_kwh]]</f>
        <v>0</v>
      </c>
      <c r="M647" t="str">
        <f>IF(Table4[[#This Row],[Performance_Deviation]] &lt; 0, "Underperforming", "Outperforming")</f>
        <v>Outperforming</v>
      </c>
      <c r="N647">
        <f>IF(Table4[[#This Row],[Performance_Ratio]] &lt; 0.85, Table4[[#This Row],[Performance_Deviation]] * 50 / 1000, 0)</f>
        <v>0</v>
      </c>
    </row>
    <row r="648" spans="1:14" x14ac:dyDescent="0.3">
      <c r="A648" s="4" t="s">
        <v>6</v>
      </c>
      <c r="B648" s="3">
        <v>45318.916666666664</v>
      </c>
      <c r="C648" s="4">
        <v>0</v>
      </c>
      <c r="D648" s="4">
        <v>0</v>
      </c>
      <c r="E648" s="4">
        <v>0</v>
      </c>
      <c r="F648" s="4">
        <v>34.769427834007097</v>
      </c>
      <c r="G648" s="4" t="str">
        <f t="shared" si="20"/>
        <v>OK</v>
      </c>
      <c r="H648" s="4" t="str">
        <f t="shared" si="21"/>
        <v>ZERO</v>
      </c>
      <c r="I648">
        <v>0</v>
      </c>
      <c r="J648">
        <f>IFERROR(Table4[[#This Row],[energy_kwh]]/Table4[[#This Row],[expected_kwh]],0)</f>
        <v>0</v>
      </c>
      <c r="K648" t="str">
        <f>IF(Table4[[#This Row],[Performance_Ratio]] &lt; 0.85, "Underperforming", "Performing")</f>
        <v>Underperforming</v>
      </c>
      <c r="L648">
        <f>Table4[[#This Row],[energy_kwh]] - Table4[[#This Row],[expected_kwh]]</f>
        <v>0</v>
      </c>
      <c r="M648" t="str">
        <f>IF(Table4[[#This Row],[Performance_Deviation]] &lt; 0, "Underperforming", "Outperforming")</f>
        <v>Outperforming</v>
      </c>
      <c r="N648">
        <f>IF(Table4[[#This Row],[Performance_Ratio]] &lt; 0.85, Table4[[#This Row],[Performance_Deviation]] * 50 / 1000, 0)</f>
        <v>0</v>
      </c>
    </row>
    <row r="649" spans="1:14" x14ac:dyDescent="0.3">
      <c r="A649" s="6" t="s">
        <v>6</v>
      </c>
      <c r="B649" s="5">
        <v>45318.958333333336</v>
      </c>
      <c r="C649" s="6">
        <v>0</v>
      </c>
      <c r="D649" s="6">
        <v>0</v>
      </c>
      <c r="E649" s="6">
        <v>0</v>
      </c>
      <c r="F649" s="6">
        <v>73.379210430953606</v>
      </c>
      <c r="G649" s="6" t="str">
        <f t="shared" si="20"/>
        <v>OK</v>
      </c>
      <c r="H649" s="6" t="str">
        <f t="shared" si="21"/>
        <v>ZERO</v>
      </c>
      <c r="I649">
        <v>0</v>
      </c>
      <c r="J649">
        <f>IFERROR(Table4[[#This Row],[energy_kwh]]/Table4[[#This Row],[expected_kwh]],0)</f>
        <v>0</v>
      </c>
      <c r="K649" t="str">
        <f>IF(Table4[[#This Row],[Performance_Ratio]] &lt; 0.85, "Underperforming", "Performing")</f>
        <v>Underperforming</v>
      </c>
      <c r="L649">
        <f>Table4[[#This Row],[energy_kwh]] - Table4[[#This Row],[expected_kwh]]</f>
        <v>0</v>
      </c>
      <c r="M649" t="str">
        <f>IF(Table4[[#This Row],[Performance_Deviation]] &lt; 0, "Underperforming", "Outperforming")</f>
        <v>Outperforming</v>
      </c>
      <c r="N649">
        <f>IF(Table4[[#This Row],[Performance_Ratio]] &lt; 0.85, Table4[[#This Row],[Performance_Deviation]] * 50 / 1000, 0)</f>
        <v>0</v>
      </c>
    </row>
    <row r="650" spans="1:14" x14ac:dyDescent="0.3">
      <c r="A650" s="4" t="s">
        <v>6</v>
      </c>
      <c r="B650" s="3">
        <v>45319</v>
      </c>
      <c r="C650" s="4">
        <v>0</v>
      </c>
      <c r="D650" s="4">
        <v>0</v>
      </c>
      <c r="E650" s="4">
        <v>0</v>
      </c>
      <c r="F650" s="4">
        <v>64.517070153408895</v>
      </c>
      <c r="G650" s="4" t="str">
        <f t="shared" si="20"/>
        <v>OK</v>
      </c>
      <c r="H650" s="4" t="str">
        <f t="shared" si="21"/>
        <v>ZERO</v>
      </c>
      <c r="I650">
        <v>0</v>
      </c>
      <c r="J650">
        <f>IFERROR(Table4[[#This Row],[energy_kwh]]/Table4[[#This Row],[expected_kwh]],0)</f>
        <v>0</v>
      </c>
      <c r="K650" t="str">
        <f>IF(Table4[[#This Row],[Performance_Ratio]] &lt; 0.85, "Underperforming", "Performing")</f>
        <v>Underperforming</v>
      </c>
      <c r="L650">
        <f>Table4[[#This Row],[energy_kwh]] - Table4[[#This Row],[expected_kwh]]</f>
        <v>0</v>
      </c>
      <c r="M650" t="str">
        <f>IF(Table4[[#This Row],[Performance_Deviation]] &lt; 0, "Underperforming", "Outperforming")</f>
        <v>Outperforming</v>
      </c>
      <c r="N650">
        <f>IF(Table4[[#This Row],[Performance_Ratio]] &lt; 0.85, Table4[[#This Row],[Performance_Deviation]] * 50 / 1000, 0)</f>
        <v>0</v>
      </c>
    </row>
    <row r="651" spans="1:14" x14ac:dyDescent="0.3">
      <c r="A651" s="6" t="s">
        <v>6</v>
      </c>
      <c r="B651" s="5">
        <v>45319.041666666664</v>
      </c>
      <c r="C651" s="6">
        <v>0</v>
      </c>
      <c r="D651" s="6">
        <v>0</v>
      </c>
      <c r="E651" s="6">
        <v>0</v>
      </c>
      <c r="F651" s="6">
        <v>93.588337757171999</v>
      </c>
      <c r="G651" s="6" t="str">
        <f t="shared" si="20"/>
        <v>OK</v>
      </c>
      <c r="H651" s="6" t="str">
        <f t="shared" si="21"/>
        <v>ZERO</v>
      </c>
      <c r="I651">
        <v>0</v>
      </c>
      <c r="J651">
        <f>IFERROR(Table4[[#This Row],[energy_kwh]]/Table4[[#This Row],[expected_kwh]],0)</f>
        <v>0</v>
      </c>
      <c r="K651" t="str">
        <f>IF(Table4[[#This Row],[Performance_Ratio]] &lt; 0.85, "Underperforming", "Performing")</f>
        <v>Underperforming</v>
      </c>
      <c r="L651">
        <f>Table4[[#This Row],[energy_kwh]] - Table4[[#This Row],[expected_kwh]]</f>
        <v>0</v>
      </c>
      <c r="M651" t="str">
        <f>IF(Table4[[#This Row],[Performance_Deviation]] &lt; 0, "Underperforming", "Outperforming")</f>
        <v>Outperforming</v>
      </c>
      <c r="N651">
        <f>IF(Table4[[#This Row],[Performance_Ratio]] &lt; 0.85, Table4[[#This Row],[Performance_Deviation]] * 50 / 1000, 0)</f>
        <v>0</v>
      </c>
    </row>
    <row r="652" spans="1:14" x14ac:dyDescent="0.3">
      <c r="A652" s="4" t="s">
        <v>6</v>
      </c>
      <c r="B652" s="3">
        <v>45319.083333333336</v>
      </c>
      <c r="C652" s="4">
        <v>0</v>
      </c>
      <c r="D652" s="4">
        <v>0</v>
      </c>
      <c r="E652" s="4">
        <v>0</v>
      </c>
      <c r="F652" s="4">
        <v>92.010170330408499</v>
      </c>
      <c r="G652" s="4" t="str">
        <f t="shared" si="20"/>
        <v>OK</v>
      </c>
      <c r="H652" s="4" t="str">
        <f t="shared" si="21"/>
        <v>ZERO</v>
      </c>
      <c r="I652">
        <v>0</v>
      </c>
      <c r="J652">
        <f>IFERROR(Table4[[#This Row],[energy_kwh]]/Table4[[#This Row],[expected_kwh]],0)</f>
        <v>0</v>
      </c>
      <c r="K652" t="str">
        <f>IF(Table4[[#This Row],[Performance_Ratio]] &lt; 0.85, "Underperforming", "Performing")</f>
        <v>Underperforming</v>
      </c>
      <c r="L652">
        <f>Table4[[#This Row],[energy_kwh]] - Table4[[#This Row],[expected_kwh]]</f>
        <v>0</v>
      </c>
      <c r="M652" t="str">
        <f>IF(Table4[[#This Row],[Performance_Deviation]] &lt; 0, "Underperforming", "Outperforming")</f>
        <v>Outperforming</v>
      </c>
      <c r="N652">
        <f>IF(Table4[[#This Row],[Performance_Ratio]] &lt; 0.85, Table4[[#This Row],[Performance_Deviation]] * 50 / 1000, 0)</f>
        <v>0</v>
      </c>
    </row>
    <row r="653" spans="1:14" x14ac:dyDescent="0.3">
      <c r="A653" s="6" t="s">
        <v>6</v>
      </c>
      <c r="B653" s="5">
        <v>45319.125</v>
      </c>
      <c r="C653" s="6">
        <v>0</v>
      </c>
      <c r="D653" s="6">
        <v>0</v>
      </c>
      <c r="E653" s="6">
        <v>0</v>
      </c>
      <c r="F653" s="6">
        <v>76.798265535082905</v>
      </c>
      <c r="G653" s="6" t="str">
        <f t="shared" si="20"/>
        <v>OK</v>
      </c>
      <c r="H653" s="6" t="str">
        <f t="shared" si="21"/>
        <v>ZERO</v>
      </c>
      <c r="I653">
        <v>0</v>
      </c>
      <c r="J653">
        <f>IFERROR(Table4[[#This Row],[energy_kwh]]/Table4[[#This Row],[expected_kwh]],0)</f>
        <v>0</v>
      </c>
      <c r="K653" t="str">
        <f>IF(Table4[[#This Row],[Performance_Ratio]] &lt; 0.85, "Underperforming", "Performing")</f>
        <v>Underperforming</v>
      </c>
      <c r="L653">
        <f>Table4[[#This Row],[energy_kwh]] - Table4[[#This Row],[expected_kwh]]</f>
        <v>0</v>
      </c>
      <c r="M653" t="str">
        <f>IF(Table4[[#This Row],[Performance_Deviation]] &lt; 0, "Underperforming", "Outperforming")</f>
        <v>Outperforming</v>
      </c>
      <c r="N653">
        <f>IF(Table4[[#This Row],[Performance_Ratio]] &lt; 0.85, Table4[[#This Row],[Performance_Deviation]] * 50 / 1000, 0)</f>
        <v>0</v>
      </c>
    </row>
    <row r="654" spans="1:14" x14ac:dyDescent="0.3">
      <c r="A654" s="4" t="s">
        <v>6</v>
      </c>
      <c r="B654" s="3">
        <v>45319.166666666664</v>
      </c>
      <c r="C654" s="4">
        <v>0</v>
      </c>
      <c r="D654" s="4">
        <v>0</v>
      </c>
      <c r="E654" s="4">
        <v>0</v>
      </c>
      <c r="F654" s="4">
        <v>68.046138766166493</v>
      </c>
      <c r="G654" s="4" t="str">
        <f t="shared" si="20"/>
        <v>OK</v>
      </c>
      <c r="H654" s="4" t="str">
        <f t="shared" si="21"/>
        <v>ZERO</v>
      </c>
      <c r="I654">
        <v>0</v>
      </c>
      <c r="J654">
        <f>IFERROR(Table4[[#This Row],[energy_kwh]]/Table4[[#This Row],[expected_kwh]],0)</f>
        <v>0</v>
      </c>
      <c r="K654" t="str">
        <f>IF(Table4[[#This Row],[Performance_Ratio]] &lt; 0.85, "Underperforming", "Performing")</f>
        <v>Underperforming</v>
      </c>
      <c r="L654">
        <f>Table4[[#This Row],[energy_kwh]] - Table4[[#This Row],[expected_kwh]]</f>
        <v>0</v>
      </c>
      <c r="M654" t="str">
        <f>IF(Table4[[#This Row],[Performance_Deviation]] &lt; 0, "Underperforming", "Outperforming")</f>
        <v>Outperforming</v>
      </c>
      <c r="N654">
        <f>IF(Table4[[#This Row],[Performance_Ratio]] &lt; 0.85, Table4[[#This Row],[Performance_Deviation]] * 50 / 1000, 0)</f>
        <v>0</v>
      </c>
    </row>
    <row r="655" spans="1:14" x14ac:dyDescent="0.3">
      <c r="A655" s="6" t="s">
        <v>6</v>
      </c>
      <c r="B655" s="5">
        <v>45319.208333333336</v>
      </c>
      <c r="C655" s="6">
        <v>0</v>
      </c>
      <c r="D655" s="6">
        <v>0</v>
      </c>
      <c r="E655" s="6">
        <v>0</v>
      </c>
      <c r="F655" s="6">
        <v>62.381398433956697</v>
      </c>
      <c r="G655" s="6" t="str">
        <f t="shared" si="20"/>
        <v>OK</v>
      </c>
      <c r="H655" s="6" t="str">
        <f t="shared" si="21"/>
        <v>ZERO</v>
      </c>
      <c r="I655">
        <v>0</v>
      </c>
      <c r="J655">
        <f>IFERROR(Table4[[#This Row],[energy_kwh]]/Table4[[#This Row],[expected_kwh]],0)</f>
        <v>0</v>
      </c>
      <c r="K655" t="str">
        <f>IF(Table4[[#This Row],[Performance_Ratio]] &lt; 0.85, "Underperforming", "Performing")</f>
        <v>Underperforming</v>
      </c>
      <c r="L655">
        <f>Table4[[#This Row],[energy_kwh]] - Table4[[#This Row],[expected_kwh]]</f>
        <v>0</v>
      </c>
      <c r="M655" t="str">
        <f>IF(Table4[[#This Row],[Performance_Deviation]] &lt; 0, "Underperforming", "Outperforming")</f>
        <v>Outperforming</v>
      </c>
      <c r="N655">
        <f>IF(Table4[[#This Row],[Performance_Ratio]] &lt; 0.85, Table4[[#This Row],[Performance_Deviation]] * 50 / 1000, 0)</f>
        <v>0</v>
      </c>
    </row>
    <row r="656" spans="1:14" x14ac:dyDescent="0.3">
      <c r="A656" s="4" t="s">
        <v>6</v>
      </c>
      <c r="B656" s="3">
        <v>45319.25</v>
      </c>
      <c r="C656" s="4">
        <v>0</v>
      </c>
      <c r="D656" s="4">
        <v>0</v>
      </c>
      <c r="E656" s="4">
        <v>0</v>
      </c>
      <c r="F656" s="4">
        <v>46.777200797750901</v>
      </c>
      <c r="G656" s="4" t="str">
        <f t="shared" si="20"/>
        <v>OK</v>
      </c>
      <c r="H656" s="4" t="str">
        <f t="shared" si="21"/>
        <v>ZERO</v>
      </c>
      <c r="I656">
        <v>0</v>
      </c>
      <c r="J656">
        <f>IFERROR(Table4[[#This Row],[energy_kwh]]/Table4[[#This Row],[expected_kwh]],0)</f>
        <v>0</v>
      </c>
      <c r="K656" t="str">
        <f>IF(Table4[[#This Row],[Performance_Ratio]] &lt; 0.85, "Underperforming", "Performing")</f>
        <v>Underperforming</v>
      </c>
      <c r="L656">
        <f>Table4[[#This Row],[energy_kwh]] - Table4[[#This Row],[expected_kwh]]</f>
        <v>0</v>
      </c>
      <c r="M656" t="str">
        <f>IF(Table4[[#This Row],[Performance_Deviation]] &lt; 0, "Underperforming", "Outperforming")</f>
        <v>Outperforming</v>
      </c>
      <c r="N656">
        <f>IF(Table4[[#This Row],[Performance_Ratio]] &lt; 0.85, Table4[[#This Row],[Performance_Deviation]] * 50 / 1000, 0)</f>
        <v>0</v>
      </c>
    </row>
    <row r="657" spans="1:14" x14ac:dyDescent="0.3">
      <c r="A657" s="6" t="s">
        <v>6</v>
      </c>
      <c r="B657" s="5">
        <v>45319.291666666664</v>
      </c>
      <c r="C657" s="6">
        <v>109.672795819779</v>
      </c>
      <c r="D657" s="6">
        <v>104.735502549819</v>
      </c>
      <c r="E657" s="6">
        <v>104.735502549819</v>
      </c>
      <c r="F657" s="6">
        <v>67.577276665376502</v>
      </c>
      <c r="G657" s="6" t="str">
        <f t="shared" si="20"/>
        <v>OK</v>
      </c>
      <c r="H657" s="6" t="str">
        <f t="shared" si="21"/>
        <v>NON-ZERO</v>
      </c>
      <c r="I657">
        <v>103.527618041008</v>
      </c>
      <c r="J657">
        <f>IFERROR(Table4[[#This Row],[energy_kwh]]/Table4[[#This Row],[expected_kwh]],0)</f>
        <v>1.0116672684223504</v>
      </c>
      <c r="K657" t="str">
        <f>IF(Table4[[#This Row],[Performance_Ratio]] &lt; 0.85, "Underperforming", "Performing")</f>
        <v>Performing</v>
      </c>
      <c r="L657">
        <f>Table4[[#This Row],[energy_kwh]] - Table4[[#This Row],[expected_kwh]]</f>
        <v>1.2078845088110057</v>
      </c>
      <c r="M657" t="str">
        <f>IF(Table4[[#This Row],[Performance_Deviation]] &lt; 0, "Underperforming", "Outperforming")</f>
        <v>Outperforming</v>
      </c>
      <c r="N657">
        <f>IF(Table4[[#This Row],[Performance_Ratio]] &lt; 0.85, Table4[[#This Row],[Performance_Deviation]] * 50 / 1000, 0)</f>
        <v>0</v>
      </c>
    </row>
    <row r="658" spans="1:14" x14ac:dyDescent="0.3">
      <c r="A658" s="4" t="s">
        <v>6</v>
      </c>
      <c r="B658" s="3">
        <v>45319.333333333336</v>
      </c>
      <c r="C658" s="4">
        <v>180.260600710125</v>
      </c>
      <c r="D658" s="4">
        <v>172.14555774005601</v>
      </c>
      <c r="E658" s="4">
        <v>172.14555774005601</v>
      </c>
      <c r="F658" s="4">
        <v>27.154945798490701</v>
      </c>
      <c r="G658" s="4" t="str">
        <f t="shared" si="20"/>
        <v>OK</v>
      </c>
      <c r="H658" s="4" t="str">
        <f t="shared" si="21"/>
        <v>NON-ZERO</v>
      </c>
      <c r="I658">
        <v>199.99999999999901</v>
      </c>
      <c r="J658">
        <f>IFERROR(Table4[[#This Row],[energy_kwh]]/Table4[[#This Row],[expected_kwh]],0)</f>
        <v>0.86072778870028432</v>
      </c>
      <c r="K658" t="str">
        <f>IF(Table4[[#This Row],[Performance_Ratio]] &lt; 0.85, "Underperforming", "Performing")</f>
        <v>Performing</v>
      </c>
      <c r="L658">
        <f>Table4[[#This Row],[energy_kwh]] - Table4[[#This Row],[expected_kwh]]</f>
        <v>-27.854442259942999</v>
      </c>
      <c r="M658" t="str">
        <f>IF(Table4[[#This Row],[Performance_Deviation]] &lt; 0, "Underperforming", "Outperforming")</f>
        <v>Underperforming</v>
      </c>
      <c r="N658">
        <f>IF(Table4[[#This Row],[Performance_Ratio]] &lt; 0.85, Table4[[#This Row],[Performance_Deviation]] * 50 / 1000, 0)</f>
        <v>0</v>
      </c>
    </row>
    <row r="659" spans="1:14" x14ac:dyDescent="0.3">
      <c r="A659" s="6" t="s">
        <v>6</v>
      </c>
      <c r="B659" s="5">
        <v>45319.375</v>
      </c>
      <c r="C659" s="6">
        <v>247.23468247940099</v>
      </c>
      <c r="D659" s="6">
        <v>236.104573824998</v>
      </c>
      <c r="E659" s="6">
        <v>236.104573824998</v>
      </c>
      <c r="F659" s="6">
        <v>56.0667609952256</v>
      </c>
      <c r="G659" s="6" t="str">
        <f t="shared" si="20"/>
        <v>OK</v>
      </c>
      <c r="H659" s="6" t="str">
        <f t="shared" si="21"/>
        <v>NON-ZERO</v>
      </c>
      <c r="I659">
        <v>282.84271247461902</v>
      </c>
      <c r="J659">
        <f>IFERROR(Table4[[#This Row],[energy_kwh]]/Table4[[#This Row],[expected_kwh]],0)</f>
        <v>0.83475572610407955</v>
      </c>
      <c r="K659" t="str">
        <f>IF(Table4[[#This Row],[Performance_Ratio]] &lt; 0.85, "Underperforming", "Performing")</f>
        <v>Underperforming</v>
      </c>
      <c r="L659">
        <f>Table4[[#This Row],[energy_kwh]] - Table4[[#This Row],[expected_kwh]]</f>
        <v>-46.738138649621021</v>
      </c>
      <c r="M659" t="str">
        <f>IF(Table4[[#This Row],[Performance_Deviation]] &lt; 0, "Underperforming", "Outperforming")</f>
        <v>Underperforming</v>
      </c>
      <c r="N659">
        <f>IF(Table4[[#This Row],[Performance_Ratio]] &lt; 0.85, Table4[[#This Row],[Performance_Deviation]] * 50 / 1000, 0)</f>
        <v>-2.336906932481051</v>
      </c>
    </row>
    <row r="660" spans="1:14" x14ac:dyDescent="0.3">
      <c r="A660" s="4" t="s">
        <v>6</v>
      </c>
      <c r="B660" s="3">
        <v>45319.416666666664</v>
      </c>
      <c r="C660" s="4">
        <v>309.78353986970097</v>
      </c>
      <c r="D660" s="4">
        <v>295.83758203110898</v>
      </c>
      <c r="E660" s="4">
        <v>295.83758203110898</v>
      </c>
      <c r="F660" s="4">
        <v>88.964826849203703</v>
      </c>
      <c r="G660" s="4" t="str">
        <f t="shared" si="20"/>
        <v>OK</v>
      </c>
      <c r="H660" s="4" t="str">
        <f t="shared" si="21"/>
        <v>NON-ZERO</v>
      </c>
      <c r="I660">
        <v>346.41016151377499</v>
      </c>
      <c r="J660">
        <f>IFERROR(Table4[[#This Row],[energy_kwh]]/Table4[[#This Row],[expected_kwh]],0)</f>
        <v>0.85400953811034497</v>
      </c>
      <c r="K660" t="str">
        <f>IF(Table4[[#This Row],[Performance_Ratio]] &lt; 0.85, "Underperforming", "Performing")</f>
        <v>Performing</v>
      </c>
      <c r="L660">
        <f>Table4[[#This Row],[energy_kwh]] - Table4[[#This Row],[expected_kwh]]</f>
        <v>-50.572579482666015</v>
      </c>
      <c r="M660" t="str">
        <f>IF(Table4[[#This Row],[Performance_Deviation]] &lt; 0, "Underperforming", "Outperforming")</f>
        <v>Underperforming</v>
      </c>
      <c r="N660">
        <f>IF(Table4[[#This Row],[Performance_Ratio]] &lt; 0.85, Table4[[#This Row],[Performance_Deviation]] * 50 / 1000, 0)</f>
        <v>0</v>
      </c>
    </row>
    <row r="661" spans="1:14" x14ac:dyDescent="0.3">
      <c r="A661" s="6" t="s">
        <v>6</v>
      </c>
      <c r="B661" s="5">
        <v>45319.458333333336</v>
      </c>
      <c r="C661" s="6">
        <v>376.220211146341</v>
      </c>
      <c r="D661" s="6">
        <v>359.28338098138101</v>
      </c>
      <c r="E661" s="6">
        <v>359.28338098138101</v>
      </c>
      <c r="F661" s="6">
        <v>77.075594262154397</v>
      </c>
      <c r="G661" s="6" t="str">
        <f t="shared" si="20"/>
        <v>OK</v>
      </c>
      <c r="H661" s="6" t="str">
        <f t="shared" si="21"/>
        <v>NON-ZERO</v>
      </c>
      <c r="I661">
        <v>386.37033051562702</v>
      </c>
      <c r="J661">
        <f>IFERROR(Table4[[#This Row],[energy_kwh]]/Table4[[#This Row],[expected_kwh]],0)</f>
        <v>0.92989381586806275</v>
      </c>
      <c r="K661" t="str">
        <f>IF(Table4[[#This Row],[Performance_Ratio]] &lt; 0.85, "Underperforming", "Performing")</f>
        <v>Performing</v>
      </c>
      <c r="L661">
        <f>Table4[[#This Row],[energy_kwh]] - Table4[[#This Row],[expected_kwh]]</f>
        <v>-27.086949534246003</v>
      </c>
      <c r="M661" t="str">
        <f>IF(Table4[[#This Row],[Performance_Deviation]] &lt; 0, "Underperforming", "Outperforming")</f>
        <v>Underperforming</v>
      </c>
      <c r="N661">
        <f>IF(Table4[[#This Row],[Performance_Ratio]] &lt; 0.85, Table4[[#This Row],[Performance_Deviation]] * 50 / 1000, 0)</f>
        <v>0</v>
      </c>
    </row>
    <row r="662" spans="1:14" x14ac:dyDescent="0.3">
      <c r="A662" s="4" t="s">
        <v>6</v>
      </c>
      <c r="B662" s="3">
        <v>45319.5</v>
      </c>
      <c r="C662" s="4">
        <v>342.36479482982998</v>
      </c>
      <c r="D662" s="4">
        <v>326.95208117782897</v>
      </c>
      <c r="E662" s="4">
        <v>326.95208117782897</v>
      </c>
      <c r="F662" s="4">
        <v>91.319644587691101</v>
      </c>
      <c r="G662" s="4" t="str">
        <f t="shared" si="20"/>
        <v>OK</v>
      </c>
      <c r="H662" s="4" t="str">
        <f t="shared" si="21"/>
        <v>NON-ZERO</v>
      </c>
      <c r="I662">
        <v>400</v>
      </c>
      <c r="J662">
        <f>IFERROR(Table4[[#This Row],[energy_kwh]]/Table4[[#This Row],[expected_kwh]],0)</f>
        <v>0.81738020294457248</v>
      </c>
      <c r="K662" t="str">
        <f>IF(Table4[[#This Row],[Performance_Ratio]] &lt; 0.85, "Underperforming", "Performing")</f>
        <v>Underperforming</v>
      </c>
      <c r="L662">
        <f>Table4[[#This Row],[energy_kwh]] - Table4[[#This Row],[expected_kwh]]</f>
        <v>-73.047918822171027</v>
      </c>
      <c r="M662" t="str">
        <f>IF(Table4[[#This Row],[Performance_Deviation]] &lt; 0, "Underperforming", "Outperforming")</f>
        <v>Underperforming</v>
      </c>
      <c r="N662">
        <f>IF(Table4[[#This Row],[Performance_Ratio]] &lt; 0.85, Table4[[#This Row],[Performance_Deviation]] * 50 / 1000, 0)</f>
        <v>-3.6523959411085518</v>
      </c>
    </row>
    <row r="663" spans="1:14" x14ac:dyDescent="0.3">
      <c r="A663" s="6" t="s">
        <v>6</v>
      </c>
      <c r="B663" s="5">
        <v>45319.541666666664</v>
      </c>
      <c r="C663" s="6">
        <v>323.69015463720302</v>
      </c>
      <c r="D663" s="6">
        <v>309.11814331847302</v>
      </c>
      <c r="E663" s="6">
        <v>309.11814331847302</v>
      </c>
      <c r="F663" s="6">
        <v>79.066181439408396</v>
      </c>
      <c r="G663" s="6" t="str">
        <f t="shared" si="20"/>
        <v>OK</v>
      </c>
      <c r="H663" s="6" t="str">
        <f t="shared" si="21"/>
        <v>NON-ZERO</v>
      </c>
      <c r="I663">
        <v>386.37033051562702</v>
      </c>
      <c r="J663">
        <f>IFERROR(Table4[[#This Row],[energy_kwh]]/Table4[[#This Row],[expected_kwh]],0)</f>
        <v>0.80005662677551403</v>
      </c>
      <c r="K663" t="str">
        <f>IF(Table4[[#This Row],[Performance_Ratio]] &lt; 0.85, "Underperforming", "Performing")</f>
        <v>Underperforming</v>
      </c>
      <c r="L663">
        <f>Table4[[#This Row],[energy_kwh]] - Table4[[#This Row],[expected_kwh]]</f>
        <v>-77.252187197154001</v>
      </c>
      <c r="M663" t="str">
        <f>IF(Table4[[#This Row],[Performance_Deviation]] &lt; 0, "Underperforming", "Outperforming")</f>
        <v>Underperforming</v>
      </c>
      <c r="N663">
        <f>IF(Table4[[#This Row],[Performance_Ratio]] &lt; 0.85, Table4[[#This Row],[Performance_Deviation]] * 50 / 1000, 0)</f>
        <v>-3.8626093598577</v>
      </c>
    </row>
    <row r="664" spans="1:14" x14ac:dyDescent="0.3">
      <c r="A664" s="4" t="s">
        <v>6</v>
      </c>
      <c r="B664" s="3">
        <v>45319.583333333336</v>
      </c>
      <c r="C664" s="4">
        <v>338.946208436017</v>
      </c>
      <c r="D664" s="4">
        <v>323.68739405747601</v>
      </c>
      <c r="E664" s="4">
        <v>323.68739405747601</v>
      </c>
      <c r="F664" s="4">
        <v>38.029918467012997</v>
      </c>
      <c r="G664" s="4" t="str">
        <f t="shared" si="20"/>
        <v>OK</v>
      </c>
      <c r="H664" s="4" t="str">
        <f t="shared" si="21"/>
        <v>NON-ZERO</v>
      </c>
      <c r="I664">
        <v>346.41016151377499</v>
      </c>
      <c r="J664">
        <f>IFERROR(Table4[[#This Row],[energy_kwh]]/Table4[[#This Row],[expected_kwh]],0)</f>
        <v>0.93440502046186247</v>
      </c>
      <c r="K664" t="str">
        <f>IF(Table4[[#This Row],[Performance_Ratio]] &lt; 0.85, "Underperforming", "Performing")</f>
        <v>Performing</v>
      </c>
      <c r="L664">
        <f>Table4[[#This Row],[energy_kwh]] - Table4[[#This Row],[expected_kwh]]</f>
        <v>-22.722767456298982</v>
      </c>
      <c r="M664" t="str">
        <f>IF(Table4[[#This Row],[Performance_Deviation]] &lt; 0, "Underperforming", "Outperforming")</f>
        <v>Underperforming</v>
      </c>
      <c r="N664">
        <f>IF(Table4[[#This Row],[Performance_Ratio]] &lt; 0.85, Table4[[#This Row],[Performance_Deviation]] * 50 / 1000, 0)</f>
        <v>0</v>
      </c>
    </row>
    <row r="665" spans="1:14" x14ac:dyDescent="0.3">
      <c r="A665" s="6" t="s">
        <v>6</v>
      </c>
      <c r="B665" s="5">
        <v>45319.625</v>
      </c>
      <c r="C665" s="6">
        <v>237.425785416172</v>
      </c>
      <c r="D665" s="6">
        <v>226.73725756669</v>
      </c>
      <c r="E665" s="6">
        <v>226.73725756669</v>
      </c>
      <c r="F665" s="6">
        <v>27.6352762212152</v>
      </c>
      <c r="G665" s="6" t="str">
        <f t="shared" si="20"/>
        <v>OK</v>
      </c>
      <c r="H665" s="6" t="str">
        <f t="shared" si="21"/>
        <v>NON-ZERO</v>
      </c>
      <c r="I665">
        <v>282.84271247461902</v>
      </c>
      <c r="J665">
        <f>IFERROR(Table4[[#This Row],[energy_kwh]]/Table4[[#This Row],[expected_kwh]],0)</f>
        <v>0.80163726186523665</v>
      </c>
      <c r="K665" t="str">
        <f>IF(Table4[[#This Row],[Performance_Ratio]] &lt; 0.85, "Underperforming", "Performing")</f>
        <v>Underperforming</v>
      </c>
      <c r="L665">
        <f>Table4[[#This Row],[energy_kwh]] - Table4[[#This Row],[expected_kwh]]</f>
        <v>-56.105454907929015</v>
      </c>
      <c r="M665" t="str">
        <f>IF(Table4[[#This Row],[Performance_Deviation]] &lt; 0, "Underperforming", "Outperforming")</f>
        <v>Underperforming</v>
      </c>
      <c r="N665">
        <f>IF(Table4[[#This Row],[Performance_Ratio]] &lt; 0.85, Table4[[#This Row],[Performance_Deviation]] * 50 / 1000, 0)</f>
        <v>-2.8052727453964508</v>
      </c>
    </row>
    <row r="666" spans="1:14" x14ac:dyDescent="0.3">
      <c r="A666" s="4" t="s">
        <v>6</v>
      </c>
      <c r="B666" s="3">
        <v>45319.666666666664</v>
      </c>
      <c r="C666" s="4">
        <v>168.63220604588901</v>
      </c>
      <c r="D666" s="4">
        <v>161.040654742892</v>
      </c>
      <c r="E666" s="4">
        <v>161.040654742892</v>
      </c>
      <c r="F666" s="4">
        <v>33.141632907937002</v>
      </c>
      <c r="G666" s="4" t="str">
        <f t="shared" si="20"/>
        <v>OK</v>
      </c>
      <c r="H666" s="4" t="str">
        <f t="shared" si="21"/>
        <v>NON-ZERO</v>
      </c>
      <c r="I666">
        <v>199.99999999999901</v>
      </c>
      <c r="J666">
        <f>IFERROR(Table4[[#This Row],[energy_kwh]]/Table4[[#This Row],[expected_kwh]],0)</f>
        <v>0.80520327371446399</v>
      </c>
      <c r="K666" t="str">
        <f>IF(Table4[[#This Row],[Performance_Ratio]] &lt; 0.85, "Underperforming", "Performing")</f>
        <v>Underperforming</v>
      </c>
      <c r="L666">
        <f>Table4[[#This Row],[energy_kwh]] - Table4[[#This Row],[expected_kwh]]</f>
        <v>-38.959345257107003</v>
      </c>
      <c r="M666" t="str">
        <f>IF(Table4[[#This Row],[Performance_Deviation]] &lt; 0, "Underperforming", "Outperforming")</f>
        <v>Underperforming</v>
      </c>
      <c r="N666">
        <f>IF(Table4[[#This Row],[Performance_Ratio]] &lt; 0.85, Table4[[#This Row],[Performance_Deviation]] * 50 / 1000, 0)</f>
        <v>-1.9479672628553502</v>
      </c>
    </row>
    <row r="667" spans="1:14" x14ac:dyDescent="0.3">
      <c r="A667" s="6" t="s">
        <v>6</v>
      </c>
      <c r="B667" s="5">
        <v>45319.708333333336</v>
      </c>
      <c r="C667" s="6">
        <v>98.587310174437306</v>
      </c>
      <c r="D667" s="6">
        <v>94.149067678754093</v>
      </c>
      <c r="E667" s="6">
        <v>94.149067678754093</v>
      </c>
      <c r="F667" s="6">
        <v>91.284437793147106</v>
      </c>
      <c r="G667" s="6" t="str">
        <f t="shared" si="20"/>
        <v>OK</v>
      </c>
      <c r="H667" s="6" t="str">
        <f t="shared" si="21"/>
        <v>NON-ZERO</v>
      </c>
      <c r="I667">
        <v>103.527618041008</v>
      </c>
      <c r="J667">
        <f>IFERROR(Table4[[#This Row],[energy_kwh]]/Table4[[#This Row],[expected_kwh]],0)</f>
        <v>0.90941015991946228</v>
      </c>
      <c r="K667" t="str">
        <f>IF(Table4[[#This Row],[Performance_Ratio]] &lt; 0.85, "Underperforming", "Performing")</f>
        <v>Performing</v>
      </c>
      <c r="L667">
        <f>Table4[[#This Row],[energy_kwh]] - Table4[[#This Row],[expected_kwh]]</f>
        <v>-9.3785503622539039</v>
      </c>
      <c r="M667" t="str">
        <f>IF(Table4[[#This Row],[Performance_Deviation]] &lt; 0, "Underperforming", "Outperforming")</f>
        <v>Underperforming</v>
      </c>
      <c r="N667">
        <f>IF(Table4[[#This Row],[Performance_Ratio]] &lt; 0.85, Table4[[#This Row],[Performance_Deviation]] * 50 / 1000, 0)</f>
        <v>0</v>
      </c>
    </row>
    <row r="668" spans="1:14" x14ac:dyDescent="0.3">
      <c r="A668" s="4" t="s">
        <v>6</v>
      </c>
      <c r="B668" s="3">
        <v>45319.75</v>
      </c>
      <c r="C668" s="7">
        <v>4.1255052236708197E-14</v>
      </c>
      <c r="D668" s="7">
        <v>3.9397815989217297E-14</v>
      </c>
      <c r="E668" s="7">
        <v>3.9397815989217297E-14</v>
      </c>
      <c r="F668" s="4">
        <v>76.908219031799305</v>
      </c>
      <c r="G668" s="4" t="str">
        <f t="shared" si="20"/>
        <v>OK</v>
      </c>
      <c r="H668" s="4" t="str">
        <f t="shared" si="21"/>
        <v>NON-ZERO</v>
      </c>
      <c r="I668" s="2">
        <v>4.8985871965894097E-14</v>
      </c>
      <c r="J668">
        <f>IFERROR(Table4[[#This Row],[energy_kwh]]/Table4[[#This Row],[expected_kwh]],0)</f>
        <v>0.80426895364131956</v>
      </c>
      <c r="K668" t="str">
        <f>IF(Table4[[#This Row],[Performance_Ratio]] &lt; 0.85, "Underperforming", "Performing")</f>
        <v>Underperforming</v>
      </c>
      <c r="L668">
        <f>Table4[[#This Row],[energy_kwh]] - Table4[[#This Row],[expected_kwh]]</f>
        <v>-9.5880559766768002E-15</v>
      </c>
      <c r="M668" t="str">
        <f>IF(Table4[[#This Row],[Performance_Deviation]] &lt; 0, "Underperforming", "Outperforming")</f>
        <v>Underperforming</v>
      </c>
      <c r="N668">
        <f>IF(Table4[[#This Row],[Performance_Ratio]] &lt; 0.85, Table4[[#This Row],[Performance_Deviation]] * 50 / 1000, 0)</f>
        <v>-4.7940279883383999E-16</v>
      </c>
    </row>
    <row r="669" spans="1:14" x14ac:dyDescent="0.3">
      <c r="A669" s="6" t="s">
        <v>6</v>
      </c>
      <c r="B669" s="5">
        <v>45319.791666666664</v>
      </c>
      <c r="C669" s="6">
        <v>0</v>
      </c>
      <c r="D669" s="6">
        <v>0</v>
      </c>
      <c r="E669" s="6">
        <v>0</v>
      </c>
      <c r="F669" s="6">
        <v>87.057072689993802</v>
      </c>
      <c r="G669" s="6" t="str">
        <f t="shared" si="20"/>
        <v>OK</v>
      </c>
      <c r="H669" s="6" t="str">
        <f t="shared" si="21"/>
        <v>ZERO</v>
      </c>
      <c r="I669">
        <v>0</v>
      </c>
      <c r="J669">
        <f>IFERROR(Table4[[#This Row],[energy_kwh]]/Table4[[#This Row],[expected_kwh]],0)</f>
        <v>0</v>
      </c>
      <c r="K669" t="str">
        <f>IF(Table4[[#This Row],[Performance_Ratio]] &lt; 0.85, "Underperforming", "Performing")</f>
        <v>Underperforming</v>
      </c>
      <c r="L669">
        <f>Table4[[#This Row],[energy_kwh]] - Table4[[#This Row],[expected_kwh]]</f>
        <v>0</v>
      </c>
      <c r="M669" t="str">
        <f>IF(Table4[[#This Row],[Performance_Deviation]] &lt; 0, "Underperforming", "Outperforming")</f>
        <v>Outperforming</v>
      </c>
      <c r="N669">
        <f>IF(Table4[[#This Row],[Performance_Ratio]] &lt; 0.85, Table4[[#This Row],[Performance_Deviation]] * 50 / 1000, 0)</f>
        <v>0</v>
      </c>
    </row>
    <row r="670" spans="1:14" x14ac:dyDescent="0.3">
      <c r="A670" s="4" t="s">
        <v>6</v>
      </c>
      <c r="B670" s="3">
        <v>45319.833333333336</v>
      </c>
      <c r="C670" s="4">
        <v>0</v>
      </c>
      <c r="D670" s="4">
        <v>0</v>
      </c>
      <c r="E670" s="4">
        <v>0</v>
      </c>
      <c r="F670" s="4">
        <v>35.351008179296301</v>
      </c>
      <c r="G670" s="4" t="str">
        <f t="shared" si="20"/>
        <v>OK</v>
      </c>
      <c r="H670" s="4" t="str">
        <f t="shared" si="21"/>
        <v>ZERO</v>
      </c>
      <c r="I670">
        <v>0</v>
      </c>
      <c r="J670">
        <f>IFERROR(Table4[[#This Row],[energy_kwh]]/Table4[[#This Row],[expected_kwh]],0)</f>
        <v>0</v>
      </c>
      <c r="K670" t="str">
        <f>IF(Table4[[#This Row],[Performance_Ratio]] &lt; 0.85, "Underperforming", "Performing")</f>
        <v>Underperforming</v>
      </c>
      <c r="L670">
        <f>Table4[[#This Row],[energy_kwh]] - Table4[[#This Row],[expected_kwh]]</f>
        <v>0</v>
      </c>
      <c r="M670" t="str">
        <f>IF(Table4[[#This Row],[Performance_Deviation]] &lt; 0, "Underperforming", "Outperforming")</f>
        <v>Outperforming</v>
      </c>
      <c r="N670">
        <f>IF(Table4[[#This Row],[Performance_Ratio]] &lt; 0.85, Table4[[#This Row],[Performance_Deviation]] * 50 / 1000, 0)</f>
        <v>0</v>
      </c>
    </row>
    <row r="671" spans="1:14" x14ac:dyDescent="0.3">
      <c r="A671" s="6" t="s">
        <v>6</v>
      </c>
      <c r="B671" s="5">
        <v>45319.875</v>
      </c>
      <c r="C671" s="6">
        <v>0</v>
      </c>
      <c r="D671" s="6">
        <v>0</v>
      </c>
      <c r="E671" s="6">
        <v>0</v>
      </c>
      <c r="F671" s="6">
        <v>44.867352430039503</v>
      </c>
      <c r="G671" s="6" t="str">
        <f t="shared" si="20"/>
        <v>OK</v>
      </c>
      <c r="H671" s="6" t="str">
        <f t="shared" si="21"/>
        <v>ZERO</v>
      </c>
      <c r="I671">
        <v>0</v>
      </c>
      <c r="J671">
        <f>IFERROR(Table4[[#This Row],[energy_kwh]]/Table4[[#This Row],[expected_kwh]],0)</f>
        <v>0</v>
      </c>
      <c r="K671" t="str">
        <f>IF(Table4[[#This Row],[Performance_Ratio]] &lt; 0.85, "Underperforming", "Performing")</f>
        <v>Underperforming</v>
      </c>
      <c r="L671">
        <f>Table4[[#This Row],[energy_kwh]] - Table4[[#This Row],[expected_kwh]]</f>
        <v>0</v>
      </c>
      <c r="M671" t="str">
        <f>IF(Table4[[#This Row],[Performance_Deviation]] &lt; 0, "Underperforming", "Outperforming")</f>
        <v>Outperforming</v>
      </c>
      <c r="N671">
        <f>IF(Table4[[#This Row],[Performance_Ratio]] &lt; 0.85, Table4[[#This Row],[Performance_Deviation]] * 50 / 1000, 0)</f>
        <v>0</v>
      </c>
    </row>
    <row r="672" spans="1:14" x14ac:dyDescent="0.3">
      <c r="A672" s="4" t="s">
        <v>6</v>
      </c>
      <c r="B672" s="3">
        <v>45319.916666666664</v>
      </c>
      <c r="C672" s="4">
        <v>0</v>
      </c>
      <c r="D672" s="4">
        <v>0</v>
      </c>
      <c r="E672" s="4">
        <v>0</v>
      </c>
      <c r="F672" s="4">
        <v>90.558839037733094</v>
      </c>
      <c r="G672" s="4" t="str">
        <f t="shared" si="20"/>
        <v>OK</v>
      </c>
      <c r="H672" s="4" t="str">
        <f t="shared" si="21"/>
        <v>ZERO</v>
      </c>
      <c r="I672">
        <v>0</v>
      </c>
      <c r="J672">
        <f>IFERROR(Table4[[#This Row],[energy_kwh]]/Table4[[#This Row],[expected_kwh]],0)</f>
        <v>0</v>
      </c>
      <c r="K672" t="str">
        <f>IF(Table4[[#This Row],[Performance_Ratio]] &lt; 0.85, "Underperforming", "Performing")</f>
        <v>Underperforming</v>
      </c>
      <c r="L672">
        <f>Table4[[#This Row],[energy_kwh]] - Table4[[#This Row],[expected_kwh]]</f>
        <v>0</v>
      </c>
      <c r="M672" t="str">
        <f>IF(Table4[[#This Row],[Performance_Deviation]] &lt; 0, "Underperforming", "Outperforming")</f>
        <v>Outperforming</v>
      </c>
      <c r="N672">
        <f>IF(Table4[[#This Row],[Performance_Ratio]] &lt; 0.85, Table4[[#This Row],[Performance_Deviation]] * 50 / 1000, 0)</f>
        <v>0</v>
      </c>
    </row>
    <row r="673" spans="1:14" x14ac:dyDescent="0.3">
      <c r="A673" s="6" t="s">
        <v>6</v>
      </c>
      <c r="B673" s="5">
        <v>45319.958333333336</v>
      </c>
      <c r="C673" s="6">
        <v>0</v>
      </c>
      <c r="D673" s="6">
        <v>0</v>
      </c>
      <c r="E673" s="6">
        <v>0</v>
      </c>
      <c r="F673" s="6">
        <v>80.815893575593805</v>
      </c>
      <c r="G673" s="6" t="str">
        <f t="shared" si="20"/>
        <v>OK</v>
      </c>
      <c r="H673" s="6" t="str">
        <f t="shared" si="21"/>
        <v>ZERO</v>
      </c>
      <c r="I673">
        <v>0</v>
      </c>
      <c r="J673">
        <f>IFERROR(Table4[[#This Row],[energy_kwh]]/Table4[[#This Row],[expected_kwh]],0)</f>
        <v>0</v>
      </c>
      <c r="K673" t="str">
        <f>IF(Table4[[#This Row],[Performance_Ratio]] &lt; 0.85, "Underperforming", "Performing")</f>
        <v>Underperforming</v>
      </c>
      <c r="L673">
        <f>Table4[[#This Row],[energy_kwh]] - Table4[[#This Row],[expected_kwh]]</f>
        <v>0</v>
      </c>
      <c r="M673" t="str">
        <f>IF(Table4[[#This Row],[Performance_Deviation]] &lt; 0, "Underperforming", "Outperforming")</f>
        <v>Outperforming</v>
      </c>
      <c r="N673">
        <f>IF(Table4[[#This Row],[Performance_Ratio]] &lt; 0.85, Table4[[#This Row],[Performance_Deviation]] * 50 / 1000, 0)</f>
        <v>0</v>
      </c>
    </row>
    <row r="674" spans="1:14" x14ac:dyDescent="0.3">
      <c r="A674" s="4" t="s">
        <v>6</v>
      </c>
      <c r="B674" s="3">
        <v>45320</v>
      </c>
      <c r="C674" s="4">
        <v>0</v>
      </c>
      <c r="D674" s="4">
        <v>0</v>
      </c>
      <c r="E674" s="4">
        <v>0</v>
      </c>
      <c r="F674" s="4">
        <v>69.098801514946501</v>
      </c>
      <c r="G674" s="4" t="str">
        <f t="shared" si="20"/>
        <v>OK</v>
      </c>
      <c r="H674" s="4" t="str">
        <f t="shared" si="21"/>
        <v>ZERO</v>
      </c>
      <c r="I674">
        <v>0</v>
      </c>
      <c r="J674">
        <f>IFERROR(Table4[[#This Row],[energy_kwh]]/Table4[[#This Row],[expected_kwh]],0)</f>
        <v>0</v>
      </c>
      <c r="K674" t="str">
        <f>IF(Table4[[#This Row],[Performance_Ratio]] &lt; 0.85, "Underperforming", "Performing")</f>
        <v>Underperforming</v>
      </c>
      <c r="L674">
        <f>Table4[[#This Row],[energy_kwh]] - Table4[[#This Row],[expected_kwh]]</f>
        <v>0</v>
      </c>
      <c r="M674" t="str">
        <f>IF(Table4[[#This Row],[Performance_Deviation]] &lt; 0, "Underperforming", "Outperforming")</f>
        <v>Outperforming</v>
      </c>
      <c r="N674">
        <f>IF(Table4[[#This Row],[Performance_Ratio]] &lt; 0.85, Table4[[#This Row],[Performance_Deviation]] * 50 / 1000, 0)</f>
        <v>0</v>
      </c>
    </row>
    <row r="675" spans="1:14" x14ac:dyDescent="0.3">
      <c r="A675" s="6" t="s">
        <v>6</v>
      </c>
      <c r="B675" s="5">
        <v>45320.041666666664</v>
      </c>
      <c r="C675" s="6">
        <v>0</v>
      </c>
      <c r="D675" s="6">
        <v>0</v>
      </c>
      <c r="E675" s="6">
        <v>0</v>
      </c>
      <c r="F675" s="6">
        <v>60.432091455200599</v>
      </c>
      <c r="G675" s="6" t="str">
        <f t="shared" si="20"/>
        <v>OK</v>
      </c>
      <c r="H675" s="6" t="str">
        <f t="shared" si="21"/>
        <v>ZERO</v>
      </c>
      <c r="I675">
        <v>0</v>
      </c>
      <c r="J675">
        <f>IFERROR(Table4[[#This Row],[energy_kwh]]/Table4[[#This Row],[expected_kwh]],0)</f>
        <v>0</v>
      </c>
      <c r="K675" t="str">
        <f>IF(Table4[[#This Row],[Performance_Ratio]] &lt; 0.85, "Underperforming", "Performing")</f>
        <v>Underperforming</v>
      </c>
      <c r="L675">
        <f>Table4[[#This Row],[energy_kwh]] - Table4[[#This Row],[expected_kwh]]</f>
        <v>0</v>
      </c>
      <c r="M675" t="str">
        <f>IF(Table4[[#This Row],[Performance_Deviation]] &lt; 0, "Underperforming", "Outperforming")</f>
        <v>Outperforming</v>
      </c>
      <c r="N675">
        <f>IF(Table4[[#This Row],[Performance_Ratio]] &lt; 0.85, Table4[[#This Row],[Performance_Deviation]] * 50 / 1000, 0)</f>
        <v>0</v>
      </c>
    </row>
    <row r="676" spans="1:14" x14ac:dyDescent="0.3">
      <c r="A676" s="4" t="s">
        <v>6</v>
      </c>
      <c r="B676" s="3">
        <v>45320.083333333336</v>
      </c>
      <c r="C676" s="4">
        <v>0</v>
      </c>
      <c r="D676" s="4">
        <v>0</v>
      </c>
      <c r="E676" s="4">
        <v>0</v>
      </c>
      <c r="F676" s="4">
        <v>77.416006288689502</v>
      </c>
      <c r="G676" s="4" t="str">
        <f t="shared" si="20"/>
        <v>OK</v>
      </c>
      <c r="H676" s="4" t="str">
        <f t="shared" si="21"/>
        <v>ZERO</v>
      </c>
      <c r="I676">
        <v>0</v>
      </c>
      <c r="J676">
        <f>IFERROR(Table4[[#This Row],[energy_kwh]]/Table4[[#This Row],[expected_kwh]],0)</f>
        <v>0</v>
      </c>
      <c r="K676" t="str">
        <f>IF(Table4[[#This Row],[Performance_Ratio]] &lt; 0.85, "Underperforming", "Performing")</f>
        <v>Underperforming</v>
      </c>
      <c r="L676">
        <f>Table4[[#This Row],[energy_kwh]] - Table4[[#This Row],[expected_kwh]]</f>
        <v>0</v>
      </c>
      <c r="M676" t="str">
        <f>IF(Table4[[#This Row],[Performance_Deviation]] &lt; 0, "Underperforming", "Outperforming")</f>
        <v>Outperforming</v>
      </c>
      <c r="N676">
        <f>IF(Table4[[#This Row],[Performance_Ratio]] &lt; 0.85, Table4[[#This Row],[Performance_Deviation]] * 50 / 1000, 0)</f>
        <v>0</v>
      </c>
    </row>
    <row r="677" spans="1:14" x14ac:dyDescent="0.3">
      <c r="A677" s="6" t="s">
        <v>6</v>
      </c>
      <c r="B677" s="5">
        <v>45320.125</v>
      </c>
      <c r="C677" s="6">
        <v>0</v>
      </c>
      <c r="D677" s="6">
        <v>0</v>
      </c>
      <c r="E677" s="6">
        <v>0</v>
      </c>
      <c r="F677" s="6">
        <v>59.1882635814191</v>
      </c>
      <c r="G677" s="6" t="str">
        <f t="shared" si="20"/>
        <v>OK</v>
      </c>
      <c r="H677" s="6" t="str">
        <f t="shared" si="21"/>
        <v>ZERO</v>
      </c>
      <c r="I677">
        <v>0</v>
      </c>
      <c r="J677">
        <f>IFERROR(Table4[[#This Row],[energy_kwh]]/Table4[[#This Row],[expected_kwh]],0)</f>
        <v>0</v>
      </c>
      <c r="K677" t="str">
        <f>IF(Table4[[#This Row],[Performance_Ratio]] &lt; 0.85, "Underperforming", "Performing")</f>
        <v>Underperforming</v>
      </c>
      <c r="L677">
        <f>Table4[[#This Row],[energy_kwh]] - Table4[[#This Row],[expected_kwh]]</f>
        <v>0</v>
      </c>
      <c r="M677" t="str">
        <f>IF(Table4[[#This Row],[Performance_Deviation]] &lt; 0, "Underperforming", "Outperforming")</f>
        <v>Outperforming</v>
      </c>
      <c r="N677">
        <f>IF(Table4[[#This Row],[Performance_Ratio]] &lt; 0.85, Table4[[#This Row],[Performance_Deviation]] * 50 / 1000, 0)</f>
        <v>0</v>
      </c>
    </row>
    <row r="678" spans="1:14" x14ac:dyDescent="0.3">
      <c r="A678" s="4" t="s">
        <v>6</v>
      </c>
      <c r="B678" s="3">
        <v>45320.166666666664</v>
      </c>
      <c r="C678" s="4">
        <v>0</v>
      </c>
      <c r="D678" s="4">
        <v>0</v>
      </c>
      <c r="E678" s="4">
        <v>0</v>
      </c>
      <c r="F678" s="4">
        <v>20.1105366564733</v>
      </c>
      <c r="G678" s="4" t="str">
        <f t="shared" si="20"/>
        <v>OK</v>
      </c>
      <c r="H678" s="4" t="str">
        <f t="shared" si="21"/>
        <v>ZERO</v>
      </c>
      <c r="I678">
        <v>0</v>
      </c>
      <c r="J678">
        <f>IFERROR(Table4[[#This Row],[energy_kwh]]/Table4[[#This Row],[expected_kwh]],0)</f>
        <v>0</v>
      </c>
      <c r="K678" t="str">
        <f>IF(Table4[[#This Row],[Performance_Ratio]] &lt; 0.85, "Underperforming", "Performing")</f>
        <v>Underperforming</v>
      </c>
      <c r="L678">
        <f>Table4[[#This Row],[energy_kwh]] - Table4[[#This Row],[expected_kwh]]</f>
        <v>0</v>
      </c>
      <c r="M678" t="str">
        <f>IF(Table4[[#This Row],[Performance_Deviation]] &lt; 0, "Underperforming", "Outperforming")</f>
        <v>Outperforming</v>
      </c>
      <c r="N678">
        <f>IF(Table4[[#This Row],[Performance_Ratio]] &lt; 0.85, Table4[[#This Row],[Performance_Deviation]] * 50 / 1000, 0)</f>
        <v>0</v>
      </c>
    </row>
    <row r="679" spans="1:14" x14ac:dyDescent="0.3">
      <c r="A679" s="6" t="s">
        <v>6</v>
      </c>
      <c r="B679" s="5">
        <v>45320.208333333336</v>
      </c>
      <c r="C679" s="6">
        <v>0</v>
      </c>
      <c r="D679" s="6">
        <v>0</v>
      </c>
      <c r="E679" s="6">
        <v>0</v>
      </c>
      <c r="F679" s="6">
        <v>36.822011246378302</v>
      </c>
      <c r="G679" s="6" t="str">
        <f t="shared" si="20"/>
        <v>OK</v>
      </c>
      <c r="H679" s="6" t="str">
        <f t="shared" si="21"/>
        <v>ZERO</v>
      </c>
      <c r="I679">
        <v>0</v>
      </c>
      <c r="J679">
        <f>IFERROR(Table4[[#This Row],[energy_kwh]]/Table4[[#This Row],[expected_kwh]],0)</f>
        <v>0</v>
      </c>
      <c r="K679" t="str">
        <f>IF(Table4[[#This Row],[Performance_Ratio]] &lt; 0.85, "Underperforming", "Performing")</f>
        <v>Underperforming</v>
      </c>
      <c r="L679">
        <f>Table4[[#This Row],[energy_kwh]] - Table4[[#This Row],[expected_kwh]]</f>
        <v>0</v>
      </c>
      <c r="M679" t="str">
        <f>IF(Table4[[#This Row],[Performance_Deviation]] &lt; 0, "Underperforming", "Outperforming")</f>
        <v>Outperforming</v>
      </c>
      <c r="N679">
        <f>IF(Table4[[#This Row],[Performance_Ratio]] &lt; 0.85, Table4[[#This Row],[Performance_Deviation]] * 50 / 1000, 0)</f>
        <v>0</v>
      </c>
    </row>
    <row r="680" spans="1:14" x14ac:dyDescent="0.3">
      <c r="A680" s="4" t="s">
        <v>6</v>
      </c>
      <c r="B680" s="3">
        <v>45320.25</v>
      </c>
      <c r="C680" s="4">
        <v>0</v>
      </c>
      <c r="D680" s="4">
        <v>0</v>
      </c>
      <c r="E680" s="4">
        <v>0</v>
      </c>
      <c r="F680" s="4">
        <v>42.719817923032103</v>
      </c>
      <c r="G680" s="4" t="str">
        <f t="shared" si="20"/>
        <v>OK</v>
      </c>
      <c r="H680" s="4" t="str">
        <f t="shared" si="21"/>
        <v>ZERO</v>
      </c>
      <c r="I680">
        <v>0</v>
      </c>
      <c r="J680">
        <f>IFERROR(Table4[[#This Row],[energy_kwh]]/Table4[[#This Row],[expected_kwh]],0)</f>
        <v>0</v>
      </c>
      <c r="K680" t="str">
        <f>IF(Table4[[#This Row],[Performance_Ratio]] &lt; 0.85, "Underperforming", "Performing")</f>
        <v>Underperforming</v>
      </c>
      <c r="L680">
        <f>Table4[[#This Row],[energy_kwh]] - Table4[[#This Row],[expected_kwh]]</f>
        <v>0</v>
      </c>
      <c r="M680" t="str">
        <f>IF(Table4[[#This Row],[Performance_Deviation]] &lt; 0, "Underperforming", "Outperforming")</f>
        <v>Outperforming</v>
      </c>
      <c r="N680">
        <f>IF(Table4[[#This Row],[Performance_Ratio]] &lt; 0.85, Table4[[#This Row],[Performance_Deviation]] * 50 / 1000, 0)</f>
        <v>0</v>
      </c>
    </row>
    <row r="681" spans="1:14" x14ac:dyDescent="0.3">
      <c r="A681" s="6" t="s">
        <v>6</v>
      </c>
      <c r="B681" s="5">
        <v>45320.291666666664</v>
      </c>
      <c r="C681" s="6">
        <v>104.297747498983</v>
      </c>
      <c r="D681" s="6">
        <v>99.602430278796007</v>
      </c>
      <c r="E681" s="6">
        <v>99.602430278796007</v>
      </c>
      <c r="F681" s="6">
        <v>81.258459987922706</v>
      </c>
      <c r="G681" s="6" t="str">
        <f t="shared" si="20"/>
        <v>OK</v>
      </c>
      <c r="H681" s="6" t="str">
        <f t="shared" si="21"/>
        <v>NON-ZERO</v>
      </c>
      <c r="I681">
        <v>103.527618041008</v>
      </c>
      <c r="J681">
        <f>IFERROR(Table4[[#This Row],[energy_kwh]]/Table4[[#This Row],[expected_kwh]],0)</f>
        <v>0.96208559767445634</v>
      </c>
      <c r="K681" t="str">
        <f>IF(Table4[[#This Row],[Performance_Ratio]] &lt; 0.85, "Underperforming", "Performing")</f>
        <v>Performing</v>
      </c>
      <c r="L681">
        <f>Table4[[#This Row],[energy_kwh]] - Table4[[#This Row],[expected_kwh]]</f>
        <v>-3.9251877622119906</v>
      </c>
      <c r="M681" t="str">
        <f>IF(Table4[[#This Row],[Performance_Deviation]] &lt; 0, "Underperforming", "Outperforming")</f>
        <v>Underperforming</v>
      </c>
      <c r="N681">
        <f>IF(Table4[[#This Row],[Performance_Ratio]] &lt; 0.85, Table4[[#This Row],[Performance_Deviation]] * 50 / 1000, 0)</f>
        <v>0</v>
      </c>
    </row>
    <row r="682" spans="1:14" x14ac:dyDescent="0.3">
      <c r="A682" s="4" t="s">
        <v>6</v>
      </c>
      <c r="B682" s="3">
        <v>45320.333333333336</v>
      </c>
      <c r="C682" s="4">
        <v>183.556312377833</v>
      </c>
      <c r="D682" s="4">
        <v>175.29290175729</v>
      </c>
      <c r="E682" s="4">
        <v>175.29290175729</v>
      </c>
      <c r="F682" s="4">
        <v>93.864380207185604</v>
      </c>
      <c r="G682" s="4" t="str">
        <f t="shared" si="20"/>
        <v>OK</v>
      </c>
      <c r="H682" s="4" t="str">
        <f t="shared" si="21"/>
        <v>NON-ZERO</v>
      </c>
      <c r="I682">
        <v>199.99999999999901</v>
      </c>
      <c r="J682">
        <f>IFERROR(Table4[[#This Row],[energy_kwh]]/Table4[[#This Row],[expected_kwh]],0)</f>
        <v>0.87646450878645432</v>
      </c>
      <c r="K682" t="str">
        <f>IF(Table4[[#This Row],[Performance_Ratio]] &lt; 0.85, "Underperforming", "Performing")</f>
        <v>Performing</v>
      </c>
      <c r="L682">
        <f>Table4[[#This Row],[energy_kwh]] - Table4[[#This Row],[expected_kwh]]</f>
        <v>-24.707098242709009</v>
      </c>
      <c r="M682" t="str">
        <f>IF(Table4[[#This Row],[Performance_Deviation]] &lt; 0, "Underperforming", "Outperforming")</f>
        <v>Underperforming</v>
      </c>
      <c r="N682">
        <f>IF(Table4[[#This Row],[Performance_Ratio]] &lt; 0.85, Table4[[#This Row],[Performance_Deviation]] * 50 / 1000, 0)</f>
        <v>0</v>
      </c>
    </row>
    <row r="683" spans="1:14" x14ac:dyDescent="0.3">
      <c r="A683" s="6" t="s">
        <v>6</v>
      </c>
      <c r="B683" s="5">
        <v>45320.375</v>
      </c>
      <c r="C683" s="6">
        <v>246.21959811511701</v>
      </c>
      <c r="D683" s="6">
        <v>235.13518692983399</v>
      </c>
      <c r="E683" s="6">
        <v>235.13518692983399</v>
      </c>
      <c r="F683" s="6">
        <v>64.297837549597801</v>
      </c>
      <c r="G683" s="6" t="str">
        <f t="shared" si="20"/>
        <v>OK</v>
      </c>
      <c r="H683" s="6" t="str">
        <f t="shared" si="21"/>
        <v>NON-ZERO</v>
      </c>
      <c r="I683">
        <v>282.84271247461902</v>
      </c>
      <c r="J683">
        <f>IFERROR(Table4[[#This Row],[energy_kwh]]/Table4[[#This Row],[expected_kwh]],0)</f>
        <v>0.83132842586826039</v>
      </c>
      <c r="K683" t="str">
        <f>IF(Table4[[#This Row],[Performance_Ratio]] &lt; 0.85, "Underperforming", "Performing")</f>
        <v>Underperforming</v>
      </c>
      <c r="L683">
        <f>Table4[[#This Row],[energy_kwh]] - Table4[[#This Row],[expected_kwh]]</f>
        <v>-47.707525544785028</v>
      </c>
      <c r="M683" t="str">
        <f>IF(Table4[[#This Row],[Performance_Deviation]] &lt; 0, "Underperforming", "Outperforming")</f>
        <v>Underperforming</v>
      </c>
      <c r="N683">
        <f>IF(Table4[[#This Row],[Performance_Ratio]] &lt; 0.85, Table4[[#This Row],[Performance_Deviation]] * 50 / 1000, 0)</f>
        <v>-2.3853762772392515</v>
      </c>
    </row>
    <row r="684" spans="1:14" x14ac:dyDescent="0.3">
      <c r="A684" s="4" t="s">
        <v>6</v>
      </c>
      <c r="B684" s="3">
        <v>45320.416666666664</v>
      </c>
      <c r="C684" s="4">
        <v>314.57859569393901</v>
      </c>
      <c r="D684" s="4">
        <v>300.416772137024</v>
      </c>
      <c r="E684" s="4">
        <v>300.416772137024</v>
      </c>
      <c r="F684" s="4">
        <v>32.549097800079501</v>
      </c>
      <c r="G684" s="4" t="str">
        <f t="shared" si="20"/>
        <v>OK</v>
      </c>
      <c r="H684" s="4" t="str">
        <f t="shared" si="21"/>
        <v>NON-ZERO</v>
      </c>
      <c r="I684">
        <v>346.41016151377499</v>
      </c>
      <c r="J684">
        <f>IFERROR(Table4[[#This Row],[energy_kwh]]/Table4[[#This Row],[expected_kwh]],0)</f>
        <v>0.8672285213119475</v>
      </c>
      <c r="K684" t="str">
        <f>IF(Table4[[#This Row],[Performance_Ratio]] &lt; 0.85, "Underperforming", "Performing")</f>
        <v>Performing</v>
      </c>
      <c r="L684">
        <f>Table4[[#This Row],[energy_kwh]] - Table4[[#This Row],[expected_kwh]]</f>
        <v>-45.993389376750997</v>
      </c>
      <c r="M684" t="str">
        <f>IF(Table4[[#This Row],[Performance_Deviation]] &lt; 0, "Underperforming", "Outperforming")</f>
        <v>Underperforming</v>
      </c>
      <c r="N684">
        <f>IF(Table4[[#This Row],[Performance_Ratio]] &lt; 0.85, Table4[[#This Row],[Performance_Deviation]] * 50 / 1000, 0)</f>
        <v>0</v>
      </c>
    </row>
    <row r="685" spans="1:14" x14ac:dyDescent="0.3">
      <c r="A685" s="6" t="s">
        <v>6</v>
      </c>
      <c r="B685" s="5">
        <v>45320.458333333336</v>
      </c>
      <c r="C685" s="6">
        <v>373.23387718381002</v>
      </c>
      <c r="D685" s="6">
        <v>356.43148698151299</v>
      </c>
      <c r="E685" s="6">
        <v>356.43148698151299</v>
      </c>
      <c r="F685" s="6">
        <v>91.416633927319594</v>
      </c>
      <c r="G685" s="6" t="str">
        <f t="shared" si="20"/>
        <v>OK</v>
      </c>
      <c r="H685" s="6" t="str">
        <f t="shared" si="21"/>
        <v>NON-ZERO</v>
      </c>
      <c r="I685">
        <v>386.37033051562702</v>
      </c>
      <c r="J685">
        <f>IFERROR(Table4[[#This Row],[energy_kwh]]/Table4[[#This Row],[expected_kwh]],0)</f>
        <v>0.92251257105026818</v>
      </c>
      <c r="K685" t="str">
        <f>IF(Table4[[#This Row],[Performance_Ratio]] &lt; 0.85, "Underperforming", "Performing")</f>
        <v>Performing</v>
      </c>
      <c r="L685">
        <f>Table4[[#This Row],[energy_kwh]] - Table4[[#This Row],[expected_kwh]]</f>
        <v>-29.938843534114028</v>
      </c>
      <c r="M685" t="str">
        <f>IF(Table4[[#This Row],[Performance_Deviation]] &lt; 0, "Underperforming", "Outperforming")</f>
        <v>Underperforming</v>
      </c>
      <c r="N685">
        <f>IF(Table4[[#This Row],[Performance_Ratio]] &lt; 0.85, Table4[[#This Row],[Performance_Deviation]] * 50 / 1000, 0)</f>
        <v>0</v>
      </c>
    </row>
    <row r="686" spans="1:14" x14ac:dyDescent="0.3">
      <c r="A686" s="4" t="s">
        <v>6</v>
      </c>
      <c r="B686" s="3">
        <v>45320.5</v>
      </c>
      <c r="C686" s="4">
        <v>335.52299286830799</v>
      </c>
      <c r="D686" s="4">
        <v>320.41828616120603</v>
      </c>
      <c r="E686" s="4">
        <v>320.41828616120603</v>
      </c>
      <c r="F686" s="4">
        <v>27.688697304985499</v>
      </c>
      <c r="G686" s="4" t="str">
        <f t="shared" si="20"/>
        <v>OK</v>
      </c>
      <c r="H686" s="4" t="str">
        <f t="shared" si="21"/>
        <v>NON-ZERO</v>
      </c>
      <c r="I686">
        <v>400</v>
      </c>
      <c r="J686">
        <f>IFERROR(Table4[[#This Row],[energy_kwh]]/Table4[[#This Row],[expected_kwh]],0)</f>
        <v>0.80104571540301506</v>
      </c>
      <c r="K686" t="str">
        <f>IF(Table4[[#This Row],[Performance_Ratio]] &lt; 0.85, "Underperforming", "Performing")</f>
        <v>Underperforming</v>
      </c>
      <c r="L686">
        <f>Table4[[#This Row],[energy_kwh]] - Table4[[#This Row],[expected_kwh]]</f>
        <v>-79.581713838793974</v>
      </c>
      <c r="M686" t="str">
        <f>IF(Table4[[#This Row],[Performance_Deviation]] &lt; 0, "Underperforming", "Outperforming")</f>
        <v>Underperforming</v>
      </c>
      <c r="N686">
        <f>IF(Table4[[#This Row],[Performance_Ratio]] &lt; 0.85, Table4[[#This Row],[Performance_Deviation]] * 50 / 1000, 0)</f>
        <v>-3.9790856919396989</v>
      </c>
    </row>
    <row r="687" spans="1:14" x14ac:dyDescent="0.3">
      <c r="A687" s="6" t="s">
        <v>6</v>
      </c>
      <c r="B687" s="5">
        <v>45320.541666666664</v>
      </c>
      <c r="C687" s="6">
        <v>388.49746908934998</v>
      </c>
      <c r="D687" s="6">
        <v>371.00793647377401</v>
      </c>
      <c r="E687" s="6">
        <v>371.00793647377401</v>
      </c>
      <c r="F687" s="6">
        <v>47.696057766165502</v>
      </c>
      <c r="G687" s="6" t="str">
        <f t="shared" si="20"/>
        <v>OK</v>
      </c>
      <c r="H687" s="6" t="str">
        <f t="shared" si="21"/>
        <v>NON-ZERO</v>
      </c>
      <c r="I687">
        <v>386.37033051562702</v>
      </c>
      <c r="J687">
        <f>IFERROR(Table4[[#This Row],[energy_kwh]]/Table4[[#This Row],[expected_kwh]],0)</f>
        <v>0.96023919843598948</v>
      </c>
      <c r="K687" t="str">
        <f>IF(Table4[[#This Row],[Performance_Ratio]] &lt; 0.85, "Underperforming", "Performing")</f>
        <v>Performing</v>
      </c>
      <c r="L687">
        <f>Table4[[#This Row],[energy_kwh]] - Table4[[#This Row],[expected_kwh]]</f>
        <v>-15.362394041853008</v>
      </c>
      <c r="M687" t="str">
        <f>IF(Table4[[#This Row],[Performance_Deviation]] &lt; 0, "Underperforming", "Outperforming")</f>
        <v>Underperforming</v>
      </c>
      <c r="N687">
        <f>IF(Table4[[#This Row],[Performance_Ratio]] &lt; 0.85, Table4[[#This Row],[Performance_Deviation]] * 50 / 1000, 0)</f>
        <v>0</v>
      </c>
    </row>
    <row r="688" spans="1:14" x14ac:dyDescent="0.3">
      <c r="A688" s="4" t="s">
        <v>6</v>
      </c>
      <c r="B688" s="3">
        <v>45320.583333333336</v>
      </c>
      <c r="C688" s="4">
        <v>355.32535409452203</v>
      </c>
      <c r="D688" s="4">
        <v>339.32917686293302</v>
      </c>
      <c r="E688" s="4">
        <v>339.32917686293302</v>
      </c>
      <c r="F688" s="4">
        <v>72.094657043996406</v>
      </c>
      <c r="G688" s="4" t="str">
        <f t="shared" si="20"/>
        <v>OK</v>
      </c>
      <c r="H688" s="4" t="str">
        <f t="shared" si="21"/>
        <v>NON-ZERO</v>
      </c>
      <c r="I688">
        <v>346.41016151377499</v>
      </c>
      <c r="J688">
        <f>IFERROR(Table4[[#This Row],[energy_kwh]]/Table4[[#This Row],[expected_kwh]],0)</f>
        <v>0.97955895802854387</v>
      </c>
      <c r="K688" t="str">
        <f>IF(Table4[[#This Row],[Performance_Ratio]] &lt; 0.85, "Underperforming", "Performing")</f>
        <v>Performing</v>
      </c>
      <c r="L688">
        <f>Table4[[#This Row],[energy_kwh]] - Table4[[#This Row],[expected_kwh]]</f>
        <v>-7.0809846508419696</v>
      </c>
      <c r="M688" t="str">
        <f>IF(Table4[[#This Row],[Performance_Deviation]] &lt; 0, "Underperforming", "Outperforming")</f>
        <v>Underperforming</v>
      </c>
      <c r="N688">
        <f>IF(Table4[[#This Row],[Performance_Ratio]] &lt; 0.85, Table4[[#This Row],[Performance_Deviation]] * 50 / 1000, 0)</f>
        <v>0</v>
      </c>
    </row>
    <row r="689" spans="1:14" x14ac:dyDescent="0.3">
      <c r="A689" s="6" t="s">
        <v>6</v>
      </c>
      <c r="B689" s="5">
        <v>45320.625</v>
      </c>
      <c r="C689" s="6">
        <v>288.41111412472799</v>
      </c>
      <c r="D689" s="6">
        <v>275.42730859569201</v>
      </c>
      <c r="E689" s="6">
        <v>275.42730859569201</v>
      </c>
      <c r="F689" s="6">
        <v>40.555369200664302</v>
      </c>
      <c r="G689" s="6" t="str">
        <f t="shared" si="20"/>
        <v>OK</v>
      </c>
      <c r="H689" s="6" t="str">
        <f t="shared" si="21"/>
        <v>NON-ZERO</v>
      </c>
      <c r="I689">
        <v>282.84271247461902</v>
      </c>
      <c r="J689">
        <f>IFERROR(Table4[[#This Row],[energy_kwh]]/Table4[[#This Row],[expected_kwh]],0)</f>
        <v>0.9737825881598684</v>
      </c>
      <c r="K689" t="str">
        <f>IF(Table4[[#This Row],[Performance_Ratio]] &lt; 0.85, "Underperforming", "Performing")</f>
        <v>Performing</v>
      </c>
      <c r="L689">
        <f>Table4[[#This Row],[energy_kwh]] - Table4[[#This Row],[expected_kwh]]</f>
        <v>-7.4154038789270089</v>
      </c>
      <c r="M689" t="str">
        <f>IF(Table4[[#This Row],[Performance_Deviation]] &lt; 0, "Underperforming", "Outperforming")</f>
        <v>Underperforming</v>
      </c>
      <c r="N689">
        <f>IF(Table4[[#This Row],[Performance_Ratio]] &lt; 0.85, Table4[[#This Row],[Performance_Deviation]] * 50 / 1000, 0)</f>
        <v>0</v>
      </c>
    </row>
    <row r="690" spans="1:14" x14ac:dyDescent="0.3">
      <c r="A690" s="4" t="s">
        <v>6</v>
      </c>
      <c r="B690" s="3">
        <v>45320.666666666664</v>
      </c>
      <c r="C690" s="4">
        <v>182.49657196426901</v>
      </c>
      <c r="D690" s="4">
        <v>174.28086915652301</v>
      </c>
      <c r="E690" s="4">
        <v>174.28086915652301</v>
      </c>
      <c r="F690" s="4">
        <v>93.389410129185507</v>
      </c>
      <c r="G690" s="4" t="str">
        <f t="shared" si="20"/>
        <v>OK</v>
      </c>
      <c r="H690" s="4" t="str">
        <f t="shared" si="21"/>
        <v>NON-ZERO</v>
      </c>
      <c r="I690">
        <v>199.99999999999901</v>
      </c>
      <c r="J690">
        <f>IFERROR(Table4[[#This Row],[energy_kwh]]/Table4[[#This Row],[expected_kwh]],0)</f>
        <v>0.87140434578261938</v>
      </c>
      <c r="K690" t="str">
        <f>IF(Table4[[#This Row],[Performance_Ratio]] &lt; 0.85, "Underperforming", "Performing")</f>
        <v>Performing</v>
      </c>
      <c r="L690">
        <f>Table4[[#This Row],[energy_kwh]] - Table4[[#This Row],[expected_kwh]]</f>
        <v>-25.719130843475995</v>
      </c>
      <c r="M690" t="str">
        <f>IF(Table4[[#This Row],[Performance_Deviation]] &lt; 0, "Underperforming", "Outperforming")</f>
        <v>Underperforming</v>
      </c>
      <c r="N690">
        <f>IF(Table4[[#This Row],[Performance_Ratio]] &lt; 0.85, Table4[[#This Row],[Performance_Deviation]] * 50 / 1000, 0)</f>
        <v>0</v>
      </c>
    </row>
    <row r="691" spans="1:14" x14ac:dyDescent="0.3">
      <c r="A691" s="6" t="s">
        <v>6</v>
      </c>
      <c r="B691" s="5">
        <v>45320.708333333336</v>
      </c>
      <c r="C691" s="6">
        <v>102.264756705818</v>
      </c>
      <c r="D691" s="6">
        <v>97.660961468689393</v>
      </c>
      <c r="E691" s="6">
        <v>97.660961468689393</v>
      </c>
      <c r="F691" s="6">
        <v>74.529257121154203</v>
      </c>
      <c r="G691" s="6" t="str">
        <f t="shared" si="20"/>
        <v>OK</v>
      </c>
      <c r="H691" s="6" t="str">
        <f t="shared" si="21"/>
        <v>NON-ZERO</v>
      </c>
      <c r="I691">
        <v>103.527618041008</v>
      </c>
      <c r="J691">
        <f>IFERROR(Table4[[#This Row],[energy_kwh]]/Table4[[#This Row],[expected_kwh]],0)</f>
        <v>0.94333244902828939</v>
      </c>
      <c r="K691" t="str">
        <f>IF(Table4[[#This Row],[Performance_Ratio]] &lt; 0.85, "Underperforming", "Performing")</f>
        <v>Performing</v>
      </c>
      <c r="L691">
        <f>Table4[[#This Row],[energy_kwh]] - Table4[[#This Row],[expected_kwh]]</f>
        <v>-5.8666565723186039</v>
      </c>
      <c r="M691" t="str">
        <f>IF(Table4[[#This Row],[Performance_Deviation]] &lt; 0, "Underperforming", "Outperforming")</f>
        <v>Underperforming</v>
      </c>
      <c r="N691">
        <f>IF(Table4[[#This Row],[Performance_Ratio]] &lt; 0.85, Table4[[#This Row],[Performance_Deviation]] * 50 / 1000, 0)</f>
        <v>0</v>
      </c>
    </row>
    <row r="692" spans="1:14" x14ac:dyDescent="0.3">
      <c r="A692" s="4" t="s">
        <v>6</v>
      </c>
      <c r="B692" s="3">
        <v>45320.75</v>
      </c>
      <c r="C692" s="7">
        <v>4.8709239333792601E-14</v>
      </c>
      <c r="D692" s="7">
        <v>4.6516427545326802E-14</v>
      </c>
      <c r="E692" s="7">
        <v>4.6516427545326802E-14</v>
      </c>
      <c r="F692" s="4">
        <v>32.227650269869301</v>
      </c>
      <c r="G692" s="4" t="str">
        <f t="shared" si="20"/>
        <v>OK</v>
      </c>
      <c r="H692" s="4" t="str">
        <f t="shared" si="21"/>
        <v>NON-ZERO</v>
      </c>
      <c r="I692" s="2">
        <v>4.8985871965894097E-14</v>
      </c>
      <c r="J692">
        <f>IFERROR(Table4[[#This Row],[energy_kwh]]/Table4[[#This Row],[expected_kwh]],0)</f>
        <v>0.94958864012287825</v>
      </c>
      <c r="K692" t="str">
        <f>IF(Table4[[#This Row],[Performance_Ratio]] &lt; 0.85, "Underperforming", "Performing")</f>
        <v>Performing</v>
      </c>
      <c r="L692">
        <f>Table4[[#This Row],[energy_kwh]] - Table4[[#This Row],[expected_kwh]]</f>
        <v>-2.4694444205672953E-15</v>
      </c>
      <c r="M692" t="str">
        <f>IF(Table4[[#This Row],[Performance_Deviation]] &lt; 0, "Underperforming", "Outperforming")</f>
        <v>Underperforming</v>
      </c>
      <c r="N692">
        <f>IF(Table4[[#This Row],[Performance_Ratio]] &lt; 0.85, Table4[[#This Row],[Performance_Deviation]] * 50 / 1000, 0)</f>
        <v>0</v>
      </c>
    </row>
    <row r="693" spans="1:14" x14ac:dyDescent="0.3">
      <c r="A693" s="6" t="s">
        <v>6</v>
      </c>
      <c r="B693" s="5">
        <v>45320.791666666664</v>
      </c>
      <c r="C693" s="6">
        <v>0</v>
      </c>
      <c r="D693" s="6">
        <v>0</v>
      </c>
      <c r="E693" s="6">
        <v>0</v>
      </c>
      <c r="F693" s="6">
        <v>48.826627889310103</v>
      </c>
      <c r="G693" s="6" t="str">
        <f t="shared" si="20"/>
        <v>OK</v>
      </c>
      <c r="H693" s="6" t="str">
        <f t="shared" si="21"/>
        <v>ZERO</v>
      </c>
      <c r="I693">
        <v>0</v>
      </c>
      <c r="J693">
        <f>IFERROR(Table4[[#This Row],[energy_kwh]]/Table4[[#This Row],[expected_kwh]],0)</f>
        <v>0</v>
      </c>
      <c r="K693" t="str">
        <f>IF(Table4[[#This Row],[Performance_Ratio]] &lt; 0.85, "Underperforming", "Performing")</f>
        <v>Underperforming</v>
      </c>
      <c r="L693">
        <f>Table4[[#This Row],[energy_kwh]] - Table4[[#This Row],[expected_kwh]]</f>
        <v>0</v>
      </c>
      <c r="M693" t="str">
        <f>IF(Table4[[#This Row],[Performance_Deviation]] &lt; 0, "Underperforming", "Outperforming")</f>
        <v>Outperforming</v>
      </c>
      <c r="N693">
        <f>IF(Table4[[#This Row],[Performance_Ratio]] &lt; 0.85, Table4[[#This Row],[Performance_Deviation]] * 50 / 1000, 0)</f>
        <v>0</v>
      </c>
    </row>
    <row r="694" spans="1:14" x14ac:dyDescent="0.3">
      <c r="A694" s="4" t="s">
        <v>6</v>
      </c>
      <c r="B694" s="3">
        <v>45320.833333333336</v>
      </c>
      <c r="C694" s="4">
        <v>0</v>
      </c>
      <c r="D694" s="4">
        <v>0</v>
      </c>
      <c r="E694" s="4">
        <v>0</v>
      </c>
      <c r="F694" s="4">
        <v>81.284610651168805</v>
      </c>
      <c r="G694" s="4" t="str">
        <f t="shared" si="20"/>
        <v>OK</v>
      </c>
      <c r="H694" s="4" t="str">
        <f t="shared" si="21"/>
        <v>ZERO</v>
      </c>
      <c r="I694">
        <v>0</v>
      </c>
      <c r="J694">
        <f>IFERROR(Table4[[#This Row],[energy_kwh]]/Table4[[#This Row],[expected_kwh]],0)</f>
        <v>0</v>
      </c>
      <c r="K694" t="str">
        <f>IF(Table4[[#This Row],[Performance_Ratio]] &lt; 0.85, "Underperforming", "Performing")</f>
        <v>Underperforming</v>
      </c>
      <c r="L694">
        <f>Table4[[#This Row],[energy_kwh]] - Table4[[#This Row],[expected_kwh]]</f>
        <v>0</v>
      </c>
      <c r="M694" t="str">
        <f>IF(Table4[[#This Row],[Performance_Deviation]] &lt; 0, "Underperforming", "Outperforming")</f>
        <v>Outperforming</v>
      </c>
      <c r="N694">
        <f>IF(Table4[[#This Row],[Performance_Ratio]] &lt; 0.85, Table4[[#This Row],[Performance_Deviation]] * 50 / 1000, 0)</f>
        <v>0</v>
      </c>
    </row>
    <row r="695" spans="1:14" x14ac:dyDescent="0.3">
      <c r="A695" s="6" t="s">
        <v>6</v>
      </c>
      <c r="B695" s="5">
        <v>45320.875</v>
      </c>
      <c r="C695" s="6">
        <v>0</v>
      </c>
      <c r="D695" s="6">
        <v>0</v>
      </c>
      <c r="E695" s="6">
        <v>0</v>
      </c>
      <c r="F695" s="6">
        <v>23.875154124346999</v>
      </c>
      <c r="G695" s="6" t="str">
        <f t="shared" si="20"/>
        <v>OK</v>
      </c>
      <c r="H695" s="6" t="str">
        <f t="shared" si="21"/>
        <v>ZERO</v>
      </c>
      <c r="I695">
        <v>0</v>
      </c>
      <c r="J695">
        <f>IFERROR(Table4[[#This Row],[energy_kwh]]/Table4[[#This Row],[expected_kwh]],0)</f>
        <v>0</v>
      </c>
      <c r="K695" t="str">
        <f>IF(Table4[[#This Row],[Performance_Ratio]] &lt; 0.85, "Underperforming", "Performing")</f>
        <v>Underperforming</v>
      </c>
      <c r="L695">
        <f>Table4[[#This Row],[energy_kwh]] - Table4[[#This Row],[expected_kwh]]</f>
        <v>0</v>
      </c>
      <c r="M695" t="str">
        <f>IF(Table4[[#This Row],[Performance_Deviation]] &lt; 0, "Underperforming", "Outperforming")</f>
        <v>Outperforming</v>
      </c>
      <c r="N695">
        <f>IF(Table4[[#This Row],[Performance_Ratio]] &lt; 0.85, Table4[[#This Row],[Performance_Deviation]] * 50 / 1000, 0)</f>
        <v>0</v>
      </c>
    </row>
    <row r="696" spans="1:14" x14ac:dyDescent="0.3">
      <c r="A696" s="4" t="s">
        <v>6</v>
      </c>
      <c r="B696" s="3">
        <v>45320.916666666664</v>
      </c>
      <c r="C696" s="4">
        <v>0</v>
      </c>
      <c r="D696" s="4">
        <v>0</v>
      </c>
      <c r="E696" s="4">
        <v>0</v>
      </c>
      <c r="F696" s="4">
        <v>80.000261132276094</v>
      </c>
      <c r="G696" s="4" t="str">
        <f t="shared" si="20"/>
        <v>OK</v>
      </c>
      <c r="H696" s="4" t="str">
        <f t="shared" si="21"/>
        <v>ZERO</v>
      </c>
      <c r="I696">
        <v>0</v>
      </c>
      <c r="J696">
        <f>IFERROR(Table4[[#This Row],[energy_kwh]]/Table4[[#This Row],[expected_kwh]],0)</f>
        <v>0</v>
      </c>
      <c r="K696" t="str">
        <f>IF(Table4[[#This Row],[Performance_Ratio]] &lt; 0.85, "Underperforming", "Performing")</f>
        <v>Underperforming</v>
      </c>
      <c r="L696">
        <f>Table4[[#This Row],[energy_kwh]] - Table4[[#This Row],[expected_kwh]]</f>
        <v>0</v>
      </c>
      <c r="M696" t="str">
        <f>IF(Table4[[#This Row],[Performance_Deviation]] &lt; 0, "Underperforming", "Outperforming")</f>
        <v>Outperforming</v>
      </c>
      <c r="N696">
        <f>IF(Table4[[#This Row],[Performance_Ratio]] &lt; 0.85, Table4[[#This Row],[Performance_Deviation]] * 50 / 1000, 0)</f>
        <v>0</v>
      </c>
    </row>
    <row r="697" spans="1:14" x14ac:dyDescent="0.3">
      <c r="A697" s="6" t="s">
        <v>6</v>
      </c>
      <c r="B697" s="5">
        <v>45320.958333333336</v>
      </c>
      <c r="C697" s="6">
        <v>0</v>
      </c>
      <c r="D697" s="6">
        <v>0</v>
      </c>
      <c r="E697" s="6">
        <v>0</v>
      </c>
      <c r="F697" s="6">
        <v>29.878627143431999</v>
      </c>
      <c r="G697" s="6" t="str">
        <f t="shared" si="20"/>
        <v>OK</v>
      </c>
      <c r="H697" s="6" t="str">
        <f t="shared" si="21"/>
        <v>ZERO</v>
      </c>
      <c r="I697">
        <v>0</v>
      </c>
      <c r="J697">
        <f>IFERROR(Table4[[#This Row],[energy_kwh]]/Table4[[#This Row],[expected_kwh]],0)</f>
        <v>0</v>
      </c>
      <c r="K697" t="str">
        <f>IF(Table4[[#This Row],[Performance_Ratio]] &lt; 0.85, "Underperforming", "Performing")</f>
        <v>Underperforming</v>
      </c>
      <c r="L697">
        <f>Table4[[#This Row],[energy_kwh]] - Table4[[#This Row],[expected_kwh]]</f>
        <v>0</v>
      </c>
      <c r="M697" t="str">
        <f>IF(Table4[[#This Row],[Performance_Deviation]] &lt; 0, "Underperforming", "Outperforming")</f>
        <v>Outperforming</v>
      </c>
      <c r="N697">
        <f>IF(Table4[[#This Row],[Performance_Ratio]] &lt; 0.85, Table4[[#This Row],[Performance_Deviation]] * 50 / 1000, 0)</f>
        <v>0</v>
      </c>
    </row>
    <row r="698" spans="1:14" x14ac:dyDescent="0.3">
      <c r="A698" s="4" t="s">
        <v>6</v>
      </c>
      <c r="B698" s="3">
        <v>45321</v>
      </c>
      <c r="C698" s="4">
        <v>0</v>
      </c>
      <c r="D698" s="4">
        <v>0</v>
      </c>
      <c r="E698" s="4">
        <v>0</v>
      </c>
      <c r="F698" s="4">
        <v>79.751104789352894</v>
      </c>
      <c r="G698" s="4" t="str">
        <f t="shared" si="20"/>
        <v>OK</v>
      </c>
      <c r="H698" s="4" t="str">
        <f t="shared" si="21"/>
        <v>ZERO</v>
      </c>
      <c r="I698">
        <v>0</v>
      </c>
      <c r="J698">
        <f>IFERROR(Table4[[#This Row],[energy_kwh]]/Table4[[#This Row],[expected_kwh]],0)</f>
        <v>0</v>
      </c>
      <c r="K698" t="str">
        <f>IF(Table4[[#This Row],[Performance_Ratio]] &lt; 0.85, "Underperforming", "Performing")</f>
        <v>Underperforming</v>
      </c>
      <c r="L698">
        <f>Table4[[#This Row],[energy_kwh]] - Table4[[#This Row],[expected_kwh]]</f>
        <v>0</v>
      </c>
      <c r="M698" t="str">
        <f>IF(Table4[[#This Row],[Performance_Deviation]] &lt; 0, "Underperforming", "Outperforming")</f>
        <v>Outperforming</v>
      </c>
      <c r="N698">
        <f>IF(Table4[[#This Row],[Performance_Ratio]] &lt; 0.85, Table4[[#This Row],[Performance_Deviation]] * 50 / 1000, 0)</f>
        <v>0</v>
      </c>
    </row>
    <row r="699" spans="1:14" x14ac:dyDescent="0.3">
      <c r="A699" s="6" t="s">
        <v>6</v>
      </c>
      <c r="B699" s="5">
        <v>45321.041666666664</v>
      </c>
      <c r="C699" s="6">
        <v>0</v>
      </c>
      <c r="D699" s="6">
        <v>0</v>
      </c>
      <c r="E699" s="6">
        <v>0</v>
      </c>
      <c r="F699" s="6">
        <v>62.880948735781097</v>
      </c>
      <c r="G699" s="6" t="str">
        <f t="shared" si="20"/>
        <v>OK</v>
      </c>
      <c r="H699" s="6" t="str">
        <f t="shared" si="21"/>
        <v>ZERO</v>
      </c>
      <c r="I699">
        <v>0</v>
      </c>
      <c r="J699">
        <f>IFERROR(Table4[[#This Row],[energy_kwh]]/Table4[[#This Row],[expected_kwh]],0)</f>
        <v>0</v>
      </c>
      <c r="K699" t="str">
        <f>IF(Table4[[#This Row],[Performance_Ratio]] &lt; 0.85, "Underperforming", "Performing")</f>
        <v>Underperforming</v>
      </c>
      <c r="L699">
        <f>Table4[[#This Row],[energy_kwh]] - Table4[[#This Row],[expected_kwh]]</f>
        <v>0</v>
      </c>
      <c r="M699" t="str">
        <f>IF(Table4[[#This Row],[Performance_Deviation]] &lt; 0, "Underperforming", "Outperforming")</f>
        <v>Outperforming</v>
      </c>
      <c r="N699">
        <f>IF(Table4[[#This Row],[Performance_Ratio]] &lt; 0.85, Table4[[#This Row],[Performance_Deviation]] * 50 / 1000, 0)</f>
        <v>0</v>
      </c>
    </row>
    <row r="700" spans="1:14" x14ac:dyDescent="0.3">
      <c r="A700" s="4" t="s">
        <v>6</v>
      </c>
      <c r="B700" s="3">
        <v>45321.083333333336</v>
      </c>
      <c r="C700" s="4">
        <v>0</v>
      </c>
      <c r="D700" s="4">
        <v>0</v>
      </c>
      <c r="E700" s="4">
        <v>0</v>
      </c>
      <c r="F700" s="4">
        <v>46.471887758926698</v>
      </c>
      <c r="G700" s="4" t="str">
        <f t="shared" si="20"/>
        <v>OK</v>
      </c>
      <c r="H700" s="4" t="str">
        <f t="shared" si="21"/>
        <v>ZERO</v>
      </c>
      <c r="I700">
        <v>0</v>
      </c>
      <c r="J700">
        <f>IFERROR(Table4[[#This Row],[energy_kwh]]/Table4[[#This Row],[expected_kwh]],0)</f>
        <v>0</v>
      </c>
      <c r="K700" t="str">
        <f>IF(Table4[[#This Row],[Performance_Ratio]] &lt; 0.85, "Underperforming", "Performing")</f>
        <v>Underperforming</v>
      </c>
      <c r="L700">
        <f>Table4[[#This Row],[energy_kwh]] - Table4[[#This Row],[expected_kwh]]</f>
        <v>0</v>
      </c>
      <c r="M700" t="str">
        <f>IF(Table4[[#This Row],[Performance_Deviation]] &lt; 0, "Underperforming", "Outperforming")</f>
        <v>Outperforming</v>
      </c>
      <c r="N700">
        <f>IF(Table4[[#This Row],[Performance_Ratio]] &lt; 0.85, Table4[[#This Row],[Performance_Deviation]] * 50 / 1000, 0)</f>
        <v>0</v>
      </c>
    </row>
    <row r="701" spans="1:14" x14ac:dyDescent="0.3">
      <c r="A701" s="6" t="s">
        <v>6</v>
      </c>
      <c r="B701" s="5">
        <v>45321.125</v>
      </c>
      <c r="C701" s="6">
        <v>0</v>
      </c>
      <c r="D701" s="6">
        <v>0</v>
      </c>
      <c r="E701" s="6">
        <v>0</v>
      </c>
      <c r="F701" s="6">
        <v>74.952428794271</v>
      </c>
      <c r="G701" s="6" t="str">
        <f t="shared" si="20"/>
        <v>OK</v>
      </c>
      <c r="H701" s="6" t="str">
        <f t="shared" si="21"/>
        <v>ZERO</v>
      </c>
      <c r="I701">
        <v>0</v>
      </c>
      <c r="J701">
        <f>IFERROR(Table4[[#This Row],[energy_kwh]]/Table4[[#This Row],[expected_kwh]],0)</f>
        <v>0</v>
      </c>
      <c r="K701" t="str">
        <f>IF(Table4[[#This Row],[Performance_Ratio]] &lt; 0.85, "Underperforming", "Performing")</f>
        <v>Underperforming</v>
      </c>
      <c r="L701">
        <f>Table4[[#This Row],[energy_kwh]] - Table4[[#This Row],[expected_kwh]]</f>
        <v>0</v>
      </c>
      <c r="M701" t="str">
        <f>IF(Table4[[#This Row],[Performance_Deviation]] &lt; 0, "Underperforming", "Outperforming")</f>
        <v>Outperforming</v>
      </c>
      <c r="N701">
        <f>IF(Table4[[#This Row],[Performance_Ratio]] &lt; 0.85, Table4[[#This Row],[Performance_Deviation]] * 50 / 1000, 0)</f>
        <v>0</v>
      </c>
    </row>
    <row r="702" spans="1:14" x14ac:dyDescent="0.3">
      <c r="A702" s="4" t="s">
        <v>6</v>
      </c>
      <c r="B702" s="3">
        <v>45321.166666666664</v>
      </c>
      <c r="C702" s="4">
        <v>0</v>
      </c>
      <c r="D702" s="4">
        <v>0</v>
      </c>
      <c r="E702" s="4">
        <v>0</v>
      </c>
      <c r="F702" s="4">
        <v>52.457515969944602</v>
      </c>
      <c r="G702" s="4" t="str">
        <f t="shared" si="20"/>
        <v>OK</v>
      </c>
      <c r="H702" s="4" t="str">
        <f t="shared" si="21"/>
        <v>ZERO</v>
      </c>
      <c r="I702">
        <v>0</v>
      </c>
      <c r="J702">
        <f>IFERROR(Table4[[#This Row],[energy_kwh]]/Table4[[#This Row],[expected_kwh]],0)</f>
        <v>0</v>
      </c>
      <c r="K702" t="str">
        <f>IF(Table4[[#This Row],[Performance_Ratio]] &lt; 0.85, "Underperforming", "Performing")</f>
        <v>Underperforming</v>
      </c>
      <c r="L702">
        <f>Table4[[#This Row],[energy_kwh]] - Table4[[#This Row],[expected_kwh]]</f>
        <v>0</v>
      </c>
      <c r="M702" t="str">
        <f>IF(Table4[[#This Row],[Performance_Deviation]] &lt; 0, "Underperforming", "Outperforming")</f>
        <v>Outperforming</v>
      </c>
      <c r="N702">
        <f>IF(Table4[[#This Row],[Performance_Ratio]] &lt; 0.85, Table4[[#This Row],[Performance_Deviation]] * 50 / 1000, 0)</f>
        <v>0</v>
      </c>
    </row>
    <row r="703" spans="1:14" x14ac:dyDescent="0.3">
      <c r="A703" s="6" t="s">
        <v>6</v>
      </c>
      <c r="B703" s="5">
        <v>45321.208333333336</v>
      </c>
      <c r="C703" s="6">
        <v>0</v>
      </c>
      <c r="D703" s="6">
        <v>0</v>
      </c>
      <c r="E703" s="6">
        <v>0</v>
      </c>
      <c r="F703" s="6">
        <v>24.243924211003598</v>
      </c>
      <c r="G703" s="6" t="str">
        <f t="shared" si="20"/>
        <v>OK</v>
      </c>
      <c r="H703" s="6" t="str">
        <f t="shared" si="21"/>
        <v>ZERO</v>
      </c>
      <c r="I703">
        <v>0</v>
      </c>
      <c r="J703">
        <f>IFERROR(Table4[[#This Row],[energy_kwh]]/Table4[[#This Row],[expected_kwh]],0)</f>
        <v>0</v>
      </c>
      <c r="K703" t="str">
        <f>IF(Table4[[#This Row],[Performance_Ratio]] &lt; 0.85, "Underperforming", "Performing")</f>
        <v>Underperforming</v>
      </c>
      <c r="L703">
        <f>Table4[[#This Row],[energy_kwh]] - Table4[[#This Row],[expected_kwh]]</f>
        <v>0</v>
      </c>
      <c r="M703" t="str">
        <f>IF(Table4[[#This Row],[Performance_Deviation]] &lt; 0, "Underperforming", "Outperforming")</f>
        <v>Outperforming</v>
      </c>
      <c r="N703">
        <f>IF(Table4[[#This Row],[Performance_Ratio]] &lt; 0.85, Table4[[#This Row],[Performance_Deviation]] * 50 / 1000, 0)</f>
        <v>0</v>
      </c>
    </row>
    <row r="704" spans="1:14" x14ac:dyDescent="0.3">
      <c r="A704" s="4" t="s">
        <v>6</v>
      </c>
      <c r="B704" s="3">
        <v>45321.25</v>
      </c>
      <c r="C704" s="4">
        <v>0</v>
      </c>
      <c r="D704" s="4">
        <v>0</v>
      </c>
      <c r="E704" s="4">
        <v>0</v>
      </c>
      <c r="F704" s="4">
        <v>67.421161522822899</v>
      </c>
      <c r="G704" s="4" t="str">
        <f t="shared" si="20"/>
        <v>OK</v>
      </c>
      <c r="H704" s="4" t="str">
        <f t="shared" si="21"/>
        <v>ZERO</v>
      </c>
      <c r="I704">
        <v>0</v>
      </c>
      <c r="J704">
        <f>IFERROR(Table4[[#This Row],[energy_kwh]]/Table4[[#This Row],[expected_kwh]],0)</f>
        <v>0</v>
      </c>
      <c r="K704" t="str">
        <f>IF(Table4[[#This Row],[Performance_Ratio]] &lt; 0.85, "Underperforming", "Performing")</f>
        <v>Underperforming</v>
      </c>
      <c r="L704">
        <f>Table4[[#This Row],[energy_kwh]] - Table4[[#This Row],[expected_kwh]]</f>
        <v>0</v>
      </c>
      <c r="M704" t="str">
        <f>IF(Table4[[#This Row],[Performance_Deviation]] &lt; 0, "Underperforming", "Outperforming")</f>
        <v>Outperforming</v>
      </c>
      <c r="N704">
        <f>IF(Table4[[#This Row],[Performance_Ratio]] &lt; 0.85, Table4[[#This Row],[Performance_Deviation]] * 50 / 1000, 0)</f>
        <v>0</v>
      </c>
    </row>
    <row r="705" spans="1:14" x14ac:dyDescent="0.3">
      <c r="A705" s="6" t="s">
        <v>6</v>
      </c>
      <c r="B705" s="5">
        <v>45321.291666666664</v>
      </c>
      <c r="C705" s="6">
        <v>97.238946812464903</v>
      </c>
      <c r="D705" s="6">
        <v>92.861405471546306</v>
      </c>
      <c r="E705" s="6">
        <v>92.861405471546306</v>
      </c>
      <c r="F705" s="6">
        <v>76.320484877248802</v>
      </c>
      <c r="G705" s="6" t="str">
        <f t="shared" si="20"/>
        <v>OK</v>
      </c>
      <c r="H705" s="6" t="str">
        <f t="shared" si="21"/>
        <v>NON-ZERO</v>
      </c>
      <c r="I705">
        <v>103.527618041008</v>
      </c>
      <c r="J705">
        <f>IFERROR(Table4[[#This Row],[energy_kwh]]/Table4[[#This Row],[expected_kwh]],0)</f>
        <v>0.89697229810467838</v>
      </c>
      <c r="K705" t="str">
        <f>IF(Table4[[#This Row],[Performance_Ratio]] &lt; 0.85, "Underperforming", "Performing")</f>
        <v>Performing</v>
      </c>
      <c r="L705">
        <f>Table4[[#This Row],[energy_kwh]] - Table4[[#This Row],[expected_kwh]]</f>
        <v>-10.666212569461692</v>
      </c>
      <c r="M705" t="str">
        <f>IF(Table4[[#This Row],[Performance_Deviation]] &lt; 0, "Underperforming", "Outperforming")</f>
        <v>Underperforming</v>
      </c>
      <c r="N705">
        <f>IF(Table4[[#This Row],[Performance_Ratio]] &lt; 0.85, Table4[[#This Row],[Performance_Deviation]] * 50 / 1000, 0)</f>
        <v>0</v>
      </c>
    </row>
    <row r="706" spans="1:14" x14ac:dyDescent="0.3">
      <c r="A706" s="4" t="s">
        <v>6</v>
      </c>
      <c r="B706" s="3">
        <v>45321.333333333336</v>
      </c>
      <c r="C706" s="4">
        <v>185.88029179489001</v>
      </c>
      <c r="D706" s="4">
        <v>177.512259350406</v>
      </c>
      <c r="E706" s="4">
        <v>177.512259350406</v>
      </c>
      <c r="F706" s="4">
        <v>93.527655570663796</v>
      </c>
      <c r="G706" s="4" t="str">
        <f t="shared" ref="G706:G769" si="22">IF(D706 &gt; C706, "ERROR", "OK")</f>
        <v>OK</v>
      </c>
      <c r="H706" s="4" t="str">
        <f t="shared" ref="H706:H769" si="23">IF(E706=0,"ZERO","NON-ZERO")</f>
        <v>NON-ZERO</v>
      </c>
      <c r="I706">
        <v>199.99999999999901</v>
      </c>
      <c r="J706">
        <f>IFERROR(Table4[[#This Row],[energy_kwh]]/Table4[[#This Row],[expected_kwh]],0)</f>
        <v>0.88756129675203443</v>
      </c>
      <c r="K706" t="str">
        <f>IF(Table4[[#This Row],[Performance_Ratio]] &lt; 0.85, "Underperforming", "Performing")</f>
        <v>Performing</v>
      </c>
      <c r="L706">
        <f>Table4[[#This Row],[energy_kwh]] - Table4[[#This Row],[expected_kwh]]</f>
        <v>-22.487740649593007</v>
      </c>
      <c r="M706" t="str">
        <f>IF(Table4[[#This Row],[Performance_Deviation]] &lt; 0, "Underperforming", "Outperforming")</f>
        <v>Underperforming</v>
      </c>
      <c r="N706">
        <f>IF(Table4[[#This Row],[Performance_Ratio]] &lt; 0.85, Table4[[#This Row],[Performance_Deviation]] * 50 / 1000, 0)</f>
        <v>0</v>
      </c>
    </row>
    <row r="707" spans="1:14" x14ac:dyDescent="0.3">
      <c r="A707" s="6" t="s">
        <v>6</v>
      </c>
      <c r="B707" s="5">
        <v>45321.375</v>
      </c>
      <c r="C707" s="6">
        <v>258.24597767771002</v>
      </c>
      <c r="D707" s="6">
        <v>246.62015818389801</v>
      </c>
      <c r="E707" s="6">
        <v>246.62015818389801</v>
      </c>
      <c r="F707" s="6">
        <v>33.452351150915703</v>
      </c>
      <c r="G707" s="6" t="str">
        <f t="shared" si="22"/>
        <v>OK</v>
      </c>
      <c r="H707" s="6" t="str">
        <f t="shared" si="23"/>
        <v>NON-ZERO</v>
      </c>
      <c r="I707">
        <v>282.84271247461902</v>
      </c>
      <c r="J707">
        <f>IFERROR(Table4[[#This Row],[energy_kwh]]/Table4[[#This Row],[expected_kwh]],0)</f>
        <v>0.87193393114566653</v>
      </c>
      <c r="K707" t="str">
        <f>IF(Table4[[#This Row],[Performance_Ratio]] &lt; 0.85, "Underperforming", "Performing")</f>
        <v>Performing</v>
      </c>
      <c r="L707">
        <f>Table4[[#This Row],[energy_kwh]] - Table4[[#This Row],[expected_kwh]]</f>
        <v>-36.222554290721007</v>
      </c>
      <c r="M707" t="str">
        <f>IF(Table4[[#This Row],[Performance_Deviation]] &lt; 0, "Underperforming", "Outperforming")</f>
        <v>Underperforming</v>
      </c>
      <c r="N707">
        <f>IF(Table4[[#This Row],[Performance_Ratio]] &lt; 0.85, Table4[[#This Row],[Performance_Deviation]] * 50 / 1000, 0)</f>
        <v>0</v>
      </c>
    </row>
    <row r="708" spans="1:14" x14ac:dyDescent="0.3">
      <c r="A708" s="4" t="s">
        <v>6</v>
      </c>
      <c r="B708" s="3">
        <v>45321.416666666664</v>
      </c>
      <c r="C708" s="4">
        <v>365.79245375873398</v>
      </c>
      <c r="D708" s="4">
        <v>349.32506449738003</v>
      </c>
      <c r="E708" s="4">
        <v>349.32506449738003</v>
      </c>
      <c r="F708" s="4">
        <v>45.9893125964538</v>
      </c>
      <c r="G708" s="4" t="str">
        <f t="shared" si="22"/>
        <v>OK</v>
      </c>
      <c r="H708" s="4" t="str">
        <f t="shared" si="23"/>
        <v>NON-ZERO</v>
      </c>
      <c r="I708">
        <v>346.41016151377499</v>
      </c>
      <c r="J708">
        <f>IFERROR(Table4[[#This Row],[energy_kwh]]/Table4[[#This Row],[expected_kwh]],0)</f>
        <v>1.00841460011123</v>
      </c>
      <c r="K708" t="str">
        <f>IF(Table4[[#This Row],[Performance_Ratio]] &lt; 0.85, "Underperforming", "Performing")</f>
        <v>Performing</v>
      </c>
      <c r="L708">
        <f>Table4[[#This Row],[energy_kwh]] - Table4[[#This Row],[expected_kwh]]</f>
        <v>2.9149029836050317</v>
      </c>
      <c r="M708" t="str">
        <f>IF(Table4[[#This Row],[Performance_Deviation]] &lt; 0, "Underperforming", "Outperforming")</f>
        <v>Outperforming</v>
      </c>
      <c r="N708">
        <f>IF(Table4[[#This Row],[Performance_Ratio]] &lt; 0.85, Table4[[#This Row],[Performance_Deviation]] * 50 / 1000, 0)</f>
        <v>0</v>
      </c>
    </row>
    <row r="709" spans="1:14" x14ac:dyDescent="0.3">
      <c r="A709" s="6" t="s">
        <v>6</v>
      </c>
      <c r="B709" s="5">
        <v>45321.458333333336</v>
      </c>
      <c r="C709" s="6">
        <v>350.462904599784</v>
      </c>
      <c r="D709" s="6">
        <v>334.685627041413</v>
      </c>
      <c r="E709" s="6">
        <v>334.685627041413</v>
      </c>
      <c r="F709" s="6">
        <v>35.399970403009902</v>
      </c>
      <c r="G709" s="6" t="str">
        <f t="shared" si="22"/>
        <v>OK</v>
      </c>
      <c r="H709" s="6" t="str">
        <f t="shared" si="23"/>
        <v>NON-ZERO</v>
      </c>
      <c r="I709">
        <v>386.37033051562702</v>
      </c>
      <c r="J709">
        <f>IFERROR(Table4[[#This Row],[energy_kwh]]/Table4[[#This Row],[expected_kwh]],0)</f>
        <v>0.8662301440039698</v>
      </c>
      <c r="K709" t="str">
        <f>IF(Table4[[#This Row],[Performance_Ratio]] &lt; 0.85, "Underperforming", "Performing")</f>
        <v>Performing</v>
      </c>
      <c r="L709">
        <f>Table4[[#This Row],[energy_kwh]] - Table4[[#This Row],[expected_kwh]]</f>
        <v>-51.684703474214018</v>
      </c>
      <c r="M709" t="str">
        <f>IF(Table4[[#This Row],[Performance_Deviation]] &lt; 0, "Underperforming", "Outperforming")</f>
        <v>Underperforming</v>
      </c>
      <c r="N709">
        <f>IF(Table4[[#This Row],[Performance_Ratio]] &lt; 0.85, Table4[[#This Row],[Performance_Deviation]] * 50 / 1000, 0)</f>
        <v>0</v>
      </c>
    </row>
    <row r="710" spans="1:14" x14ac:dyDescent="0.3">
      <c r="A710" s="4" t="s">
        <v>6</v>
      </c>
      <c r="B710" s="3">
        <v>45321.5</v>
      </c>
      <c r="C710" s="4">
        <v>331.07131362853801</v>
      </c>
      <c r="D710" s="4">
        <v>316.16701437696099</v>
      </c>
      <c r="E710" s="4">
        <v>316.16701437696099</v>
      </c>
      <c r="F710" s="4">
        <v>92.640299877491898</v>
      </c>
      <c r="G710" s="4" t="str">
        <f t="shared" si="22"/>
        <v>OK</v>
      </c>
      <c r="H710" s="4" t="str">
        <f t="shared" si="23"/>
        <v>NON-ZERO</v>
      </c>
      <c r="I710">
        <v>400</v>
      </c>
      <c r="J710">
        <f>IFERROR(Table4[[#This Row],[energy_kwh]]/Table4[[#This Row],[expected_kwh]],0)</f>
        <v>0.79041753594240249</v>
      </c>
      <c r="K710" t="str">
        <f>IF(Table4[[#This Row],[Performance_Ratio]] &lt; 0.85, "Underperforming", "Performing")</f>
        <v>Underperforming</v>
      </c>
      <c r="L710">
        <f>Table4[[#This Row],[energy_kwh]] - Table4[[#This Row],[expected_kwh]]</f>
        <v>-83.832985623039008</v>
      </c>
      <c r="M710" t="str">
        <f>IF(Table4[[#This Row],[Performance_Deviation]] &lt; 0, "Underperforming", "Outperforming")</f>
        <v>Underperforming</v>
      </c>
      <c r="N710">
        <f>IF(Table4[[#This Row],[Performance_Ratio]] &lt; 0.85, Table4[[#This Row],[Performance_Deviation]] * 50 / 1000, 0)</f>
        <v>-4.1916492811519506</v>
      </c>
    </row>
    <row r="711" spans="1:14" x14ac:dyDescent="0.3">
      <c r="A711" s="6" t="s">
        <v>6</v>
      </c>
      <c r="B711" s="5">
        <v>45321.541666666664</v>
      </c>
      <c r="C711" s="6">
        <v>363.58880784372798</v>
      </c>
      <c r="D711" s="6">
        <v>347.22062318515901</v>
      </c>
      <c r="E711" s="6">
        <v>347.22062318515901</v>
      </c>
      <c r="F711" s="6">
        <v>25.668771039054999</v>
      </c>
      <c r="G711" s="6" t="str">
        <f t="shared" si="22"/>
        <v>OK</v>
      </c>
      <c r="H711" s="6" t="str">
        <f t="shared" si="23"/>
        <v>NON-ZERO</v>
      </c>
      <c r="I711">
        <v>386.37033051562702</v>
      </c>
      <c r="J711">
        <f>IFERROR(Table4[[#This Row],[energy_kwh]]/Table4[[#This Row],[expected_kwh]],0)</f>
        <v>0.89867310132685108</v>
      </c>
      <c r="K711" t="str">
        <f>IF(Table4[[#This Row],[Performance_Ratio]] &lt; 0.85, "Underperforming", "Performing")</f>
        <v>Performing</v>
      </c>
      <c r="L711">
        <f>Table4[[#This Row],[energy_kwh]] - Table4[[#This Row],[expected_kwh]]</f>
        <v>-39.149707330468004</v>
      </c>
      <c r="M711" t="str">
        <f>IF(Table4[[#This Row],[Performance_Deviation]] &lt; 0, "Underperforming", "Outperforming")</f>
        <v>Underperforming</v>
      </c>
      <c r="N711">
        <f>IF(Table4[[#This Row],[Performance_Ratio]] &lt; 0.85, Table4[[#This Row],[Performance_Deviation]] * 50 / 1000, 0)</f>
        <v>0</v>
      </c>
    </row>
    <row r="712" spans="1:14" x14ac:dyDescent="0.3">
      <c r="A712" s="4" t="s">
        <v>6</v>
      </c>
      <c r="B712" s="3">
        <v>45321.583333333336</v>
      </c>
      <c r="C712" s="4">
        <v>327.06769221950299</v>
      </c>
      <c r="D712" s="4">
        <v>312.34362957893399</v>
      </c>
      <c r="E712" s="4">
        <v>312.34362957893399</v>
      </c>
      <c r="F712" s="4">
        <v>66.773658371769898</v>
      </c>
      <c r="G712" s="4" t="str">
        <f t="shared" si="22"/>
        <v>OK</v>
      </c>
      <c r="H712" s="4" t="str">
        <f t="shared" si="23"/>
        <v>NON-ZERO</v>
      </c>
      <c r="I712">
        <v>346.41016151377499</v>
      </c>
      <c r="J712">
        <f>IFERROR(Table4[[#This Row],[energy_kwh]]/Table4[[#This Row],[expected_kwh]],0)</f>
        <v>0.9016583930853127</v>
      </c>
      <c r="K712" t="str">
        <f>IF(Table4[[#This Row],[Performance_Ratio]] &lt; 0.85, "Underperforming", "Performing")</f>
        <v>Performing</v>
      </c>
      <c r="L712">
        <f>Table4[[#This Row],[energy_kwh]] - Table4[[#This Row],[expected_kwh]]</f>
        <v>-34.066531934841009</v>
      </c>
      <c r="M712" t="str">
        <f>IF(Table4[[#This Row],[Performance_Deviation]] &lt; 0, "Underperforming", "Outperforming")</f>
        <v>Underperforming</v>
      </c>
      <c r="N712">
        <f>IF(Table4[[#This Row],[Performance_Ratio]] &lt; 0.85, Table4[[#This Row],[Performance_Deviation]] * 50 / 1000, 0)</f>
        <v>0</v>
      </c>
    </row>
    <row r="713" spans="1:14" x14ac:dyDescent="0.3">
      <c r="A713" s="6" t="s">
        <v>6</v>
      </c>
      <c r="B713" s="5">
        <v>45321.625</v>
      </c>
      <c r="C713" s="6">
        <v>272.37710255470301</v>
      </c>
      <c r="D713" s="6">
        <v>260.11512249590697</v>
      </c>
      <c r="E713" s="6">
        <v>260.11512249590697</v>
      </c>
      <c r="F713" s="6">
        <v>21.1333013160856</v>
      </c>
      <c r="G713" s="6" t="str">
        <f t="shared" si="22"/>
        <v>OK</v>
      </c>
      <c r="H713" s="6" t="str">
        <f t="shared" si="23"/>
        <v>NON-ZERO</v>
      </c>
      <c r="I713">
        <v>282.84271247461902</v>
      </c>
      <c r="J713">
        <f>IFERROR(Table4[[#This Row],[energy_kwh]]/Table4[[#This Row],[expected_kwh]],0)</f>
        <v>0.91964583503012642</v>
      </c>
      <c r="K713" t="str">
        <f>IF(Table4[[#This Row],[Performance_Ratio]] &lt; 0.85, "Underperforming", "Performing")</f>
        <v>Performing</v>
      </c>
      <c r="L713">
        <f>Table4[[#This Row],[energy_kwh]] - Table4[[#This Row],[expected_kwh]]</f>
        <v>-22.727589978712047</v>
      </c>
      <c r="M713" t="str">
        <f>IF(Table4[[#This Row],[Performance_Deviation]] &lt; 0, "Underperforming", "Outperforming")</f>
        <v>Underperforming</v>
      </c>
      <c r="N713">
        <f>IF(Table4[[#This Row],[Performance_Ratio]] &lt; 0.85, Table4[[#This Row],[Performance_Deviation]] * 50 / 1000, 0)</f>
        <v>0</v>
      </c>
    </row>
    <row r="714" spans="1:14" x14ac:dyDescent="0.3">
      <c r="A714" s="4" t="s">
        <v>6</v>
      </c>
      <c r="B714" s="3">
        <v>45321.666666666664</v>
      </c>
      <c r="C714" s="4">
        <v>206.658759561376</v>
      </c>
      <c r="D714" s="4">
        <v>197.355313842372</v>
      </c>
      <c r="E714" s="4">
        <v>197.355313842372</v>
      </c>
      <c r="F714" s="4">
        <v>40.332219032304899</v>
      </c>
      <c r="G714" s="4" t="str">
        <f t="shared" si="22"/>
        <v>OK</v>
      </c>
      <c r="H714" s="4" t="str">
        <f t="shared" si="23"/>
        <v>NON-ZERO</v>
      </c>
      <c r="I714">
        <v>199.99999999999901</v>
      </c>
      <c r="J714">
        <f>IFERROR(Table4[[#This Row],[energy_kwh]]/Table4[[#This Row],[expected_kwh]],0)</f>
        <v>0.98677656921186485</v>
      </c>
      <c r="K714" t="str">
        <f>IF(Table4[[#This Row],[Performance_Ratio]] &lt; 0.85, "Underperforming", "Performing")</f>
        <v>Performing</v>
      </c>
      <c r="L714">
        <f>Table4[[#This Row],[energy_kwh]] - Table4[[#This Row],[expected_kwh]]</f>
        <v>-2.6446861576270067</v>
      </c>
      <c r="M714" t="str">
        <f>IF(Table4[[#This Row],[Performance_Deviation]] &lt; 0, "Underperforming", "Outperforming")</f>
        <v>Underperforming</v>
      </c>
      <c r="N714">
        <f>IF(Table4[[#This Row],[Performance_Ratio]] &lt; 0.85, Table4[[#This Row],[Performance_Deviation]] * 50 / 1000, 0)</f>
        <v>0</v>
      </c>
    </row>
    <row r="715" spans="1:14" x14ac:dyDescent="0.3">
      <c r="A715" s="6" t="s">
        <v>6</v>
      </c>
      <c r="B715" s="5">
        <v>45321.708333333336</v>
      </c>
      <c r="C715" s="6">
        <v>105.69727758086999</v>
      </c>
      <c r="D715" s="6">
        <v>100.938955762297</v>
      </c>
      <c r="E715" s="6">
        <v>100.938955762297</v>
      </c>
      <c r="F715" s="6">
        <v>91.005029669254597</v>
      </c>
      <c r="G715" s="6" t="str">
        <f t="shared" si="22"/>
        <v>OK</v>
      </c>
      <c r="H715" s="6" t="str">
        <f t="shared" si="23"/>
        <v>NON-ZERO</v>
      </c>
      <c r="I715">
        <v>103.527618041008</v>
      </c>
      <c r="J715">
        <f>IFERROR(Table4[[#This Row],[energy_kwh]]/Table4[[#This Row],[expected_kwh]],0)</f>
        <v>0.9749954424945273</v>
      </c>
      <c r="K715" t="str">
        <f>IF(Table4[[#This Row],[Performance_Ratio]] &lt; 0.85, "Underperforming", "Performing")</f>
        <v>Performing</v>
      </c>
      <c r="L715">
        <f>Table4[[#This Row],[energy_kwh]] - Table4[[#This Row],[expected_kwh]]</f>
        <v>-2.5886622787109985</v>
      </c>
      <c r="M715" t="str">
        <f>IF(Table4[[#This Row],[Performance_Deviation]] &lt; 0, "Underperforming", "Outperforming")</f>
        <v>Underperforming</v>
      </c>
      <c r="N715">
        <f>IF(Table4[[#This Row],[Performance_Ratio]] &lt; 0.85, Table4[[#This Row],[Performance_Deviation]] * 50 / 1000, 0)</f>
        <v>0</v>
      </c>
    </row>
    <row r="716" spans="1:14" x14ac:dyDescent="0.3">
      <c r="A716" s="4" t="s">
        <v>6</v>
      </c>
      <c r="B716" s="3">
        <v>45321.75</v>
      </c>
      <c r="C716" s="7">
        <v>4.57996483876925E-14</v>
      </c>
      <c r="D716" s="7">
        <v>4.3737821714442701E-14</v>
      </c>
      <c r="E716" s="7">
        <v>4.3737821714442701E-14</v>
      </c>
      <c r="F716" s="4">
        <v>71.008391408522897</v>
      </c>
      <c r="G716" s="4" t="str">
        <f t="shared" si="22"/>
        <v>OK</v>
      </c>
      <c r="H716" s="4" t="str">
        <f t="shared" si="23"/>
        <v>NON-ZERO</v>
      </c>
      <c r="I716" s="2">
        <v>4.8985871965894097E-14</v>
      </c>
      <c r="J716">
        <f>IFERROR(Table4[[#This Row],[energy_kwh]]/Table4[[#This Row],[expected_kwh]],0)</f>
        <v>0.89286604400743752</v>
      </c>
      <c r="K716" t="str">
        <f>IF(Table4[[#This Row],[Performance_Ratio]] &lt; 0.85, "Underperforming", "Performing")</f>
        <v>Performing</v>
      </c>
      <c r="L716">
        <f>Table4[[#This Row],[energy_kwh]] - Table4[[#This Row],[expected_kwh]]</f>
        <v>-5.2480502514513957E-15</v>
      </c>
      <c r="M716" t="str">
        <f>IF(Table4[[#This Row],[Performance_Deviation]] &lt; 0, "Underperforming", "Outperforming")</f>
        <v>Underperforming</v>
      </c>
      <c r="N716">
        <f>IF(Table4[[#This Row],[Performance_Ratio]] &lt; 0.85, Table4[[#This Row],[Performance_Deviation]] * 50 / 1000, 0)</f>
        <v>0</v>
      </c>
    </row>
    <row r="717" spans="1:14" x14ac:dyDescent="0.3">
      <c r="A717" s="6" t="s">
        <v>6</v>
      </c>
      <c r="B717" s="5">
        <v>45321.791666666664</v>
      </c>
      <c r="C717" s="6">
        <v>0</v>
      </c>
      <c r="D717" s="6">
        <v>0</v>
      </c>
      <c r="E717" s="6">
        <v>0</v>
      </c>
      <c r="F717" s="6">
        <v>63.719454260319701</v>
      </c>
      <c r="G717" s="6" t="str">
        <f t="shared" si="22"/>
        <v>OK</v>
      </c>
      <c r="H717" s="6" t="str">
        <f t="shared" si="23"/>
        <v>ZERO</v>
      </c>
      <c r="I717">
        <v>0</v>
      </c>
      <c r="J717">
        <f>IFERROR(Table4[[#This Row],[energy_kwh]]/Table4[[#This Row],[expected_kwh]],0)</f>
        <v>0</v>
      </c>
      <c r="K717" t="str">
        <f>IF(Table4[[#This Row],[Performance_Ratio]] &lt; 0.85, "Underperforming", "Performing")</f>
        <v>Underperforming</v>
      </c>
      <c r="L717">
        <f>Table4[[#This Row],[energy_kwh]] - Table4[[#This Row],[expected_kwh]]</f>
        <v>0</v>
      </c>
      <c r="M717" t="str">
        <f>IF(Table4[[#This Row],[Performance_Deviation]] &lt; 0, "Underperforming", "Outperforming")</f>
        <v>Outperforming</v>
      </c>
      <c r="N717">
        <f>IF(Table4[[#This Row],[Performance_Ratio]] &lt; 0.85, Table4[[#This Row],[Performance_Deviation]] * 50 / 1000, 0)</f>
        <v>0</v>
      </c>
    </row>
    <row r="718" spans="1:14" x14ac:dyDescent="0.3">
      <c r="A718" s="4" t="s">
        <v>6</v>
      </c>
      <c r="B718" s="3">
        <v>45321.833333333336</v>
      </c>
      <c r="C718" s="4">
        <v>0</v>
      </c>
      <c r="D718" s="4">
        <v>0</v>
      </c>
      <c r="E718" s="4">
        <v>0</v>
      </c>
      <c r="F718" s="4">
        <v>82.985120499831993</v>
      </c>
      <c r="G718" s="4" t="str">
        <f t="shared" si="22"/>
        <v>OK</v>
      </c>
      <c r="H718" s="4" t="str">
        <f t="shared" si="23"/>
        <v>ZERO</v>
      </c>
      <c r="I718">
        <v>0</v>
      </c>
      <c r="J718">
        <f>IFERROR(Table4[[#This Row],[energy_kwh]]/Table4[[#This Row],[expected_kwh]],0)</f>
        <v>0</v>
      </c>
      <c r="K718" t="str">
        <f>IF(Table4[[#This Row],[Performance_Ratio]] &lt; 0.85, "Underperforming", "Performing")</f>
        <v>Underperforming</v>
      </c>
      <c r="L718">
        <f>Table4[[#This Row],[energy_kwh]] - Table4[[#This Row],[expected_kwh]]</f>
        <v>0</v>
      </c>
      <c r="M718" t="str">
        <f>IF(Table4[[#This Row],[Performance_Deviation]] &lt; 0, "Underperforming", "Outperforming")</f>
        <v>Outperforming</v>
      </c>
      <c r="N718">
        <f>IF(Table4[[#This Row],[Performance_Ratio]] &lt; 0.85, Table4[[#This Row],[Performance_Deviation]] * 50 / 1000, 0)</f>
        <v>0</v>
      </c>
    </row>
    <row r="719" spans="1:14" x14ac:dyDescent="0.3">
      <c r="A719" s="6" t="s">
        <v>6</v>
      </c>
      <c r="B719" s="5">
        <v>45321.875</v>
      </c>
      <c r="C719" s="6">
        <v>0</v>
      </c>
      <c r="D719" s="6">
        <v>0</v>
      </c>
      <c r="E719" s="6">
        <v>0</v>
      </c>
      <c r="F719" s="6">
        <v>93.275521582920703</v>
      </c>
      <c r="G719" s="6" t="str">
        <f t="shared" si="22"/>
        <v>OK</v>
      </c>
      <c r="H719" s="6" t="str">
        <f t="shared" si="23"/>
        <v>ZERO</v>
      </c>
      <c r="I719">
        <v>0</v>
      </c>
      <c r="J719">
        <f>IFERROR(Table4[[#This Row],[energy_kwh]]/Table4[[#This Row],[expected_kwh]],0)</f>
        <v>0</v>
      </c>
      <c r="K719" t="str">
        <f>IF(Table4[[#This Row],[Performance_Ratio]] &lt; 0.85, "Underperforming", "Performing")</f>
        <v>Underperforming</v>
      </c>
      <c r="L719">
        <f>Table4[[#This Row],[energy_kwh]] - Table4[[#This Row],[expected_kwh]]</f>
        <v>0</v>
      </c>
      <c r="M719" t="str">
        <f>IF(Table4[[#This Row],[Performance_Deviation]] &lt; 0, "Underperforming", "Outperforming")</f>
        <v>Outperforming</v>
      </c>
      <c r="N719">
        <f>IF(Table4[[#This Row],[Performance_Ratio]] &lt; 0.85, Table4[[#This Row],[Performance_Deviation]] * 50 / 1000, 0)</f>
        <v>0</v>
      </c>
    </row>
    <row r="720" spans="1:14" x14ac:dyDescent="0.3">
      <c r="A720" s="4" t="s">
        <v>6</v>
      </c>
      <c r="B720" s="3">
        <v>45321.916666666664</v>
      </c>
      <c r="C720" s="4">
        <v>0</v>
      </c>
      <c r="D720" s="4">
        <v>0</v>
      </c>
      <c r="E720" s="4">
        <v>0</v>
      </c>
      <c r="F720" s="4">
        <v>52.551572953156899</v>
      </c>
      <c r="G720" s="4" t="str">
        <f t="shared" si="22"/>
        <v>OK</v>
      </c>
      <c r="H720" s="4" t="str">
        <f t="shared" si="23"/>
        <v>ZERO</v>
      </c>
      <c r="I720">
        <v>0</v>
      </c>
      <c r="J720">
        <f>IFERROR(Table4[[#This Row],[energy_kwh]]/Table4[[#This Row],[expected_kwh]],0)</f>
        <v>0</v>
      </c>
      <c r="K720" t="str">
        <f>IF(Table4[[#This Row],[Performance_Ratio]] &lt; 0.85, "Underperforming", "Performing")</f>
        <v>Underperforming</v>
      </c>
      <c r="L720">
        <f>Table4[[#This Row],[energy_kwh]] - Table4[[#This Row],[expected_kwh]]</f>
        <v>0</v>
      </c>
      <c r="M720" t="str">
        <f>IF(Table4[[#This Row],[Performance_Deviation]] &lt; 0, "Underperforming", "Outperforming")</f>
        <v>Outperforming</v>
      </c>
      <c r="N720">
        <f>IF(Table4[[#This Row],[Performance_Ratio]] &lt; 0.85, Table4[[#This Row],[Performance_Deviation]] * 50 / 1000, 0)</f>
        <v>0</v>
      </c>
    </row>
    <row r="721" spans="1:14" x14ac:dyDescent="0.3">
      <c r="A721" s="6" t="s">
        <v>6</v>
      </c>
      <c r="B721" s="5">
        <v>45321.958333333336</v>
      </c>
      <c r="C721" s="6">
        <v>0</v>
      </c>
      <c r="D721" s="6">
        <v>0</v>
      </c>
      <c r="E721" s="6">
        <v>0</v>
      </c>
      <c r="F721" s="6">
        <v>74.258586338750007</v>
      </c>
      <c r="G721" s="6" t="str">
        <f t="shared" si="22"/>
        <v>OK</v>
      </c>
      <c r="H721" s="6" t="str">
        <f t="shared" si="23"/>
        <v>ZERO</v>
      </c>
      <c r="I721">
        <v>0</v>
      </c>
      <c r="J721">
        <f>IFERROR(Table4[[#This Row],[energy_kwh]]/Table4[[#This Row],[expected_kwh]],0)</f>
        <v>0</v>
      </c>
      <c r="K721" t="str">
        <f>IF(Table4[[#This Row],[Performance_Ratio]] &lt; 0.85, "Underperforming", "Performing")</f>
        <v>Underperforming</v>
      </c>
      <c r="L721">
        <f>Table4[[#This Row],[energy_kwh]] - Table4[[#This Row],[expected_kwh]]</f>
        <v>0</v>
      </c>
      <c r="M721" t="str">
        <f>IF(Table4[[#This Row],[Performance_Deviation]] &lt; 0, "Underperforming", "Outperforming")</f>
        <v>Outperforming</v>
      </c>
      <c r="N721">
        <f>IF(Table4[[#This Row],[Performance_Ratio]] &lt; 0.85, Table4[[#This Row],[Performance_Deviation]] * 50 / 1000, 0)</f>
        <v>0</v>
      </c>
    </row>
    <row r="722" spans="1:14" x14ac:dyDescent="0.3">
      <c r="A722" s="4" t="s">
        <v>6</v>
      </c>
      <c r="B722" s="3">
        <v>45322</v>
      </c>
      <c r="C722" s="4">
        <v>0</v>
      </c>
      <c r="D722" s="4">
        <v>0</v>
      </c>
      <c r="E722" s="4">
        <v>0</v>
      </c>
      <c r="F722" s="4">
        <v>38.151655998565701</v>
      </c>
      <c r="G722" s="4" t="str">
        <f t="shared" si="22"/>
        <v>OK</v>
      </c>
      <c r="H722" s="4" t="str">
        <f t="shared" si="23"/>
        <v>ZERO</v>
      </c>
      <c r="I722">
        <v>0</v>
      </c>
      <c r="J722">
        <f>IFERROR(Table4[[#This Row],[energy_kwh]]/Table4[[#This Row],[expected_kwh]],0)</f>
        <v>0</v>
      </c>
      <c r="K722" t="str">
        <f>IF(Table4[[#This Row],[Performance_Ratio]] &lt; 0.85, "Underperforming", "Performing")</f>
        <v>Underperforming</v>
      </c>
      <c r="L722">
        <f>Table4[[#This Row],[energy_kwh]] - Table4[[#This Row],[expected_kwh]]</f>
        <v>0</v>
      </c>
      <c r="M722" t="str">
        <f>IF(Table4[[#This Row],[Performance_Deviation]] &lt; 0, "Underperforming", "Outperforming")</f>
        <v>Outperforming</v>
      </c>
      <c r="N722">
        <f>IF(Table4[[#This Row],[Performance_Ratio]] &lt; 0.85, Table4[[#This Row],[Performance_Deviation]] * 50 / 1000, 0)</f>
        <v>0</v>
      </c>
    </row>
    <row r="723" spans="1:14" x14ac:dyDescent="0.3">
      <c r="A723" s="6" t="s">
        <v>6</v>
      </c>
      <c r="B723" s="5">
        <v>45322.041666666664</v>
      </c>
      <c r="C723" s="6">
        <v>0</v>
      </c>
      <c r="D723" s="6">
        <v>0</v>
      </c>
      <c r="E723" s="6">
        <v>0</v>
      </c>
      <c r="F723" s="6">
        <v>34.945275235010001</v>
      </c>
      <c r="G723" s="6" t="str">
        <f t="shared" si="22"/>
        <v>OK</v>
      </c>
      <c r="H723" s="6" t="str">
        <f t="shared" si="23"/>
        <v>ZERO</v>
      </c>
      <c r="I723">
        <v>0</v>
      </c>
      <c r="J723">
        <f>IFERROR(Table4[[#This Row],[energy_kwh]]/Table4[[#This Row],[expected_kwh]],0)</f>
        <v>0</v>
      </c>
      <c r="K723" t="str">
        <f>IF(Table4[[#This Row],[Performance_Ratio]] &lt; 0.85, "Underperforming", "Performing")</f>
        <v>Underperforming</v>
      </c>
      <c r="L723">
        <f>Table4[[#This Row],[energy_kwh]] - Table4[[#This Row],[expected_kwh]]</f>
        <v>0</v>
      </c>
      <c r="M723" t="str">
        <f>IF(Table4[[#This Row],[Performance_Deviation]] &lt; 0, "Underperforming", "Outperforming")</f>
        <v>Outperforming</v>
      </c>
      <c r="N723">
        <f>IF(Table4[[#This Row],[Performance_Ratio]] &lt; 0.85, Table4[[#This Row],[Performance_Deviation]] * 50 / 1000, 0)</f>
        <v>0</v>
      </c>
    </row>
    <row r="724" spans="1:14" x14ac:dyDescent="0.3">
      <c r="A724" s="4" t="s">
        <v>6</v>
      </c>
      <c r="B724" s="3">
        <v>45322.083333333336</v>
      </c>
      <c r="C724" s="4">
        <v>0</v>
      </c>
      <c r="D724" s="4">
        <v>0</v>
      </c>
      <c r="E724" s="4">
        <v>0</v>
      </c>
      <c r="F724" s="4">
        <v>36.080486224487302</v>
      </c>
      <c r="G724" s="4" t="str">
        <f t="shared" si="22"/>
        <v>OK</v>
      </c>
      <c r="H724" s="4" t="str">
        <f t="shared" si="23"/>
        <v>ZERO</v>
      </c>
      <c r="I724">
        <v>0</v>
      </c>
      <c r="J724">
        <f>IFERROR(Table4[[#This Row],[energy_kwh]]/Table4[[#This Row],[expected_kwh]],0)</f>
        <v>0</v>
      </c>
      <c r="K724" t="str">
        <f>IF(Table4[[#This Row],[Performance_Ratio]] &lt; 0.85, "Underperforming", "Performing")</f>
        <v>Underperforming</v>
      </c>
      <c r="L724">
        <f>Table4[[#This Row],[energy_kwh]] - Table4[[#This Row],[expected_kwh]]</f>
        <v>0</v>
      </c>
      <c r="M724" t="str">
        <f>IF(Table4[[#This Row],[Performance_Deviation]] &lt; 0, "Underperforming", "Outperforming")</f>
        <v>Outperforming</v>
      </c>
      <c r="N724">
        <f>IF(Table4[[#This Row],[Performance_Ratio]] &lt; 0.85, Table4[[#This Row],[Performance_Deviation]] * 50 / 1000, 0)</f>
        <v>0</v>
      </c>
    </row>
    <row r="725" spans="1:14" x14ac:dyDescent="0.3">
      <c r="A725" s="6" t="s">
        <v>6</v>
      </c>
      <c r="B725" s="5">
        <v>45322.125</v>
      </c>
      <c r="C725" s="6">
        <v>0</v>
      </c>
      <c r="D725" s="6">
        <v>0</v>
      </c>
      <c r="E725" s="6">
        <v>0</v>
      </c>
      <c r="F725" s="6">
        <v>24.689472180713398</v>
      </c>
      <c r="G725" s="6" t="str">
        <f t="shared" si="22"/>
        <v>OK</v>
      </c>
      <c r="H725" s="6" t="str">
        <f t="shared" si="23"/>
        <v>ZERO</v>
      </c>
      <c r="I725">
        <v>0</v>
      </c>
      <c r="J725">
        <f>IFERROR(Table4[[#This Row],[energy_kwh]]/Table4[[#This Row],[expected_kwh]],0)</f>
        <v>0</v>
      </c>
      <c r="K725" t="str">
        <f>IF(Table4[[#This Row],[Performance_Ratio]] &lt; 0.85, "Underperforming", "Performing")</f>
        <v>Underperforming</v>
      </c>
      <c r="L725">
        <f>Table4[[#This Row],[energy_kwh]] - Table4[[#This Row],[expected_kwh]]</f>
        <v>0</v>
      </c>
      <c r="M725" t="str">
        <f>IF(Table4[[#This Row],[Performance_Deviation]] &lt; 0, "Underperforming", "Outperforming")</f>
        <v>Outperforming</v>
      </c>
      <c r="N725">
        <f>IF(Table4[[#This Row],[Performance_Ratio]] &lt; 0.85, Table4[[#This Row],[Performance_Deviation]] * 50 / 1000, 0)</f>
        <v>0</v>
      </c>
    </row>
    <row r="726" spans="1:14" x14ac:dyDescent="0.3">
      <c r="A726" s="4" t="s">
        <v>6</v>
      </c>
      <c r="B726" s="3">
        <v>45322.166666666664</v>
      </c>
      <c r="C726" s="4">
        <v>0</v>
      </c>
      <c r="D726" s="4">
        <v>0</v>
      </c>
      <c r="E726" s="4">
        <v>0</v>
      </c>
      <c r="F726" s="4">
        <v>26.086188390217899</v>
      </c>
      <c r="G726" s="4" t="str">
        <f t="shared" si="22"/>
        <v>OK</v>
      </c>
      <c r="H726" s="4" t="str">
        <f t="shared" si="23"/>
        <v>ZERO</v>
      </c>
      <c r="I726">
        <v>0</v>
      </c>
      <c r="J726">
        <f>IFERROR(Table4[[#This Row],[energy_kwh]]/Table4[[#This Row],[expected_kwh]],0)</f>
        <v>0</v>
      </c>
      <c r="K726" t="str">
        <f>IF(Table4[[#This Row],[Performance_Ratio]] &lt; 0.85, "Underperforming", "Performing")</f>
        <v>Underperforming</v>
      </c>
      <c r="L726">
        <f>Table4[[#This Row],[energy_kwh]] - Table4[[#This Row],[expected_kwh]]</f>
        <v>0</v>
      </c>
      <c r="M726" t="str">
        <f>IF(Table4[[#This Row],[Performance_Deviation]] &lt; 0, "Underperforming", "Outperforming")</f>
        <v>Outperforming</v>
      </c>
      <c r="N726">
        <f>IF(Table4[[#This Row],[Performance_Ratio]] &lt; 0.85, Table4[[#This Row],[Performance_Deviation]] * 50 / 1000, 0)</f>
        <v>0</v>
      </c>
    </row>
    <row r="727" spans="1:14" x14ac:dyDescent="0.3">
      <c r="A727" s="6" t="s">
        <v>6</v>
      </c>
      <c r="B727" s="5">
        <v>45322.208333333336</v>
      </c>
      <c r="C727" s="6">
        <v>0</v>
      </c>
      <c r="D727" s="6">
        <v>0</v>
      </c>
      <c r="E727" s="6">
        <v>0</v>
      </c>
      <c r="F727" s="6">
        <v>80.381773887174703</v>
      </c>
      <c r="G727" s="6" t="str">
        <f t="shared" si="22"/>
        <v>OK</v>
      </c>
      <c r="H727" s="6" t="str">
        <f t="shared" si="23"/>
        <v>ZERO</v>
      </c>
      <c r="I727">
        <v>0</v>
      </c>
      <c r="J727">
        <f>IFERROR(Table4[[#This Row],[energy_kwh]]/Table4[[#This Row],[expected_kwh]],0)</f>
        <v>0</v>
      </c>
      <c r="K727" t="str">
        <f>IF(Table4[[#This Row],[Performance_Ratio]] &lt; 0.85, "Underperforming", "Performing")</f>
        <v>Underperforming</v>
      </c>
      <c r="L727">
        <f>Table4[[#This Row],[energy_kwh]] - Table4[[#This Row],[expected_kwh]]</f>
        <v>0</v>
      </c>
      <c r="M727" t="str">
        <f>IF(Table4[[#This Row],[Performance_Deviation]] &lt; 0, "Underperforming", "Outperforming")</f>
        <v>Outperforming</v>
      </c>
      <c r="N727">
        <f>IF(Table4[[#This Row],[Performance_Ratio]] &lt; 0.85, Table4[[#This Row],[Performance_Deviation]] * 50 / 1000, 0)</f>
        <v>0</v>
      </c>
    </row>
    <row r="728" spans="1:14" x14ac:dyDescent="0.3">
      <c r="A728" s="4" t="s">
        <v>6</v>
      </c>
      <c r="B728" s="3">
        <v>45322.25</v>
      </c>
      <c r="C728" s="4">
        <v>0</v>
      </c>
      <c r="D728" s="4">
        <v>0</v>
      </c>
      <c r="E728" s="4">
        <v>0</v>
      </c>
      <c r="F728" s="4">
        <v>75.343804501551901</v>
      </c>
      <c r="G728" s="4" t="str">
        <f t="shared" si="22"/>
        <v>OK</v>
      </c>
      <c r="H728" s="4" t="str">
        <f t="shared" si="23"/>
        <v>ZERO</v>
      </c>
      <c r="I728">
        <v>0</v>
      </c>
      <c r="J728">
        <f>IFERROR(Table4[[#This Row],[energy_kwh]]/Table4[[#This Row],[expected_kwh]],0)</f>
        <v>0</v>
      </c>
      <c r="K728" t="str">
        <f>IF(Table4[[#This Row],[Performance_Ratio]] &lt; 0.85, "Underperforming", "Performing")</f>
        <v>Underperforming</v>
      </c>
      <c r="L728">
        <f>Table4[[#This Row],[energy_kwh]] - Table4[[#This Row],[expected_kwh]]</f>
        <v>0</v>
      </c>
      <c r="M728" t="str">
        <f>IF(Table4[[#This Row],[Performance_Deviation]] &lt; 0, "Underperforming", "Outperforming")</f>
        <v>Outperforming</v>
      </c>
      <c r="N728">
        <f>IF(Table4[[#This Row],[Performance_Ratio]] &lt; 0.85, Table4[[#This Row],[Performance_Deviation]] * 50 / 1000, 0)</f>
        <v>0</v>
      </c>
    </row>
    <row r="729" spans="1:14" x14ac:dyDescent="0.3">
      <c r="A729" s="6" t="s">
        <v>6</v>
      </c>
      <c r="B729" s="5">
        <v>45322.291666666664</v>
      </c>
      <c r="C729" s="6">
        <v>99.849720168862603</v>
      </c>
      <c r="D729" s="6">
        <v>95.354646001087701</v>
      </c>
      <c r="E729" s="6">
        <v>95.354646001087701</v>
      </c>
      <c r="F729" s="6">
        <v>47.833470382259499</v>
      </c>
      <c r="G729" s="6" t="str">
        <f t="shared" si="22"/>
        <v>OK</v>
      </c>
      <c r="H729" s="6" t="str">
        <f t="shared" si="23"/>
        <v>NON-ZERO</v>
      </c>
      <c r="I729">
        <v>103.527618041008</v>
      </c>
      <c r="J729">
        <f>IFERROR(Table4[[#This Row],[energy_kwh]]/Table4[[#This Row],[expected_kwh]],0)</f>
        <v>0.92105515229102508</v>
      </c>
      <c r="K729" t="str">
        <f>IF(Table4[[#This Row],[Performance_Ratio]] &lt; 0.85, "Underperforming", "Performing")</f>
        <v>Performing</v>
      </c>
      <c r="L729">
        <f>Table4[[#This Row],[energy_kwh]] - Table4[[#This Row],[expected_kwh]]</f>
        <v>-8.1729720399202961</v>
      </c>
      <c r="M729" t="str">
        <f>IF(Table4[[#This Row],[Performance_Deviation]] &lt; 0, "Underperforming", "Outperforming")</f>
        <v>Underperforming</v>
      </c>
      <c r="N729">
        <f>IF(Table4[[#This Row],[Performance_Ratio]] &lt; 0.85, Table4[[#This Row],[Performance_Deviation]] * 50 / 1000, 0)</f>
        <v>0</v>
      </c>
    </row>
    <row r="730" spans="1:14" x14ac:dyDescent="0.3">
      <c r="A730" s="4" t="s">
        <v>6</v>
      </c>
      <c r="B730" s="3">
        <v>45322.333333333336</v>
      </c>
      <c r="C730" s="4">
        <v>192.153646825095</v>
      </c>
      <c r="D730" s="4">
        <v>183.50319800434201</v>
      </c>
      <c r="E730" s="4">
        <v>183.50319800434201</v>
      </c>
      <c r="F730" s="4">
        <v>47.633668993743399</v>
      </c>
      <c r="G730" s="4" t="str">
        <f t="shared" si="22"/>
        <v>OK</v>
      </c>
      <c r="H730" s="4" t="str">
        <f t="shared" si="23"/>
        <v>NON-ZERO</v>
      </c>
      <c r="I730">
        <v>199.99999999999901</v>
      </c>
      <c r="J730">
        <f>IFERROR(Table4[[#This Row],[energy_kwh]]/Table4[[#This Row],[expected_kwh]],0)</f>
        <v>0.91751599002171458</v>
      </c>
      <c r="K730" t="str">
        <f>IF(Table4[[#This Row],[Performance_Ratio]] &lt; 0.85, "Underperforming", "Performing")</f>
        <v>Performing</v>
      </c>
      <c r="L730">
        <f>Table4[[#This Row],[energy_kwh]] - Table4[[#This Row],[expected_kwh]]</f>
        <v>-16.496801995656995</v>
      </c>
      <c r="M730" t="str">
        <f>IF(Table4[[#This Row],[Performance_Deviation]] &lt; 0, "Underperforming", "Outperforming")</f>
        <v>Underperforming</v>
      </c>
      <c r="N730">
        <f>IF(Table4[[#This Row],[Performance_Ratio]] &lt; 0.85, Table4[[#This Row],[Performance_Deviation]] * 50 / 1000, 0)</f>
        <v>0</v>
      </c>
    </row>
    <row r="731" spans="1:14" x14ac:dyDescent="0.3">
      <c r="A731" s="6" t="s">
        <v>6</v>
      </c>
      <c r="B731" s="5">
        <v>45322.375</v>
      </c>
      <c r="C731" s="6">
        <v>283.87585651028502</v>
      </c>
      <c r="D731" s="6">
        <v>271.09622100107799</v>
      </c>
      <c r="E731" s="6">
        <v>271.09622100107799</v>
      </c>
      <c r="F731" s="6">
        <v>79.054027006424903</v>
      </c>
      <c r="G731" s="6" t="str">
        <f t="shared" si="22"/>
        <v>OK</v>
      </c>
      <c r="H731" s="6" t="str">
        <f t="shared" si="23"/>
        <v>NON-ZERO</v>
      </c>
      <c r="I731">
        <v>282.84271247461902</v>
      </c>
      <c r="J731">
        <f>IFERROR(Table4[[#This Row],[energy_kwh]]/Table4[[#This Row],[expected_kwh]],0)</f>
        <v>0.9584698811195459</v>
      </c>
      <c r="K731" t="str">
        <f>IF(Table4[[#This Row],[Performance_Ratio]] &lt; 0.85, "Underperforming", "Performing")</f>
        <v>Performing</v>
      </c>
      <c r="L731">
        <f>Table4[[#This Row],[energy_kwh]] - Table4[[#This Row],[expected_kwh]]</f>
        <v>-11.746491473541028</v>
      </c>
      <c r="M731" t="str">
        <f>IF(Table4[[#This Row],[Performance_Deviation]] &lt; 0, "Underperforming", "Outperforming")</f>
        <v>Underperforming</v>
      </c>
      <c r="N731">
        <f>IF(Table4[[#This Row],[Performance_Ratio]] &lt; 0.85, Table4[[#This Row],[Performance_Deviation]] * 50 / 1000, 0)</f>
        <v>0</v>
      </c>
    </row>
    <row r="732" spans="1:14" x14ac:dyDescent="0.3">
      <c r="A732" s="4" t="s">
        <v>6</v>
      </c>
      <c r="B732" s="3">
        <v>45322.416666666664</v>
      </c>
      <c r="C732" s="4">
        <v>381.01543447432698</v>
      </c>
      <c r="D732" s="4">
        <v>363.862731050295</v>
      </c>
      <c r="E732" s="4">
        <v>363.862731050295</v>
      </c>
      <c r="F732" s="4">
        <v>52.0701000277503</v>
      </c>
      <c r="G732" s="4" t="str">
        <f t="shared" si="22"/>
        <v>OK</v>
      </c>
      <c r="H732" s="4" t="str">
        <f t="shared" si="23"/>
        <v>NON-ZERO</v>
      </c>
      <c r="I732">
        <v>346.41016151377499</v>
      </c>
      <c r="J732">
        <f>IFERROR(Table4[[#This Row],[energy_kwh]]/Table4[[#This Row],[expected_kwh]],0)</f>
        <v>1.0503812285998024</v>
      </c>
      <c r="K732" t="str">
        <f>IF(Table4[[#This Row],[Performance_Ratio]] &lt; 0.85, "Underperforming", "Performing")</f>
        <v>Performing</v>
      </c>
      <c r="L732">
        <f>Table4[[#This Row],[energy_kwh]] - Table4[[#This Row],[expected_kwh]]</f>
        <v>17.452569536520002</v>
      </c>
      <c r="M732" t="str">
        <f>IF(Table4[[#This Row],[Performance_Deviation]] &lt; 0, "Underperforming", "Outperforming")</f>
        <v>Outperforming</v>
      </c>
      <c r="N732">
        <f>IF(Table4[[#This Row],[Performance_Ratio]] &lt; 0.85, Table4[[#This Row],[Performance_Deviation]] * 50 / 1000, 0)</f>
        <v>0</v>
      </c>
    </row>
    <row r="733" spans="1:14" x14ac:dyDescent="0.3">
      <c r="A733" s="6" t="s">
        <v>6</v>
      </c>
      <c r="B733" s="5">
        <v>45322.458333333336</v>
      </c>
      <c r="C733" s="6">
        <v>346.75106571613497</v>
      </c>
      <c r="D733" s="6">
        <v>331.14088918771699</v>
      </c>
      <c r="E733" s="6">
        <v>331.14088918771699</v>
      </c>
      <c r="F733" s="6">
        <v>90.221046610169495</v>
      </c>
      <c r="G733" s="6" t="str">
        <f t="shared" si="22"/>
        <v>OK</v>
      </c>
      <c r="H733" s="6" t="str">
        <f t="shared" si="23"/>
        <v>NON-ZERO</v>
      </c>
      <c r="I733">
        <v>386.37033051562702</v>
      </c>
      <c r="J733">
        <f>IFERROR(Table4[[#This Row],[energy_kwh]]/Table4[[#This Row],[expected_kwh]],0)</f>
        <v>0.85705568733964621</v>
      </c>
      <c r="K733" t="str">
        <f>IF(Table4[[#This Row],[Performance_Ratio]] &lt; 0.85, "Underperforming", "Performing")</f>
        <v>Performing</v>
      </c>
      <c r="L733">
        <f>Table4[[#This Row],[energy_kwh]] - Table4[[#This Row],[expected_kwh]]</f>
        <v>-55.229441327910024</v>
      </c>
      <c r="M733" t="str">
        <f>IF(Table4[[#This Row],[Performance_Deviation]] &lt; 0, "Underperforming", "Outperforming")</f>
        <v>Underperforming</v>
      </c>
      <c r="N733">
        <f>IF(Table4[[#This Row],[Performance_Ratio]] &lt; 0.85, Table4[[#This Row],[Performance_Deviation]] * 50 / 1000, 0)</f>
        <v>0</v>
      </c>
    </row>
    <row r="734" spans="1:14" x14ac:dyDescent="0.3">
      <c r="A734" s="4" t="s">
        <v>6</v>
      </c>
      <c r="B734" s="3">
        <v>45322.5</v>
      </c>
      <c r="C734" s="4">
        <v>366.58657039386998</v>
      </c>
      <c r="D734" s="4">
        <v>350.08343127596498</v>
      </c>
      <c r="E734" s="4">
        <v>350.08343127596498</v>
      </c>
      <c r="F734" s="4">
        <v>57.697343197259698</v>
      </c>
      <c r="G734" s="4" t="str">
        <f t="shared" si="22"/>
        <v>OK</v>
      </c>
      <c r="H734" s="4" t="str">
        <f t="shared" si="23"/>
        <v>NON-ZERO</v>
      </c>
      <c r="I734">
        <v>400</v>
      </c>
      <c r="J734">
        <f>IFERROR(Table4[[#This Row],[energy_kwh]]/Table4[[#This Row],[expected_kwh]],0)</f>
        <v>0.87520857818991249</v>
      </c>
      <c r="K734" t="str">
        <f>IF(Table4[[#This Row],[Performance_Ratio]] &lt; 0.85, "Underperforming", "Performing")</f>
        <v>Performing</v>
      </c>
      <c r="L734">
        <f>Table4[[#This Row],[energy_kwh]] - Table4[[#This Row],[expected_kwh]]</f>
        <v>-49.916568724035017</v>
      </c>
      <c r="M734" t="str">
        <f>IF(Table4[[#This Row],[Performance_Deviation]] &lt; 0, "Underperforming", "Outperforming")</f>
        <v>Underperforming</v>
      </c>
      <c r="N734">
        <f>IF(Table4[[#This Row],[Performance_Ratio]] &lt; 0.85, Table4[[#This Row],[Performance_Deviation]] * 50 / 1000, 0)</f>
        <v>0</v>
      </c>
    </row>
    <row r="735" spans="1:14" x14ac:dyDescent="0.3">
      <c r="A735" s="6" t="s">
        <v>6</v>
      </c>
      <c r="B735" s="5">
        <v>45322.541666666664</v>
      </c>
      <c r="C735" s="6">
        <v>319.08575209231498</v>
      </c>
      <c r="D735" s="6">
        <v>304.72102358722202</v>
      </c>
      <c r="E735" s="6">
        <v>304.72102358722202</v>
      </c>
      <c r="F735" s="6">
        <v>89.533297164382006</v>
      </c>
      <c r="G735" s="6" t="str">
        <f t="shared" si="22"/>
        <v>OK</v>
      </c>
      <c r="H735" s="6" t="str">
        <f t="shared" si="23"/>
        <v>NON-ZERO</v>
      </c>
      <c r="I735">
        <v>386.37033051562702</v>
      </c>
      <c r="J735">
        <f>IFERROR(Table4[[#This Row],[energy_kwh]]/Table4[[#This Row],[expected_kwh]],0)</f>
        <v>0.78867604347507569</v>
      </c>
      <c r="K735" t="str">
        <f>IF(Table4[[#This Row],[Performance_Ratio]] &lt; 0.85, "Underperforming", "Performing")</f>
        <v>Underperforming</v>
      </c>
      <c r="L735">
        <f>Table4[[#This Row],[energy_kwh]] - Table4[[#This Row],[expected_kwh]]</f>
        <v>-81.649306928404997</v>
      </c>
      <c r="M735" t="str">
        <f>IF(Table4[[#This Row],[Performance_Deviation]] &lt; 0, "Underperforming", "Outperforming")</f>
        <v>Underperforming</v>
      </c>
      <c r="N735">
        <f>IF(Table4[[#This Row],[Performance_Ratio]] &lt; 0.85, Table4[[#This Row],[Performance_Deviation]] * 50 / 1000, 0)</f>
        <v>-4.0824653464202498</v>
      </c>
    </row>
    <row r="736" spans="1:14" x14ac:dyDescent="0.3">
      <c r="A736" s="4" t="s">
        <v>6</v>
      </c>
      <c r="B736" s="3">
        <v>45322.583333333336</v>
      </c>
      <c r="C736" s="4">
        <v>335.201791920029</v>
      </c>
      <c r="D736" s="4">
        <v>320.11154516417002</v>
      </c>
      <c r="E736" s="4">
        <v>320.11154516417002</v>
      </c>
      <c r="F736" s="4">
        <v>39.5177448488922</v>
      </c>
      <c r="G736" s="4" t="str">
        <f t="shared" si="22"/>
        <v>OK</v>
      </c>
      <c r="H736" s="4" t="str">
        <f t="shared" si="23"/>
        <v>NON-ZERO</v>
      </c>
      <c r="I736">
        <v>346.41016151377499</v>
      </c>
      <c r="J736">
        <f>IFERROR(Table4[[#This Row],[energy_kwh]]/Table4[[#This Row],[expected_kwh]],0)</f>
        <v>0.92408243385620426</v>
      </c>
      <c r="K736" t="str">
        <f>IF(Table4[[#This Row],[Performance_Ratio]] &lt; 0.85, "Underperforming", "Performing")</f>
        <v>Performing</v>
      </c>
      <c r="L736">
        <f>Table4[[#This Row],[energy_kwh]] - Table4[[#This Row],[expected_kwh]]</f>
        <v>-26.29861634960497</v>
      </c>
      <c r="M736" t="str">
        <f>IF(Table4[[#This Row],[Performance_Deviation]] &lt; 0, "Underperforming", "Outperforming")</f>
        <v>Underperforming</v>
      </c>
      <c r="N736">
        <f>IF(Table4[[#This Row],[Performance_Ratio]] &lt; 0.85, Table4[[#This Row],[Performance_Deviation]] * 50 / 1000, 0)</f>
        <v>0</v>
      </c>
    </row>
    <row r="737" spans="1:14" x14ac:dyDescent="0.3">
      <c r="A737" s="6" t="s">
        <v>6</v>
      </c>
      <c r="B737" s="5">
        <v>45322.625</v>
      </c>
      <c r="C737" s="6">
        <v>261.25353564898899</v>
      </c>
      <c r="D737" s="6">
        <v>249.49232072170099</v>
      </c>
      <c r="E737" s="6">
        <v>249.49232072170099</v>
      </c>
      <c r="F737" s="6">
        <v>25.2868959232358</v>
      </c>
      <c r="G737" s="6" t="str">
        <f t="shared" si="22"/>
        <v>OK</v>
      </c>
      <c r="H737" s="6" t="str">
        <f t="shared" si="23"/>
        <v>NON-ZERO</v>
      </c>
      <c r="I737">
        <v>282.84271247461902</v>
      </c>
      <c r="J737">
        <f>IFERROR(Table4[[#This Row],[energy_kwh]]/Table4[[#This Row],[expected_kwh]],0)</f>
        <v>0.88208855918141882</v>
      </c>
      <c r="K737" t="str">
        <f>IF(Table4[[#This Row],[Performance_Ratio]] &lt; 0.85, "Underperforming", "Performing")</f>
        <v>Performing</v>
      </c>
      <c r="L737">
        <f>Table4[[#This Row],[energy_kwh]] - Table4[[#This Row],[expected_kwh]]</f>
        <v>-33.350391752918028</v>
      </c>
      <c r="M737" t="str">
        <f>IF(Table4[[#This Row],[Performance_Deviation]] &lt; 0, "Underperforming", "Outperforming")</f>
        <v>Underperforming</v>
      </c>
      <c r="N737">
        <f>IF(Table4[[#This Row],[Performance_Ratio]] &lt; 0.85, Table4[[#This Row],[Performance_Deviation]] * 50 / 1000, 0)</f>
        <v>0</v>
      </c>
    </row>
    <row r="738" spans="1:14" x14ac:dyDescent="0.3">
      <c r="A738" s="4" t="s">
        <v>6</v>
      </c>
      <c r="B738" s="3">
        <v>45322.666666666664</v>
      </c>
      <c r="C738" s="4">
        <v>197.597861571674</v>
      </c>
      <c r="D738" s="4">
        <v>188.70232293965501</v>
      </c>
      <c r="E738" s="4">
        <v>188.70232293965501</v>
      </c>
      <c r="F738" s="4">
        <v>71.385073240586294</v>
      </c>
      <c r="G738" s="4" t="str">
        <f t="shared" si="22"/>
        <v>OK</v>
      </c>
      <c r="H738" s="4" t="str">
        <f t="shared" si="23"/>
        <v>NON-ZERO</v>
      </c>
      <c r="I738">
        <v>199.99999999999901</v>
      </c>
      <c r="J738">
        <f>IFERROR(Table4[[#This Row],[energy_kwh]]/Table4[[#This Row],[expected_kwh]],0)</f>
        <v>0.94351161469827971</v>
      </c>
      <c r="K738" t="str">
        <f>IF(Table4[[#This Row],[Performance_Ratio]] &lt; 0.85, "Underperforming", "Performing")</f>
        <v>Performing</v>
      </c>
      <c r="L738">
        <f>Table4[[#This Row],[energy_kwh]] - Table4[[#This Row],[expected_kwh]]</f>
        <v>-11.297677060344</v>
      </c>
      <c r="M738" t="str">
        <f>IF(Table4[[#This Row],[Performance_Deviation]] &lt; 0, "Underperforming", "Outperforming")</f>
        <v>Underperforming</v>
      </c>
      <c r="N738">
        <f>IF(Table4[[#This Row],[Performance_Ratio]] &lt; 0.85, Table4[[#This Row],[Performance_Deviation]] * 50 / 1000, 0)</f>
        <v>0</v>
      </c>
    </row>
    <row r="739" spans="1:14" x14ac:dyDescent="0.3">
      <c r="A739" s="6" t="s">
        <v>6</v>
      </c>
      <c r="B739" s="5">
        <v>45322.708333333336</v>
      </c>
      <c r="C739" s="6">
        <v>90.822689572892699</v>
      </c>
      <c r="D739" s="6">
        <v>86.733997836385797</v>
      </c>
      <c r="E739" s="6">
        <v>86.733997836385797</v>
      </c>
      <c r="F739" s="6">
        <v>43.235515649185103</v>
      </c>
      <c r="G739" s="6" t="str">
        <f t="shared" si="22"/>
        <v>OK</v>
      </c>
      <c r="H739" s="6" t="str">
        <f t="shared" si="23"/>
        <v>NON-ZERO</v>
      </c>
      <c r="I739">
        <v>103.527618041008</v>
      </c>
      <c r="J739">
        <f>IFERROR(Table4[[#This Row],[energy_kwh]]/Table4[[#This Row],[expected_kwh]],0)</f>
        <v>0.83778608527465459</v>
      </c>
      <c r="K739" t="str">
        <f>IF(Table4[[#This Row],[Performance_Ratio]] &lt; 0.85, "Underperforming", "Performing")</f>
        <v>Underperforming</v>
      </c>
      <c r="L739">
        <f>Table4[[#This Row],[energy_kwh]] - Table4[[#This Row],[expected_kwh]]</f>
        <v>-16.793620204622201</v>
      </c>
      <c r="M739" t="str">
        <f>IF(Table4[[#This Row],[Performance_Deviation]] &lt; 0, "Underperforming", "Outperforming")</f>
        <v>Underperforming</v>
      </c>
      <c r="N739">
        <f>IF(Table4[[#This Row],[Performance_Ratio]] &lt; 0.85, Table4[[#This Row],[Performance_Deviation]] * 50 / 1000, 0)</f>
        <v>-0.83968101023110997</v>
      </c>
    </row>
    <row r="740" spans="1:14" x14ac:dyDescent="0.3">
      <c r="A740" s="4" t="s">
        <v>6</v>
      </c>
      <c r="B740" s="3">
        <v>45322.75</v>
      </c>
      <c r="C740" s="7">
        <v>4.6878127606121101E-14</v>
      </c>
      <c r="D740" s="7">
        <v>4.4767749529151401E-14</v>
      </c>
      <c r="E740" s="7">
        <v>4.4767749529151401E-14</v>
      </c>
      <c r="F740" s="4">
        <v>46.534186905232701</v>
      </c>
      <c r="G740" s="4" t="str">
        <f t="shared" si="22"/>
        <v>OK</v>
      </c>
      <c r="H740" s="4" t="str">
        <f t="shared" si="23"/>
        <v>NON-ZERO</v>
      </c>
      <c r="I740" s="2">
        <v>4.8985871965894097E-14</v>
      </c>
      <c r="J740">
        <f>IFERROR(Table4[[#This Row],[energy_kwh]]/Table4[[#This Row],[expected_kwh]],0)</f>
        <v>0.91389104108058916</v>
      </c>
      <c r="K740" t="str">
        <f>IF(Table4[[#This Row],[Performance_Ratio]] &lt; 0.85, "Underperforming", "Performing")</f>
        <v>Performing</v>
      </c>
      <c r="L740">
        <f>Table4[[#This Row],[energy_kwh]] - Table4[[#This Row],[expected_kwh]]</f>
        <v>-4.2181224367426959E-15</v>
      </c>
      <c r="M740" t="str">
        <f>IF(Table4[[#This Row],[Performance_Deviation]] &lt; 0, "Underperforming", "Outperforming")</f>
        <v>Underperforming</v>
      </c>
      <c r="N740">
        <f>IF(Table4[[#This Row],[Performance_Ratio]] &lt; 0.85, Table4[[#This Row],[Performance_Deviation]] * 50 / 1000, 0)</f>
        <v>0</v>
      </c>
    </row>
    <row r="741" spans="1:14" x14ac:dyDescent="0.3">
      <c r="A741" s="6" t="s">
        <v>6</v>
      </c>
      <c r="B741" s="5">
        <v>45322.791666666664</v>
      </c>
      <c r="C741" s="6">
        <v>0</v>
      </c>
      <c r="D741" s="6">
        <v>0</v>
      </c>
      <c r="E741" s="6">
        <v>0</v>
      </c>
      <c r="F741" s="6">
        <v>43.084687376055903</v>
      </c>
      <c r="G741" s="6" t="str">
        <f t="shared" si="22"/>
        <v>OK</v>
      </c>
      <c r="H741" s="6" t="str">
        <f t="shared" si="23"/>
        <v>ZERO</v>
      </c>
      <c r="I741">
        <v>0</v>
      </c>
      <c r="J741">
        <f>IFERROR(Table4[[#This Row],[energy_kwh]]/Table4[[#This Row],[expected_kwh]],0)</f>
        <v>0</v>
      </c>
      <c r="K741" t="str">
        <f>IF(Table4[[#This Row],[Performance_Ratio]] &lt; 0.85, "Underperforming", "Performing")</f>
        <v>Underperforming</v>
      </c>
      <c r="L741">
        <f>Table4[[#This Row],[energy_kwh]] - Table4[[#This Row],[expected_kwh]]</f>
        <v>0</v>
      </c>
      <c r="M741" t="str">
        <f>IF(Table4[[#This Row],[Performance_Deviation]] &lt; 0, "Underperforming", "Outperforming")</f>
        <v>Outperforming</v>
      </c>
      <c r="N741">
        <f>IF(Table4[[#This Row],[Performance_Ratio]] &lt; 0.85, Table4[[#This Row],[Performance_Deviation]] * 50 / 1000, 0)</f>
        <v>0</v>
      </c>
    </row>
    <row r="742" spans="1:14" x14ac:dyDescent="0.3">
      <c r="A742" s="4" t="s">
        <v>6</v>
      </c>
      <c r="B742" s="3">
        <v>45322.833333333336</v>
      </c>
      <c r="C742" s="4">
        <v>0</v>
      </c>
      <c r="D742" s="4">
        <v>0</v>
      </c>
      <c r="E742" s="4">
        <v>0</v>
      </c>
      <c r="F742" s="4">
        <v>85.723957485673296</v>
      </c>
      <c r="G742" s="4" t="str">
        <f t="shared" si="22"/>
        <v>OK</v>
      </c>
      <c r="H742" s="4" t="str">
        <f t="shared" si="23"/>
        <v>ZERO</v>
      </c>
      <c r="I742">
        <v>0</v>
      </c>
      <c r="J742">
        <f>IFERROR(Table4[[#This Row],[energy_kwh]]/Table4[[#This Row],[expected_kwh]],0)</f>
        <v>0</v>
      </c>
      <c r="K742" t="str">
        <f>IF(Table4[[#This Row],[Performance_Ratio]] &lt; 0.85, "Underperforming", "Performing")</f>
        <v>Underperforming</v>
      </c>
      <c r="L742">
        <f>Table4[[#This Row],[energy_kwh]] - Table4[[#This Row],[expected_kwh]]</f>
        <v>0</v>
      </c>
      <c r="M742" t="str">
        <f>IF(Table4[[#This Row],[Performance_Deviation]] &lt; 0, "Underperforming", "Outperforming")</f>
        <v>Outperforming</v>
      </c>
      <c r="N742">
        <f>IF(Table4[[#This Row],[Performance_Ratio]] &lt; 0.85, Table4[[#This Row],[Performance_Deviation]] * 50 / 1000, 0)</f>
        <v>0</v>
      </c>
    </row>
    <row r="743" spans="1:14" x14ac:dyDescent="0.3">
      <c r="A743" s="6" t="s">
        <v>6</v>
      </c>
      <c r="B743" s="5">
        <v>45322.875</v>
      </c>
      <c r="C743" s="6">
        <v>0</v>
      </c>
      <c r="D743" s="6">
        <v>0</v>
      </c>
      <c r="E743" s="6">
        <v>0</v>
      </c>
      <c r="F743" s="6">
        <v>61.502839231232798</v>
      </c>
      <c r="G743" s="6" t="str">
        <f t="shared" si="22"/>
        <v>OK</v>
      </c>
      <c r="H743" s="6" t="str">
        <f t="shared" si="23"/>
        <v>ZERO</v>
      </c>
      <c r="I743">
        <v>0</v>
      </c>
      <c r="J743">
        <f>IFERROR(Table4[[#This Row],[energy_kwh]]/Table4[[#This Row],[expected_kwh]],0)</f>
        <v>0</v>
      </c>
      <c r="K743" t="str">
        <f>IF(Table4[[#This Row],[Performance_Ratio]] &lt; 0.85, "Underperforming", "Performing")</f>
        <v>Underperforming</v>
      </c>
      <c r="L743">
        <f>Table4[[#This Row],[energy_kwh]] - Table4[[#This Row],[expected_kwh]]</f>
        <v>0</v>
      </c>
      <c r="M743" t="str">
        <f>IF(Table4[[#This Row],[Performance_Deviation]] &lt; 0, "Underperforming", "Outperforming")</f>
        <v>Outperforming</v>
      </c>
      <c r="N743">
        <f>IF(Table4[[#This Row],[Performance_Ratio]] &lt; 0.85, Table4[[#This Row],[Performance_Deviation]] * 50 / 1000, 0)</f>
        <v>0</v>
      </c>
    </row>
    <row r="744" spans="1:14" x14ac:dyDescent="0.3">
      <c r="A744" s="4" t="s">
        <v>6</v>
      </c>
      <c r="B744" s="3">
        <v>45322.916666666664</v>
      </c>
      <c r="C744" s="4">
        <v>0</v>
      </c>
      <c r="D744" s="4">
        <v>0</v>
      </c>
      <c r="E744" s="4">
        <v>0</v>
      </c>
      <c r="F744" s="4">
        <v>82.8431281138852</v>
      </c>
      <c r="G744" s="4" t="str">
        <f t="shared" si="22"/>
        <v>OK</v>
      </c>
      <c r="H744" s="4" t="str">
        <f t="shared" si="23"/>
        <v>ZERO</v>
      </c>
      <c r="I744">
        <v>0</v>
      </c>
      <c r="J744">
        <f>IFERROR(Table4[[#This Row],[energy_kwh]]/Table4[[#This Row],[expected_kwh]],0)</f>
        <v>0</v>
      </c>
      <c r="K744" t="str">
        <f>IF(Table4[[#This Row],[Performance_Ratio]] &lt; 0.85, "Underperforming", "Performing")</f>
        <v>Underperforming</v>
      </c>
      <c r="L744">
        <f>Table4[[#This Row],[energy_kwh]] - Table4[[#This Row],[expected_kwh]]</f>
        <v>0</v>
      </c>
      <c r="M744" t="str">
        <f>IF(Table4[[#This Row],[Performance_Deviation]] &lt; 0, "Underperforming", "Outperforming")</f>
        <v>Outperforming</v>
      </c>
      <c r="N744">
        <f>IF(Table4[[#This Row],[Performance_Ratio]] &lt; 0.85, Table4[[#This Row],[Performance_Deviation]] * 50 / 1000, 0)</f>
        <v>0</v>
      </c>
    </row>
    <row r="745" spans="1:14" x14ac:dyDescent="0.3">
      <c r="A745" s="6" t="s">
        <v>6</v>
      </c>
      <c r="B745" s="5">
        <v>45322.958333333336</v>
      </c>
      <c r="C745" s="6">
        <v>0</v>
      </c>
      <c r="D745" s="6">
        <v>0</v>
      </c>
      <c r="E745" s="6">
        <v>0</v>
      </c>
      <c r="F745" s="6">
        <v>52.940795093728802</v>
      </c>
      <c r="G745" s="6" t="str">
        <f t="shared" si="22"/>
        <v>OK</v>
      </c>
      <c r="H745" s="6" t="str">
        <f t="shared" si="23"/>
        <v>ZERO</v>
      </c>
      <c r="I745">
        <v>0</v>
      </c>
      <c r="J745">
        <f>IFERROR(Table4[[#This Row],[energy_kwh]]/Table4[[#This Row],[expected_kwh]],0)</f>
        <v>0</v>
      </c>
      <c r="K745" t="str">
        <f>IF(Table4[[#This Row],[Performance_Ratio]] &lt; 0.85, "Underperforming", "Performing")</f>
        <v>Underperforming</v>
      </c>
      <c r="L745">
        <f>Table4[[#This Row],[energy_kwh]] - Table4[[#This Row],[expected_kwh]]</f>
        <v>0</v>
      </c>
      <c r="M745" t="str">
        <f>IF(Table4[[#This Row],[Performance_Deviation]] &lt; 0, "Underperforming", "Outperforming")</f>
        <v>Outperforming</v>
      </c>
      <c r="N745">
        <f>IF(Table4[[#This Row],[Performance_Ratio]] &lt; 0.85, Table4[[#This Row],[Performance_Deviation]] * 50 / 1000, 0)</f>
        <v>0</v>
      </c>
    </row>
    <row r="746" spans="1:14" x14ac:dyDescent="0.3">
      <c r="A746" s="4" t="s">
        <v>7</v>
      </c>
      <c r="B746" s="3">
        <v>45292</v>
      </c>
      <c r="C746" s="4">
        <v>0</v>
      </c>
      <c r="D746" s="4">
        <v>0</v>
      </c>
      <c r="E746" s="4">
        <v>0</v>
      </c>
      <c r="F746" s="4">
        <v>72.046219288261696</v>
      </c>
      <c r="G746" s="4" t="str">
        <f t="shared" si="22"/>
        <v>OK</v>
      </c>
      <c r="H746" s="4" t="str">
        <f t="shared" si="23"/>
        <v>ZERO</v>
      </c>
      <c r="I746">
        <v>0</v>
      </c>
      <c r="J746">
        <f>IFERROR(Table4[[#This Row],[energy_kwh]]/Table4[[#This Row],[expected_kwh]],0)</f>
        <v>0</v>
      </c>
      <c r="K746" t="str">
        <f>IF(Table4[[#This Row],[Performance_Ratio]] &lt; 0.85, "Underperforming", "Performing")</f>
        <v>Underperforming</v>
      </c>
      <c r="L746">
        <f>Table4[[#This Row],[energy_kwh]] - Table4[[#This Row],[expected_kwh]]</f>
        <v>0</v>
      </c>
      <c r="M746" t="str">
        <f>IF(Table4[[#This Row],[Performance_Deviation]] &lt; 0, "Underperforming", "Outperforming")</f>
        <v>Outperforming</v>
      </c>
      <c r="N746">
        <f>IF(Table4[[#This Row],[Performance_Ratio]] &lt; 0.85, Table4[[#This Row],[Performance_Deviation]] * 50 / 1000, 0)</f>
        <v>0</v>
      </c>
    </row>
    <row r="747" spans="1:14" x14ac:dyDescent="0.3">
      <c r="A747" s="6" t="s">
        <v>7</v>
      </c>
      <c r="B747" s="5">
        <v>45292.041666666664</v>
      </c>
      <c r="C747" s="6">
        <v>0</v>
      </c>
      <c r="D747" s="6">
        <v>0</v>
      </c>
      <c r="E747" s="6">
        <v>0</v>
      </c>
      <c r="F747" s="6">
        <v>32.396336760721802</v>
      </c>
      <c r="G747" s="6" t="str">
        <f t="shared" si="22"/>
        <v>OK</v>
      </c>
      <c r="H747" s="6" t="str">
        <f t="shared" si="23"/>
        <v>ZERO</v>
      </c>
      <c r="I747">
        <v>0</v>
      </c>
      <c r="J747">
        <f>IFERROR(Table4[[#This Row],[energy_kwh]]/Table4[[#This Row],[expected_kwh]],0)</f>
        <v>0</v>
      </c>
      <c r="K747" t="str">
        <f>IF(Table4[[#This Row],[Performance_Ratio]] &lt; 0.85, "Underperforming", "Performing")</f>
        <v>Underperforming</v>
      </c>
      <c r="L747">
        <f>Table4[[#This Row],[energy_kwh]] - Table4[[#This Row],[expected_kwh]]</f>
        <v>0</v>
      </c>
      <c r="M747" t="str">
        <f>IF(Table4[[#This Row],[Performance_Deviation]] &lt; 0, "Underperforming", "Outperforming")</f>
        <v>Outperforming</v>
      </c>
      <c r="N747">
        <f>IF(Table4[[#This Row],[Performance_Ratio]] &lt; 0.85, Table4[[#This Row],[Performance_Deviation]] * 50 / 1000, 0)</f>
        <v>0</v>
      </c>
    </row>
    <row r="748" spans="1:14" x14ac:dyDescent="0.3">
      <c r="A748" s="4" t="s">
        <v>7</v>
      </c>
      <c r="B748" s="3">
        <v>45292.083333333336</v>
      </c>
      <c r="C748" s="4">
        <v>0</v>
      </c>
      <c r="D748" s="4">
        <v>0</v>
      </c>
      <c r="E748" s="4">
        <v>0</v>
      </c>
      <c r="F748" s="4">
        <v>21.434672482796501</v>
      </c>
      <c r="G748" s="4" t="str">
        <f t="shared" si="22"/>
        <v>OK</v>
      </c>
      <c r="H748" s="4" t="str">
        <f t="shared" si="23"/>
        <v>ZERO</v>
      </c>
      <c r="I748">
        <v>0</v>
      </c>
      <c r="J748">
        <f>IFERROR(Table4[[#This Row],[energy_kwh]]/Table4[[#This Row],[expected_kwh]],0)</f>
        <v>0</v>
      </c>
      <c r="K748" t="str">
        <f>IF(Table4[[#This Row],[Performance_Ratio]] &lt; 0.85, "Underperforming", "Performing")</f>
        <v>Underperforming</v>
      </c>
      <c r="L748">
        <f>Table4[[#This Row],[energy_kwh]] - Table4[[#This Row],[expected_kwh]]</f>
        <v>0</v>
      </c>
      <c r="M748" t="str">
        <f>IF(Table4[[#This Row],[Performance_Deviation]] &lt; 0, "Underperforming", "Outperforming")</f>
        <v>Outperforming</v>
      </c>
      <c r="N748">
        <f>IF(Table4[[#This Row],[Performance_Ratio]] &lt; 0.85, Table4[[#This Row],[Performance_Deviation]] * 50 / 1000, 0)</f>
        <v>0</v>
      </c>
    </row>
    <row r="749" spans="1:14" x14ac:dyDescent="0.3">
      <c r="A749" s="6" t="s">
        <v>7</v>
      </c>
      <c r="B749" s="5">
        <v>45292.125</v>
      </c>
      <c r="C749" s="6">
        <v>0</v>
      </c>
      <c r="D749" s="6">
        <v>0</v>
      </c>
      <c r="E749" s="6">
        <v>0</v>
      </c>
      <c r="F749" s="6">
        <v>38.1152631276261</v>
      </c>
      <c r="G749" s="6" t="str">
        <f t="shared" si="22"/>
        <v>OK</v>
      </c>
      <c r="H749" s="6" t="str">
        <f t="shared" si="23"/>
        <v>ZERO</v>
      </c>
      <c r="I749">
        <v>0</v>
      </c>
      <c r="J749">
        <f>IFERROR(Table4[[#This Row],[energy_kwh]]/Table4[[#This Row],[expected_kwh]],0)</f>
        <v>0</v>
      </c>
      <c r="K749" t="str">
        <f>IF(Table4[[#This Row],[Performance_Ratio]] &lt; 0.85, "Underperforming", "Performing")</f>
        <v>Underperforming</v>
      </c>
      <c r="L749">
        <f>Table4[[#This Row],[energy_kwh]] - Table4[[#This Row],[expected_kwh]]</f>
        <v>0</v>
      </c>
      <c r="M749" t="str">
        <f>IF(Table4[[#This Row],[Performance_Deviation]] &lt; 0, "Underperforming", "Outperforming")</f>
        <v>Outperforming</v>
      </c>
      <c r="N749">
        <f>IF(Table4[[#This Row],[Performance_Ratio]] &lt; 0.85, Table4[[#This Row],[Performance_Deviation]] * 50 / 1000, 0)</f>
        <v>0</v>
      </c>
    </row>
    <row r="750" spans="1:14" x14ac:dyDescent="0.3">
      <c r="A750" s="4" t="s">
        <v>7</v>
      </c>
      <c r="B750" s="3">
        <v>45292.166666666664</v>
      </c>
      <c r="C750" s="4">
        <v>0</v>
      </c>
      <c r="D750" s="4">
        <v>0</v>
      </c>
      <c r="E750" s="4">
        <v>0</v>
      </c>
      <c r="F750" s="4">
        <v>65.581451232173904</v>
      </c>
      <c r="G750" s="4" t="str">
        <f t="shared" si="22"/>
        <v>OK</v>
      </c>
      <c r="H750" s="4" t="str">
        <f t="shared" si="23"/>
        <v>ZERO</v>
      </c>
      <c r="I750">
        <v>0</v>
      </c>
      <c r="J750">
        <f>IFERROR(Table4[[#This Row],[energy_kwh]]/Table4[[#This Row],[expected_kwh]],0)</f>
        <v>0</v>
      </c>
      <c r="K750" t="str">
        <f>IF(Table4[[#This Row],[Performance_Ratio]] &lt; 0.85, "Underperforming", "Performing")</f>
        <v>Underperforming</v>
      </c>
      <c r="L750">
        <f>Table4[[#This Row],[energy_kwh]] - Table4[[#This Row],[expected_kwh]]</f>
        <v>0</v>
      </c>
      <c r="M750" t="str">
        <f>IF(Table4[[#This Row],[Performance_Deviation]] &lt; 0, "Underperforming", "Outperforming")</f>
        <v>Outperforming</v>
      </c>
      <c r="N750">
        <f>IF(Table4[[#This Row],[Performance_Ratio]] &lt; 0.85, Table4[[#This Row],[Performance_Deviation]] * 50 / 1000, 0)</f>
        <v>0</v>
      </c>
    </row>
    <row r="751" spans="1:14" x14ac:dyDescent="0.3">
      <c r="A751" s="6" t="s">
        <v>7</v>
      </c>
      <c r="B751" s="5">
        <v>45292.208333333336</v>
      </c>
      <c r="C751" s="6">
        <v>0</v>
      </c>
      <c r="D751" s="6">
        <v>0</v>
      </c>
      <c r="E751" s="6">
        <v>0</v>
      </c>
      <c r="F751" s="6">
        <v>49.327465184554796</v>
      </c>
      <c r="G751" s="6" t="str">
        <f t="shared" si="22"/>
        <v>OK</v>
      </c>
      <c r="H751" s="6" t="str">
        <f t="shared" si="23"/>
        <v>ZERO</v>
      </c>
      <c r="I751">
        <v>0</v>
      </c>
      <c r="J751">
        <f>IFERROR(Table4[[#This Row],[energy_kwh]]/Table4[[#This Row],[expected_kwh]],0)</f>
        <v>0</v>
      </c>
      <c r="K751" t="str">
        <f>IF(Table4[[#This Row],[Performance_Ratio]] &lt; 0.85, "Underperforming", "Performing")</f>
        <v>Underperforming</v>
      </c>
      <c r="L751">
        <f>Table4[[#This Row],[energy_kwh]] - Table4[[#This Row],[expected_kwh]]</f>
        <v>0</v>
      </c>
      <c r="M751" t="str">
        <f>IF(Table4[[#This Row],[Performance_Deviation]] &lt; 0, "Underperforming", "Outperforming")</f>
        <v>Outperforming</v>
      </c>
      <c r="N751">
        <f>IF(Table4[[#This Row],[Performance_Ratio]] &lt; 0.85, Table4[[#This Row],[Performance_Deviation]] * 50 / 1000, 0)</f>
        <v>0</v>
      </c>
    </row>
    <row r="752" spans="1:14" x14ac:dyDescent="0.3">
      <c r="A752" s="4" t="s">
        <v>7</v>
      </c>
      <c r="B752" s="3">
        <v>45292.25</v>
      </c>
      <c r="C752" s="4">
        <v>0</v>
      </c>
      <c r="D752" s="4">
        <v>0</v>
      </c>
      <c r="E752" s="4">
        <v>0</v>
      </c>
      <c r="F752" s="4">
        <v>61.765883237907097</v>
      </c>
      <c r="G752" s="4" t="str">
        <f t="shared" si="22"/>
        <v>OK</v>
      </c>
      <c r="H752" s="4" t="str">
        <f t="shared" si="23"/>
        <v>ZERO</v>
      </c>
      <c r="I752">
        <v>0</v>
      </c>
      <c r="J752">
        <f>IFERROR(Table4[[#This Row],[energy_kwh]]/Table4[[#This Row],[expected_kwh]],0)</f>
        <v>0</v>
      </c>
      <c r="K752" t="str">
        <f>IF(Table4[[#This Row],[Performance_Ratio]] &lt; 0.85, "Underperforming", "Performing")</f>
        <v>Underperforming</v>
      </c>
      <c r="L752">
        <f>Table4[[#This Row],[energy_kwh]] - Table4[[#This Row],[expected_kwh]]</f>
        <v>0</v>
      </c>
      <c r="M752" t="str">
        <f>IF(Table4[[#This Row],[Performance_Deviation]] &lt; 0, "Underperforming", "Outperforming")</f>
        <v>Outperforming</v>
      </c>
      <c r="N752">
        <f>IF(Table4[[#This Row],[Performance_Ratio]] &lt; 0.85, Table4[[#This Row],[Performance_Deviation]] * 50 / 1000, 0)</f>
        <v>0</v>
      </c>
    </row>
    <row r="753" spans="1:14" x14ac:dyDescent="0.3">
      <c r="A753" s="6" t="s">
        <v>7</v>
      </c>
      <c r="B753" s="5">
        <v>45292.291666666664</v>
      </c>
      <c r="C753" s="6">
        <v>139.93400317722799</v>
      </c>
      <c r="D753" s="6">
        <v>136.859453337546</v>
      </c>
      <c r="E753" s="6">
        <v>136.859453337546</v>
      </c>
      <c r="F753" s="6">
        <v>60.567875287855998</v>
      </c>
      <c r="G753" s="6" t="str">
        <f t="shared" si="22"/>
        <v>OK</v>
      </c>
      <c r="H753" s="6" t="str">
        <f t="shared" si="23"/>
        <v>NON-ZERO</v>
      </c>
      <c r="I753">
        <v>155.291427061512</v>
      </c>
      <c r="J753">
        <f>IFERROR(Table4[[#This Row],[energy_kwh]]/Table4[[#This Row],[expected_kwh]],0)</f>
        <v>0.88130720367026461</v>
      </c>
      <c r="K753" t="str">
        <f>IF(Table4[[#This Row],[Performance_Ratio]] &lt; 0.85, "Underperforming", "Performing")</f>
        <v>Performing</v>
      </c>
      <c r="L753">
        <f>Table4[[#This Row],[energy_kwh]] - Table4[[#This Row],[expected_kwh]]</f>
        <v>-18.431973723965996</v>
      </c>
      <c r="M753" t="str">
        <f>IF(Table4[[#This Row],[Performance_Deviation]] &lt; 0, "Underperforming", "Outperforming")</f>
        <v>Underperforming</v>
      </c>
      <c r="N753">
        <f>IF(Table4[[#This Row],[Performance_Ratio]] &lt; 0.85, Table4[[#This Row],[Performance_Deviation]] * 50 / 1000, 0)</f>
        <v>0</v>
      </c>
    </row>
    <row r="754" spans="1:14" x14ac:dyDescent="0.3">
      <c r="A754" s="4" t="s">
        <v>7</v>
      </c>
      <c r="B754" s="3">
        <v>45292.333333333336</v>
      </c>
      <c r="C754" s="4">
        <v>307.80446062277798</v>
      </c>
      <c r="D754" s="4">
        <v>301.04155715704599</v>
      </c>
      <c r="E754" s="4">
        <v>301.04155715704599</v>
      </c>
      <c r="F754" s="4">
        <v>50.896857127557602</v>
      </c>
      <c r="G754" s="4" t="str">
        <f t="shared" si="22"/>
        <v>OK</v>
      </c>
      <c r="H754" s="4" t="str">
        <f t="shared" si="23"/>
        <v>NON-ZERO</v>
      </c>
      <c r="I754">
        <v>300</v>
      </c>
      <c r="J754">
        <f>IFERROR(Table4[[#This Row],[energy_kwh]]/Table4[[#This Row],[expected_kwh]],0)</f>
        <v>1.0034718571901533</v>
      </c>
      <c r="K754" t="str">
        <f>IF(Table4[[#This Row],[Performance_Ratio]] &lt; 0.85, "Underperforming", "Performing")</f>
        <v>Performing</v>
      </c>
      <c r="L754">
        <f>Table4[[#This Row],[energy_kwh]] - Table4[[#This Row],[expected_kwh]]</f>
        <v>1.0415571570459861</v>
      </c>
      <c r="M754" t="str">
        <f>IF(Table4[[#This Row],[Performance_Deviation]] &lt; 0, "Underperforming", "Outperforming")</f>
        <v>Outperforming</v>
      </c>
      <c r="N754">
        <f>IF(Table4[[#This Row],[Performance_Ratio]] &lt; 0.85, Table4[[#This Row],[Performance_Deviation]] * 50 / 1000, 0)</f>
        <v>0</v>
      </c>
    </row>
    <row r="755" spans="1:14" x14ac:dyDescent="0.3">
      <c r="A755" s="6" t="s">
        <v>7</v>
      </c>
      <c r="B755" s="5">
        <v>45292.375</v>
      </c>
      <c r="C755" s="6">
        <v>434.38926630363801</v>
      </c>
      <c r="D755" s="6">
        <v>424.84511392645101</v>
      </c>
      <c r="E755" s="6">
        <v>424.84511392645101</v>
      </c>
      <c r="F755" s="6">
        <v>59.937804981198603</v>
      </c>
      <c r="G755" s="6" t="str">
        <f t="shared" si="22"/>
        <v>OK</v>
      </c>
      <c r="H755" s="6" t="str">
        <f t="shared" si="23"/>
        <v>NON-ZERO</v>
      </c>
      <c r="I755">
        <v>424.26406871192802</v>
      </c>
      <c r="J755">
        <f>IFERROR(Table4[[#This Row],[energy_kwh]]/Table4[[#This Row],[expected_kwh]],0)</f>
        <v>1.0013695367045508</v>
      </c>
      <c r="K755" t="str">
        <f>IF(Table4[[#This Row],[Performance_Ratio]] &lt; 0.85, "Underperforming", "Performing")</f>
        <v>Performing</v>
      </c>
      <c r="L755">
        <f>Table4[[#This Row],[energy_kwh]] - Table4[[#This Row],[expected_kwh]]</f>
        <v>0.58104521452298741</v>
      </c>
      <c r="M755" t="str">
        <f>IF(Table4[[#This Row],[Performance_Deviation]] &lt; 0, "Underperforming", "Outperforming")</f>
        <v>Outperforming</v>
      </c>
      <c r="N755">
        <f>IF(Table4[[#This Row],[Performance_Ratio]] &lt; 0.85, Table4[[#This Row],[Performance_Deviation]] * 50 / 1000, 0)</f>
        <v>0</v>
      </c>
    </row>
    <row r="756" spans="1:14" x14ac:dyDescent="0.3">
      <c r="A756" s="4" t="s">
        <v>7</v>
      </c>
      <c r="B756" s="3">
        <v>45292.416666666664</v>
      </c>
      <c r="C756" s="4">
        <v>502.79455515028599</v>
      </c>
      <c r="D756" s="4">
        <v>491.747440911924</v>
      </c>
      <c r="E756" s="4">
        <v>491.747440911924</v>
      </c>
      <c r="F756" s="4">
        <v>30.7131473610748</v>
      </c>
      <c r="G756" s="4" t="str">
        <f t="shared" si="22"/>
        <v>OK</v>
      </c>
      <c r="H756" s="4" t="str">
        <f t="shared" si="23"/>
        <v>NON-ZERO</v>
      </c>
      <c r="I756">
        <v>519.61524227066297</v>
      </c>
      <c r="J756">
        <f>IFERROR(Table4[[#This Row],[energy_kwh]]/Table4[[#This Row],[expected_kwh]],0)</f>
        <v>0.94636839127936345</v>
      </c>
      <c r="K756" t="str">
        <f>IF(Table4[[#This Row],[Performance_Ratio]] &lt; 0.85, "Underperforming", "Performing")</f>
        <v>Performing</v>
      </c>
      <c r="L756">
        <f>Table4[[#This Row],[energy_kwh]] - Table4[[#This Row],[expected_kwh]]</f>
        <v>-27.867801358738973</v>
      </c>
      <c r="M756" t="str">
        <f>IF(Table4[[#This Row],[Performance_Deviation]] &lt; 0, "Underperforming", "Outperforming")</f>
        <v>Underperforming</v>
      </c>
      <c r="N756">
        <f>IF(Table4[[#This Row],[Performance_Ratio]] &lt; 0.85, Table4[[#This Row],[Performance_Deviation]] * 50 / 1000, 0)</f>
        <v>0</v>
      </c>
    </row>
    <row r="757" spans="1:14" x14ac:dyDescent="0.3">
      <c r="A757" s="6" t="s">
        <v>7</v>
      </c>
      <c r="B757" s="5">
        <v>45292.458333333336</v>
      </c>
      <c r="C757" s="6">
        <v>513.38073163944603</v>
      </c>
      <c r="D757" s="6">
        <v>502.10102398927199</v>
      </c>
      <c r="E757" s="6">
        <v>502.10102398927199</v>
      </c>
      <c r="F757" s="6">
        <v>49.389452989101898</v>
      </c>
      <c r="G757" s="6" t="str">
        <f t="shared" si="22"/>
        <v>OK</v>
      </c>
      <c r="H757" s="6" t="str">
        <f t="shared" si="23"/>
        <v>NON-ZERO</v>
      </c>
      <c r="I757">
        <v>579.55549577344095</v>
      </c>
      <c r="J757">
        <f>IFERROR(Table4[[#This Row],[energy_kwh]]/Table4[[#This Row],[expected_kwh]],0)</f>
        <v>0.8663553838260083</v>
      </c>
      <c r="K757" t="str">
        <f>IF(Table4[[#This Row],[Performance_Ratio]] &lt; 0.85, "Underperforming", "Performing")</f>
        <v>Performing</v>
      </c>
      <c r="L757">
        <f>Table4[[#This Row],[energy_kwh]] - Table4[[#This Row],[expected_kwh]]</f>
        <v>-77.454471784168959</v>
      </c>
      <c r="M757" t="str">
        <f>IF(Table4[[#This Row],[Performance_Deviation]] &lt; 0, "Underperforming", "Outperforming")</f>
        <v>Underperforming</v>
      </c>
      <c r="N757">
        <f>IF(Table4[[#This Row],[Performance_Ratio]] &lt; 0.85, Table4[[#This Row],[Performance_Deviation]] * 50 / 1000, 0)</f>
        <v>0</v>
      </c>
    </row>
    <row r="758" spans="1:14" x14ac:dyDescent="0.3">
      <c r="A758" s="4" t="s">
        <v>7</v>
      </c>
      <c r="B758" s="3">
        <v>45292.5</v>
      </c>
      <c r="C758" s="4">
        <v>564.45234576819598</v>
      </c>
      <c r="D758" s="4">
        <v>552.05052183844202</v>
      </c>
      <c r="E758" s="4">
        <v>552.05052183844202</v>
      </c>
      <c r="F758" s="4">
        <v>21.359303078429701</v>
      </c>
      <c r="G758" s="4" t="str">
        <f t="shared" si="22"/>
        <v>OK</v>
      </c>
      <c r="H758" s="4" t="str">
        <f t="shared" si="23"/>
        <v>NON-ZERO</v>
      </c>
      <c r="I758">
        <v>600</v>
      </c>
      <c r="J758">
        <f>IFERROR(Table4[[#This Row],[energy_kwh]]/Table4[[#This Row],[expected_kwh]],0)</f>
        <v>0.92008420306407002</v>
      </c>
      <c r="K758" t="str">
        <f>IF(Table4[[#This Row],[Performance_Ratio]] &lt; 0.85, "Underperforming", "Performing")</f>
        <v>Performing</v>
      </c>
      <c r="L758">
        <f>Table4[[#This Row],[energy_kwh]] - Table4[[#This Row],[expected_kwh]]</f>
        <v>-47.949478161557977</v>
      </c>
      <c r="M758" t="str">
        <f>IF(Table4[[#This Row],[Performance_Deviation]] &lt; 0, "Underperforming", "Outperforming")</f>
        <v>Underperforming</v>
      </c>
      <c r="N758">
        <f>IF(Table4[[#This Row],[Performance_Ratio]] &lt; 0.85, Table4[[#This Row],[Performance_Deviation]] * 50 / 1000, 0)</f>
        <v>0</v>
      </c>
    </row>
    <row r="759" spans="1:14" x14ac:dyDescent="0.3">
      <c r="A759" s="6" t="s">
        <v>7</v>
      </c>
      <c r="B759" s="5">
        <v>45292.541666666664</v>
      </c>
      <c r="C759" s="6">
        <v>557.74846581514396</v>
      </c>
      <c r="D759" s="6">
        <v>545.49393569938002</v>
      </c>
      <c r="E759" s="6">
        <v>545.49393569938002</v>
      </c>
      <c r="F759" s="6">
        <v>55.569126573271497</v>
      </c>
      <c r="G759" s="6" t="str">
        <f t="shared" si="22"/>
        <v>OK</v>
      </c>
      <c r="H759" s="6" t="str">
        <f t="shared" si="23"/>
        <v>NON-ZERO</v>
      </c>
      <c r="I759">
        <v>579.55549577344095</v>
      </c>
      <c r="J759">
        <f>IFERROR(Table4[[#This Row],[energy_kwh]]/Table4[[#This Row],[expected_kwh]],0)</f>
        <v>0.94122813031286268</v>
      </c>
      <c r="K759" t="str">
        <f>IF(Table4[[#This Row],[Performance_Ratio]] &lt; 0.85, "Underperforming", "Performing")</f>
        <v>Performing</v>
      </c>
      <c r="L759">
        <f>Table4[[#This Row],[energy_kwh]] - Table4[[#This Row],[expected_kwh]]</f>
        <v>-34.061560074060935</v>
      </c>
      <c r="M759" t="str">
        <f>IF(Table4[[#This Row],[Performance_Deviation]] &lt; 0, "Underperforming", "Outperforming")</f>
        <v>Underperforming</v>
      </c>
      <c r="N759">
        <f>IF(Table4[[#This Row],[Performance_Ratio]] &lt; 0.85, Table4[[#This Row],[Performance_Deviation]] * 50 / 1000, 0)</f>
        <v>0</v>
      </c>
    </row>
    <row r="760" spans="1:14" x14ac:dyDescent="0.3">
      <c r="A760" s="4" t="s">
        <v>7</v>
      </c>
      <c r="B760" s="3">
        <v>45292.583333333336</v>
      </c>
      <c r="C760" s="4">
        <v>567.42193585445295</v>
      </c>
      <c r="D760" s="4">
        <v>554.954865790692</v>
      </c>
      <c r="E760" s="4">
        <v>554.954865790692</v>
      </c>
      <c r="F760" s="4">
        <v>20.748408249383701</v>
      </c>
      <c r="G760" s="4" t="str">
        <f t="shared" si="22"/>
        <v>OK</v>
      </c>
      <c r="H760" s="4" t="str">
        <f t="shared" si="23"/>
        <v>NON-ZERO</v>
      </c>
      <c r="I760">
        <v>519.61524227066297</v>
      </c>
      <c r="J760">
        <f>IFERROR(Table4[[#This Row],[energy_kwh]]/Table4[[#This Row],[expected_kwh]],0)</f>
        <v>1.068011137174496</v>
      </c>
      <c r="K760" t="str">
        <f>IF(Table4[[#This Row],[Performance_Ratio]] &lt; 0.85, "Underperforming", "Performing")</f>
        <v>Performing</v>
      </c>
      <c r="L760">
        <f>Table4[[#This Row],[energy_kwh]] - Table4[[#This Row],[expected_kwh]]</f>
        <v>35.339623520029022</v>
      </c>
      <c r="M760" t="str">
        <f>IF(Table4[[#This Row],[Performance_Deviation]] &lt; 0, "Underperforming", "Outperforming")</f>
        <v>Outperforming</v>
      </c>
      <c r="N760">
        <f>IF(Table4[[#This Row],[Performance_Ratio]] &lt; 0.85, Table4[[#This Row],[Performance_Deviation]] * 50 / 1000, 0)</f>
        <v>0</v>
      </c>
    </row>
    <row r="761" spans="1:14" x14ac:dyDescent="0.3">
      <c r="A761" s="6" t="s">
        <v>7</v>
      </c>
      <c r="B761" s="5">
        <v>45292.625</v>
      </c>
      <c r="C761" s="6">
        <v>431.51616587198498</v>
      </c>
      <c r="D761" s="6">
        <v>422.03513961333198</v>
      </c>
      <c r="E761" s="6">
        <v>422.03513961333198</v>
      </c>
      <c r="F761" s="6">
        <v>82.708827740543597</v>
      </c>
      <c r="G761" s="6" t="str">
        <f t="shared" si="22"/>
        <v>OK</v>
      </c>
      <c r="H761" s="6" t="str">
        <f t="shared" si="23"/>
        <v>NON-ZERO</v>
      </c>
      <c r="I761">
        <v>424.26406871192802</v>
      </c>
      <c r="J761">
        <f>IFERROR(Table4[[#This Row],[energy_kwh]]/Table4[[#This Row],[expected_kwh]],0)</f>
        <v>0.99474636373199576</v>
      </c>
      <c r="K761" t="str">
        <f>IF(Table4[[#This Row],[Performance_Ratio]] &lt; 0.85, "Underperforming", "Performing")</f>
        <v>Performing</v>
      </c>
      <c r="L761">
        <f>Table4[[#This Row],[energy_kwh]] - Table4[[#This Row],[expected_kwh]]</f>
        <v>-2.2289290985960406</v>
      </c>
      <c r="M761" t="str">
        <f>IF(Table4[[#This Row],[Performance_Deviation]] &lt; 0, "Underperforming", "Outperforming")</f>
        <v>Underperforming</v>
      </c>
      <c r="N761">
        <f>IF(Table4[[#This Row],[Performance_Ratio]] &lt; 0.85, Table4[[#This Row],[Performance_Deviation]] * 50 / 1000, 0)</f>
        <v>0</v>
      </c>
    </row>
    <row r="762" spans="1:14" x14ac:dyDescent="0.3">
      <c r="A762" s="4" t="s">
        <v>7</v>
      </c>
      <c r="B762" s="3">
        <v>45292.666666666664</v>
      </c>
      <c r="C762" s="4">
        <v>292.590282775893</v>
      </c>
      <c r="D762" s="4">
        <v>286.16165651940202</v>
      </c>
      <c r="E762" s="4">
        <v>286.16165651940202</v>
      </c>
      <c r="F762" s="4">
        <v>79.366865194352698</v>
      </c>
      <c r="G762" s="4" t="str">
        <f t="shared" si="22"/>
        <v>OK</v>
      </c>
      <c r="H762" s="4" t="str">
        <f t="shared" si="23"/>
        <v>NON-ZERO</v>
      </c>
      <c r="I762">
        <v>300</v>
      </c>
      <c r="J762">
        <f>IFERROR(Table4[[#This Row],[energy_kwh]]/Table4[[#This Row],[expected_kwh]],0)</f>
        <v>0.95387218839800669</v>
      </c>
      <c r="K762" t="str">
        <f>IF(Table4[[#This Row],[Performance_Ratio]] &lt; 0.85, "Underperforming", "Performing")</f>
        <v>Performing</v>
      </c>
      <c r="L762">
        <f>Table4[[#This Row],[energy_kwh]] - Table4[[#This Row],[expected_kwh]]</f>
        <v>-13.838343480597985</v>
      </c>
      <c r="M762" t="str">
        <f>IF(Table4[[#This Row],[Performance_Deviation]] &lt; 0, "Underperforming", "Outperforming")</f>
        <v>Underperforming</v>
      </c>
      <c r="N762">
        <f>IF(Table4[[#This Row],[Performance_Ratio]] &lt; 0.85, Table4[[#This Row],[Performance_Deviation]] * 50 / 1000, 0)</f>
        <v>0</v>
      </c>
    </row>
    <row r="763" spans="1:14" x14ac:dyDescent="0.3">
      <c r="A763" s="6" t="s">
        <v>7</v>
      </c>
      <c r="B763" s="5">
        <v>45292.708333333336</v>
      </c>
      <c r="C763" s="6">
        <v>151.20481928077999</v>
      </c>
      <c r="D763" s="6">
        <v>147.88263351946699</v>
      </c>
      <c r="E763" s="6">
        <v>147.88263351946699</v>
      </c>
      <c r="F763" s="6">
        <v>84.1230514671105</v>
      </c>
      <c r="G763" s="6" t="str">
        <f t="shared" si="22"/>
        <v>OK</v>
      </c>
      <c r="H763" s="6" t="str">
        <f t="shared" si="23"/>
        <v>NON-ZERO</v>
      </c>
      <c r="I763">
        <v>155.291427061512</v>
      </c>
      <c r="J763">
        <f>IFERROR(Table4[[#This Row],[energy_kwh]]/Table4[[#This Row],[expected_kwh]],0)</f>
        <v>0.95229103317396702</v>
      </c>
      <c r="K763" t="str">
        <f>IF(Table4[[#This Row],[Performance_Ratio]] &lt; 0.85, "Underperforming", "Performing")</f>
        <v>Performing</v>
      </c>
      <c r="L763">
        <f>Table4[[#This Row],[energy_kwh]] - Table4[[#This Row],[expected_kwh]]</f>
        <v>-7.4087935420450037</v>
      </c>
      <c r="M763" t="str">
        <f>IF(Table4[[#This Row],[Performance_Deviation]] &lt; 0, "Underperforming", "Outperforming")</f>
        <v>Underperforming</v>
      </c>
      <c r="N763">
        <f>IF(Table4[[#This Row],[Performance_Ratio]] &lt; 0.85, Table4[[#This Row],[Performance_Deviation]] * 50 / 1000, 0)</f>
        <v>0</v>
      </c>
    </row>
    <row r="764" spans="1:14" x14ac:dyDescent="0.3">
      <c r="A764" s="4" t="s">
        <v>7</v>
      </c>
      <c r="B764" s="3">
        <v>45292.75</v>
      </c>
      <c r="C764" s="7">
        <v>6.9341309453968898E-14</v>
      </c>
      <c r="D764" s="7">
        <v>6.7817781883654102E-14</v>
      </c>
      <c r="E764" s="7">
        <v>6.7817781883654102E-14</v>
      </c>
      <c r="F764" s="4">
        <v>80.265324459695194</v>
      </c>
      <c r="G764" s="4" t="str">
        <f t="shared" si="22"/>
        <v>OK</v>
      </c>
      <c r="H764" s="4" t="str">
        <f t="shared" si="23"/>
        <v>NON-ZERO</v>
      </c>
      <c r="I764" s="2">
        <v>7.3478807948841102E-14</v>
      </c>
      <c r="J764">
        <f>IFERROR(Table4[[#This Row],[energy_kwh]]/Table4[[#This Row],[expected_kwh]],0)</f>
        <v>0.9229570236206277</v>
      </c>
      <c r="K764" t="str">
        <f>IF(Table4[[#This Row],[Performance_Ratio]] &lt; 0.85, "Underperforming", "Performing")</f>
        <v>Performing</v>
      </c>
      <c r="L764">
        <f>Table4[[#This Row],[energy_kwh]] - Table4[[#This Row],[expected_kwh]]</f>
        <v>-5.6610260651869998E-15</v>
      </c>
      <c r="M764" t="str">
        <f>IF(Table4[[#This Row],[Performance_Deviation]] &lt; 0, "Underperforming", "Outperforming")</f>
        <v>Underperforming</v>
      </c>
      <c r="N764">
        <f>IF(Table4[[#This Row],[Performance_Ratio]] &lt; 0.85, Table4[[#This Row],[Performance_Deviation]] * 50 / 1000, 0)</f>
        <v>0</v>
      </c>
    </row>
    <row r="765" spans="1:14" x14ac:dyDescent="0.3">
      <c r="A765" s="6" t="s">
        <v>7</v>
      </c>
      <c r="B765" s="5">
        <v>45292.791666666664</v>
      </c>
      <c r="C765" s="6">
        <v>0</v>
      </c>
      <c r="D765" s="6">
        <v>0</v>
      </c>
      <c r="E765" s="6">
        <v>0</v>
      </c>
      <c r="F765" s="6">
        <v>25.0230209018953</v>
      </c>
      <c r="G765" s="6" t="str">
        <f t="shared" si="22"/>
        <v>OK</v>
      </c>
      <c r="H765" s="6" t="str">
        <f t="shared" si="23"/>
        <v>ZERO</v>
      </c>
      <c r="I765">
        <v>0</v>
      </c>
      <c r="J765">
        <f>IFERROR(Table4[[#This Row],[energy_kwh]]/Table4[[#This Row],[expected_kwh]],0)</f>
        <v>0</v>
      </c>
      <c r="K765" t="str">
        <f>IF(Table4[[#This Row],[Performance_Ratio]] &lt; 0.85, "Underperforming", "Performing")</f>
        <v>Underperforming</v>
      </c>
      <c r="L765">
        <f>Table4[[#This Row],[energy_kwh]] - Table4[[#This Row],[expected_kwh]]</f>
        <v>0</v>
      </c>
      <c r="M765" t="str">
        <f>IF(Table4[[#This Row],[Performance_Deviation]] &lt; 0, "Underperforming", "Outperforming")</f>
        <v>Outperforming</v>
      </c>
      <c r="N765">
        <f>IF(Table4[[#This Row],[Performance_Ratio]] &lt; 0.85, Table4[[#This Row],[Performance_Deviation]] * 50 / 1000, 0)</f>
        <v>0</v>
      </c>
    </row>
    <row r="766" spans="1:14" x14ac:dyDescent="0.3">
      <c r="A766" s="4" t="s">
        <v>7</v>
      </c>
      <c r="B766" s="3">
        <v>45292.833333333336</v>
      </c>
      <c r="C766" s="4">
        <v>0</v>
      </c>
      <c r="D766" s="4">
        <v>0</v>
      </c>
      <c r="E766" s="4">
        <v>0</v>
      </c>
      <c r="F766" s="4">
        <v>24.992354593566699</v>
      </c>
      <c r="G766" s="4" t="str">
        <f t="shared" si="22"/>
        <v>OK</v>
      </c>
      <c r="H766" s="4" t="str">
        <f t="shared" si="23"/>
        <v>ZERO</v>
      </c>
      <c r="I766">
        <v>0</v>
      </c>
      <c r="J766">
        <f>IFERROR(Table4[[#This Row],[energy_kwh]]/Table4[[#This Row],[expected_kwh]],0)</f>
        <v>0</v>
      </c>
      <c r="K766" t="str">
        <f>IF(Table4[[#This Row],[Performance_Ratio]] &lt; 0.85, "Underperforming", "Performing")</f>
        <v>Underperforming</v>
      </c>
      <c r="L766">
        <f>Table4[[#This Row],[energy_kwh]] - Table4[[#This Row],[expected_kwh]]</f>
        <v>0</v>
      </c>
      <c r="M766" t="str">
        <f>IF(Table4[[#This Row],[Performance_Deviation]] &lt; 0, "Underperforming", "Outperforming")</f>
        <v>Outperforming</v>
      </c>
      <c r="N766">
        <f>IF(Table4[[#This Row],[Performance_Ratio]] &lt; 0.85, Table4[[#This Row],[Performance_Deviation]] * 50 / 1000, 0)</f>
        <v>0</v>
      </c>
    </row>
    <row r="767" spans="1:14" x14ac:dyDescent="0.3">
      <c r="A767" s="6" t="s">
        <v>7</v>
      </c>
      <c r="B767" s="5">
        <v>45292.875</v>
      </c>
      <c r="C767" s="6">
        <v>0</v>
      </c>
      <c r="D767" s="6">
        <v>0</v>
      </c>
      <c r="E767" s="6">
        <v>0</v>
      </c>
      <c r="F767" s="6">
        <v>48.160169634987497</v>
      </c>
      <c r="G767" s="6" t="str">
        <f t="shared" si="22"/>
        <v>OK</v>
      </c>
      <c r="H767" s="6" t="str">
        <f t="shared" si="23"/>
        <v>ZERO</v>
      </c>
      <c r="I767">
        <v>0</v>
      </c>
      <c r="J767">
        <f>IFERROR(Table4[[#This Row],[energy_kwh]]/Table4[[#This Row],[expected_kwh]],0)</f>
        <v>0</v>
      </c>
      <c r="K767" t="str">
        <f>IF(Table4[[#This Row],[Performance_Ratio]] &lt; 0.85, "Underperforming", "Performing")</f>
        <v>Underperforming</v>
      </c>
      <c r="L767">
        <f>Table4[[#This Row],[energy_kwh]] - Table4[[#This Row],[expected_kwh]]</f>
        <v>0</v>
      </c>
      <c r="M767" t="str">
        <f>IF(Table4[[#This Row],[Performance_Deviation]] &lt; 0, "Underperforming", "Outperforming")</f>
        <v>Outperforming</v>
      </c>
      <c r="N767">
        <f>IF(Table4[[#This Row],[Performance_Ratio]] &lt; 0.85, Table4[[#This Row],[Performance_Deviation]] * 50 / 1000, 0)</f>
        <v>0</v>
      </c>
    </row>
    <row r="768" spans="1:14" x14ac:dyDescent="0.3">
      <c r="A768" s="4" t="s">
        <v>7</v>
      </c>
      <c r="B768" s="3">
        <v>45292.916666666664</v>
      </c>
      <c r="C768" s="4">
        <v>0</v>
      </c>
      <c r="D768" s="4">
        <v>0</v>
      </c>
      <c r="E768" s="4">
        <v>0</v>
      </c>
      <c r="F768" s="4">
        <v>44.087161447696502</v>
      </c>
      <c r="G768" s="4" t="str">
        <f t="shared" si="22"/>
        <v>OK</v>
      </c>
      <c r="H768" s="4" t="str">
        <f t="shared" si="23"/>
        <v>ZERO</v>
      </c>
      <c r="I768">
        <v>0</v>
      </c>
      <c r="J768">
        <f>IFERROR(Table4[[#This Row],[energy_kwh]]/Table4[[#This Row],[expected_kwh]],0)</f>
        <v>0</v>
      </c>
      <c r="K768" t="str">
        <f>IF(Table4[[#This Row],[Performance_Ratio]] &lt; 0.85, "Underperforming", "Performing")</f>
        <v>Underperforming</v>
      </c>
      <c r="L768">
        <f>Table4[[#This Row],[energy_kwh]] - Table4[[#This Row],[expected_kwh]]</f>
        <v>0</v>
      </c>
      <c r="M768" t="str">
        <f>IF(Table4[[#This Row],[Performance_Deviation]] &lt; 0, "Underperforming", "Outperforming")</f>
        <v>Outperforming</v>
      </c>
      <c r="N768">
        <f>IF(Table4[[#This Row],[Performance_Ratio]] &lt; 0.85, Table4[[#This Row],[Performance_Deviation]] * 50 / 1000, 0)</f>
        <v>0</v>
      </c>
    </row>
    <row r="769" spans="1:14" x14ac:dyDescent="0.3">
      <c r="A769" s="6" t="s">
        <v>7</v>
      </c>
      <c r="B769" s="5">
        <v>45292.958333333336</v>
      </c>
      <c r="C769" s="6">
        <v>0</v>
      </c>
      <c r="D769" s="6">
        <v>0</v>
      </c>
      <c r="E769" s="6">
        <v>0</v>
      </c>
      <c r="F769" s="6">
        <v>47.939995531966296</v>
      </c>
      <c r="G769" s="6" t="str">
        <f t="shared" si="22"/>
        <v>OK</v>
      </c>
      <c r="H769" s="6" t="str">
        <f t="shared" si="23"/>
        <v>ZERO</v>
      </c>
      <c r="I769">
        <v>0</v>
      </c>
      <c r="J769">
        <f>IFERROR(Table4[[#This Row],[energy_kwh]]/Table4[[#This Row],[expected_kwh]],0)</f>
        <v>0</v>
      </c>
      <c r="K769" t="str">
        <f>IF(Table4[[#This Row],[Performance_Ratio]] &lt; 0.85, "Underperforming", "Performing")</f>
        <v>Underperforming</v>
      </c>
      <c r="L769">
        <f>Table4[[#This Row],[energy_kwh]] - Table4[[#This Row],[expected_kwh]]</f>
        <v>0</v>
      </c>
      <c r="M769" t="str">
        <f>IF(Table4[[#This Row],[Performance_Deviation]] &lt; 0, "Underperforming", "Outperforming")</f>
        <v>Outperforming</v>
      </c>
      <c r="N769">
        <f>IF(Table4[[#This Row],[Performance_Ratio]] &lt; 0.85, Table4[[#This Row],[Performance_Deviation]] * 50 / 1000, 0)</f>
        <v>0</v>
      </c>
    </row>
    <row r="770" spans="1:14" x14ac:dyDescent="0.3">
      <c r="A770" s="4" t="s">
        <v>7</v>
      </c>
      <c r="B770" s="3">
        <v>45293</v>
      </c>
      <c r="C770" s="4">
        <v>0</v>
      </c>
      <c r="D770" s="4">
        <v>0</v>
      </c>
      <c r="E770" s="4">
        <v>0</v>
      </c>
      <c r="F770" s="4">
        <v>69.254711354120502</v>
      </c>
      <c r="G770" s="4" t="str">
        <f t="shared" ref="G770:G833" si="24">IF(D770 &gt; C770, "ERROR", "OK")</f>
        <v>OK</v>
      </c>
      <c r="H770" s="4" t="str">
        <f t="shared" ref="H770:H833" si="25">IF(E770=0,"ZERO","NON-ZERO")</f>
        <v>ZERO</v>
      </c>
      <c r="I770">
        <v>0</v>
      </c>
      <c r="J770">
        <f>IFERROR(Table4[[#This Row],[energy_kwh]]/Table4[[#This Row],[expected_kwh]],0)</f>
        <v>0</v>
      </c>
      <c r="K770" t="str">
        <f>IF(Table4[[#This Row],[Performance_Ratio]] &lt; 0.85, "Underperforming", "Performing")</f>
        <v>Underperforming</v>
      </c>
      <c r="L770">
        <f>Table4[[#This Row],[energy_kwh]] - Table4[[#This Row],[expected_kwh]]</f>
        <v>0</v>
      </c>
      <c r="M770" t="str">
        <f>IF(Table4[[#This Row],[Performance_Deviation]] &lt; 0, "Underperforming", "Outperforming")</f>
        <v>Outperforming</v>
      </c>
      <c r="N770">
        <f>IF(Table4[[#This Row],[Performance_Ratio]] &lt; 0.85, Table4[[#This Row],[Performance_Deviation]] * 50 / 1000, 0)</f>
        <v>0</v>
      </c>
    </row>
    <row r="771" spans="1:14" x14ac:dyDescent="0.3">
      <c r="A771" s="6" t="s">
        <v>7</v>
      </c>
      <c r="B771" s="5">
        <v>45293.041666666664</v>
      </c>
      <c r="C771" s="6">
        <v>0</v>
      </c>
      <c r="D771" s="6">
        <v>0</v>
      </c>
      <c r="E771" s="6">
        <v>0</v>
      </c>
      <c r="F771" s="6">
        <v>36.325054968540201</v>
      </c>
      <c r="G771" s="6" t="str">
        <f t="shared" si="24"/>
        <v>OK</v>
      </c>
      <c r="H771" s="6" t="str">
        <f t="shared" si="25"/>
        <v>ZERO</v>
      </c>
      <c r="I771">
        <v>0</v>
      </c>
      <c r="J771">
        <f>IFERROR(Table4[[#This Row],[energy_kwh]]/Table4[[#This Row],[expected_kwh]],0)</f>
        <v>0</v>
      </c>
      <c r="K771" t="str">
        <f>IF(Table4[[#This Row],[Performance_Ratio]] &lt; 0.85, "Underperforming", "Performing")</f>
        <v>Underperforming</v>
      </c>
      <c r="L771">
        <f>Table4[[#This Row],[energy_kwh]] - Table4[[#This Row],[expected_kwh]]</f>
        <v>0</v>
      </c>
      <c r="M771" t="str">
        <f>IF(Table4[[#This Row],[Performance_Deviation]] &lt; 0, "Underperforming", "Outperforming")</f>
        <v>Outperforming</v>
      </c>
      <c r="N771">
        <f>IF(Table4[[#This Row],[Performance_Ratio]] &lt; 0.85, Table4[[#This Row],[Performance_Deviation]] * 50 / 1000, 0)</f>
        <v>0</v>
      </c>
    </row>
    <row r="772" spans="1:14" x14ac:dyDescent="0.3">
      <c r="A772" s="4" t="s">
        <v>7</v>
      </c>
      <c r="B772" s="3">
        <v>45293.083333333336</v>
      </c>
      <c r="C772" s="4">
        <v>0</v>
      </c>
      <c r="D772" s="4">
        <v>0</v>
      </c>
      <c r="E772" s="4">
        <v>0</v>
      </c>
      <c r="F772" s="4">
        <v>77.960717996775301</v>
      </c>
      <c r="G772" s="4" t="str">
        <f t="shared" si="24"/>
        <v>OK</v>
      </c>
      <c r="H772" s="4" t="str">
        <f t="shared" si="25"/>
        <v>ZERO</v>
      </c>
      <c r="I772">
        <v>0</v>
      </c>
      <c r="J772">
        <f>IFERROR(Table4[[#This Row],[energy_kwh]]/Table4[[#This Row],[expected_kwh]],0)</f>
        <v>0</v>
      </c>
      <c r="K772" t="str">
        <f>IF(Table4[[#This Row],[Performance_Ratio]] &lt; 0.85, "Underperforming", "Performing")</f>
        <v>Underperforming</v>
      </c>
      <c r="L772">
        <f>Table4[[#This Row],[energy_kwh]] - Table4[[#This Row],[expected_kwh]]</f>
        <v>0</v>
      </c>
      <c r="M772" t="str">
        <f>IF(Table4[[#This Row],[Performance_Deviation]] &lt; 0, "Underperforming", "Outperforming")</f>
        <v>Outperforming</v>
      </c>
      <c r="N772">
        <f>IF(Table4[[#This Row],[Performance_Ratio]] &lt; 0.85, Table4[[#This Row],[Performance_Deviation]] * 50 / 1000, 0)</f>
        <v>0</v>
      </c>
    </row>
    <row r="773" spans="1:14" x14ac:dyDescent="0.3">
      <c r="A773" s="6" t="s">
        <v>7</v>
      </c>
      <c r="B773" s="5">
        <v>45293.125</v>
      </c>
      <c r="C773" s="6">
        <v>0</v>
      </c>
      <c r="D773" s="6">
        <v>0</v>
      </c>
      <c r="E773" s="6">
        <v>0</v>
      </c>
      <c r="F773" s="6">
        <v>77.4886287149438</v>
      </c>
      <c r="G773" s="6" t="str">
        <f t="shared" si="24"/>
        <v>OK</v>
      </c>
      <c r="H773" s="6" t="str">
        <f t="shared" si="25"/>
        <v>ZERO</v>
      </c>
      <c r="I773">
        <v>0</v>
      </c>
      <c r="J773">
        <f>IFERROR(Table4[[#This Row],[energy_kwh]]/Table4[[#This Row],[expected_kwh]],0)</f>
        <v>0</v>
      </c>
      <c r="K773" t="str">
        <f>IF(Table4[[#This Row],[Performance_Ratio]] &lt; 0.85, "Underperforming", "Performing")</f>
        <v>Underperforming</v>
      </c>
      <c r="L773">
        <f>Table4[[#This Row],[energy_kwh]] - Table4[[#This Row],[expected_kwh]]</f>
        <v>0</v>
      </c>
      <c r="M773" t="str">
        <f>IF(Table4[[#This Row],[Performance_Deviation]] &lt; 0, "Underperforming", "Outperforming")</f>
        <v>Outperforming</v>
      </c>
      <c r="N773">
        <f>IF(Table4[[#This Row],[Performance_Ratio]] &lt; 0.85, Table4[[#This Row],[Performance_Deviation]] * 50 / 1000, 0)</f>
        <v>0</v>
      </c>
    </row>
    <row r="774" spans="1:14" x14ac:dyDescent="0.3">
      <c r="A774" s="4" t="s">
        <v>7</v>
      </c>
      <c r="B774" s="3">
        <v>45293.166666666664</v>
      </c>
      <c r="C774" s="4">
        <v>0</v>
      </c>
      <c r="D774" s="4">
        <v>0</v>
      </c>
      <c r="E774" s="4">
        <v>0</v>
      </c>
      <c r="F774" s="4">
        <v>58.850604980346802</v>
      </c>
      <c r="G774" s="4" t="str">
        <f t="shared" si="24"/>
        <v>OK</v>
      </c>
      <c r="H774" s="4" t="str">
        <f t="shared" si="25"/>
        <v>ZERO</v>
      </c>
      <c r="I774">
        <v>0</v>
      </c>
      <c r="J774">
        <f>IFERROR(Table4[[#This Row],[energy_kwh]]/Table4[[#This Row],[expected_kwh]],0)</f>
        <v>0</v>
      </c>
      <c r="K774" t="str">
        <f>IF(Table4[[#This Row],[Performance_Ratio]] &lt; 0.85, "Underperforming", "Performing")</f>
        <v>Underperforming</v>
      </c>
      <c r="L774">
        <f>Table4[[#This Row],[energy_kwh]] - Table4[[#This Row],[expected_kwh]]</f>
        <v>0</v>
      </c>
      <c r="M774" t="str">
        <f>IF(Table4[[#This Row],[Performance_Deviation]] &lt; 0, "Underperforming", "Outperforming")</f>
        <v>Outperforming</v>
      </c>
      <c r="N774">
        <f>IF(Table4[[#This Row],[Performance_Ratio]] &lt; 0.85, Table4[[#This Row],[Performance_Deviation]] * 50 / 1000, 0)</f>
        <v>0</v>
      </c>
    </row>
    <row r="775" spans="1:14" x14ac:dyDescent="0.3">
      <c r="A775" s="6" t="s">
        <v>7</v>
      </c>
      <c r="B775" s="5">
        <v>45293.208333333336</v>
      </c>
      <c r="C775" s="6">
        <v>0</v>
      </c>
      <c r="D775" s="6">
        <v>0</v>
      </c>
      <c r="E775" s="6">
        <v>0</v>
      </c>
      <c r="F775" s="6">
        <v>66.535533878897795</v>
      </c>
      <c r="G775" s="6" t="str">
        <f t="shared" si="24"/>
        <v>OK</v>
      </c>
      <c r="H775" s="6" t="str">
        <f t="shared" si="25"/>
        <v>ZERO</v>
      </c>
      <c r="I775">
        <v>0</v>
      </c>
      <c r="J775">
        <f>IFERROR(Table4[[#This Row],[energy_kwh]]/Table4[[#This Row],[expected_kwh]],0)</f>
        <v>0</v>
      </c>
      <c r="K775" t="str">
        <f>IF(Table4[[#This Row],[Performance_Ratio]] &lt; 0.85, "Underperforming", "Performing")</f>
        <v>Underperforming</v>
      </c>
      <c r="L775">
        <f>Table4[[#This Row],[energy_kwh]] - Table4[[#This Row],[expected_kwh]]</f>
        <v>0</v>
      </c>
      <c r="M775" t="str">
        <f>IF(Table4[[#This Row],[Performance_Deviation]] &lt; 0, "Underperforming", "Outperforming")</f>
        <v>Outperforming</v>
      </c>
      <c r="N775">
        <f>IF(Table4[[#This Row],[Performance_Ratio]] &lt; 0.85, Table4[[#This Row],[Performance_Deviation]] * 50 / 1000, 0)</f>
        <v>0</v>
      </c>
    </row>
    <row r="776" spans="1:14" x14ac:dyDescent="0.3">
      <c r="A776" s="4" t="s">
        <v>7</v>
      </c>
      <c r="B776" s="3">
        <v>45293.25</v>
      </c>
      <c r="C776" s="4">
        <v>0</v>
      </c>
      <c r="D776" s="4">
        <v>0</v>
      </c>
      <c r="E776" s="4">
        <v>0</v>
      </c>
      <c r="F776" s="4">
        <v>76.248334883905301</v>
      </c>
      <c r="G776" s="4" t="str">
        <f t="shared" si="24"/>
        <v>OK</v>
      </c>
      <c r="H776" s="4" t="str">
        <f t="shared" si="25"/>
        <v>ZERO</v>
      </c>
      <c r="I776">
        <v>0</v>
      </c>
      <c r="J776">
        <f>IFERROR(Table4[[#This Row],[energy_kwh]]/Table4[[#This Row],[expected_kwh]],0)</f>
        <v>0</v>
      </c>
      <c r="K776" t="str">
        <f>IF(Table4[[#This Row],[Performance_Ratio]] &lt; 0.85, "Underperforming", "Performing")</f>
        <v>Underperforming</v>
      </c>
      <c r="L776">
        <f>Table4[[#This Row],[energy_kwh]] - Table4[[#This Row],[expected_kwh]]</f>
        <v>0</v>
      </c>
      <c r="M776" t="str">
        <f>IF(Table4[[#This Row],[Performance_Deviation]] &lt; 0, "Underperforming", "Outperforming")</f>
        <v>Outperforming</v>
      </c>
      <c r="N776">
        <f>IF(Table4[[#This Row],[Performance_Ratio]] &lt; 0.85, Table4[[#This Row],[Performance_Deviation]] * 50 / 1000, 0)</f>
        <v>0</v>
      </c>
    </row>
    <row r="777" spans="1:14" x14ac:dyDescent="0.3">
      <c r="A777" s="6" t="s">
        <v>7</v>
      </c>
      <c r="B777" s="5">
        <v>45293.291666666664</v>
      </c>
      <c r="C777" s="6">
        <v>153.27546343577001</v>
      </c>
      <c r="D777" s="6">
        <v>149.90778266602399</v>
      </c>
      <c r="E777" s="6">
        <v>149.90778266602399</v>
      </c>
      <c r="F777" s="6">
        <v>64.786647949272606</v>
      </c>
      <c r="G777" s="6" t="str">
        <f t="shared" si="24"/>
        <v>OK</v>
      </c>
      <c r="H777" s="6" t="str">
        <f t="shared" si="25"/>
        <v>NON-ZERO</v>
      </c>
      <c r="I777">
        <v>155.291427061512</v>
      </c>
      <c r="J777">
        <f>IFERROR(Table4[[#This Row],[energy_kwh]]/Table4[[#This Row],[expected_kwh]],0)</f>
        <v>0.96533199225894484</v>
      </c>
      <c r="K777" t="str">
        <f>IF(Table4[[#This Row],[Performance_Ratio]] &lt; 0.85, "Underperforming", "Performing")</f>
        <v>Performing</v>
      </c>
      <c r="L777">
        <f>Table4[[#This Row],[energy_kwh]] - Table4[[#This Row],[expected_kwh]]</f>
        <v>-5.3836443954880053</v>
      </c>
      <c r="M777" t="str">
        <f>IF(Table4[[#This Row],[Performance_Deviation]] &lt; 0, "Underperforming", "Outperforming")</f>
        <v>Underperforming</v>
      </c>
      <c r="N777">
        <f>IF(Table4[[#This Row],[Performance_Ratio]] &lt; 0.85, Table4[[#This Row],[Performance_Deviation]] * 50 / 1000, 0)</f>
        <v>0</v>
      </c>
    </row>
    <row r="778" spans="1:14" x14ac:dyDescent="0.3">
      <c r="A778" s="4" t="s">
        <v>7</v>
      </c>
      <c r="B778" s="3">
        <v>45293.333333333336</v>
      </c>
      <c r="C778" s="4">
        <v>301.46667940815797</v>
      </c>
      <c r="D778" s="4">
        <v>294.84302604443798</v>
      </c>
      <c r="E778" s="4">
        <v>294.84302604443798</v>
      </c>
      <c r="F778" s="4">
        <v>31.735753700269999</v>
      </c>
      <c r="G778" s="4" t="str">
        <f t="shared" si="24"/>
        <v>OK</v>
      </c>
      <c r="H778" s="4" t="str">
        <f t="shared" si="25"/>
        <v>NON-ZERO</v>
      </c>
      <c r="I778">
        <v>300</v>
      </c>
      <c r="J778">
        <f>IFERROR(Table4[[#This Row],[energy_kwh]]/Table4[[#This Row],[expected_kwh]],0)</f>
        <v>0.9828100868147932</v>
      </c>
      <c r="K778" t="str">
        <f>IF(Table4[[#This Row],[Performance_Ratio]] &lt; 0.85, "Underperforming", "Performing")</f>
        <v>Performing</v>
      </c>
      <c r="L778">
        <f>Table4[[#This Row],[energy_kwh]] - Table4[[#This Row],[expected_kwh]]</f>
        <v>-5.1569739555620231</v>
      </c>
      <c r="M778" t="str">
        <f>IF(Table4[[#This Row],[Performance_Deviation]] &lt; 0, "Underperforming", "Outperforming")</f>
        <v>Underperforming</v>
      </c>
      <c r="N778">
        <f>IF(Table4[[#This Row],[Performance_Ratio]] &lt; 0.85, Table4[[#This Row],[Performance_Deviation]] * 50 / 1000, 0)</f>
        <v>0</v>
      </c>
    </row>
    <row r="779" spans="1:14" x14ac:dyDescent="0.3">
      <c r="A779" s="6" t="s">
        <v>7</v>
      </c>
      <c r="B779" s="5">
        <v>45293.375</v>
      </c>
      <c r="C779" s="6">
        <v>412.27495506002998</v>
      </c>
      <c r="D779" s="6">
        <v>403.21668567443101</v>
      </c>
      <c r="E779" s="6">
        <v>403.21668567443101</v>
      </c>
      <c r="F779" s="6">
        <v>40.3207023737274</v>
      </c>
      <c r="G779" s="6" t="str">
        <f t="shared" si="24"/>
        <v>OK</v>
      </c>
      <c r="H779" s="6" t="str">
        <f t="shared" si="25"/>
        <v>NON-ZERO</v>
      </c>
      <c r="I779">
        <v>424.26406871192802</v>
      </c>
      <c r="J779">
        <f>IFERROR(Table4[[#This Row],[energy_kwh]]/Table4[[#This Row],[expected_kwh]],0)</f>
        <v>0.95039084242651706</v>
      </c>
      <c r="K779" t="str">
        <f>IF(Table4[[#This Row],[Performance_Ratio]] &lt; 0.85, "Underperforming", "Performing")</f>
        <v>Performing</v>
      </c>
      <c r="L779">
        <f>Table4[[#This Row],[energy_kwh]] - Table4[[#This Row],[expected_kwh]]</f>
        <v>-21.047383037497013</v>
      </c>
      <c r="M779" t="str">
        <f>IF(Table4[[#This Row],[Performance_Deviation]] &lt; 0, "Underperforming", "Outperforming")</f>
        <v>Underperforming</v>
      </c>
      <c r="N779">
        <f>IF(Table4[[#This Row],[Performance_Ratio]] &lt; 0.85, Table4[[#This Row],[Performance_Deviation]] * 50 / 1000, 0)</f>
        <v>0</v>
      </c>
    </row>
    <row r="780" spans="1:14" x14ac:dyDescent="0.3">
      <c r="A780" s="4" t="s">
        <v>7</v>
      </c>
      <c r="B780" s="3">
        <v>45293.416666666664</v>
      </c>
      <c r="C780" s="4">
        <v>470.708082144201</v>
      </c>
      <c r="D780" s="4">
        <v>460.36595352903998</v>
      </c>
      <c r="E780" s="4">
        <v>460.36595352903998</v>
      </c>
      <c r="F780" s="4">
        <v>51.863813215106497</v>
      </c>
      <c r="G780" s="4" t="str">
        <f t="shared" si="24"/>
        <v>OK</v>
      </c>
      <c r="H780" s="4" t="str">
        <f t="shared" si="25"/>
        <v>NON-ZERO</v>
      </c>
      <c r="I780">
        <v>519.61524227066297</v>
      </c>
      <c r="J780">
        <f>IFERROR(Table4[[#This Row],[energy_kwh]]/Table4[[#This Row],[expected_kwh]],0)</f>
        <v>0.88597469065243362</v>
      </c>
      <c r="K780" t="str">
        <f>IF(Table4[[#This Row],[Performance_Ratio]] &lt; 0.85, "Underperforming", "Performing")</f>
        <v>Performing</v>
      </c>
      <c r="L780">
        <f>Table4[[#This Row],[energy_kwh]] - Table4[[#This Row],[expected_kwh]]</f>
        <v>-59.249288741622991</v>
      </c>
      <c r="M780" t="str">
        <f>IF(Table4[[#This Row],[Performance_Deviation]] &lt; 0, "Underperforming", "Outperforming")</f>
        <v>Underperforming</v>
      </c>
      <c r="N780">
        <f>IF(Table4[[#This Row],[Performance_Ratio]] &lt; 0.85, Table4[[#This Row],[Performance_Deviation]] * 50 / 1000, 0)</f>
        <v>0</v>
      </c>
    </row>
    <row r="781" spans="1:14" x14ac:dyDescent="0.3">
      <c r="A781" s="6" t="s">
        <v>7</v>
      </c>
      <c r="B781" s="5">
        <v>45293.458333333336</v>
      </c>
      <c r="C781" s="6">
        <v>509.68203455843599</v>
      </c>
      <c r="D781" s="6">
        <v>498.48359256392303</v>
      </c>
      <c r="E781" s="6">
        <v>498.48359256392303</v>
      </c>
      <c r="F781" s="6">
        <v>34.094028561149202</v>
      </c>
      <c r="G781" s="6" t="str">
        <f t="shared" si="24"/>
        <v>OK</v>
      </c>
      <c r="H781" s="6" t="str">
        <f t="shared" si="25"/>
        <v>NON-ZERO</v>
      </c>
      <c r="I781">
        <v>579.55549577344095</v>
      </c>
      <c r="J781">
        <f>IFERROR(Table4[[#This Row],[energy_kwh]]/Table4[[#This Row],[expected_kwh]],0)</f>
        <v>0.8601136495111239</v>
      </c>
      <c r="K781" t="str">
        <f>IF(Table4[[#This Row],[Performance_Ratio]] &lt; 0.85, "Underperforming", "Performing")</f>
        <v>Performing</v>
      </c>
      <c r="L781">
        <f>Table4[[#This Row],[energy_kwh]] - Table4[[#This Row],[expected_kwh]]</f>
        <v>-81.071903209517927</v>
      </c>
      <c r="M781" t="str">
        <f>IF(Table4[[#This Row],[Performance_Deviation]] &lt; 0, "Underperforming", "Outperforming")</f>
        <v>Underperforming</v>
      </c>
      <c r="N781">
        <f>IF(Table4[[#This Row],[Performance_Ratio]] &lt; 0.85, Table4[[#This Row],[Performance_Deviation]] * 50 / 1000, 0)</f>
        <v>0</v>
      </c>
    </row>
    <row r="782" spans="1:14" x14ac:dyDescent="0.3">
      <c r="A782" s="4" t="s">
        <v>7</v>
      </c>
      <c r="B782" s="3">
        <v>45293.5</v>
      </c>
      <c r="C782" s="4">
        <v>579.33517756282595</v>
      </c>
      <c r="D782" s="4">
        <v>566.606356569676</v>
      </c>
      <c r="E782" s="4">
        <v>566.606356569676</v>
      </c>
      <c r="F782" s="4">
        <v>69.463307648057693</v>
      </c>
      <c r="G782" s="4" t="str">
        <f t="shared" si="24"/>
        <v>OK</v>
      </c>
      <c r="H782" s="4" t="str">
        <f t="shared" si="25"/>
        <v>NON-ZERO</v>
      </c>
      <c r="I782">
        <v>600</v>
      </c>
      <c r="J782">
        <f>IFERROR(Table4[[#This Row],[energy_kwh]]/Table4[[#This Row],[expected_kwh]],0)</f>
        <v>0.94434392761612662</v>
      </c>
      <c r="K782" t="str">
        <f>IF(Table4[[#This Row],[Performance_Ratio]] &lt; 0.85, "Underperforming", "Performing")</f>
        <v>Performing</v>
      </c>
      <c r="L782">
        <f>Table4[[#This Row],[energy_kwh]] - Table4[[#This Row],[expected_kwh]]</f>
        <v>-33.393643430324005</v>
      </c>
      <c r="M782" t="str">
        <f>IF(Table4[[#This Row],[Performance_Deviation]] &lt; 0, "Underperforming", "Outperforming")</f>
        <v>Underperforming</v>
      </c>
      <c r="N782">
        <f>IF(Table4[[#This Row],[Performance_Ratio]] &lt; 0.85, Table4[[#This Row],[Performance_Deviation]] * 50 / 1000, 0)</f>
        <v>0</v>
      </c>
    </row>
    <row r="783" spans="1:14" x14ac:dyDescent="0.3">
      <c r="A783" s="6" t="s">
        <v>7</v>
      </c>
      <c r="B783" s="5">
        <v>45293.541666666664</v>
      </c>
      <c r="C783" s="6">
        <v>531.13155911853005</v>
      </c>
      <c r="D783" s="6">
        <v>519.46184044501001</v>
      </c>
      <c r="E783" s="6">
        <v>519.46184044501001</v>
      </c>
      <c r="F783" s="6">
        <v>71.926919184579305</v>
      </c>
      <c r="G783" s="6" t="str">
        <f t="shared" si="24"/>
        <v>OK</v>
      </c>
      <c r="H783" s="6" t="str">
        <f t="shared" si="25"/>
        <v>NON-ZERO</v>
      </c>
      <c r="I783">
        <v>579.55549577344095</v>
      </c>
      <c r="J783">
        <f>IFERROR(Table4[[#This Row],[energy_kwh]]/Table4[[#This Row],[expected_kwh]],0)</f>
        <v>0.89631078340783665</v>
      </c>
      <c r="K783" t="str">
        <f>IF(Table4[[#This Row],[Performance_Ratio]] &lt; 0.85, "Underperforming", "Performing")</f>
        <v>Performing</v>
      </c>
      <c r="L783">
        <f>Table4[[#This Row],[energy_kwh]] - Table4[[#This Row],[expected_kwh]]</f>
        <v>-60.093655328430941</v>
      </c>
      <c r="M783" t="str">
        <f>IF(Table4[[#This Row],[Performance_Deviation]] &lt; 0, "Underperforming", "Outperforming")</f>
        <v>Underperforming</v>
      </c>
      <c r="N783">
        <f>IF(Table4[[#This Row],[Performance_Ratio]] &lt; 0.85, Table4[[#This Row],[Performance_Deviation]] * 50 / 1000, 0)</f>
        <v>0</v>
      </c>
    </row>
    <row r="784" spans="1:14" x14ac:dyDescent="0.3">
      <c r="A784" s="4" t="s">
        <v>7</v>
      </c>
      <c r="B784" s="3">
        <v>45293.583333333336</v>
      </c>
      <c r="C784" s="4">
        <v>497.21032336215302</v>
      </c>
      <c r="D784" s="4">
        <v>486.28590266902802</v>
      </c>
      <c r="E784" s="4">
        <v>486.28590266902802</v>
      </c>
      <c r="F784" s="4">
        <v>40.213389671920403</v>
      </c>
      <c r="G784" s="4" t="str">
        <f t="shared" si="24"/>
        <v>OK</v>
      </c>
      <c r="H784" s="4" t="str">
        <f t="shared" si="25"/>
        <v>NON-ZERO</v>
      </c>
      <c r="I784">
        <v>519.61524227066297</v>
      </c>
      <c r="J784">
        <f>IFERROR(Table4[[#This Row],[energy_kwh]]/Table4[[#This Row],[expected_kwh]],0)</f>
        <v>0.93585765603027871</v>
      </c>
      <c r="K784" t="str">
        <f>IF(Table4[[#This Row],[Performance_Ratio]] &lt; 0.85, "Underperforming", "Performing")</f>
        <v>Performing</v>
      </c>
      <c r="L784">
        <f>Table4[[#This Row],[energy_kwh]] - Table4[[#This Row],[expected_kwh]]</f>
        <v>-33.329339601634956</v>
      </c>
      <c r="M784" t="str">
        <f>IF(Table4[[#This Row],[Performance_Deviation]] &lt; 0, "Underperforming", "Outperforming")</f>
        <v>Underperforming</v>
      </c>
      <c r="N784">
        <f>IF(Table4[[#This Row],[Performance_Ratio]] &lt; 0.85, Table4[[#This Row],[Performance_Deviation]] * 50 / 1000, 0)</f>
        <v>0</v>
      </c>
    </row>
    <row r="785" spans="1:14" x14ac:dyDescent="0.3">
      <c r="A785" s="6" t="s">
        <v>7</v>
      </c>
      <c r="B785" s="5">
        <v>45293.625</v>
      </c>
      <c r="C785" s="6">
        <v>401.48195358493399</v>
      </c>
      <c r="D785" s="6">
        <v>392.66082185138202</v>
      </c>
      <c r="E785" s="6">
        <v>392.66082185138202</v>
      </c>
      <c r="F785" s="6">
        <v>36.403670974844502</v>
      </c>
      <c r="G785" s="6" t="str">
        <f t="shared" si="24"/>
        <v>OK</v>
      </c>
      <c r="H785" s="6" t="str">
        <f t="shared" si="25"/>
        <v>NON-ZERO</v>
      </c>
      <c r="I785">
        <v>424.26406871192802</v>
      </c>
      <c r="J785">
        <f>IFERROR(Table4[[#This Row],[energy_kwh]]/Table4[[#This Row],[expected_kwh]],0)</f>
        <v>0.92551043279131806</v>
      </c>
      <c r="K785" t="str">
        <f>IF(Table4[[#This Row],[Performance_Ratio]] &lt; 0.85, "Underperforming", "Performing")</f>
        <v>Performing</v>
      </c>
      <c r="L785">
        <f>Table4[[#This Row],[energy_kwh]] - Table4[[#This Row],[expected_kwh]]</f>
        <v>-31.603246860545994</v>
      </c>
      <c r="M785" t="str">
        <f>IF(Table4[[#This Row],[Performance_Deviation]] &lt; 0, "Underperforming", "Outperforming")</f>
        <v>Underperforming</v>
      </c>
      <c r="N785">
        <f>IF(Table4[[#This Row],[Performance_Ratio]] &lt; 0.85, Table4[[#This Row],[Performance_Deviation]] * 50 / 1000, 0)</f>
        <v>0</v>
      </c>
    </row>
    <row r="786" spans="1:14" x14ac:dyDescent="0.3">
      <c r="A786" s="4" t="s">
        <v>7</v>
      </c>
      <c r="B786" s="3">
        <v>45293.666666666664</v>
      </c>
      <c r="C786" s="4">
        <v>252.95547590577499</v>
      </c>
      <c r="D786" s="4">
        <v>247.39768294456201</v>
      </c>
      <c r="E786" s="4">
        <v>247.39768294456201</v>
      </c>
      <c r="F786" s="4">
        <v>78.351893235848905</v>
      </c>
      <c r="G786" s="4" t="str">
        <f t="shared" si="24"/>
        <v>OK</v>
      </c>
      <c r="H786" s="4" t="str">
        <f t="shared" si="25"/>
        <v>NON-ZERO</v>
      </c>
      <c r="I786">
        <v>300</v>
      </c>
      <c r="J786">
        <f>IFERROR(Table4[[#This Row],[energy_kwh]]/Table4[[#This Row],[expected_kwh]],0)</f>
        <v>0.82465894314854005</v>
      </c>
      <c r="K786" t="str">
        <f>IF(Table4[[#This Row],[Performance_Ratio]] &lt; 0.85, "Underperforming", "Performing")</f>
        <v>Underperforming</v>
      </c>
      <c r="L786">
        <f>Table4[[#This Row],[energy_kwh]] - Table4[[#This Row],[expected_kwh]]</f>
        <v>-52.602317055437993</v>
      </c>
      <c r="M786" t="str">
        <f>IF(Table4[[#This Row],[Performance_Deviation]] &lt; 0, "Underperforming", "Outperforming")</f>
        <v>Underperforming</v>
      </c>
      <c r="N786">
        <f>IF(Table4[[#This Row],[Performance_Ratio]] &lt; 0.85, Table4[[#This Row],[Performance_Deviation]] * 50 / 1000, 0)</f>
        <v>-2.6301158527718997</v>
      </c>
    </row>
    <row r="787" spans="1:14" x14ac:dyDescent="0.3">
      <c r="A787" s="6" t="s">
        <v>7</v>
      </c>
      <c r="B787" s="5">
        <v>45293.708333333336</v>
      </c>
      <c r="C787" s="6">
        <v>154.24340187410101</v>
      </c>
      <c r="D787" s="6">
        <v>150.85445411489599</v>
      </c>
      <c r="E787" s="6">
        <v>150.85445411489599</v>
      </c>
      <c r="F787" s="6">
        <v>26.628871023838901</v>
      </c>
      <c r="G787" s="6" t="str">
        <f t="shared" si="24"/>
        <v>OK</v>
      </c>
      <c r="H787" s="6" t="str">
        <f t="shared" si="25"/>
        <v>NON-ZERO</v>
      </c>
      <c r="I787">
        <v>155.291427061512</v>
      </c>
      <c r="J787">
        <f>IFERROR(Table4[[#This Row],[energy_kwh]]/Table4[[#This Row],[expected_kwh]],0)</f>
        <v>0.97142808826878446</v>
      </c>
      <c r="K787" t="str">
        <f>IF(Table4[[#This Row],[Performance_Ratio]] &lt; 0.85, "Underperforming", "Performing")</f>
        <v>Performing</v>
      </c>
      <c r="L787">
        <f>Table4[[#This Row],[energy_kwh]] - Table4[[#This Row],[expected_kwh]]</f>
        <v>-4.4369729466160095</v>
      </c>
      <c r="M787" t="str">
        <f>IF(Table4[[#This Row],[Performance_Deviation]] &lt; 0, "Underperforming", "Outperforming")</f>
        <v>Underperforming</v>
      </c>
      <c r="N787">
        <f>IF(Table4[[#This Row],[Performance_Ratio]] &lt; 0.85, Table4[[#This Row],[Performance_Deviation]] * 50 / 1000, 0)</f>
        <v>0</v>
      </c>
    </row>
    <row r="788" spans="1:14" x14ac:dyDescent="0.3">
      <c r="A788" s="4" t="s">
        <v>7</v>
      </c>
      <c r="B788" s="3">
        <v>45293.75</v>
      </c>
      <c r="C788" s="7">
        <v>6.4921487807818299E-14</v>
      </c>
      <c r="D788" s="7">
        <v>6.34950700294416E-14</v>
      </c>
      <c r="E788" s="7">
        <v>6.34950700294416E-14</v>
      </c>
      <c r="F788" s="4">
        <v>39.468233695628598</v>
      </c>
      <c r="G788" s="4" t="str">
        <f t="shared" si="24"/>
        <v>OK</v>
      </c>
      <c r="H788" s="4" t="str">
        <f t="shared" si="25"/>
        <v>NON-ZERO</v>
      </c>
      <c r="I788" s="2">
        <v>7.3478807948841102E-14</v>
      </c>
      <c r="J788">
        <f>IFERROR(Table4[[#This Row],[energy_kwh]]/Table4[[#This Row],[expected_kwh]],0)</f>
        <v>0.86412765533226155</v>
      </c>
      <c r="K788" t="str">
        <f>IF(Table4[[#This Row],[Performance_Ratio]] &lt; 0.85, "Underperforming", "Performing")</f>
        <v>Performing</v>
      </c>
      <c r="L788">
        <f>Table4[[#This Row],[energy_kwh]] - Table4[[#This Row],[expected_kwh]]</f>
        <v>-9.9837379193995013E-15</v>
      </c>
      <c r="M788" t="str">
        <f>IF(Table4[[#This Row],[Performance_Deviation]] &lt; 0, "Underperforming", "Outperforming")</f>
        <v>Underperforming</v>
      </c>
      <c r="N788">
        <f>IF(Table4[[#This Row],[Performance_Ratio]] &lt; 0.85, Table4[[#This Row],[Performance_Deviation]] * 50 / 1000, 0)</f>
        <v>0</v>
      </c>
    </row>
    <row r="789" spans="1:14" x14ac:dyDescent="0.3">
      <c r="A789" s="6" t="s">
        <v>7</v>
      </c>
      <c r="B789" s="5">
        <v>45293.791666666664</v>
      </c>
      <c r="C789" s="6">
        <v>0</v>
      </c>
      <c r="D789" s="6">
        <v>0</v>
      </c>
      <c r="E789" s="6">
        <v>0</v>
      </c>
      <c r="F789" s="6">
        <v>38.254751241389698</v>
      </c>
      <c r="G789" s="6" t="str">
        <f t="shared" si="24"/>
        <v>OK</v>
      </c>
      <c r="H789" s="6" t="str">
        <f t="shared" si="25"/>
        <v>ZERO</v>
      </c>
      <c r="I789">
        <v>0</v>
      </c>
      <c r="J789">
        <f>IFERROR(Table4[[#This Row],[energy_kwh]]/Table4[[#This Row],[expected_kwh]],0)</f>
        <v>0</v>
      </c>
      <c r="K789" t="str">
        <f>IF(Table4[[#This Row],[Performance_Ratio]] &lt; 0.85, "Underperforming", "Performing")</f>
        <v>Underperforming</v>
      </c>
      <c r="L789">
        <f>Table4[[#This Row],[energy_kwh]] - Table4[[#This Row],[expected_kwh]]</f>
        <v>0</v>
      </c>
      <c r="M789" t="str">
        <f>IF(Table4[[#This Row],[Performance_Deviation]] &lt; 0, "Underperforming", "Outperforming")</f>
        <v>Outperforming</v>
      </c>
      <c r="N789">
        <f>IF(Table4[[#This Row],[Performance_Ratio]] &lt; 0.85, Table4[[#This Row],[Performance_Deviation]] * 50 / 1000, 0)</f>
        <v>0</v>
      </c>
    </row>
    <row r="790" spans="1:14" x14ac:dyDescent="0.3">
      <c r="A790" s="4" t="s">
        <v>7</v>
      </c>
      <c r="B790" s="3">
        <v>45293.833333333336</v>
      </c>
      <c r="C790" s="4">
        <v>0</v>
      </c>
      <c r="D790" s="4">
        <v>0</v>
      </c>
      <c r="E790" s="4">
        <v>0</v>
      </c>
      <c r="F790" s="4">
        <v>87.343939021824895</v>
      </c>
      <c r="G790" s="4" t="str">
        <f t="shared" si="24"/>
        <v>OK</v>
      </c>
      <c r="H790" s="4" t="str">
        <f t="shared" si="25"/>
        <v>ZERO</v>
      </c>
      <c r="I790">
        <v>0</v>
      </c>
      <c r="J790">
        <f>IFERROR(Table4[[#This Row],[energy_kwh]]/Table4[[#This Row],[expected_kwh]],0)</f>
        <v>0</v>
      </c>
      <c r="K790" t="str">
        <f>IF(Table4[[#This Row],[Performance_Ratio]] &lt; 0.85, "Underperforming", "Performing")</f>
        <v>Underperforming</v>
      </c>
      <c r="L790">
        <f>Table4[[#This Row],[energy_kwh]] - Table4[[#This Row],[expected_kwh]]</f>
        <v>0</v>
      </c>
      <c r="M790" t="str">
        <f>IF(Table4[[#This Row],[Performance_Deviation]] &lt; 0, "Underperforming", "Outperforming")</f>
        <v>Outperforming</v>
      </c>
      <c r="N790">
        <f>IF(Table4[[#This Row],[Performance_Ratio]] &lt; 0.85, Table4[[#This Row],[Performance_Deviation]] * 50 / 1000, 0)</f>
        <v>0</v>
      </c>
    </row>
    <row r="791" spans="1:14" x14ac:dyDescent="0.3">
      <c r="A791" s="6" t="s">
        <v>7</v>
      </c>
      <c r="B791" s="5">
        <v>45293.875</v>
      </c>
      <c r="C791" s="6">
        <v>0</v>
      </c>
      <c r="D791" s="6">
        <v>0</v>
      </c>
      <c r="E791" s="6">
        <v>0</v>
      </c>
      <c r="F791" s="6">
        <v>87.572067176785097</v>
      </c>
      <c r="G791" s="6" t="str">
        <f t="shared" si="24"/>
        <v>OK</v>
      </c>
      <c r="H791" s="6" t="str">
        <f t="shared" si="25"/>
        <v>ZERO</v>
      </c>
      <c r="I791">
        <v>0</v>
      </c>
      <c r="J791">
        <f>IFERROR(Table4[[#This Row],[energy_kwh]]/Table4[[#This Row],[expected_kwh]],0)</f>
        <v>0</v>
      </c>
      <c r="K791" t="str">
        <f>IF(Table4[[#This Row],[Performance_Ratio]] &lt; 0.85, "Underperforming", "Performing")</f>
        <v>Underperforming</v>
      </c>
      <c r="L791">
        <f>Table4[[#This Row],[energy_kwh]] - Table4[[#This Row],[expected_kwh]]</f>
        <v>0</v>
      </c>
      <c r="M791" t="str">
        <f>IF(Table4[[#This Row],[Performance_Deviation]] &lt; 0, "Underperforming", "Outperforming")</f>
        <v>Outperforming</v>
      </c>
      <c r="N791">
        <f>IF(Table4[[#This Row],[Performance_Ratio]] &lt; 0.85, Table4[[#This Row],[Performance_Deviation]] * 50 / 1000, 0)</f>
        <v>0</v>
      </c>
    </row>
    <row r="792" spans="1:14" x14ac:dyDescent="0.3">
      <c r="A792" s="4" t="s">
        <v>7</v>
      </c>
      <c r="B792" s="3">
        <v>45293.916666666664</v>
      </c>
      <c r="C792" s="4">
        <v>0</v>
      </c>
      <c r="D792" s="4">
        <v>0</v>
      </c>
      <c r="E792" s="4">
        <v>0</v>
      </c>
      <c r="F792" s="4">
        <v>27.1188452616252</v>
      </c>
      <c r="G792" s="4" t="str">
        <f t="shared" si="24"/>
        <v>OK</v>
      </c>
      <c r="H792" s="4" t="str">
        <f t="shared" si="25"/>
        <v>ZERO</v>
      </c>
      <c r="I792">
        <v>0</v>
      </c>
      <c r="J792">
        <f>IFERROR(Table4[[#This Row],[energy_kwh]]/Table4[[#This Row],[expected_kwh]],0)</f>
        <v>0</v>
      </c>
      <c r="K792" t="str">
        <f>IF(Table4[[#This Row],[Performance_Ratio]] &lt; 0.85, "Underperforming", "Performing")</f>
        <v>Underperforming</v>
      </c>
      <c r="L792">
        <f>Table4[[#This Row],[energy_kwh]] - Table4[[#This Row],[expected_kwh]]</f>
        <v>0</v>
      </c>
      <c r="M792" t="str">
        <f>IF(Table4[[#This Row],[Performance_Deviation]] &lt; 0, "Underperforming", "Outperforming")</f>
        <v>Outperforming</v>
      </c>
      <c r="N792">
        <f>IF(Table4[[#This Row],[Performance_Ratio]] &lt; 0.85, Table4[[#This Row],[Performance_Deviation]] * 50 / 1000, 0)</f>
        <v>0</v>
      </c>
    </row>
    <row r="793" spans="1:14" x14ac:dyDescent="0.3">
      <c r="A793" s="6" t="s">
        <v>7</v>
      </c>
      <c r="B793" s="5">
        <v>45293.958333333336</v>
      </c>
      <c r="C793" s="6">
        <v>0</v>
      </c>
      <c r="D793" s="6">
        <v>0</v>
      </c>
      <c r="E793" s="6">
        <v>0</v>
      </c>
      <c r="F793" s="6">
        <v>76.113793403663394</v>
      </c>
      <c r="G793" s="6" t="str">
        <f t="shared" si="24"/>
        <v>OK</v>
      </c>
      <c r="H793" s="6" t="str">
        <f t="shared" si="25"/>
        <v>ZERO</v>
      </c>
      <c r="I793">
        <v>0</v>
      </c>
      <c r="J793">
        <f>IFERROR(Table4[[#This Row],[energy_kwh]]/Table4[[#This Row],[expected_kwh]],0)</f>
        <v>0</v>
      </c>
      <c r="K793" t="str">
        <f>IF(Table4[[#This Row],[Performance_Ratio]] &lt; 0.85, "Underperforming", "Performing")</f>
        <v>Underperforming</v>
      </c>
      <c r="L793">
        <f>Table4[[#This Row],[energy_kwh]] - Table4[[#This Row],[expected_kwh]]</f>
        <v>0</v>
      </c>
      <c r="M793" t="str">
        <f>IF(Table4[[#This Row],[Performance_Deviation]] &lt; 0, "Underperforming", "Outperforming")</f>
        <v>Outperforming</v>
      </c>
      <c r="N793">
        <f>IF(Table4[[#This Row],[Performance_Ratio]] &lt; 0.85, Table4[[#This Row],[Performance_Deviation]] * 50 / 1000, 0)</f>
        <v>0</v>
      </c>
    </row>
    <row r="794" spans="1:14" x14ac:dyDescent="0.3">
      <c r="A794" s="4" t="s">
        <v>7</v>
      </c>
      <c r="B794" s="3">
        <v>45294</v>
      </c>
      <c r="C794" s="4">
        <v>0</v>
      </c>
      <c r="D794" s="4">
        <v>0</v>
      </c>
      <c r="E794" s="4">
        <v>0</v>
      </c>
      <c r="F794" s="4">
        <v>23.026312014477401</v>
      </c>
      <c r="G794" s="4" t="str">
        <f t="shared" si="24"/>
        <v>OK</v>
      </c>
      <c r="H794" s="4" t="str">
        <f t="shared" si="25"/>
        <v>ZERO</v>
      </c>
      <c r="I794">
        <v>0</v>
      </c>
      <c r="J794">
        <f>IFERROR(Table4[[#This Row],[energy_kwh]]/Table4[[#This Row],[expected_kwh]],0)</f>
        <v>0</v>
      </c>
      <c r="K794" t="str">
        <f>IF(Table4[[#This Row],[Performance_Ratio]] &lt; 0.85, "Underperforming", "Performing")</f>
        <v>Underperforming</v>
      </c>
      <c r="L794">
        <f>Table4[[#This Row],[energy_kwh]] - Table4[[#This Row],[expected_kwh]]</f>
        <v>0</v>
      </c>
      <c r="M794" t="str">
        <f>IF(Table4[[#This Row],[Performance_Deviation]] &lt; 0, "Underperforming", "Outperforming")</f>
        <v>Outperforming</v>
      </c>
      <c r="N794">
        <f>IF(Table4[[#This Row],[Performance_Ratio]] &lt; 0.85, Table4[[#This Row],[Performance_Deviation]] * 50 / 1000, 0)</f>
        <v>0</v>
      </c>
    </row>
    <row r="795" spans="1:14" x14ac:dyDescent="0.3">
      <c r="A795" s="6" t="s">
        <v>7</v>
      </c>
      <c r="B795" s="5">
        <v>45294.041666666664</v>
      </c>
      <c r="C795" s="6">
        <v>0</v>
      </c>
      <c r="D795" s="6">
        <v>0</v>
      </c>
      <c r="E795" s="6">
        <v>0</v>
      </c>
      <c r="F795" s="6">
        <v>21.681941687154101</v>
      </c>
      <c r="G795" s="6" t="str">
        <f t="shared" si="24"/>
        <v>OK</v>
      </c>
      <c r="H795" s="6" t="str">
        <f t="shared" si="25"/>
        <v>ZERO</v>
      </c>
      <c r="I795">
        <v>0</v>
      </c>
      <c r="J795">
        <f>IFERROR(Table4[[#This Row],[energy_kwh]]/Table4[[#This Row],[expected_kwh]],0)</f>
        <v>0</v>
      </c>
      <c r="K795" t="str">
        <f>IF(Table4[[#This Row],[Performance_Ratio]] &lt; 0.85, "Underperforming", "Performing")</f>
        <v>Underperforming</v>
      </c>
      <c r="L795">
        <f>Table4[[#This Row],[energy_kwh]] - Table4[[#This Row],[expected_kwh]]</f>
        <v>0</v>
      </c>
      <c r="M795" t="str">
        <f>IF(Table4[[#This Row],[Performance_Deviation]] &lt; 0, "Underperforming", "Outperforming")</f>
        <v>Outperforming</v>
      </c>
      <c r="N795">
        <f>IF(Table4[[#This Row],[Performance_Ratio]] &lt; 0.85, Table4[[#This Row],[Performance_Deviation]] * 50 / 1000, 0)</f>
        <v>0</v>
      </c>
    </row>
    <row r="796" spans="1:14" x14ac:dyDescent="0.3">
      <c r="A796" s="4" t="s">
        <v>7</v>
      </c>
      <c r="B796" s="3">
        <v>45294.083333333336</v>
      </c>
      <c r="C796" s="4">
        <v>0</v>
      </c>
      <c r="D796" s="4">
        <v>0</v>
      </c>
      <c r="E796" s="4">
        <v>0</v>
      </c>
      <c r="F796" s="4">
        <v>69.075650411953902</v>
      </c>
      <c r="G796" s="4" t="str">
        <f t="shared" si="24"/>
        <v>OK</v>
      </c>
      <c r="H796" s="4" t="str">
        <f t="shared" si="25"/>
        <v>ZERO</v>
      </c>
      <c r="I796">
        <v>0</v>
      </c>
      <c r="J796">
        <f>IFERROR(Table4[[#This Row],[energy_kwh]]/Table4[[#This Row],[expected_kwh]],0)</f>
        <v>0</v>
      </c>
      <c r="K796" t="str">
        <f>IF(Table4[[#This Row],[Performance_Ratio]] &lt; 0.85, "Underperforming", "Performing")</f>
        <v>Underperforming</v>
      </c>
      <c r="L796">
        <f>Table4[[#This Row],[energy_kwh]] - Table4[[#This Row],[expected_kwh]]</f>
        <v>0</v>
      </c>
      <c r="M796" t="str">
        <f>IF(Table4[[#This Row],[Performance_Deviation]] &lt; 0, "Underperforming", "Outperforming")</f>
        <v>Outperforming</v>
      </c>
      <c r="N796">
        <f>IF(Table4[[#This Row],[Performance_Ratio]] &lt; 0.85, Table4[[#This Row],[Performance_Deviation]] * 50 / 1000, 0)</f>
        <v>0</v>
      </c>
    </row>
    <row r="797" spans="1:14" x14ac:dyDescent="0.3">
      <c r="A797" s="6" t="s">
        <v>7</v>
      </c>
      <c r="B797" s="5">
        <v>45294.125</v>
      </c>
      <c r="C797" s="6">
        <v>0</v>
      </c>
      <c r="D797" s="6">
        <v>0</v>
      </c>
      <c r="E797" s="6">
        <v>0</v>
      </c>
      <c r="F797" s="6">
        <v>77.326503982732007</v>
      </c>
      <c r="G797" s="6" t="str">
        <f t="shared" si="24"/>
        <v>OK</v>
      </c>
      <c r="H797" s="6" t="str">
        <f t="shared" si="25"/>
        <v>ZERO</v>
      </c>
      <c r="I797">
        <v>0</v>
      </c>
      <c r="J797">
        <f>IFERROR(Table4[[#This Row],[energy_kwh]]/Table4[[#This Row],[expected_kwh]],0)</f>
        <v>0</v>
      </c>
      <c r="K797" t="str">
        <f>IF(Table4[[#This Row],[Performance_Ratio]] &lt; 0.85, "Underperforming", "Performing")</f>
        <v>Underperforming</v>
      </c>
      <c r="L797">
        <f>Table4[[#This Row],[energy_kwh]] - Table4[[#This Row],[expected_kwh]]</f>
        <v>0</v>
      </c>
      <c r="M797" t="str">
        <f>IF(Table4[[#This Row],[Performance_Deviation]] &lt; 0, "Underperforming", "Outperforming")</f>
        <v>Outperforming</v>
      </c>
      <c r="N797">
        <f>IF(Table4[[#This Row],[Performance_Ratio]] &lt; 0.85, Table4[[#This Row],[Performance_Deviation]] * 50 / 1000, 0)</f>
        <v>0</v>
      </c>
    </row>
    <row r="798" spans="1:14" x14ac:dyDescent="0.3">
      <c r="A798" s="4" t="s">
        <v>7</v>
      </c>
      <c r="B798" s="3">
        <v>45294.166666666664</v>
      </c>
      <c r="C798" s="4">
        <v>0</v>
      </c>
      <c r="D798" s="4">
        <v>0</v>
      </c>
      <c r="E798" s="4">
        <v>0</v>
      </c>
      <c r="F798" s="4">
        <v>66.464465002722704</v>
      </c>
      <c r="G798" s="4" t="str">
        <f t="shared" si="24"/>
        <v>OK</v>
      </c>
      <c r="H798" s="4" t="str">
        <f t="shared" si="25"/>
        <v>ZERO</v>
      </c>
      <c r="I798">
        <v>0</v>
      </c>
      <c r="J798">
        <f>IFERROR(Table4[[#This Row],[energy_kwh]]/Table4[[#This Row],[expected_kwh]],0)</f>
        <v>0</v>
      </c>
      <c r="K798" t="str">
        <f>IF(Table4[[#This Row],[Performance_Ratio]] &lt; 0.85, "Underperforming", "Performing")</f>
        <v>Underperforming</v>
      </c>
      <c r="L798">
        <f>Table4[[#This Row],[energy_kwh]] - Table4[[#This Row],[expected_kwh]]</f>
        <v>0</v>
      </c>
      <c r="M798" t="str">
        <f>IF(Table4[[#This Row],[Performance_Deviation]] &lt; 0, "Underperforming", "Outperforming")</f>
        <v>Outperforming</v>
      </c>
      <c r="N798">
        <f>IF(Table4[[#This Row],[Performance_Ratio]] &lt; 0.85, Table4[[#This Row],[Performance_Deviation]] * 50 / 1000, 0)</f>
        <v>0</v>
      </c>
    </row>
    <row r="799" spans="1:14" x14ac:dyDescent="0.3">
      <c r="A799" s="6" t="s">
        <v>7</v>
      </c>
      <c r="B799" s="5">
        <v>45294.208333333336</v>
      </c>
      <c r="C799" s="6">
        <v>0</v>
      </c>
      <c r="D799" s="6">
        <v>0</v>
      </c>
      <c r="E799" s="6">
        <v>0</v>
      </c>
      <c r="F799" s="6">
        <v>84.832493515127297</v>
      </c>
      <c r="G799" s="6" t="str">
        <f t="shared" si="24"/>
        <v>OK</v>
      </c>
      <c r="H799" s="6" t="str">
        <f t="shared" si="25"/>
        <v>ZERO</v>
      </c>
      <c r="I799">
        <v>0</v>
      </c>
      <c r="J799">
        <f>IFERROR(Table4[[#This Row],[energy_kwh]]/Table4[[#This Row],[expected_kwh]],0)</f>
        <v>0</v>
      </c>
      <c r="K799" t="str">
        <f>IF(Table4[[#This Row],[Performance_Ratio]] &lt; 0.85, "Underperforming", "Performing")</f>
        <v>Underperforming</v>
      </c>
      <c r="L799">
        <f>Table4[[#This Row],[energy_kwh]] - Table4[[#This Row],[expected_kwh]]</f>
        <v>0</v>
      </c>
      <c r="M799" t="str">
        <f>IF(Table4[[#This Row],[Performance_Deviation]] &lt; 0, "Underperforming", "Outperforming")</f>
        <v>Outperforming</v>
      </c>
      <c r="N799">
        <f>IF(Table4[[#This Row],[Performance_Ratio]] &lt; 0.85, Table4[[#This Row],[Performance_Deviation]] * 50 / 1000, 0)</f>
        <v>0</v>
      </c>
    </row>
    <row r="800" spans="1:14" x14ac:dyDescent="0.3">
      <c r="A800" s="4" t="s">
        <v>7</v>
      </c>
      <c r="B800" s="3">
        <v>45294.25</v>
      </c>
      <c r="C800" s="4">
        <v>0</v>
      </c>
      <c r="D800" s="4">
        <v>0</v>
      </c>
      <c r="E800" s="4">
        <v>0</v>
      </c>
      <c r="F800" s="4">
        <v>53.1720354088351</v>
      </c>
      <c r="G800" s="4" t="str">
        <f t="shared" si="24"/>
        <v>OK</v>
      </c>
      <c r="H800" s="4" t="str">
        <f t="shared" si="25"/>
        <v>ZERO</v>
      </c>
      <c r="I800">
        <v>0</v>
      </c>
      <c r="J800">
        <f>IFERROR(Table4[[#This Row],[energy_kwh]]/Table4[[#This Row],[expected_kwh]],0)</f>
        <v>0</v>
      </c>
      <c r="K800" t="str">
        <f>IF(Table4[[#This Row],[Performance_Ratio]] &lt; 0.85, "Underperforming", "Performing")</f>
        <v>Underperforming</v>
      </c>
      <c r="L800">
        <f>Table4[[#This Row],[energy_kwh]] - Table4[[#This Row],[expected_kwh]]</f>
        <v>0</v>
      </c>
      <c r="M800" t="str">
        <f>IF(Table4[[#This Row],[Performance_Deviation]] &lt; 0, "Underperforming", "Outperforming")</f>
        <v>Outperforming</v>
      </c>
      <c r="N800">
        <f>IF(Table4[[#This Row],[Performance_Ratio]] &lt; 0.85, Table4[[#This Row],[Performance_Deviation]] * 50 / 1000, 0)</f>
        <v>0</v>
      </c>
    </row>
    <row r="801" spans="1:14" x14ac:dyDescent="0.3">
      <c r="A801" s="6" t="s">
        <v>7</v>
      </c>
      <c r="B801" s="5">
        <v>45294.291666666664</v>
      </c>
      <c r="C801" s="6">
        <v>166.601967605667</v>
      </c>
      <c r="D801" s="6">
        <v>162.94148451247699</v>
      </c>
      <c r="E801" s="6">
        <v>162.94148451247699</v>
      </c>
      <c r="F801" s="6">
        <v>37.165659686262401</v>
      </c>
      <c r="G801" s="6" t="str">
        <f t="shared" si="24"/>
        <v>OK</v>
      </c>
      <c r="H801" s="6" t="str">
        <f t="shared" si="25"/>
        <v>NON-ZERO</v>
      </c>
      <c r="I801">
        <v>155.291427061512</v>
      </c>
      <c r="J801">
        <f>IFERROR(Table4[[#This Row],[energy_kwh]]/Table4[[#This Row],[expected_kwh]],0)</f>
        <v>1.0492625870965482</v>
      </c>
      <c r="K801" t="str">
        <f>IF(Table4[[#This Row],[Performance_Ratio]] &lt; 0.85, "Underperforming", "Performing")</f>
        <v>Performing</v>
      </c>
      <c r="L801">
        <f>Table4[[#This Row],[energy_kwh]] - Table4[[#This Row],[expected_kwh]]</f>
        <v>7.6500574509649937</v>
      </c>
      <c r="M801" t="str">
        <f>IF(Table4[[#This Row],[Performance_Deviation]] &lt; 0, "Underperforming", "Outperforming")</f>
        <v>Outperforming</v>
      </c>
      <c r="N801">
        <f>IF(Table4[[#This Row],[Performance_Ratio]] &lt; 0.85, Table4[[#This Row],[Performance_Deviation]] * 50 / 1000, 0)</f>
        <v>0</v>
      </c>
    </row>
    <row r="802" spans="1:14" x14ac:dyDescent="0.3">
      <c r="A802" s="4" t="s">
        <v>7</v>
      </c>
      <c r="B802" s="3">
        <v>45294.333333333336</v>
      </c>
      <c r="C802" s="4">
        <v>299.77647393165603</v>
      </c>
      <c r="D802" s="4">
        <v>293.18995679543502</v>
      </c>
      <c r="E802" s="4">
        <v>293.18995679543502</v>
      </c>
      <c r="F802" s="4">
        <v>59.575809966627098</v>
      </c>
      <c r="G802" s="4" t="str">
        <f t="shared" si="24"/>
        <v>OK</v>
      </c>
      <c r="H802" s="4" t="str">
        <f t="shared" si="25"/>
        <v>NON-ZERO</v>
      </c>
      <c r="I802">
        <v>300</v>
      </c>
      <c r="J802">
        <f>IFERROR(Table4[[#This Row],[energy_kwh]]/Table4[[#This Row],[expected_kwh]],0)</f>
        <v>0.97729985598478342</v>
      </c>
      <c r="K802" t="str">
        <f>IF(Table4[[#This Row],[Performance_Ratio]] &lt; 0.85, "Underperforming", "Performing")</f>
        <v>Performing</v>
      </c>
      <c r="L802">
        <f>Table4[[#This Row],[energy_kwh]] - Table4[[#This Row],[expected_kwh]]</f>
        <v>-6.8100432045649768</v>
      </c>
      <c r="M802" t="str">
        <f>IF(Table4[[#This Row],[Performance_Deviation]] &lt; 0, "Underperforming", "Outperforming")</f>
        <v>Underperforming</v>
      </c>
      <c r="N802">
        <f>IF(Table4[[#This Row],[Performance_Ratio]] &lt; 0.85, Table4[[#This Row],[Performance_Deviation]] * 50 / 1000, 0)</f>
        <v>0</v>
      </c>
    </row>
    <row r="803" spans="1:14" x14ac:dyDescent="0.3">
      <c r="A803" s="6" t="s">
        <v>7</v>
      </c>
      <c r="B803" s="5">
        <v>45294.375</v>
      </c>
      <c r="C803" s="6">
        <v>407.77764479662699</v>
      </c>
      <c r="D803" s="6">
        <v>398.81818773852098</v>
      </c>
      <c r="E803" s="6">
        <v>398.81818773852098</v>
      </c>
      <c r="F803" s="6">
        <v>93.583843090095101</v>
      </c>
      <c r="G803" s="6" t="str">
        <f t="shared" si="24"/>
        <v>OK</v>
      </c>
      <c r="H803" s="6" t="str">
        <f t="shared" si="25"/>
        <v>NON-ZERO</v>
      </c>
      <c r="I803">
        <v>424.26406871192802</v>
      </c>
      <c r="J803">
        <f>IFERROR(Table4[[#This Row],[energy_kwh]]/Table4[[#This Row],[expected_kwh]],0)</f>
        <v>0.94002348336812702</v>
      </c>
      <c r="K803" t="str">
        <f>IF(Table4[[#This Row],[Performance_Ratio]] &lt; 0.85, "Underperforming", "Performing")</f>
        <v>Performing</v>
      </c>
      <c r="L803">
        <f>Table4[[#This Row],[energy_kwh]] - Table4[[#This Row],[expected_kwh]]</f>
        <v>-25.445880973407043</v>
      </c>
      <c r="M803" t="str">
        <f>IF(Table4[[#This Row],[Performance_Deviation]] &lt; 0, "Underperforming", "Outperforming")</f>
        <v>Underperforming</v>
      </c>
      <c r="N803">
        <f>IF(Table4[[#This Row],[Performance_Ratio]] &lt; 0.85, Table4[[#This Row],[Performance_Deviation]] * 50 / 1000, 0)</f>
        <v>0</v>
      </c>
    </row>
    <row r="804" spans="1:14" x14ac:dyDescent="0.3">
      <c r="A804" s="4" t="s">
        <v>7</v>
      </c>
      <c r="B804" s="3">
        <v>45294.416666666664</v>
      </c>
      <c r="C804" s="4">
        <v>534.316214963927</v>
      </c>
      <c r="D804" s="4">
        <v>522.57652485461097</v>
      </c>
      <c r="E804" s="4">
        <v>522.57652485461097</v>
      </c>
      <c r="F804" s="4">
        <v>24.001099774167301</v>
      </c>
      <c r="G804" s="4" t="str">
        <f t="shared" si="24"/>
        <v>OK</v>
      </c>
      <c r="H804" s="4" t="str">
        <f t="shared" si="25"/>
        <v>NON-ZERO</v>
      </c>
      <c r="I804">
        <v>519.61524227066297</v>
      </c>
      <c r="J804">
        <f>IFERROR(Table4[[#This Row],[energy_kwh]]/Table4[[#This Row],[expected_kwh]],0)</f>
        <v>1.0056989909899632</v>
      </c>
      <c r="K804" t="str">
        <f>IF(Table4[[#This Row],[Performance_Ratio]] &lt; 0.85, "Underperforming", "Performing")</f>
        <v>Performing</v>
      </c>
      <c r="L804">
        <f>Table4[[#This Row],[energy_kwh]] - Table4[[#This Row],[expected_kwh]]</f>
        <v>2.961282583947991</v>
      </c>
      <c r="M804" t="str">
        <f>IF(Table4[[#This Row],[Performance_Deviation]] &lt; 0, "Underperforming", "Outperforming")</f>
        <v>Outperforming</v>
      </c>
      <c r="N804">
        <f>IF(Table4[[#This Row],[Performance_Ratio]] &lt; 0.85, Table4[[#This Row],[Performance_Deviation]] * 50 / 1000, 0)</f>
        <v>0</v>
      </c>
    </row>
    <row r="805" spans="1:14" x14ac:dyDescent="0.3">
      <c r="A805" s="6" t="s">
        <v>7</v>
      </c>
      <c r="B805" s="5">
        <v>45294.458333333336</v>
      </c>
      <c r="C805" s="6">
        <v>572.86284403503203</v>
      </c>
      <c r="D805" s="6">
        <v>560.27622945032101</v>
      </c>
      <c r="E805" s="6">
        <v>560.27622945032101</v>
      </c>
      <c r="F805" s="6">
        <v>70.814871041276305</v>
      </c>
      <c r="G805" s="6" t="str">
        <f t="shared" si="24"/>
        <v>OK</v>
      </c>
      <c r="H805" s="6" t="str">
        <f t="shared" si="25"/>
        <v>NON-ZERO</v>
      </c>
      <c r="I805">
        <v>579.55549577344095</v>
      </c>
      <c r="J805">
        <f>IFERROR(Table4[[#This Row],[energy_kwh]]/Table4[[#This Row],[expected_kwh]],0)</f>
        <v>0.96673439133315275</v>
      </c>
      <c r="K805" t="str">
        <f>IF(Table4[[#This Row],[Performance_Ratio]] &lt; 0.85, "Underperforming", "Performing")</f>
        <v>Performing</v>
      </c>
      <c r="L805">
        <f>Table4[[#This Row],[energy_kwh]] - Table4[[#This Row],[expected_kwh]]</f>
        <v>-19.279266323119941</v>
      </c>
      <c r="M805" t="str">
        <f>IF(Table4[[#This Row],[Performance_Deviation]] &lt; 0, "Underperforming", "Outperforming")</f>
        <v>Underperforming</v>
      </c>
      <c r="N805">
        <f>IF(Table4[[#This Row],[Performance_Ratio]] &lt; 0.85, Table4[[#This Row],[Performance_Deviation]] * 50 / 1000, 0)</f>
        <v>0</v>
      </c>
    </row>
    <row r="806" spans="1:14" x14ac:dyDescent="0.3">
      <c r="A806" s="4" t="s">
        <v>7</v>
      </c>
      <c r="B806" s="3">
        <v>45294.5</v>
      </c>
      <c r="C806" s="4">
        <v>593.44825033974303</v>
      </c>
      <c r="D806" s="4">
        <v>580.40934498783599</v>
      </c>
      <c r="E806" s="4">
        <v>580.40934498783599</v>
      </c>
      <c r="F806" s="4">
        <v>71.816298241311699</v>
      </c>
      <c r="G806" s="4" t="str">
        <f t="shared" si="24"/>
        <v>OK</v>
      </c>
      <c r="H806" s="4" t="str">
        <f t="shared" si="25"/>
        <v>NON-ZERO</v>
      </c>
      <c r="I806">
        <v>600</v>
      </c>
      <c r="J806">
        <f>IFERROR(Table4[[#This Row],[energy_kwh]]/Table4[[#This Row],[expected_kwh]],0)</f>
        <v>0.96734890831305997</v>
      </c>
      <c r="K806" t="str">
        <f>IF(Table4[[#This Row],[Performance_Ratio]] &lt; 0.85, "Underperforming", "Performing")</f>
        <v>Performing</v>
      </c>
      <c r="L806">
        <f>Table4[[#This Row],[energy_kwh]] - Table4[[#This Row],[expected_kwh]]</f>
        <v>-19.590655012164007</v>
      </c>
      <c r="M806" t="str">
        <f>IF(Table4[[#This Row],[Performance_Deviation]] &lt; 0, "Underperforming", "Outperforming")</f>
        <v>Underperforming</v>
      </c>
      <c r="N806">
        <f>IF(Table4[[#This Row],[Performance_Ratio]] &lt; 0.85, Table4[[#This Row],[Performance_Deviation]] * 50 / 1000, 0)</f>
        <v>0</v>
      </c>
    </row>
    <row r="807" spans="1:14" x14ac:dyDescent="0.3">
      <c r="A807" s="6" t="s">
        <v>7</v>
      </c>
      <c r="B807" s="5">
        <v>45294.541666666664</v>
      </c>
      <c r="C807" s="6">
        <v>544.07164835225103</v>
      </c>
      <c r="D807" s="6">
        <v>532.11761744313696</v>
      </c>
      <c r="E807" s="6">
        <v>532.11761744313696</v>
      </c>
      <c r="F807" s="6">
        <v>40.646616008889502</v>
      </c>
      <c r="G807" s="6" t="str">
        <f t="shared" si="24"/>
        <v>OK</v>
      </c>
      <c r="H807" s="6" t="str">
        <f t="shared" si="25"/>
        <v>NON-ZERO</v>
      </c>
      <c r="I807">
        <v>579.55549577344095</v>
      </c>
      <c r="J807">
        <f>IFERROR(Table4[[#This Row],[energy_kwh]]/Table4[[#This Row],[expected_kwh]],0)</f>
        <v>0.9181478241924077</v>
      </c>
      <c r="K807" t="str">
        <f>IF(Table4[[#This Row],[Performance_Ratio]] &lt; 0.85, "Underperforming", "Performing")</f>
        <v>Performing</v>
      </c>
      <c r="L807">
        <f>Table4[[#This Row],[energy_kwh]] - Table4[[#This Row],[expected_kwh]]</f>
        <v>-47.437878330303988</v>
      </c>
      <c r="M807" t="str">
        <f>IF(Table4[[#This Row],[Performance_Deviation]] &lt; 0, "Underperforming", "Outperforming")</f>
        <v>Underperforming</v>
      </c>
      <c r="N807">
        <f>IF(Table4[[#This Row],[Performance_Ratio]] &lt; 0.85, Table4[[#This Row],[Performance_Deviation]] * 50 / 1000, 0)</f>
        <v>0</v>
      </c>
    </row>
    <row r="808" spans="1:14" x14ac:dyDescent="0.3">
      <c r="A808" s="4" t="s">
        <v>7</v>
      </c>
      <c r="B808" s="3">
        <v>45294.583333333336</v>
      </c>
      <c r="C808" s="4">
        <v>508.33289671299298</v>
      </c>
      <c r="D808" s="4">
        <v>497.16409720316699</v>
      </c>
      <c r="E808" s="4">
        <v>497.16409720316699</v>
      </c>
      <c r="F808" s="4">
        <v>72.885435917792194</v>
      </c>
      <c r="G808" s="4" t="str">
        <f t="shared" si="24"/>
        <v>OK</v>
      </c>
      <c r="H808" s="4" t="str">
        <f t="shared" si="25"/>
        <v>NON-ZERO</v>
      </c>
      <c r="I808">
        <v>519.61524227066297</v>
      </c>
      <c r="J808">
        <f>IFERROR(Table4[[#This Row],[energy_kwh]]/Table4[[#This Row],[expected_kwh]],0)</f>
        <v>0.95679275117221951</v>
      </c>
      <c r="K808" t="str">
        <f>IF(Table4[[#This Row],[Performance_Ratio]] &lt; 0.85, "Underperforming", "Performing")</f>
        <v>Performing</v>
      </c>
      <c r="L808">
        <f>Table4[[#This Row],[energy_kwh]] - Table4[[#This Row],[expected_kwh]]</f>
        <v>-22.451145067495986</v>
      </c>
      <c r="M808" t="str">
        <f>IF(Table4[[#This Row],[Performance_Deviation]] &lt; 0, "Underperforming", "Outperforming")</f>
        <v>Underperforming</v>
      </c>
      <c r="N808">
        <f>IF(Table4[[#This Row],[Performance_Ratio]] &lt; 0.85, Table4[[#This Row],[Performance_Deviation]] * 50 / 1000, 0)</f>
        <v>0</v>
      </c>
    </row>
    <row r="809" spans="1:14" x14ac:dyDescent="0.3">
      <c r="A809" s="6" t="s">
        <v>7</v>
      </c>
      <c r="B809" s="5">
        <v>45294.625</v>
      </c>
      <c r="C809" s="6">
        <v>372.69978268284598</v>
      </c>
      <c r="D809" s="6">
        <v>364.51103633757299</v>
      </c>
      <c r="E809" s="6">
        <v>364.51103633757299</v>
      </c>
      <c r="F809" s="6">
        <v>82.802530982761297</v>
      </c>
      <c r="G809" s="6" t="str">
        <f t="shared" si="24"/>
        <v>OK</v>
      </c>
      <c r="H809" s="6" t="str">
        <f t="shared" si="25"/>
        <v>NON-ZERO</v>
      </c>
      <c r="I809">
        <v>424.26406871192802</v>
      </c>
      <c r="J809">
        <f>IFERROR(Table4[[#This Row],[energy_kwh]]/Table4[[#This Row],[expected_kwh]],0)</f>
        <v>0.85916075203878062</v>
      </c>
      <c r="K809" t="str">
        <f>IF(Table4[[#This Row],[Performance_Ratio]] &lt; 0.85, "Underperforming", "Performing")</f>
        <v>Performing</v>
      </c>
      <c r="L809">
        <f>Table4[[#This Row],[energy_kwh]] - Table4[[#This Row],[expected_kwh]]</f>
        <v>-59.75303237435503</v>
      </c>
      <c r="M809" t="str">
        <f>IF(Table4[[#This Row],[Performance_Deviation]] &lt; 0, "Underperforming", "Outperforming")</f>
        <v>Underperforming</v>
      </c>
      <c r="N809">
        <f>IF(Table4[[#This Row],[Performance_Ratio]] &lt; 0.85, Table4[[#This Row],[Performance_Deviation]] * 50 / 1000, 0)</f>
        <v>0</v>
      </c>
    </row>
    <row r="810" spans="1:14" x14ac:dyDescent="0.3">
      <c r="A810" s="4" t="s">
        <v>7</v>
      </c>
      <c r="B810" s="3">
        <v>45294.666666666664</v>
      </c>
      <c r="C810" s="4">
        <v>295.98465908405001</v>
      </c>
      <c r="D810" s="4">
        <v>289.48145353376998</v>
      </c>
      <c r="E810" s="4">
        <v>289.48145353376998</v>
      </c>
      <c r="F810" s="4">
        <v>80.210820111837506</v>
      </c>
      <c r="G810" s="4" t="str">
        <f t="shared" si="24"/>
        <v>OK</v>
      </c>
      <c r="H810" s="4" t="str">
        <f t="shared" si="25"/>
        <v>NON-ZERO</v>
      </c>
      <c r="I810">
        <v>300</v>
      </c>
      <c r="J810">
        <f>IFERROR(Table4[[#This Row],[energy_kwh]]/Table4[[#This Row],[expected_kwh]],0)</f>
        <v>0.96493817844589991</v>
      </c>
      <c r="K810" t="str">
        <f>IF(Table4[[#This Row],[Performance_Ratio]] &lt; 0.85, "Underperforming", "Performing")</f>
        <v>Performing</v>
      </c>
      <c r="L810">
        <f>Table4[[#This Row],[energy_kwh]] - Table4[[#This Row],[expected_kwh]]</f>
        <v>-10.518546466230021</v>
      </c>
      <c r="M810" t="str">
        <f>IF(Table4[[#This Row],[Performance_Deviation]] &lt; 0, "Underperforming", "Outperforming")</f>
        <v>Underperforming</v>
      </c>
      <c r="N810">
        <f>IF(Table4[[#This Row],[Performance_Ratio]] &lt; 0.85, Table4[[#This Row],[Performance_Deviation]] * 50 / 1000, 0)</f>
        <v>0</v>
      </c>
    </row>
    <row r="811" spans="1:14" x14ac:dyDescent="0.3">
      <c r="A811" s="6" t="s">
        <v>7</v>
      </c>
      <c r="B811" s="5">
        <v>45294.708333333336</v>
      </c>
      <c r="C811" s="6">
        <v>161.993914165235</v>
      </c>
      <c r="D811" s="6">
        <v>158.43467658525</v>
      </c>
      <c r="E811" s="6">
        <v>158.43467658525</v>
      </c>
      <c r="F811" s="6">
        <v>56.637172449492901</v>
      </c>
      <c r="G811" s="6" t="str">
        <f t="shared" si="24"/>
        <v>OK</v>
      </c>
      <c r="H811" s="6" t="str">
        <f t="shared" si="25"/>
        <v>NON-ZERO</v>
      </c>
      <c r="I811">
        <v>155.291427061512</v>
      </c>
      <c r="J811">
        <f>IFERROR(Table4[[#This Row],[energy_kwh]]/Table4[[#This Row],[expected_kwh]],0)</f>
        <v>1.0202409726229957</v>
      </c>
      <c r="K811" t="str">
        <f>IF(Table4[[#This Row],[Performance_Ratio]] &lt; 0.85, "Underperforming", "Performing")</f>
        <v>Performing</v>
      </c>
      <c r="L811">
        <f>Table4[[#This Row],[energy_kwh]] - Table4[[#This Row],[expected_kwh]]</f>
        <v>3.1432495237380067</v>
      </c>
      <c r="M811" t="str">
        <f>IF(Table4[[#This Row],[Performance_Deviation]] &lt; 0, "Underperforming", "Outperforming")</f>
        <v>Outperforming</v>
      </c>
      <c r="N811">
        <f>IF(Table4[[#This Row],[Performance_Ratio]] &lt; 0.85, Table4[[#This Row],[Performance_Deviation]] * 50 / 1000, 0)</f>
        <v>0</v>
      </c>
    </row>
    <row r="812" spans="1:14" x14ac:dyDescent="0.3">
      <c r="A812" s="4" t="s">
        <v>7</v>
      </c>
      <c r="B812" s="3">
        <v>45294.75</v>
      </c>
      <c r="C812" s="7">
        <v>6.4130628774428399E-14</v>
      </c>
      <c r="D812" s="7">
        <v>6.27215872981591E-14</v>
      </c>
      <c r="E812" s="7">
        <v>6.27215872981591E-14</v>
      </c>
      <c r="F812" s="4">
        <v>89.098063415973101</v>
      </c>
      <c r="G812" s="4" t="str">
        <f t="shared" si="24"/>
        <v>OK</v>
      </c>
      <c r="H812" s="4" t="str">
        <f t="shared" si="25"/>
        <v>NON-ZERO</v>
      </c>
      <c r="I812" s="2">
        <v>7.3478807948841102E-14</v>
      </c>
      <c r="J812">
        <f>IFERROR(Table4[[#This Row],[energy_kwh]]/Table4[[#This Row],[expected_kwh]],0)</f>
        <v>0.85360104564881334</v>
      </c>
      <c r="K812" t="str">
        <f>IF(Table4[[#This Row],[Performance_Ratio]] &lt; 0.85, "Underperforming", "Performing")</f>
        <v>Performing</v>
      </c>
      <c r="L812">
        <f>Table4[[#This Row],[energy_kwh]] - Table4[[#This Row],[expected_kwh]]</f>
        <v>-1.0757220650682002E-14</v>
      </c>
      <c r="M812" t="str">
        <f>IF(Table4[[#This Row],[Performance_Deviation]] &lt; 0, "Underperforming", "Outperforming")</f>
        <v>Underperforming</v>
      </c>
      <c r="N812">
        <f>IF(Table4[[#This Row],[Performance_Ratio]] &lt; 0.85, Table4[[#This Row],[Performance_Deviation]] * 50 / 1000, 0)</f>
        <v>0</v>
      </c>
    </row>
    <row r="813" spans="1:14" x14ac:dyDescent="0.3">
      <c r="A813" s="6" t="s">
        <v>7</v>
      </c>
      <c r="B813" s="5">
        <v>45294.791666666664</v>
      </c>
      <c r="C813" s="6">
        <v>0</v>
      </c>
      <c r="D813" s="6">
        <v>0</v>
      </c>
      <c r="E813" s="6">
        <v>0</v>
      </c>
      <c r="F813" s="6">
        <v>46.6193495657757</v>
      </c>
      <c r="G813" s="6" t="str">
        <f t="shared" si="24"/>
        <v>OK</v>
      </c>
      <c r="H813" s="6" t="str">
        <f t="shared" si="25"/>
        <v>ZERO</v>
      </c>
      <c r="I813">
        <v>0</v>
      </c>
      <c r="J813">
        <f>IFERROR(Table4[[#This Row],[energy_kwh]]/Table4[[#This Row],[expected_kwh]],0)</f>
        <v>0</v>
      </c>
      <c r="K813" t="str">
        <f>IF(Table4[[#This Row],[Performance_Ratio]] &lt; 0.85, "Underperforming", "Performing")</f>
        <v>Underperforming</v>
      </c>
      <c r="L813">
        <f>Table4[[#This Row],[energy_kwh]] - Table4[[#This Row],[expected_kwh]]</f>
        <v>0</v>
      </c>
      <c r="M813" t="str">
        <f>IF(Table4[[#This Row],[Performance_Deviation]] &lt; 0, "Underperforming", "Outperforming")</f>
        <v>Outperforming</v>
      </c>
      <c r="N813">
        <f>IF(Table4[[#This Row],[Performance_Ratio]] &lt; 0.85, Table4[[#This Row],[Performance_Deviation]] * 50 / 1000, 0)</f>
        <v>0</v>
      </c>
    </row>
    <row r="814" spans="1:14" x14ac:dyDescent="0.3">
      <c r="A814" s="4" t="s">
        <v>7</v>
      </c>
      <c r="B814" s="3">
        <v>45294.833333333336</v>
      </c>
      <c r="C814" s="4">
        <v>0</v>
      </c>
      <c r="D814" s="4">
        <v>0</v>
      </c>
      <c r="E814" s="4">
        <v>0</v>
      </c>
      <c r="F814" s="4">
        <v>86.218611238904103</v>
      </c>
      <c r="G814" s="4" t="str">
        <f t="shared" si="24"/>
        <v>OK</v>
      </c>
      <c r="H814" s="4" t="str">
        <f t="shared" si="25"/>
        <v>ZERO</v>
      </c>
      <c r="I814">
        <v>0</v>
      </c>
      <c r="J814">
        <f>IFERROR(Table4[[#This Row],[energy_kwh]]/Table4[[#This Row],[expected_kwh]],0)</f>
        <v>0</v>
      </c>
      <c r="K814" t="str">
        <f>IF(Table4[[#This Row],[Performance_Ratio]] &lt; 0.85, "Underperforming", "Performing")</f>
        <v>Underperforming</v>
      </c>
      <c r="L814">
        <f>Table4[[#This Row],[energy_kwh]] - Table4[[#This Row],[expected_kwh]]</f>
        <v>0</v>
      </c>
      <c r="M814" t="str">
        <f>IF(Table4[[#This Row],[Performance_Deviation]] &lt; 0, "Underperforming", "Outperforming")</f>
        <v>Outperforming</v>
      </c>
      <c r="N814">
        <f>IF(Table4[[#This Row],[Performance_Ratio]] &lt; 0.85, Table4[[#This Row],[Performance_Deviation]] * 50 / 1000, 0)</f>
        <v>0</v>
      </c>
    </row>
    <row r="815" spans="1:14" x14ac:dyDescent="0.3">
      <c r="A815" s="6" t="s">
        <v>7</v>
      </c>
      <c r="B815" s="5">
        <v>45294.875</v>
      </c>
      <c r="C815" s="6">
        <v>0</v>
      </c>
      <c r="D815" s="6">
        <v>0</v>
      </c>
      <c r="E815" s="6">
        <v>0</v>
      </c>
      <c r="F815" s="6">
        <v>84.724762351915402</v>
      </c>
      <c r="G815" s="6" t="str">
        <f t="shared" si="24"/>
        <v>OK</v>
      </c>
      <c r="H815" s="6" t="str">
        <f t="shared" si="25"/>
        <v>ZERO</v>
      </c>
      <c r="I815">
        <v>0</v>
      </c>
      <c r="J815">
        <f>IFERROR(Table4[[#This Row],[energy_kwh]]/Table4[[#This Row],[expected_kwh]],0)</f>
        <v>0</v>
      </c>
      <c r="K815" t="str">
        <f>IF(Table4[[#This Row],[Performance_Ratio]] &lt; 0.85, "Underperforming", "Performing")</f>
        <v>Underperforming</v>
      </c>
      <c r="L815">
        <f>Table4[[#This Row],[energy_kwh]] - Table4[[#This Row],[expected_kwh]]</f>
        <v>0</v>
      </c>
      <c r="M815" t="str">
        <f>IF(Table4[[#This Row],[Performance_Deviation]] &lt; 0, "Underperforming", "Outperforming")</f>
        <v>Outperforming</v>
      </c>
      <c r="N815">
        <f>IF(Table4[[#This Row],[Performance_Ratio]] &lt; 0.85, Table4[[#This Row],[Performance_Deviation]] * 50 / 1000, 0)</f>
        <v>0</v>
      </c>
    </row>
    <row r="816" spans="1:14" x14ac:dyDescent="0.3">
      <c r="A816" s="4" t="s">
        <v>7</v>
      </c>
      <c r="B816" s="3">
        <v>45294.916666666664</v>
      </c>
      <c r="C816" s="4">
        <v>0</v>
      </c>
      <c r="D816" s="4">
        <v>0</v>
      </c>
      <c r="E816" s="4">
        <v>0</v>
      </c>
      <c r="F816" s="4">
        <v>80.198023426469703</v>
      </c>
      <c r="G816" s="4" t="str">
        <f t="shared" si="24"/>
        <v>OK</v>
      </c>
      <c r="H816" s="4" t="str">
        <f t="shared" si="25"/>
        <v>ZERO</v>
      </c>
      <c r="I816">
        <v>0</v>
      </c>
      <c r="J816">
        <f>IFERROR(Table4[[#This Row],[energy_kwh]]/Table4[[#This Row],[expected_kwh]],0)</f>
        <v>0</v>
      </c>
      <c r="K816" t="str">
        <f>IF(Table4[[#This Row],[Performance_Ratio]] &lt; 0.85, "Underperforming", "Performing")</f>
        <v>Underperforming</v>
      </c>
      <c r="L816">
        <f>Table4[[#This Row],[energy_kwh]] - Table4[[#This Row],[expected_kwh]]</f>
        <v>0</v>
      </c>
      <c r="M816" t="str">
        <f>IF(Table4[[#This Row],[Performance_Deviation]] &lt; 0, "Underperforming", "Outperforming")</f>
        <v>Outperforming</v>
      </c>
      <c r="N816">
        <f>IF(Table4[[#This Row],[Performance_Ratio]] &lt; 0.85, Table4[[#This Row],[Performance_Deviation]] * 50 / 1000, 0)</f>
        <v>0</v>
      </c>
    </row>
    <row r="817" spans="1:14" x14ac:dyDescent="0.3">
      <c r="A817" s="6" t="s">
        <v>7</v>
      </c>
      <c r="B817" s="5">
        <v>45294.958333333336</v>
      </c>
      <c r="C817" s="6">
        <v>0</v>
      </c>
      <c r="D817" s="6">
        <v>0</v>
      </c>
      <c r="E817" s="6">
        <v>0</v>
      </c>
      <c r="F817" s="6">
        <v>87.302439934319807</v>
      </c>
      <c r="G817" s="6" t="str">
        <f t="shared" si="24"/>
        <v>OK</v>
      </c>
      <c r="H817" s="6" t="str">
        <f t="shared" si="25"/>
        <v>ZERO</v>
      </c>
      <c r="I817">
        <v>0</v>
      </c>
      <c r="J817">
        <f>IFERROR(Table4[[#This Row],[energy_kwh]]/Table4[[#This Row],[expected_kwh]],0)</f>
        <v>0</v>
      </c>
      <c r="K817" t="str">
        <f>IF(Table4[[#This Row],[Performance_Ratio]] &lt; 0.85, "Underperforming", "Performing")</f>
        <v>Underperforming</v>
      </c>
      <c r="L817">
        <f>Table4[[#This Row],[energy_kwh]] - Table4[[#This Row],[expected_kwh]]</f>
        <v>0</v>
      </c>
      <c r="M817" t="str">
        <f>IF(Table4[[#This Row],[Performance_Deviation]] &lt; 0, "Underperforming", "Outperforming")</f>
        <v>Outperforming</v>
      </c>
      <c r="N817">
        <f>IF(Table4[[#This Row],[Performance_Ratio]] &lt; 0.85, Table4[[#This Row],[Performance_Deviation]] * 50 / 1000, 0)</f>
        <v>0</v>
      </c>
    </row>
    <row r="818" spans="1:14" x14ac:dyDescent="0.3">
      <c r="A818" s="4" t="s">
        <v>7</v>
      </c>
      <c r="B818" s="3">
        <v>45295</v>
      </c>
      <c r="C818" s="4">
        <v>0</v>
      </c>
      <c r="D818" s="4">
        <v>0</v>
      </c>
      <c r="E818" s="4">
        <v>0</v>
      </c>
      <c r="F818" s="4">
        <v>24.679555144870701</v>
      </c>
      <c r="G818" s="4" t="str">
        <f t="shared" si="24"/>
        <v>OK</v>
      </c>
      <c r="H818" s="4" t="str">
        <f t="shared" si="25"/>
        <v>ZERO</v>
      </c>
      <c r="I818">
        <v>0</v>
      </c>
      <c r="J818">
        <f>IFERROR(Table4[[#This Row],[energy_kwh]]/Table4[[#This Row],[expected_kwh]],0)</f>
        <v>0</v>
      </c>
      <c r="K818" t="str">
        <f>IF(Table4[[#This Row],[Performance_Ratio]] &lt; 0.85, "Underperforming", "Performing")</f>
        <v>Underperforming</v>
      </c>
      <c r="L818">
        <f>Table4[[#This Row],[energy_kwh]] - Table4[[#This Row],[expected_kwh]]</f>
        <v>0</v>
      </c>
      <c r="M818" t="str">
        <f>IF(Table4[[#This Row],[Performance_Deviation]] &lt; 0, "Underperforming", "Outperforming")</f>
        <v>Outperforming</v>
      </c>
      <c r="N818">
        <f>IF(Table4[[#This Row],[Performance_Ratio]] &lt; 0.85, Table4[[#This Row],[Performance_Deviation]] * 50 / 1000, 0)</f>
        <v>0</v>
      </c>
    </row>
    <row r="819" spans="1:14" x14ac:dyDescent="0.3">
      <c r="A819" s="6" t="s">
        <v>7</v>
      </c>
      <c r="B819" s="5">
        <v>45295.041666666664</v>
      </c>
      <c r="C819" s="6">
        <v>0</v>
      </c>
      <c r="D819" s="6">
        <v>0</v>
      </c>
      <c r="E819" s="6">
        <v>0</v>
      </c>
      <c r="F819" s="6">
        <v>93.150735010930205</v>
      </c>
      <c r="G819" s="6" t="str">
        <f t="shared" si="24"/>
        <v>OK</v>
      </c>
      <c r="H819" s="6" t="str">
        <f t="shared" si="25"/>
        <v>ZERO</v>
      </c>
      <c r="I819">
        <v>0</v>
      </c>
      <c r="J819">
        <f>IFERROR(Table4[[#This Row],[energy_kwh]]/Table4[[#This Row],[expected_kwh]],0)</f>
        <v>0</v>
      </c>
      <c r="K819" t="str">
        <f>IF(Table4[[#This Row],[Performance_Ratio]] &lt; 0.85, "Underperforming", "Performing")</f>
        <v>Underperforming</v>
      </c>
      <c r="L819">
        <f>Table4[[#This Row],[energy_kwh]] - Table4[[#This Row],[expected_kwh]]</f>
        <v>0</v>
      </c>
      <c r="M819" t="str">
        <f>IF(Table4[[#This Row],[Performance_Deviation]] &lt; 0, "Underperforming", "Outperforming")</f>
        <v>Outperforming</v>
      </c>
      <c r="N819">
        <f>IF(Table4[[#This Row],[Performance_Ratio]] &lt; 0.85, Table4[[#This Row],[Performance_Deviation]] * 50 / 1000, 0)</f>
        <v>0</v>
      </c>
    </row>
    <row r="820" spans="1:14" x14ac:dyDescent="0.3">
      <c r="A820" s="4" t="s">
        <v>7</v>
      </c>
      <c r="B820" s="3">
        <v>45295.083333333336</v>
      </c>
      <c r="C820" s="4">
        <v>0</v>
      </c>
      <c r="D820" s="4">
        <v>0</v>
      </c>
      <c r="E820" s="4">
        <v>0</v>
      </c>
      <c r="F820" s="4">
        <v>48.919819438499999</v>
      </c>
      <c r="G820" s="4" t="str">
        <f t="shared" si="24"/>
        <v>OK</v>
      </c>
      <c r="H820" s="4" t="str">
        <f t="shared" si="25"/>
        <v>ZERO</v>
      </c>
      <c r="I820">
        <v>0</v>
      </c>
      <c r="J820">
        <f>IFERROR(Table4[[#This Row],[energy_kwh]]/Table4[[#This Row],[expected_kwh]],0)</f>
        <v>0</v>
      </c>
      <c r="K820" t="str">
        <f>IF(Table4[[#This Row],[Performance_Ratio]] &lt; 0.85, "Underperforming", "Performing")</f>
        <v>Underperforming</v>
      </c>
      <c r="L820">
        <f>Table4[[#This Row],[energy_kwh]] - Table4[[#This Row],[expected_kwh]]</f>
        <v>0</v>
      </c>
      <c r="M820" t="str">
        <f>IF(Table4[[#This Row],[Performance_Deviation]] &lt; 0, "Underperforming", "Outperforming")</f>
        <v>Outperforming</v>
      </c>
      <c r="N820">
        <f>IF(Table4[[#This Row],[Performance_Ratio]] &lt; 0.85, Table4[[#This Row],[Performance_Deviation]] * 50 / 1000, 0)</f>
        <v>0</v>
      </c>
    </row>
    <row r="821" spans="1:14" x14ac:dyDescent="0.3">
      <c r="A821" s="6" t="s">
        <v>7</v>
      </c>
      <c r="B821" s="5">
        <v>45295.125</v>
      </c>
      <c r="C821" s="6">
        <v>0</v>
      </c>
      <c r="D821" s="6">
        <v>0</v>
      </c>
      <c r="E821" s="6">
        <v>0</v>
      </c>
      <c r="F821" s="6">
        <v>37.202433277825399</v>
      </c>
      <c r="G821" s="6" t="str">
        <f t="shared" si="24"/>
        <v>OK</v>
      </c>
      <c r="H821" s="6" t="str">
        <f t="shared" si="25"/>
        <v>ZERO</v>
      </c>
      <c r="I821">
        <v>0</v>
      </c>
      <c r="J821">
        <f>IFERROR(Table4[[#This Row],[energy_kwh]]/Table4[[#This Row],[expected_kwh]],0)</f>
        <v>0</v>
      </c>
      <c r="K821" t="str">
        <f>IF(Table4[[#This Row],[Performance_Ratio]] &lt; 0.85, "Underperforming", "Performing")</f>
        <v>Underperforming</v>
      </c>
      <c r="L821">
        <f>Table4[[#This Row],[energy_kwh]] - Table4[[#This Row],[expected_kwh]]</f>
        <v>0</v>
      </c>
      <c r="M821" t="str">
        <f>IF(Table4[[#This Row],[Performance_Deviation]] &lt; 0, "Underperforming", "Outperforming")</f>
        <v>Outperforming</v>
      </c>
      <c r="N821">
        <f>IF(Table4[[#This Row],[Performance_Ratio]] &lt; 0.85, Table4[[#This Row],[Performance_Deviation]] * 50 / 1000, 0)</f>
        <v>0</v>
      </c>
    </row>
    <row r="822" spans="1:14" x14ac:dyDescent="0.3">
      <c r="A822" s="4" t="s">
        <v>7</v>
      </c>
      <c r="B822" s="3">
        <v>45295.166666666664</v>
      </c>
      <c r="C822" s="4">
        <v>0</v>
      </c>
      <c r="D822" s="4">
        <v>0</v>
      </c>
      <c r="E822" s="4">
        <v>0</v>
      </c>
      <c r="F822" s="4">
        <v>31.045667266406799</v>
      </c>
      <c r="G822" s="4" t="str">
        <f t="shared" si="24"/>
        <v>OK</v>
      </c>
      <c r="H822" s="4" t="str">
        <f t="shared" si="25"/>
        <v>ZERO</v>
      </c>
      <c r="I822">
        <v>0</v>
      </c>
      <c r="J822">
        <f>IFERROR(Table4[[#This Row],[energy_kwh]]/Table4[[#This Row],[expected_kwh]],0)</f>
        <v>0</v>
      </c>
      <c r="K822" t="str">
        <f>IF(Table4[[#This Row],[Performance_Ratio]] &lt; 0.85, "Underperforming", "Performing")</f>
        <v>Underperforming</v>
      </c>
      <c r="L822">
        <f>Table4[[#This Row],[energy_kwh]] - Table4[[#This Row],[expected_kwh]]</f>
        <v>0</v>
      </c>
      <c r="M822" t="str">
        <f>IF(Table4[[#This Row],[Performance_Deviation]] &lt; 0, "Underperforming", "Outperforming")</f>
        <v>Outperforming</v>
      </c>
      <c r="N822">
        <f>IF(Table4[[#This Row],[Performance_Ratio]] &lt; 0.85, Table4[[#This Row],[Performance_Deviation]] * 50 / 1000, 0)</f>
        <v>0</v>
      </c>
    </row>
    <row r="823" spans="1:14" x14ac:dyDescent="0.3">
      <c r="A823" s="6" t="s">
        <v>7</v>
      </c>
      <c r="B823" s="5">
        <v>45295.208333333336</v>
      </c>
      <c r="C823" s="6">
        <v>0</v>
      </c>
      <c r="D823" s="6">
        <v>0</v>
      </c>
      <c r="E823" s="6">
        <v>0</v>
      </c>
      <c r="F823" s="6">
        <v>92.582109895217101</v>
      </c>
      <c r="G823" s="6" t="str">
        <f t="shared" si="24"/>
        <v>OK</v>
      </c>
      <c r="H823" s="6" t="str">
        <f t="shared" si="25"/>
        <v>ZERO</v>
      </c>
      <c r="I823">
        <v>0</v>
      </c>
      <c r="J823">
        <f>IFERROR(Table4[[#This Row],[energy_kwh]]/Table4[[#This Row],[expected_kwh]],0)</f>
        <v>0</v>
      </c>
      <c r="K823" t="str">
        <f>IF(Table4[[#This Row],[Performance_Ratio]] &lt; 0.85, "Underperforming", "Performing")</f>
        <v>Underperforming</v>
      </c>
      <c r="L823">
        <f>Table4[[#This Row],[energy_kwh]] - Table4[[#This Row],[expected_kwh]]</f>
        <v>0</v>
      </c>
      <c r="M823" t="str">
        <f>IF(Table4[[#This Row],[Performance_Deviation]] &lt; 0, "Underperforming", "Outperforming")</f>
        <v>Outperforming</v>
      </c>
      <c r="N823">
        <f>IF(Table4[[#This Row],[Performance_Ratio]] &lt; 0.85, Table4[[#This Row],[Performance_Deviation]] * 50 / 1000, 0)</f>
        <v>0</v>
      </c>
    </row>
    <row r="824" spans="1:14" x14ac:dyDescent="0.3">
      <c r="A824" s="4" t="s">
        <v>7</v>
      </c>
      <c r="B824" s="3">
        <v>45295.25</v>
      </c>
      <c r="C824" s="4">
        <v>0</v>
      </c>
      <c r="D824" s="4">
        <v>0</v>
      </c>
      <c r="E824" s="4">
        <v>0</v>
      </c>
      <c r="F824" s="4">
        <v>42.453753027901101</v>
      </c>
      <c r="G824" s="4" t="str">
        <f t="shared" si="24"/>
        <v>OK</v>
      </c>
      <c r="H824" s="4" t="str">
        <f t="shared" si="25"/>
        <v>ZERO</v>
      </c>
      <c r="I824">
        <v>0</v>
      </c>
      <c r="J824">
        <f>IFERROR(Table4[[#This Row],[energy_kwh]]/Table4[[#This Row],[expected_kwh]],0)</f>
        <v>0</v>
      </c>
      <c r="K824" t="str">
        <f>IF(Table4[[#This Row],[Performance_Ratio]] &lt; 0.85, "Underperforming", "Performing")</f>
        <v>Underperforming</v>
      </c>
      <c r="L824">
        <f>Table4[[#This Row],[energy_kwh]] - Table4[[#This Row],[expected_kwh]]</f>
        <v>0</v>
      </c>
      <c r="M824" t="str">
        <f>IF(Table4[[#This Row],[Performance_Deviation]] &lt; 0, "Underperforming", "Outperforming")</f>
        <v>Outperforming</v>
      </c>
      <c r="N824">
        <f>IF(Table4[[#This Row],[Performance_Ratio]] &lt; 0.85, Table4[[#This Row],[Performance_Deviation]] * 50 / 1000, 0)</f>
        <v>0</v>
      </c>
    </row>
    <row r="825" spans="1:14" x14ac:dyDescent="0.3">
      <c r="A825" s="6" t="s">
        <v>7</v>
      </c>
      <c r="B825" s="5">
        <v>45295.291666666664</v>
      </c>
      <c r="C825" s="6">
        <v>142.495864120568</v>
      </c>
      <c r="D825" s="6">
        <v>139.365026538281</v>
      </c>
      <c r="E825" s="6">
        <v>139.365026538281</v>
      </c>
      <c r="F825" s="6">
        <v>39.234729576257401</v>
      </c>
      <c r="G825" s="6" t="str">
        <f t="shared" si="24"/>
        <v>OK</v>
      </c>
      <c r="H825" s="6" t="str">
        <f t="shared" si="25"/>
        <v>NON-ZERO</v>
      </c>
      <c r="I825">
        <v>155.291427061512</v>
      </c>
      <c r="J825">
        <f>IFERROR(Table4[[#This Row],[energy_kwh]]/Table4[[#This Row],[expected_kwh]],0)</f>
        <v>0.89744185609858274</v>
      </c>
      <c r="K825" t="str">
        <f>IF(Table4[[#This Row],[Performance_Ratio]] &lt; 0.85, "Underperforming", "Performing")</f>
        <v>Performing</v>
      </c>
      <c r="L825">
        <f>Table4[[#This Row],[energy_kwh]] - Table4[[#This Row],[expected_kwh]]</f>
        <v>-15.926400523230996</v>
      </c>
      <c r="M825" t="str">
        <f>IF(Table4[[#This Row],[Performance_Deviation]] &lt; 0, "Underperforming", "Outperforming")</f>
        <v>Underperforming</v>
      </c>
      <c r="N825">
        <f>IF(Table4[[#This Row],[Performance_Ratio]] &lt; 0.85, Table4[[#This Row],[Performance_Deviation]] * 50 / 1000, 0)</f>
        <v>0</v>
      </c>
    </row>
    <row r="826" spans="1:14" x14ac:dyDescent="0.3">
      <c r="A826" s="4" t="s">
        <v>7</v>
      </c>
      <c r="B826" s="3">
        <v>45295.333333333336</v>
      </c>
      <c r="C826" s="4">
        <v>313.75435074585903</v>
      </c>
      <c r="D826" s="4">
        <v>306.86071969920499</v>
      </c>
      <c r="E826" s="4">
        <v>306.86071969920499</v>
      </c>
      <c r="F826" s="4">
        <v>80.676773021875704</v>
      </c>
      <c r="G826" s="4" t="str">
        <f t="shared" si="24"/>
        <v>OK</v>
      </c>
      <c r="H826" s="4" t="str">
        <f t="shared" si="25"/>
        <v>NON-ZERO</v>
      </c>
      <c r="I826">
        <v>300</v>
      </c>
      <c r="J826">
        <f>IFERROR(Table4[[#This Row],[energy_kwh]]/Table4[[#This Row],[expected_kwh]],0)</f>
        <v>1.0228690656640167</v>
      </c>
      <c r="K826" t="str">
        <f>IF(Table4[[#This Row],[Performance_Ratio]] &lt; 0.85, "Underperforming", "Performing")</f>
        <v>Performing</v>
      </c>
      <c r="L826">
        <f>Table4[[#This Row],[energy_kwh]] - Table4[[#This Row],[expected_kwh]]</f>
        <v>6.8607196992049921</v>
      </c>
      <c r="M826" t="str">
        <f>IF(Table4[[#This Row],[Performance_Deviation]] &lt; 0, "Underperforming", "Outperforming")</f>
        <v>Outperforming</v>
      </c>
      <c r="N826">
        <f>IF(Table4[[#This Row],[Performance_Ratio]] &lt; 0.85, Table4[[#This Row],[Performance_Deviation]] * 50 / 1000, 0)</f>
        <v>0</v>
      </c>
    </row>
    <row r="827" spans="1:14" x14ac:dyDescent="0.3">
      <c r="A827" s="6" t="s">
        <v>7</v>
      </c>
      <c r="B827" s="5">
        <v>45295.375</v>
      </c>
      <c r="C827" s="6">
        <v>369.23713944284401</v>
      </c>
      <c r="D827" s="6">
        <v>361.12447231331998</v>
      </c>
      <c r="E827" s="6">
        <v>361.12447231331998</v>
      </c>
      <c r="F827" s="6">
        <v>84.849419139360506</v>
      </c>
      <c r="G827" s="6" t="str">
        <f t="shared" si="24"/>
        <v>OK</v>
      </c>
      <c r="H827" s="6" t="str">
        <f t="shared" si="25"/>
        <v>NON-ZERO</v>
      </c>
      <c r="I827">
        <v>424.26406871192802</v>
      </c>
      <c r="J827">
        <f>IFERROR(Table4[[#This Row],[energy_kwh]]/Table4[[#This Row],[expected_kwh]],0)</f>
        <v>0.85117854408387494</v>
      </c>
      <c r="K827" t="str">
        <f>IF(Table4[[#This Row],[Performance_Ratio]] &lt; 0.85, "Underperforming", "Performing")</f>
        <v>Performing</v>
      </c>
      <c r="L827">
        <f>Table4[[#This Row],[energy_kwh]] - Table4[[#This Row],[expected_kwh]]</f>
        <v>-63.139596398608035</v>
      </c>
      <c r="M827" t="str">
        <f>IF(Table4[[#This Row],[Performance_Deviation]] &lt; 0, "Underperforming", "Outperforming")</f>
        <v>Underperforming</v>
      </c>
      <c r="N827">
        <f>IF(Table4[[#This Row],[Performance_Ratio]] &lt; 0.85, Table4[[#This Row],[Performance_Deviation]] * 50 / 1000, 0)</f>
        <v>0</v>
      </c>
    </row>
    <row r="828" spans="1:14" x14ac:dyDescent="0.3">
      <c r="A828" s="4" t="s">
        <v>7</v>
      </c>
      <c r="B828" s="3">
        <v>45295.416666666664</v>
      </c>
      <c r="C828" s="4">
        <v>423.86731495407702</v>
      </c>
      <c r="D828" s="4">
        <v>414.554344870688</v>
      </c>
      <c r="E828" s="4">
        <v>414.554344870688</v>
      </c>
      <c r="F828" s="4">
        <v>30.286136611455699</v>
      </c>
      <c r="G828" s="4" t="str">
        <f t="shared" si="24"/>
        <v>OK</v>
      </c>
      <c r="H828" s="4" t="str">
        <f t="shared" si="25"/>
        <v>NON-ZERO</v>
      </c>
      <c r="I828">
        <v>519.61524227066297</v>
      </c>
      <c r="J828">
        <f>IFERROR(Table4[[#This Row],[energy_kwh]]/Table4[[#This Row],[expected_kwh]],0)</f>
        <v>0.79781020868273589</v>
      </c>
      <c r="K828" t="str">
        <f>IF(Table4[[#This Row],[Performance_Ratio]] &lt; 0.85, "Underperforming", "Performing")</f>
        <v>Underperforming</v>
      </c>
      <c r="L828">
        <f>Table4[[#This Row],[energy_kwh]] - Table4[[#This Row],[expected_kwh]]</f>
        <v>-105.06089739997498</v>
      </c>
      <c r="M828" t="str">
        <f>IF(Table4[[#This Row],[Performance_Deviation]] &lt; 0, "Underperforming", "Outperforming")</f>
        <v>Underperforming</v>
      </c>
      <c r="N828">
        <f>IF(Table4[[#This Row],[Performance_Ratio]] &lt; 0.85, Table4[[#This Row],[Performance_Deviation]] * 50 / 1000, 0)</f>
        <v>-5.2530448699987495</v>
      </c>
    </row>
    <row r="829" spans="1:14" x14ac:dyDescent="0.3">
      <c r="A829" s="6" t="s">
        <v>7</v>
      </c>
      <c r="B829" s="5">
        <v>45295.458333333336</v>
      </c>
      <c r="C829" s="6">
        <v>544.48816012566101</v>
      </c>
      <c r="D829" s="6">
        <v>532.52497785821299</v>
      </c>
      <c r="E829" s="6">
        <v>532.52497785821299</v>
      </c>
      <c r="F829" s="6">
        <v>30.805908950989899</v>
      </c>
      <c r="G829" s="6" t="str">
        <f t="shared" si="24"/>
        <v>OK</v>
      </c>
      <c r="H829" s="6" t="str">
        <f t="shared" si="25"/>
        <v>NON-ZERO</v>
      </c>
      <c r="I829">
        <v>579.55549577344095</v>
      </c>
      <c r="J829">
        <f>IFERROR(Table4[[#This Row],[energy_kwh]]/Table4[[#This Row],[expected_kwh]],0)</f>
        <v>0.91885070841669136</v>
      </c>
      <c r="K829" t="str">
        <f>IF(Table4[[#This Row],[Performance_Ratio]] &lt; 0.85, "Underperforming", "Performing")</f>
        <v>Performing</v>
      </c>
      <c r="L829">
        <f>Table4[[#This Row],[energy_kwh]] - Table4[[#This Row],[expected_kwh]]</f>
        <v>-47.030517915227961</v>
      </c>
      <c r="M829" t="str">
        <f>IF(Table4[[#This Row],[Performance_Deviation]] &lt; 0, "Underperforming", "Outperforming")</f>
        <v>Underperforming</v>
      </c>
      <c r="N829">
        <f>IF(Table4[[#This Row],[Performance_Ratio]] &lt; 0.85, Table4[[#This Row],[Performance_Deviation]] * 50 / 1000, 0)</f>
        <v>0</v>
      </c>
    </row>
    <row r="830" spans="1:14" x14ac:dyDescent="0.3">
      <c r="A830" s="4" t="s">
        <v>7</v>
      </c>
      <c r="B830" s="3">
        <v>45295.5</v>
      </c>
      <c r="C830" s="4">
        <v>510.09208526418001</v>
      </c>
      <c r="D830" s="4">
        <v>498.88463387021397</v>
      </c>
      <c r="E830" s="4">
        <v>498.88463387021397</v>
      </c>
      <c r="F830" s="4">
        <v>54.468804291021698</v>
      </c>
      <c r="G830" s="4" t="str">
        <f t="shared" si="24"/>
        <v>OK</v>
      </c>
      <c r="H830" s="4" t="str">
        <f t="shared" si="25"/>
        <v>NON-ZERO</v>
      </c>
      <c r="I830">
        <v>600</v>
      </c>
      <c r="J830">
        <f>IFERROR(Table4[[#This Row],[energy_kwh]]/Table4[[#This Row],[expected_kwh]],0)</f>
        <v>0.83147438978368993</v>
      </c>
      <c r="K830" t="str">
        <f>IF(Table4[[#This Row],[Performance_Ratio]] &lt; 0.85, "Underperforming", "Performing")</f>
        <v>Underperforming</v>
      </c>
      <c r="L830">
        <f>Table4[[#This Row],[energy_kwh]] - Table4[[#This Row],[expected_kwh]]</f>
        <v>-101.11536612978603</v>
      </c>
      <c r="M830" t="str">
        <f>IF(Table4[[#This Row],[Performance_Deviation]] &lt; 0, "Underperforming", "Outperforming")</f>
        <v>Underperforming</v>
      </c>
      <c r="N830">
        <f>IF(Table4[[#This Row],[Performance_Ratio]] &lt; 0.85, Table4[[#This Row],[Performance_Deviation]] * 50 / 1000, 0)</f>
        <v>-5.0557683064893011</v>
      </c>
    </row>
    <row r="831" spans="1:14" x14ac:dyDescent="0.3">
      <c r="A831" s="6" t="s">
        <v>7</v>
      </c>
      <c r="B831" s="5">
        <v>45295.541666666664</v>
      </c>
      <c r="C831" s="6">
        <v>582.27671489596401</v>
      </c>
      <c r="D831" s="6">
        <v>569.48326412784502</v>
      </c>
      <c r="E831" s="6">
        <v>569.48326412784502</v>
      </c>
      <c r="F831" s="6">
        <v>24.273404524802601</v>
      </c>
      <c r="G831" s="6" t="str">
        <f t="shared" si="24"/>
        <v>OK</v>
      </c>
      <c r="H831" s="6" t="str">
        <f t="shared" si="25"/>
        <v>NON-ZERO</v>
      </c>
      <c r="I831">
        <v>579.55549577344095</v>
      </c>
      <c r="J831">
        <f>IFERROR(Table4[[#This Row],[energy_kwh]]/Table4[[#This Row],[expected_kwh]],0)</f>
        <v>0.98262076415623645</v>
      </c>
      <c r="K831" t="str">
        <f>IF(Table4[[#This Row],[Performance_Ratio]] &lt; 0.85, "Underperforming", "Performing")</f>
        <v>Performing</v>
      </c>
      <c r="L831">
        <f>Table4[[#This Row],[energy_kwh]] - Table4[[#This Row],[expected_kwh]]</f>
        <v>-10.072231645595934</v>
      </c>
      <c r="M831" t="str">
        <f>IF(Table4[[#This Row],[Performance_Deviation]] &lt; 0, "Underperforming", "Outperforming")</f>
        <v>Underperforming</v>
      </c>
      <c r="N831">
        <f>IF(Table4[[#This Row],[Performance_Ratio]] &lt; 0.85, Table4[[#This Row],[Performance_Deviation]] * 50 / 1000, 0)</f>
        <v>0</v>
      </c>
    </row>
    <row r="832" spans="1:14" x14ac:dyDescent="0.3">
      <c r="A832" s="4" t="s">
        <v>7</v>
      </c>
      <c r="B832" s="3">
        <v>45295.583333333336</v>
      </c>
      <c r="C832" s="4">
        <v>450.50109507239</v>
      </c>
      <c r="D832" s="4">
        <v>440.60294281359302</v>
      </c>
      <c r="E832" s="4">
        <v>440.60294281359302</v>
      </c>
      <c r="F832" s="4">
        <v>70.040925289563503</v>
      </c>
      <c r="G832" s="4" t="str">
        <f t="shared" si="24"/>
        <v>OK</v>
      </c>
      <c r="H832" s="4" t="str">
        <f t="shared" si="25"/>
        <v>NON-ZERO</v>
      </c>
      <c r="I832">
        <v>519.61524227066297</v>
      </c>
      <c r="J832">
        <f>IFERROR(Table4[[#This Row],[energy_kwh]]/Table4[[#This Row],[expected_kwh]],0)</f>
        <v>0.84794075879723108</v>
      </c>
      <c r="K832" t="str">
        <f>IF(Table4[[#This Row],[Performance_Ratio]] &lt; 0.85, "Underperforming", "Performing")</f>
        <v>Underperforming</v>
      </c>
      <c r="L832">
        <f>Table4[[#This Row],[energy_kwh]] - Table4[[#This Row],[expected_kwh]]</f>
        <v>-79.012299457069957</v>
      </c>
      <c r="M832" t="str">
        <f>IF(Table4[[#This Row],[Performance_Deviation]] &lt; 0, "Underperforming", "Outperforming")</f>
        <v>Underperforming</v>
      </c>
      <c r="N832">
        <f>IF(Table4[[#This Row],[Performance_Ratio]] &lt; 0.85, Table4[[#This Row],[Performance_Deviation]] * 50 / 1000, 0)</f>
        <v>-3.9506149728534981</v>
      </c>
    </row>
    <row r="833" spans="1:14" x14ac:dyDescent="0.3">
      <c r="A833" s="6" t="s">
        <v>7</v>
      </c>
      <c r="B833" s="5">
        <v>45295.625</v>
      </c>
      <c r="C833" s="6">
        <v>334.09227788680698</v>
      </c>
      <c r="D833" s="6">
        <v>326.75179354352099</v>
      </c>
      <c r="E833" s="6">
        <v>326.75179354352099</v>
      </c>
      <c r="F833" s="6">
        <v>43.5406622541852</v>
      </c>
      <c r="G833" s="6" t="str">
        <f t="shared" si="24"/>
        <v>OK</v>
      </c>
      <c r="H833" s="6" t="str">
        <f t="shared" si="25"/>
        <v>NON-ZERO</v>
      </c>
      <c r="I833">
        <v>424.26406871192802</v>
      </c>
      <c r="J833">
        <f>IFERROR(Table4[[#This Row],[energy_kwh]]/Table4[[#This Row],[expected_kwh]],0)</f>
        <v>0.77016136326496909</v>
      </c>
      <c r="K833" t="str">
        <f>IF(Table4[[#This Row],[Performance_Ratio]] &lt; 0.85, "Underperforming", "Performing")</f>
        <v>Underperforming</v>
      </c>
      <c r="L833">
        <f>Table4[[#This Row],[energy_kwh]] - Table4[[#This Row],[expected_kwh]]</f>
        <v>-97.512275168407029</v>
      </c>
      <c r="M833" t="str">
        <f>IF(Table4[[#This Row],[Performance_Deviation]] &lt; 0, "Underperforming", "Outperforming")</f>
        <v>Underperforming</v>
      </c>
      <c r="N833">
        <f>IF(Table4[[#This Row],[Performance_Ratio]] &lt; 0.85, Table4[[#This Row],[Performance_Deviation]] * 50 / 1000, 0)</f>
        <v>-4.8756137584203518</v>
      </c>
    </row>
    <row r="834" spans="1:14" x14ac:dyDescent="0.3">
      <c r="A834" s="4" t="s">
        <v>7</v>
      </c>
      <c r="B834" s="3">
        <v>45295.666666666664</v>
      </c>
      <c r="C834" s="4">
        <v>310.700917170048</v>
      </c>
      <c r="D834" s="4">
        <v>303.87437441857497</v>
      </c>
      <c r="E834" s="4">
        <v>303.87437441857497</v>
      </c>
      <c r="F834" s="4">
        <v>47.860044696828197</v>
      </c>
      <c r="G834" s="4" t="str">
        <f t="shared" ref="G834:G897" si="26">IF(D834 &gt; C834, "ERROR", "OK")</f>
        <v>OK</v>
      </c>
      <c r="H834" s="4" t="str">
        <f t="shared" ref="H834:H897" si="27">IF(E834=0,"ZERO","NON-ZERO")</f>
        <v>NON-ZERO</v>
      </c>
      <c r="I834">
        <v>300</v>
      </c>
      <c r="J834">
        <f>IFERROR(Table4[[#This Row],[energy_kwh]]/Table4[[#This Row],[expected_kwh]],0)</f>
        <v>1.0129145813952498</v>
      </c>
      <c r="K834" t="str">
        <f>IF(Table4[[#This Row],[Performance_Ratio]] &lt; 0.85, "Underperforming", "Performing")</f>
        <v>Performing</v>
      </c>
      <c r="L834">
        <f>Table4[[#This Row],[energy_kwh]] - Table4[[#This Row],[expected_kwh]]</f>
        <v>3.8743744185749733</v>
      </c>
      <c r="M834" t="str">
        <f>IF(Table4[[#This Row],[Performance_Deviation]] &lt; 0, "Underperforming", "Outperforming")</f>
        <v>Outperforming</v>
      </c>
      <c r="N834">
        <f>IF(Table4[[#This Row],[Performance_Ratio]] &lt; 0.85, Table4[[#This Row],[Performance_Deviation]] * 50 / 1000, 0)</f>
        <v>0</v>
      </c>
    </row>
    <row r="835" spans="1:14" x14ac:dyDescent="0.3">
      <c r="A835" s="6" t="s">
        <v>7</v>
      </c>
      <c r="B835" s="5">
        <v>45295.708333333336</v>
      </c>
      <c r="C835" s="6">
        <v>149.014163711234</v>
      </c>
      <c r="D835" s="6">
        <v>145.740109780479</v>
      </c>
      <c r="E835" s="6">
        <v>145.740109780479</v>
      </c>
      <c r="F835" s="6">
        <v>75.623108887703097</v>
      </c>
      <c r="G835" s="6" t="str">
        <f t="shared" si="26"/>
        <v>OK</v>
      </c>
      <c r="H835" s="6" t="str">
        <f t="shared" si="27"/>
        <v>NON-ZERO</v>
      </c>
      <c r="I835">
        <v>155.291427061512</v>
      </c>
      <c r="J835">
        <f>IFERROR(Table4[[#This Row],[energy_kwh]]/Table4[[#This Row],[expected_kwh]],0)</f>
        <v>0.93849423975446078</v>
      </c>
      <c r="K835" t="str">
        <f>IF(Table4[[#This Row],[Performance_Ratio]] &lt; 0.85, "Underperforming", "Performing")</f>
        <v>Performing</v>
      </c>
      <c r="L835">
        <f>Table4[[#This Row],[energy_kwh]] - Table4[[#This Row],[expected_kwh]]</f>
        <v>-9.5513172810329934</v>
      </c>
      <c r="M835" t="str">
        <f>IF(Table4[[#This Row],[Performance_Deviation]] &lt; 0, "Underperforming", "Outperforming")</f>
        <v>Underperforming</v>
      </c>
      <c r="N835">
        <f>IF(Table4[[#This Row],[Performance_Ratio]] &lt; 0.85, Table4[[#This Row],[Performance_Deviation]] * 50 / 1000, 0)</f>
        <v>0</v>
      </c>
    </row>
    <row r="836" spans="1:14" x14ac:dyDescent="0.3">
      <c r="A836" s="4" t="s">
        <v>7</v>
      </c>
      <c r="B836" s="3">
        <v>45295.75</v>
      </c>
      <c r="C836" s="7">
        <v>5.2703931459987998E-14</v>
      </c>
      <c r="D836" s="7">
        <v>5.1545950838111002E-14</v>
      </c>
      <c r="E836" s="7">
        <v>5.1545950838111002E-14</v>
      </c>
      <c r="F836" s="4">
        <v>84.4846006108734</v>
      </c>
      <c r="G836" s="4" t="str">
        <f t="shared" si="26"/>
        <v>OK</v>
      </c>
      <c r="H836" s="4" t="str">
        <f t="shared" si="27"/>
        <v>NON-ZERO</v>
      </c>
      <c r="I836" s="2">
        <v>7.3478807948841102E-14</v>
      </c>
      <c r="J836">
        <f>IFERROR(Table4[[#This Row],[energy_kwh]]/Table4[[#This Row],[expected_kwh]],0)</f>
        <v>0.70150771735436102</v>
      </c>
      <c r="K836" t="str">
        <f>IF(Table4[[#This Row],[Performance_Ratio]] &lt; 0.85, "Underperforming", "Performing")</f>
        <v>Underperforming</v>
      </c>
      <c r="L836">
        <f>Table4[[#This Row],[energy_kwh]] - Table4[[#This Row],[expected_kwh]]</f>
        <v>-2.19328571107301E-14</v>
      </c>
      <c r="M836" t="str">
        <f>IF(Table4[[#This Row],[Performance_Deviation]] &lt; 0, "Underperforming", "Outperforming")</f>
        <v>Underperforming</v>
      </c>
      <c r="N836">
        <f>IF(Table4[[#This Row],[Performance_Ratio]] &lt; 0.85, Table4[[#This Row],[Performance_Deviation]] * 50 / 1000, 0)</f>
        <v>-1.096642855536505E-15</v>
      </c>
    </row>
    <row r="837" spans="1:14" x14ac:dyDescent="0.3">
      <c r="A837" s="6" t="s">
        <v>7</v>
      </c>
      <c r="B837" s="5">
        <v>45295.791666666664</v>
      </c>
      <c r="C837" s="6">
        <v>0</v>
      </c>
      <c r="D837" s="6">
        <v>0</v>
      </c>
      <c r="E837" s="6">
        <v>0</v>
      </c>
      <c r="F837" s="6">
        <v>54.049243339977401</v>
      </c>
      <c r="G837" s="6" t="str">
        <f t="shared" si="26"/>
        <v>OK</v>
      </c>
      <c r="H837" s="6" t="str">
        <f t="shared" si="27"/>
        <v>ZERO</v>
      </c>
      <c r="I837">
        <v>0</v>
      </c>
      <c r="J837">
        <f>IFERROR(Table4[[#This Row],[energy_kwh]]/Table4[[#This Row],[expected_kwh]],0)</f>
        <v>0</v>
      </c>
      <c r="K837" t="str">
        <f>IF(Table4[[#This Row],[Performance_Ratio]] &lt; 0.85, "Underperforming", "Performing")</f>
        <v>Underperforming</v>
      </c>
      <c r="L837">
        <f>Table4[[#This Row],[energy_kwh]] - Table4[[#This Row],[expected_kwh]]</f>
        <v>0</v>
      </c>
      <c r="M837" t="str">
        <f>IF(Table4[[#This Row],[Performance_Deviation]] &lt; 0, "Underperforming", "Outperforming")</f>
        <v>Outperforming</v>
      </c>
      <c r="N837">
        <f>IF(Table4[[#This Row],[Performance_Ratio]] &lt; 0.85, Table4[[#This Row],[Performance_Deviation]] * 50 / 1000, 0)</f>
        <v>0</v>
      </c>
    </row>
    <row r="838" spans="1:14" x14ac:dyDescent="0.3">
      <c r="A838" s="4" t="s">
        <v>7</v>
      </c>
      <c r="B838" s="3">
        <v>45295.833333333336</v>
      </c>
      <c r="C838" s="4">
        <v>0</v>
      </c>
      <c r="D838" s="4">
        <v>0</v>
      </c>
      <c r="E838" s="4">
        <v>0</v>
      </c>
      <c r="F838" s="4">
        <v>33.161872053601797</v>
      </c>
      <c r="G838" s="4" t="str">
        <f t="shared" si="26"/>
        <v>OK</v>
      </c>
      <c r="H838" s="4" t="str">
        <f t="shared" si="27"/>
        <v>ZERO</v>
      </c>
      <c r="I838">
        <v>0</v>
      </c>
      <c r="J838">
        <f>IFERROR(Table4[[#This Row],[energy_kwh]]/Table4[[#This Row],[expected_kwh]],0)</f>
        <v>0</v>
      </c>
      <c r="K838" t="str">
        <f>IF(Table4[[#This Row],[Performance_Ratio]] &lt; 0.85, "Underperforming", "Performing")</f>
        <v>Underperforming</v>
      </c>
      <c r="L838">
        <f>Table4[[#This Row],[energy_kwh]] - Table4[[#This Row],[expected_kwh]]</f>
        <v>0</v>
      </c>
      <c r="M838" t="str">
        <f>IF(Table4[[#This Row],[Performance_Deviation]] &lt; 0, "Underperforming", "Outperforming")</f>
        <v>Outperforming</v>
      </c>
      <c r="N838">
        <f>IF(Table4[[#This Row],[Performance_Ratio]] &lt; 0.85, Table4[[#This Row],[Performance_Deviation]] * 50 / 1000, 0)</f>
        <v>0</v>
      </c>
    </row>
    <row r="839" spans="1:14" x14ac:dyDescent="0.3">
      <c r="A839" s="6" t="s">
        <v>7</v>
      </c>
      <c r="B839" s="5">
        <v>45295.875</v>
      </c>
      <c r="C839" s="6">
        <v>0</v>
      </c>
      <c r="D839" s="6">
        <v>0</v>
      </c>
      <c r="E839" s="6">
        <v>0</v>
      </c>
      <c r="F839" s="6">
        <v>56.721834653768298</v>
      </c>
      <c r="G839" s="6" t="str">
        <f t="shared" si="26"/>
        <v>OK</v>
      </c>
      <c r="H839" s="6" t="str">
        <f t="shared" si="27"/>
        <v>ZERO</v>
      </c>
      <c r="I839">
        <v>0</v>
      </c>
      <c r="J839">
        <f>IFERROR(Table4[[#This Row],[energy_kwh]]/Table4[[#This Row],[expected_kwh]],0)</f>
        <v>0</v>
      </c>
      <c r="K839" t="str">
        <f>IF(Table4[[#This Row],[Performance_Ratio]] &lt; 0.85, "Underperforming", "Performing")</f>
        <v>Underperforming</v>
      </c>
      <c r="L839">
        <f>Table4[[#This Row],[energy_kwh]] - Table4[[#This Row],[expected_kwh]]</f>
        <v>0</v>
      </c>
      <c r="M839" t="str">
        <f>IF(Table4[[#This Row],[Performance_Deviation]] &lt; 0, "Underperforming", "Outperforming")</f>
        <v>Outperforming</v>
      </c>
      <c r="N839">
        <f>IF(Table4[[#This Row],[Performance_Ratio]] &lt; 0.85, Table4[[#This Row],[Performance_Deviation]] * 50 / 1000, 0)</f>
        <v>0</v>
      </c>
    </row>
    <row r="840" spans="1:14" x14ac:dyDescent="0.3">
      <c r="A840" s="4" t="s">
        <v>7</v>
      </c>
      <c r="B840" s="3">
        <v>45295.916666666664</v>
      </c>
      <c r="C840" s="4">
        <v>0</v>
      </c>
      <c r="D840" s="4">
        <v>0</v>
      </c>
      <c r="E840" s="4">
        <v>0</v>
      </c>
      <c r="F840" s="4">
        <v>69.625044472189103</v>
      </c>
      <c r="G840" s="4" t="str">
        <f t="shared" si="26"/>
        <v>OK</v>
      </c>
      <c r="H840" s="4" t="str">
        <f t="shared" si="27"/>
        <v>ZERO</v>
      </c>
      <c r="I840">
        <v>0</v>
      </c>
      <c r="J840">
        <f>IFERROR(Table4[[#This Row],[energy_kwh]]/Table4[[#This Row],[expected_kwh]],0)</f>
        <v>0</v>
      </c>
      <c r="K840" t="str">
        <f>IF(Table4[[#This Row],[Performance_Ratio]] &lt; 0.85, "Underperforming", "Performing")</f>
        <v>Underperforming</v>
      </c>
      <c r="L840">
        <f>Table4[[#This Row],[energy_kwh]] - Table4[[#This Row],[expected_kwh]]</f>
        <v>0</v>
      </c>
      <c r="M840" t="str">
        <f>IF(Table4[[#This Row],[Performance_Deviation]] &lt; 0, "Underperforming", "Outperforming")</f>
        <v>Outperforming</v>
      </c>
      <c r="N840">
        <f>IF(Table4[[#This Row],[Performance_Ratio]] &lt; 0.85, Table4[[#This Row],[Performance_Deviation]] * 50 / 1000, 0)</f>
        <v>0</v>
      </c>
    </row>
    <row r="841" spans="1:14" x14ac:dyDescent="0.3">
      <c r="A841" s="6" t="s">
        <v>7</v>
      </c>
      <c r="B841" s="5">
        <v>45295.958333333336</v>
      </c>
      <c r="C841" s="6">
        <v>0</v>
      </c>
      <c r="D841" s="6">
        <v>0</v>
      </c>
      <c r="E841" s="6">
        <v>0</v>
      </c>
      <c r="F841" s="6">
        <v>33.8952766537492</v>
      </c>
      <c r="G841" s="6" t="str">
        <f t="shared" si="26"/>
        <v>OK</v>
      </c>
      <c r="H841" s="6" t="str">
        <f t="shared" si="27"/>
        <v>ZERO</v>
      </c>
      <c r="I841">
        <v>0</v>
      </c>
      <c r="J841">
        <f>IFERROR(Table4[[#This Row],[energy_kwh]]/Table4[[#This Row],[expected_kwh]],0)</f>
        <v>0</v>
      </c>
      <c r="K841" t="str">
        <f>IF(Table4[[#This Row],[Performance_Ratio]] &lt; 0.85, "Underperforming", "Performing")</f>
        <v>Underperforming</v>
      </c>
      <c r="L841">
        <f>Table4[[#This Row],[energy_kwh]] - Table4[[#This Row],[expected_kwh]]</f>
        <v>0</v>
      </c>
      <c r="M841" t="str">
        <f>IF(Table4[[#This Row],[Performance_Deviation]] &lt; 0, "Underperforming", "Outperforming")</f>
        <v>Outperforming</v>
      </c>
      <c r="N841">
        <f>IF(Table4[[#This Row],[Performance_Ratio]] &lt; 0.85, Table4[[#This Row],[Performance_Deviation]] * 50 / 1000, 0)</f>
        <v>0</v>
      </c>
    </row>
    <row r="842" spans="1:14" x14ac:dyDescent="0.3">
      <c r="A842" s="4" t="s">
        <v>7</v>
      </c>
      <c r="B842" s="3">
        <v>45296</v>
      </c>
      <c r="C842" s="4">
        <v>0</v>
      </c>
      <c r="D842" s="4">
        <v>0</v>
      </c>
      <c r="E842" s="4">
        <v>0</v>
      </c>
      <c r="F842" s="4">
        <v>41.428067574566697</v>
      </c>
      <c r="G842" s="4" t="str">
        <f t="shared" si="26"/>
        <v>OK</v>
      </c>
      <c r="H842" s="4" t="str">
        <f t="shared" si="27"/>
        <v>ZERO</v>
      </c>
      <c r="I842">
        <v>0</v>
      </c>
      <c r="J842">
        <f>IFERROR(Table4[[#This Row],[energy_kwh]]/Table4[[#This Row],[expected_kwh]],0)</f>
        <v>0</v>
      </c>
      <c r="K842" t="str">
        <f>IF(Table4[[#This Row],[Performance_Ratio]] &lt; 0.85, "Underperforming", "Performing")</f>
        <v>Underperforming</v>
      </c>
      <c r="L842">
        <f>Table4[[#This Row],[energy_kwh]] - Table4[[#This Row],[expected_kwh]]</f>
        <v>0</v>
      </c>
      <c r="M842" t="str">
        <f>IF(Table4[[#This Row],[Performance_Deviation]] &lt; 0, "Underperforming", "Outperforming")</f>
        <v>Outperforming</v>
      </c>
      <c r="N842">
        <f>IF(Table4[[#This Row],[Performance_Ratio]] &lt; 0.85, Table4[[#This Row],[Performance_Deviation]] * 50 / 1000, 0)</f>
        <v>0</v>
      </c>
    </row>
    <row r="843" spans="1:14" x14ac:dyDescent="0.3">
      <c r="A843" s="6" t="s">
        <v>7</v>
      </c>
      <c r="B843" s="5">
        <v>45296.041666666664</v>
      </c>
      <c r="C843" s="6">
        <v>0</v>
      </c>
      <c r="D843" s="6">
        <v>0</v>
      </c>
      <c r="E843" s="6">
        <v>0</v>
      </c>
      <c r="F843" s="6">
        <v>62.844535245282302</v>
      </c>
      <c r="G843" s="6" t="str">
        <f t="shared" si="26"/>
        <v>OK</v>
      </c>
      <c r="H843" s="6" t="str">
        <f t="shared" si="27"/>
        <v>ZERO</v>
      </c>
      <c r="I843">
        <v>0</v>
      </c>
      <c r="J843">
        <f>IFERROR(Table4[[#This Row],[energy_kwh]]/Table4[[#This Row],[expected_kwh]],0)</f>
        <v>0</v>
      </c>
      <c r="K843" t="str">
        <f>IF(Table4[[#This Row],[Performance_Ratio]] &lt; 0.85, "Underperforming", "Performing")</f>
        <v>Underperforming</v>
      </c>
      <c r="L843">
        <f>Table4[[#This Row],[energy_kwh]] - Table4[[#This Row],[expected_kwh]]</f>
        <v>0</v>
      </c>
      <c r="M843" t="str">
        <f>IF(Table4[[#This Row],[Performance_Deviation]] &lt; 0, "Underperforming", "Outperforming")</f>
        <v>Outperforming</v>
      </c>
      <c r="N843">
        <f>IF(Table4[[#This Row],[Performance_Ratio]] &lt; 0.85, Table4[[#This Row],[Performance_Deviation]] * 50 / 1000, 0)</f>
        <v>0</v>
      </c>
    </row>
    <row r="844" spans="1:14" x14ac:dyDescent="0.3">
      <c r="A844" s="4" t="s">
        <v>7</v>
      </c>
      <c r="B844" s="3">
        <v>45296.083333333336</v>
      </c>
      <c r="C844" s="4">
        <v>0</v>
      </c>
      <c r="D844" s="4">
        <v>0</v>
      </c>
      <c r="E844" s="4">
        <v>0</v>
      </c>
      <c r="F844" s="4">
        <v>26.5262913727091</v>
      </c>
      <c r="G844" s="4" t="str">
        <f t="shared" si="26"/>
        <v>OK</v>
      </c>
      <c r="H844" s="4" t="str">
        <f t="shared" si="27"/>
        <v>ZERO</v>
      </c>
      <c r="I844">
        <v>0</v>
      </c>
      <c r="J844">
        <f>IFERROR(Table4[[#This Row],[energy_kwh]]/Table4[[#This Row],[expected_kwh]],0)</f>
        <v>0</v>
      </c>
      <c r="K844" t="str">
        <f>IF(Table4[[#This Row],[Performance_Ratio]] &lt; 0.85, "Underperforming", "Performing")</f>
        <v>Underperforming</v>
      </c>
      <c r="L844">
        <f>Table4[[#This Row],[energy_kwh]] - Table4[[#This Row],[expected_kwh]]</f>
        <v>0</v>
      </c>
      <c r="M844" t="str">
        <f>IF(Table4[[#This Row],[Performance_Deviation]] &lt; 0, "Underperforming", "Outperforming")</f>
        <v>Outperforming</v>
      </c>
      <c r="N844">
        <f>IF(Table4[[#This Row],[Performance_Ratio]] &lt; 0.85, Table4[[#This Row],[Performance_Deviation]] * 50 / 1000, 0)</f>
        <v>0</v>
      </c>
    </row>
    <row r="845" spans="1:14" x14ac:dyDescent="0.3">
      <c r="A845" s="6" t="s">
        <v>7</v>
      </c>
      <c r="B845" s="5">
        <v>45296.125</v>
      </c>
      <c r="C845" s="6">
        <v>0</v>
      </c>
      <c r="D845" s="6">
        <v>0</v>
      </c>
      <c r="E845" s="6">
        <v>0</v>
      </c>
      <c r="F845" s="6">
        <v>79.694479035762598</v>
      </c>
      <c r="G845" s="6" t="str">
        <f t="shared" si="26"/>
        <v>OK</v>
      </c>
      <c r="H845" s="6" t="str">
        <f t="shared" si="27"/>
        <v>ZERO</v>
      </c>
      <c r="I845">
        <v>0</v>
      </c>
      <c r="J845">
        <f>IFERROR(Table4[[#This Row],[energy_kwh]]/Table4[[#This Row],[expected_kwh]],0)</f>
        <v>0</v>
      </c>
      <c r="K845" t="str">
        <f>IF(Table4[[#This Row],[Performance_Ratio]] &lt; 0.85, "Underperforming", "Performing")</f>
        <v>Underperforming</v>
      </c>
      <c r="L845">
        <f>Table4[[#This Row],[energy_kwh]] - Table4[[#This Row],[expected_kwh]]</f>
        <v>0</v>
      </c>
      <c r="M845" t="str">
        <f>IF(Table4[[#This Row],[Performance_Deviation]] &lt; 0, "Underperforming", "Outperforming")</f>
        <v>Outperforming</v>
      </c>
      <c r="N845">
        <f>IF(Table4[[#This Row],[Performance_Ratio]] &lt; 0.85, Table4[[#This Row],[Performance_Deviation]] * 50 / 1000, 0)</f>
        <v>0</v>
      </c>
    </row>
    <row r="846" spans="1:14" x14ac:dyDescent="0.3">
      <c r="A846" s="4" t="s">
        <v>7</v>
      </c>
      <c r="B846" s="3">
        <v>45296.166666666664</v>
      </c>
      <c r="C846" s="4">
        <v>0</v>
      </c>
      <c r="D846" s="4">
        <v>0</v>
      </c>
      <c r="E846" s="4">
        <v>0</v>
      </c>
      <c r="F846" s="4">
        <v>85.555382997888799</v>
      </c>
      <c r="G846" s="4" t="str">
        <f t="shared" si="26"/>
        <v>OK</v>
      </c>
      <c r="H846" s="4" t="str">
        <f t="shared" si="27"/>
        <v>ZERO</v>
      </c>
      <c r="I846">
        <v>0</v>
      </c>
      <c r="J846">
        <f>IFERROR(Table4[[#This Row],[energy_kwh]]/Table4[[#This Row],[expected_kwh]],0)</f>
        <v>0</v>
      </c>
      <c r="K846" t="str">
        <f>IF(Table4[[#This Row],[Performance_Ratio]] &lt; 0.85, "Underperforming", "Performing")</f>
        <v>Underperforming</v>
      </c>
      <c r="L846">
        <f>Table4[[#This Row],[energy_kwh]] - Table4[[#This Row],[expected_kwh]]</f>
        <v>0</v>
      </c>
      <c r="M846" t="str">
        <f>IF(Table4[[#This Row],[Performance_Deviation]] &lt; 0, "Underperforming", "Outperforming")</f>
        <v>Outperforming</v>
      </c>
      <c r="N846">
        <f>IF(Table4[[#This Row],[Performance_Ratio]] &lt; 0.85, Table4[[#This Row],[Performance_Deviation]] * 50 / 1000, 0)</f>
        <v>0</v>
      </c>
    </row>
    <row r="847" spans="1:14" x14ac:dyDescent="0.3">
      <c r="A847" s="6" t="s">
        <v>7</v>
      </c>
      <c r="B847" s="5">
        <v>45296.208333333336</v>
      </c>
      <c r="C847" s="6">
        <v>0</v>
      </c>
      <c r="D847" s="6">
        <v>0</v>
      </c>
      <c r="E847" s="6">
        <v>0</v>
      </c>
      <c r="F847" s="6">
        <v>20.049004307097398</v>
      </c>
      <c r="G847" s="6" t="str">
        <f t="shared" si="26"/>
        <v>OK</v>
      </c>
      <c r="H847" s="6" t="str">
        <f t="shared" si="27"/>
        <v>ZERO</v>
      </c>
      <c r="I847">
        <v>0</v>
      </c>
      <c r="J847">
        <f>IFERROR(Table4[[#This Row],[energy_kwh]]/Table4[[#This Row],[expected_kwh]],0)</f>
        <v>0</v>
      </c>
      <c r="K847" t="str">
        <f>IF(Table4[[#This Row],[Performance_Ratio]] &lt; 0.85, "Underperforming", "Performing")</f>
        <v>Underperforming</v>
      </c>
      <c r="L847">
        <f>Table4[[#This Row],[energy_kwh]] - Table4[[#This Row],[expected_kwh]]</f>
        <v>0</v>
      </c>
      <c r="M847" t="str">
        <f>IF(Table4[[#This Row],[Performance_Deviation]] &lt; 0, "Underperforming", "Outperforming")</f>
        <v>Outperforming</v>
      </c>
      <c r="N847">
        <f>IF(Table4[[#This Row],[Performance_Ratio]] &lt; 0.85, Table4[[#This Row],[Performance_Deviation]] * 50 / 1000, 0)</f>
        <v>0</v>
      </c>
    </row>
    <row r="848" spans="1:14" x14ac:dyDescent="0.3">
      <c r="A848" s="4" t="s">
        <v>7</v>
      </c>
      <c r="B848" s="3">
        <v>45296.25</v>
      </c>
      <c r="C848" s="4">
        <v>0</v>
      </c>
      <c r="D848" s="4">
        <v>0</v>
      </c>
      <c r="E848" s="4">
        <v>0</v>
      </c>
      <c r="F848" s="4">
        <v>31.4036425568368</v>
      </c>
      <c r="G848" s="4" t="str">
        <f t="shared" si="26"/>
        <v>OK</v>
      </c>
      <c r="H848" s="4" t="str">
        <f t="shared" si="27"/>
        <v>ZERO</v>
      </c>
      <c r="I848">
        <v>0</v>
      </c>
      <c r="J848">
        <f>IFERROR(Table4[[#This Row],[energy_kwh]]/Table4[[#This Row],[expected_kwh]],0)</f>
        <v>0</v>
      </c>
      <c r="K848" t="str">
        <f>IF(Table4[[#This Row],[Performance_Ratio]] &lt; 0.85, "Underperforming", "Performing")</f>
        <v>Underperforming</v>
      </c>
      <c r="L848">
        <f>Table4[[#This Row],[energy_kwh]] - Table4[[#This Row],[expected_kwh]]</f>
        <v>0</v>
      </c>
      <c r="M848" t="str">
        <f>IF(Table4[[#This Row],[Performance_Deviation]] &lt; 0, "Underperforming", "Outperforming")</f>
        <v>Outperforming</v>
      </c>
      <c r="N848">
        <f>IF(Table4[[#This Row],[Performance_Ratio]] &lt; 0.85, Table4[[#This Row],[Performance_Deviation]] * 50 / 1000, 0)</f>
        <v>0</v>
      </c>
    </row>
    <row r="849" spans="1:14" x14ac:dyDescent="0.3">
      <c r="A849" s="6" t="s">
        <v>7</v>
      </c>
      <c r="B849" s="5">
        <v>45296.291666666664</v>
      </c>
      <c r="C849" s="6">
        <v>151.60561407985901</v>
      </c>
      <c r="D849" s="6">
        <v>148.27462228457901</v>
      </c>
      <c r="E849" s="6">
        <v>148.27462228457901</v>
      </c>
      <c r="F849" s="6">
        <v>27.0332394692762</v>
      </c>
      <c r="G849" s="6" t="str">
        <f t="shared" si="26"/>
        <v>OK</v>
      </c>
      <c r="H849" s="6" t="str">
        <f t="shared" si="27"/>
        <v>NON-ZERO</v>
      </c>
      <c r="I849">
        <v>155.291427061512</v>
      </c>
      <c r="J849">
        <f>IFERROR(Table4[[#This Row],[energy_kwh]]/Table4[[#This Row],[expected_kwh]],0)</f>
        <v>0.95481524698621267</v>
      </c>
      <c r="K849" t="str">
        <f>IF(Table4[[#This Row],[Performance_Ratio]] &lt; 0.85, "Underperforming", "Performing")</f>
        <v>Performing</v>
      </c>
      <c r="L849">
        <f>Table4[[#This Row],[energy_kwh]] - Table4[[#This Row],[expected_kwh]]</f>
        <v>-7.016804776932986</v>
      </c>
      <c r="M849" t="str">
        <f>IF(Table4[[#This Row],[Performance_Deviation]] &lt; 0, "Underperforming", "Outperforming")</f>
        <v>Underperforming</v>
      </c>
      <c r="N849">
        <f>IF(Table4[[#This Row],[Performance_Ratio]] &lt; 0.85, Table4[[#This Row],[Performance_Deviation]] * 50 / 1000, 0)</f>
        <v>0</v>
      </c>
    </row>
    <row r="850" spans="1:14" x14ac:dyDescent="0.3">
      <c r="A850" s="4" t="s">
        <v>7</v>
      </c>
      <c r="B850" s="3">
        <v>45296.333333333336</v>
      </c>
      <c r="C850" s="4">
        <v>302.41172637405799</v>
      </c>
      <c r="D850" s="4">
        <v>295.76730897921198</v>
      </c>
      <c r="E850" s="4">
        <v>295.76730897921198</v>
      </c>
      <c r="F850" s="4">
        <v>35.565570215427698</v>
      </c>
      <c r="G850" s="4" t="str">
        <f t="shared" si="26"/>
        <v>OK</v>
      </c>
      <c r="H850" s="4" t="str">
        <f t="shared" si="27"/>
        <v>NON-ZERO</v>
      </c>
      <c r="I850">
        <v>300</v>
      </c>
      <c r="J850">
        <f>IFERROR(Table4[[#This Row],[energy_kwh]]/Table4[[#This Row],[expected_kwh]],0)</f>
        <v>0.98589102993070654</v>
      </c>
      <c r="K850" t="str">
        <f>IF(Table4[[#This Row],[Performance_Ratio]] &lt; 0.85, "Underperforming", "Performing")</f>
        <v>Performing</v>
      </c>
      <c r="L850">
        <f>Table4[[#This Row],[energy_kwh]] - Table4[[#This Row],[expected_kwh]]</f>
        <v>-4.2326910207880246</v>
      </c>
      <c r="M850" t="str">
        <f>IF(Table4[[#This Row],[Performance_Deviation]] &lt; 0, "Underperforming", "Outperforming")</f>
        <v>Underperforming</v>
      </c>
      <c r="N850">
        <f>IF(Table4[[#This Row],[Performance_Ratio]] &lt; 0.85, Table4[[#This Row],[Performance_Deviation]] * 50 / 1000, 0)</f>
        <v>0</v>
      </c>
    </row>
    <row r="851" spans="1:14" x14ac:dyDescent="0.3">
      <c r="A851" s="6" t="s">
        <v>7</v>
      </c>
      <c r="B851" s="5">
        <v>45296.375</v>
      </c>
      <c r="C851" s="6">
        <v>402.239148246458</v>
      </c>
      <c r="D851" s="6">
        <v>393.40137986511297</v>
      </c>
      <c r="E851" s="6">
        <v>393.40137986511297</v>
      </c>
      <c r="F851" s="6">
        <v>55.105179067571697</v>
      </c>
      <c r="G851" s="6" t="str">
        <f t="shared" si="26"/>
        <v>OK</v>
      </c>
      <c r="H851" s="6" t="str">
        <f t="shared" si="27"/>
        <v>NON-ZERO</v>
      </c>
      <c r="I851">
        <v>424.26406871192802</v>
      </c>
      <c r="J851">
        <f>IFERROR(Table4[[#This Row],[energy_kwh]]/Table4[[#This Row],[expected_kwh]],0)</f>
        <v>0.92725594476922213</v>
      </c>
      <c r="K851" t="str">
        <f>IF(Table4[[#This Row],[Performance_Ratio]] &lt; 0.85, "Underperforming", "Performing")</f>
        <v>Performing</v>
      </c>
      <c r="L851">
        <f>Table4[[#This Row],[energy_kwh]] - Table4[[#This Row],[expected_kwh]]</f>
        <v>-30.862688846815047</v>
      </c>
      <c r="M851" t="str">
        <f>IF(Table4[[#This Row],[Performance_Deviation]] &lt; 0, "Underperforming", "Outperforming")</f>
        <v>Underperforming</v>
      </c>
      <c r="N851">
        <f>IF(Table4[[#This Row],[Performance_Ratio]] &lt; 0.85, Table4[[#This Row],[Performance_Deviation]] * 50 / 1000, 0)</f>
        <v>0</v>
      </c>
    </row>
    <row r="852" spans="1:14" x14ac:dyDescent="0.3">
      <c r="A852" s="4" t="s">
        <v>7</v>
      </c>
      <c r="B852" s="3">
        <v>45296.416666666664</v>
      </c>
      <c r="C852" s="4">
        <v>551.50473189906404</v>
      </c>
      <c r="D852" s="4">
        <v>539.38738553188898</v>
      </c>
      <c r="E852" s="4">
        <v>539.38738553188898</v>
      </c>
      <c r="F852" s="4">
        <v>52.248891059079398</v>
      </c>
      <c r="G852" s="4" t="str">
        <f t="shared" si="26"/>
        <v>OK</v>
      </c>
      <c r="H852" s="4" t="str">
        <f t="shared" si="27"/>
        <v>NON-ZERO</v>
      </c>
      <c r="I852">
        <v>519.61524227066297</v>
      </c>
      <c r="J852">
        <f>IFERROR(Table4[[#This Row],[energy_kwh]]/Table4[[#This Row],[expected_kwh]],0)</f>
        <v>1.038051507447749</v>
      </c>
      <c r="K852" t="str">
        <f>IF(Table4[[#This Row],[Performance_Ratio]] &lt; 0.85, "Underperforming", "Performing")</f>
        <v>Performing</v>
      </c>
      <c r="L852">
        <f>Table4[[#This Row],[energy_kwh]] - Table4[[#This Row],[expected_kwh]]</f>
        <v>19.772143261226006</v>
      </c>
      <c r="M852" t="str">
        <f>IF(Table4[[#This Row],[Performance_Deviation]] &lt; 0, "Underperforming", "Outperforming")</f>
        <v>Outperforming</v>
      </c>
      <c r="N852">
        <f>IF(Table4[[#This Row],[Performance_Ratio]] &lt; 0.85, Table4[[#This Row],[Performance_Deviation]] * 50 / 1000, 0)</f>
        <v>0</v>
      </c>
    </row>
    <row r="853" spans="1:14" x14ac:dyDescent="0.3">
      <c r="A853" s="6" t="s">
        <v>7</v>
      </c>
      <c r="B853" s="5">
        <v>45296.458333333336</v>
      </c>
      <c r="C853" s="6">
        <v>542.22991845556999</v>
      </c>
      <c r="D853" s="6">
        <v>530.31635298180402</v>
      </c>
      <c r="E853" s="6">
        <v>530.31635298180402</v>
      </c>
      <c r="F853" s="6">
        <v>77.708667056153502</v>
      </c>
      <c r="G853" s="6" t="str">
        <f t="shared" si="26"/>
        <v>OK</v>
      </c>
      <c r="H853" s="6" t="str">
        <f t="shared" si="27"/>
        <v>NON-ZERO</v>
      </c>
      <c r="I853">
        <v>579.55549577344095</v>
      </c>
      <c r="J853">
        <f>IFERROR(Table4[[#This Row],[energy_kwh]]/Table4[[#This Row],[expected_kwh]],0)</f>
        <v>0.91503981387334576</v>
      </c>
      <c r="K853" t="str">
        <f>IF(Table4[[#This Row],[Performance_Ratio]] &lt; 0.85, "Underperforming", "Performing")</f>
        <v>Performing</v>
      </c>
      <c r="L853">
        <f>Table4[[#This Row],[energy_kwh]] - Table4[[#This Row],[expected_kwh]]</f>
        <v>-49.239142791636937</v>
      </c>
      <c r="M853" t="str">
        <f>IF(Table4[[#This Row],[Performance_Deviation]] &lt; 0, "Underperforming", "Outperforming")</f>
        <v>Underperforming</v>
      </c>
      <c r="N853">
        <f>IF(Table4[[#This Row],[Performance_Ratio]] &lt; 0.85, Table4[[#This Row],[Performance_Deviation]] * 50 / 1000, 0)</f>
        <v>0</v>
      </c>
    </row>
    <row r="854" spans="1:14" x14ac:dyDescent="0.3">
      <c r="A854" s="4" t="s">
        <v>7</v>
      </c>
      <c r="B854" s="3">
        <v>45296.5</v>
      </c>
      <c r="C854" s="4">
        <v>619.20981709478303</v>
      </c>
      <c r="D854" s="4">
        <v>605.60489334035503</v>
      </c>
      <c r="E854" s="4">
        <v>605.60489334035503</v>
      </c>
      <c r="F854" s="4">
        <v>35.333627934820399</v>
      </c>
      <c r="G854" s="4" t="str">
        <f t="shared" si="26"/>
        <v>OK</v>
      </c>
      <c r="H854" s="4" t="str">
        <f t="shared" si="27"/>
        <v>NON-ZERO</v>
      </c>
      <c r="I854">
        <v>600</v>
      </c>
      <c r="J854">
        <f>IFERROR(Table4[[#This Row],[energy_kwh]]/Table4[[#This Row],[expected_kwh]],0)</f>
        <v>1.0093414889005918</v>
      </c>
      <c r="K854" t="str">
        <f>IF(Table4[[#This Row],[Performance_Ratio]] &lt; 0.85, "Underperforming", "Performing")</f>
        <v>Performing</v>
      </c>
      <c r="L854">
        <f>Table4[[#This Row],[energy_kwh]] - Table4[[#This Row],[expected_kwh]]</f>
        <v>5.6048933403550336</v>
      </c>
      <c r="M854" t="str">
        <f>IF(Table4[[#This Row],[Performance_Deviation]] &lt; 0, "Underperforming", "Outperforming")</f>
        <v>Outperforming</v>
      </c>
      <c r="N854">
        <f>IF(Table4[[#This Row],[Performance_Ratio]] &lt; 0.85, Table4[[#This Row],[Performance_Deviation]] * 50 / 1000, 0)</f>
        <v>0</v>
      </c>
    </row>
    <row r="855" spans="1:14" x14ac:dyDescent="0.3">
      <c r="A855" s="6" t="s">
        <v>7</v>
      </c>
      <c r="B855" s="5">
        <v>45296.541666666664</v>
      </c>
      <c r="C855" s="6">
        <v>535.75644882872803</v>
      </c>
      <c r="D855" s="6">
        <v>523.98511472511802</v>
      </c>
      <c r="E855" s="6">
        <v>523.98511472511802</v>
      </c>
      <c r="F855" s="6">
        <v>66.134685540589899</v>
      </c>
      <c r="G855" s="6" t="str">
        <f t="shared" si="26"/>
        <v>OK</v>
      </c>
      <c r="H855" s="6" t="str">
        <f t="shared" si="27"/>
        <v>NON-ZERO</v>
      </c>
      <c r="I855">
        <v>579.55549577344095</v>
      </c>
      <c r="J855">
        <f>IFERROR(Table4[[#This Row],[energy_kwh]]/Table4[[#This Row],[expected_kwh]],0)</f>
        <v>0.90411551360726561</v>
      </c>
      <c r="K855" t="str">
        <f>IF(Table4[[#This Row],[Performance_Ratio]] &lt; 0.85, "Underperforming", "Performing")</f>
        <v>Performing</v>
      </c>
      <c r="L855">
        <f>Table4[[#This Row],[energy_kwh]] - Table4[[#This Row],[expected_kwh]]</f>
        <v>-55.570381048322929</v>
      </c>
      <c r="M855" t="str">
        <f>IF(Table4[[#This Row],[Performance_Deviation]] &lt; 0, "Underperforming", "Outperforming")</f>
        <v>Underperforming</v>
      </c>
      <c r="N855">
        <f>IF(Table4[[#This Row],[Performance_Ratio]] &lt; 0.85, Table4[[#This Row],[Performance_Deviation]] * 50 / 1000, 0)</f>
        <v>0</v>
      </c>
    </row>
    <row r="856" spans="1:14" x14ac:dyDescent="0.3">
      <c r="A856" s="4" t="s">
        <v>7</v>
      </c>
      <c r="B856" s="3">
        <v>45296.583333333336</v>
      </c>
      <c r="C856" s="4">
        <v>494.40851492083101</v>
      </c>
      <c r="D856" s="4">
        <v>483.54565395942598</v>
      </c>
      <c r="E856" s="4">
        <v>483.54565395942598</v>
      </c>
      <c r="F856" s="4">
        <v>22.618366449216701</v>
      </c>
      <c r="G856" s="4" t="str">
        <f t="shared" si="26"/>
        <v>OK</v>
      </c>
      <c r="H856" s="4" t="str">
        <f t="shared" si="27"/>
        <v>NON-ZERO</v>
      </c>
      <c r="I856">
        <v>519.61524227066297</v>
      </c>
      <c r="J856">
        <f>IFERROR(Table4[[#This Row],[energy_kwh]]/Table4[[#This Row],[expected_kwh]],0)</f>
        <v>0.93058404492982782</v>
      </c>
      <c r="K856" t="str">
        <f>IF(Table4[[#This Row],[Performance_Ratio]] &lt; 0.85, "Underperforming", "Performing")</f>
        <v>Performing</v>
      </c>
      <c r="L856">
        <f>Table4[[#This Row],[energy_kwh]] - Table4[[#This Row],[expected_kwh]]</f>
        <v>-36.069588311236998</v>
      </c>
      <c r="M856" t="str">
        <f>IF(Table4[[#This Row],[Performance_Deviation]] &lt; 0, "Underperforming", "Outperforming")</f>
        <v>Underperforming</v>
      </c>
      <c r="N856">
        <f>IF(Table4[[#This Row],[Performance_Ratio]] &lt; 0.85, Table4[[#This Row],[Performance_Deviation]] * 50 / 1000, 0)</f>
        <v>0</v>
      </c>
    </row>
    <row r="857" spans="1:14" x14ac:dyDescent="0.3">
      <c r="A857" s="6" t="s">
        <v>7</v>
      </c>
      <c r="B857" s="5">
        <v>45296.625</v>
      </c>
      <c r="C857" s="6">
        <v>429.38547278695103</v>
      </c>
      <c r="D857" s="6">
        <v>419.95126089745997</v>
      </c>
      <c r="E857" s="6">
        <v>419.95126089745997</v>
      </c>
      <c r="F857" s="6">
        <v>82.938529623522399</v>
      </c>
      <c r="G857" s="6" t="str">
        <f t="shared" si="26"/>
        <v>OK</v>
      </c>
      <c r="H857" s="6" t="str">
        <f t="shared" si="27"/>
        <v>NON-ZERO</v>
      </c>
      <c r="I857">
        <v>424.26406871192802</v>
      </c>
      <c r="J857">
        <f>IFERROR(Table4[[#This Row],[energy_kwh]]/Table4[[#This Row],[expected_kwh]],0)</f>
        <v>0.98983461449478438</v>
      </c>
      <c r="K857" t="str">
        <f>IF(Table4[[#This Row],[Performance_Ratio]] &lt; 0.85, "Underperforming", "Performing")</f>
        <v>Performing</v>
      </c>
      <c r="L857">
        <f>Table4[[#This Row],[energy_kwh]] - Table4[[#This Row],[expected_kwh]]</f>
        <v>-4.3128078144680444</v>
      </c>
      <c r="M857" t="str">
        <f>IF(Table4[[#This Row],[Performance_Deviation]] &lt; 0, "Underperforming", "Outperforming")</f>
        <v>Underperforming</v>
      </c>
      <c r="N857">
        <f>IF(Table4[[#This Row],[Performance_Ratio]] &lt; 0.85, Table4[[#This Row],[Performance_Deviation]] * 50 / 1000, 0)</f>
        <v>0</v>
      </c>
    </row>
    <row r="858" spans="1:14" x14ac:dyDescent="0.3">
      <c r="A858" s="4" t="s">
        <v>7</v>
      </c>
      <c r="B858" s="3">
        <v>45296.666666666664</v>
      </c>
      <c r="C858" s="4">
        <v>252.38422687925399</v>
      </c>
      <c r="D858" s="4">
        <v>246.83898507475101</v>
      </c>
      <c r="E858" s="4">
        <v>246.83898507475101</v>
      </c>
      <c r="F858" s="4">
        <v>28.3694749967935</v>
      </c>
      <c r="G858" s="4" t="str">
        <f t="shared" si="26"/>
        <v>OK</v>
      </c>
      <c r="H858" s="4" t="str">
        <f t="shared" si="27"/>
        <v>NON-ZERO</v>
      </c>
      <c r="I858">
        <v>300</v>
      </c>
      <c r="J858">
        <f>IFERROR(Table4[[#This Row],[energy_kwh]]/Table4[[#This Row],[expected_kwh]],0)</f>
        <v>0.82279661691583672</v>
      </c>
      <c r="K858" t="str">
        <f>IF(Table4[[#This Row],[Performance_Ratio]] &lt; 0.85, "Underperforming", "Performing")</f>
        <v>Underperforming</v>
      </c>
      <c r="L858">
        <f>Table4[[#This Row],[energy_kwh]] - Table4[[#This Row],[expected_kwh]]</f>
        <v>-53.161014925248992</v>
      </c>
      <c r="M858" t="str">
        <f>IF(Table4[[#This Row],[Performance_Deviation]] &lt; 0, "Underperforming", "Outperforming")</f>
        <v>Underperforming</v>
      </c>
      <c r="N858">
        <f>IF(Table4[[#This Row],[Performance_Ratio]] &lt; 0.85, Table4[[#This Row],[Performance_Deviation]] * 50 / 1000, 0)</f>
        <v>-2.6580507462624494</v>
      </c>
    </row>
    <row r="859" spans="1:14" x14ac:dyDescent="0.3">
      <c r="A859" s="6" t="s">
        <v>7</v>
      </c>
      <c r="B859" s="5">
        <v>45296.708333333336</v>
      </c>
      <c r="C859" s="6">
        <v>144.24945879988601</v>
      </c>
      <c r="D859" s="6">
        <v>141.08009223881001</v>
      </c>
      <c r="E859" s="6">
        <v>141.08009223881001</v>
      </c>
      <c r="F859" s="6">
        <v>33.012203776626599</v>
      </c>
      <c r="G859" s="6" t="str">
        <f t="shared" si="26"/>
        <v>OK</v>
      </c>
      <c r="H859" s="6" t="str">
        <f t="shared" si="27"/>
        <v>NON-ZERO</v>
      </c>
      <c r="I859">
        <v>155.291427061512</v>
      </c>
      <c r="J859">
        <f>IFERROR(Table4[[#This Row],[energy_kwh]]/Table4[[#This Row],[expected_kwh]],0)</f>
        <v>0.90848603112473958</v>
      </c>
      <c r="K859" t="str">
        <f>IF(Table4[[#This Row],[Performance_Ratio]] &lt; 0.85, "Underperforming", "Performing")</f>
        <v>Performing</v>
      </c>
      <c r="L859">
        <f>Table4[[#This Row],[energy_kwh]] - Table4[[#This Row],[expected_kwh]]</f>
        <v>-14.211334822701986</v>
      </c>
      <c r="M859" t="str">
        <f>IF(Table4[[#This Row],[Performance_Deviation]] &lt; 0, "Underperforming", "Outperforming")</f>
        <v>Underperforming</v>
      </c>
      <c r="N859">
        <f>IF(Table4[[#This Row],[Performance_Ratio]] &lt; 0.85, Table4[[#This Row],[Performance_Deviation]] * 50 / 1000, 0)</f>
        <v>0</v>
      </c>
    </row>
    <row r="860" spans="1:14" x14ac:dyDescent="0.3">
      <c r="A860" s="4" t="s">
        <v>7</v>
      </c>
      <c r="B860" s="3">
        <v>45296.75</v>
      </c>
      <c r="C860" s="7">
        <v>7.6086313388242598E-14</v>
      </c>
      <c r="D860" s="7">
        <v>7.4414588451355706E-14</v>
      </c>
      <c r="E860" s="7">
        <v>7.4414588451355706E-14</v>
      </c>
      <c r="F860" s="4">
        <v>29.4114722599363</v>
      </c>
      <c r="G860" s="4" t="str">
        <f t="shared" si="26"/>
        <v>OK</v>
      </c>
      <c r="H860" s="4" t="str">
        <f t="shared" si="27"/>
        <v>NON-ZERO</v>
      </c>
      <c r="I860" s="2">
        <v>7.3478807948841102E-14</v>
      </c>
      <c r="J860">
        <f>IFERROR(Table4[[#This Row],[energy_kwh]]/Table4[[#This Row],[expected_kwh]],0)</f>
        <v>1.0127353794738496</v>
      </c>
      <c r="K860" t="str">
        <f>IF(Table4[[#This Row],[Performance_Ratio]] &lt; 0.85, "Underperforming", "Performing")</f>
        <v>Performing</v>
      </c>
      <c r="L860">
        <f>Table4[[#This Row],[energy_kwh]] - Table4[[#This Row],[expected_kwh]]</f>
        <v>9.3578050251460408E-16</v>
      </c>
      <c r="M860" t="str">
        <f>IF(Table4[[#This Row],[Performance_Deviation]] &lt; 0, "Underperforming", "Outperforming")</f>
        <v>Outperforming</v>
      </c>
      <c r="N860">
        <f>IF(Table4[[#This Row],[Performance_Ratio]] &lt; 0.85, Table4[[#This Row],[Performance_Deviation]] * 50 / 1000, 0)</f>
        <v>0</v>
      </c>
    </row>
    <row r="861" spans="1:14" x14ac:dyDescent="0.3">
      <c r="A861" s="6" t="s">
        <v>7</v>
      </c>
      <c r="B861" s="5">
        <v>45296.791666666664</v>
      </c>
      <c r="C861" s="6">
        <v>0</v>
      </c>
      <c r="D861" s="6">
        <v>0</v>
      </c>
      <c r="E861" s="6">
        <v>0</v>
      </c>
      <c r="F861" s="6">
        <v>70.804484741665405</v>
      </c>
      <c r="G861" s="6" t="str">
        <f t="shared" si="26"/>
        <v>OK</v>
      </c>
      <c r="H861" s="6" t="str">
        <f t="shared" si="27"/>
        <v>ZERO</v>
      </c>
      <c r="I861">
        <v>0</v>
      </c>
      <c r="J861">
        <f>IFERROR(Table4[[#This Row],[energy_kwh]]/Table4[[#This Row],[expected_kwh]],0)</f>
        <v>0</v>
      </c>
      <c r="K861" t="str">
        <f>IF(Table4[[#This Row],[Performance_Ratio]] &lt; 0.85, "Underperforming", "Performing")</f>
        <v>Underperforming</v>
      </c>
      <c r="L861">
        <f>Table4[[#This Row],[energy_kwh]] - Table4[[#This Row],[expected_kwh]]</f>
        <v>0</v>
      </c>
      <c r="M861" t="str">
        <f>IF(Table4[[#This Row],[Performance_Deviation]] &lt; 0, "Underperforming", "Outperforming")</f>
        <v>Outperforming</v>
      </c>
      <c r="N861">
        <f>IF(Table4[[#This Row],[Performance_Ratio]] &lt; 0.85, Table4[[#This Row],[Performance_Deviation]] * 50 / 1000, 0)</f>
        <v>0</v>
      </c>
    </row>
    <row r="862" spans="1:14" x14ac:dyDescent="0.3">
      <c r="A862" s="4" t="s">
        <v>7</v>
      </c>
      <c r="B862" s="3">
        <v>45296.833333333336</v>
      </c>
      <c r="C862" s="4">
        <v>0</v>
      </c>
      <c r="D862" s="4">
        <v>0</v>
      </c>
      <c r="E862" s="4">
        <v>0</v>
      </c>
      <c r="F862" s="4">
        <v>21.436661416343899</v>
      </c>
      <c r="G862" s="4" t="str">
        <f t="shared" si="26"/>
        <v>OK</v>
      </c>
      <c r="H862" s="4" t="str">
        <f t="shared" si="27"/>
        <v>ZERO</v>
      </c>
      <c r="I862">
        <v>0</v>
      </c>
      <c r="J862">
        <f>IFERROR(Table4[[#This Row],[energy_kwh]]/Table4[[#This Row],[expected_kwh]],0)</f>
        <v>0</v>
      </c>
      <c r="K862" t="str">
        <f>IF(Table4[[#This Row],[Performance_Ratio]] &lt; 0.85, "Underperforming", "Performing")</f>
        <v>Underperforming</v>
      </c>
      <c r="L862">
        <f>Table4[[#This Row],[energy_kwh]] - Table4[[#This Row],[expected_kwh]]</f>
        <v>0</v>
      </c>
      <c r="M862" t="str">
        <f>IF(Table4[[#This Row],[Performance_Deviation]] &lt; 0, "Underperforming", "Outperforming")</f>
        <v>Outperforming</v>
      </c>
      <c r="N862">
        <f>IF(Table4[[#This Row],[Performance_Ratio]] &lt; 0.85, Table4[[#This Row],[Performance_Deviation]] * 50 / 1000, 0)</f>
        <v>0</v>
      </c>
    </row>
    <row r="863" spans="1:14" x14ac:dyDescent="0.3">
      <c r="A863" s="6" t="s">
        <v>7</v>
      </c>
      <c r="B863" s="5">
        <v>45296.875</v>
      </c>
      <c r="C863" s="6">
        <v>0</v>
      </c>
      <c r="D863" s="6">
        <v>0</v>
      </c>
      <c r="E863" s="6">
        <v>0</v>
      </c>
      <c r="F863" s="6">
        <v>78.143303887621101</v>
      </c>
      <c r="G863" s="6" t="str">
        <f t="shared" si="26"/>
        <v>OK</v>
      </c>
      <c r="H863" s="6" t="str">
        <f t="shared" si="27"/>
        <v>ZERO</v>
      </c>
      <c r="I863">
        <v>0</v>
      </c>
      <c r="J863">
        <f>IFERROR(Table4[[#This Row],[energy_kwh]]/Table4[[#This Row],[expected_kwh]],0)</f>
        <v>0</v>
      </c>
      <c r="K863" t="str">
        <f>IF(Table4[[#This Row],[Performance_Ratio]] &lt; 0.85, "Underperforming", "Performing")</f>
        <v>Underperforming</v>
      </c>
      <c r="L863">
        <f>Table4[[#This Row],[energy_kwh]] - Table4[[#This Row],[expected_kwh]]</f>
        <v>0</v>
      </c>
      <c r="M863" t="str">
        <f>IF(Table4[[#This Row],[Performance_Deviation]] &lt; 0, "Underperforming", "Outperforming")</f>
        <v>Outperforming</v>
      </c>
      <c r="N863">
        <f>IF(Table4[[#This Row],[Performance_Ratio]] &lt; 0.85, Table4[[#This Row],[Performance_Deviation]] * 50 / 1000, 0)</f>
        <v>0</v>
      </c>
    </row>
    <row r="864" spans="1:14" x14ac:dyDescent="0.3">
      <c r="A864" s="4" t="s">
        <v>7</v>
      </c>
      <c r="B864" s="3">
        <v>45296.916666666664</v>
      </c>
      <c r="C864" s="4">
        <v>0</v>
      </c>
      <c r="D864" s="4">
        <v>0</v>
      </c>
      <c r="E864" s="4">
        <v>0</v>
      </c>
      <c r="F864" s="4">
        <v>70.090093002561005</v>
      </c>
      <c r="G864" s="4" t="str">
        <f t="shared" si="26"/>
        <v>OK</v>
      </c>
      <c r="H864" s="4" t="str">
        <f t="shared" si="27"/>
        <v>ZERO</v>
      </c>
      <c r="I864">
        <v>0</v>
      </c>
      <c r="J864">
        <f>IFERROR(Table4[[#This Row],[energy_kwh]]/Table4[[#This Row],[expected_kwh]],0)</f>
        <v>0</v>
      </c>
      <c r="K864" t="str">
        <f>IF(Table4[[#This Row],[Performance_Ratio]] &lt; 0.85, "Underperforming", "Performing")</f>
        <v>Underperforming</v>
      </c>
      <c r="L864">
        <f>Table4[[#This Row],[energy_kwh]] - Table4[[#This Row],[expected_kwh]]</f>
        <v>0</v>
      </c>
      <c r="M864" t="str">
        <f>IF(Table4[[#This Row],[Performance_Deviation]] &lt; 0, "Underperforming", "Outperforming")</f>
        <v>Outperforming</v>
      </c>
      <c r="N864">
        <f>IF(Table4[[#This Row],[Performance_Ratio]] &lt; 0.85, Table4[[#This Row],[Performance_Deviation]] * 50 / 1000, 0)</f>
        <v>0</v>
      </c>
    </row>
    <row r="865" spans="1:14" x14ac:dyDescent="0.3">
      <c r="A865" s="6" t="s">
        <v>7</v>
      </c>
      <c r="B865" s="5">
        <v>45296.958333333336</v>
      </c>
      <c r="C865" s="6">
        <v>0</v>
      </c>
      <c r="D865" s="6">
        <v>0</v>
      </c>
      <c r="E865" s="6">
        <v>0</v>
      </c>
      <c r="F865" s="6">
        <v>65.859770841924501</v>
      </c>
      <c r="G865" s="6" t="str">
        <f t="shared" si="26"/>
        <v>OK</v>
      </c>
      <c r="H865" s="6" t="str">
        <f t="shared" si="27"/>
        <v>ZERO</v>
      </c>
      <c r="I865">
        <v>0</v>
      </c>
      <c r="J865">
        <f>IFERROR(Table4[[#This Row],[energy_kwh]]/Table4[[#This Row],[expected_kwh]],0)</f>
        <v>0</v>
      </c>
      <c r="K865" t="str">
        <f>IF(Table4[[#This Row],[Performance_Ratio]] &lt; 0.85, "Underperforming", "Performing")</f>
        <v>Underperforming</v>
      </c>
      <c r="L865">
        <f>Table4[[#This Row],[energy_kwh]] - Table4[[#This Row],[expected_kwh]]</f>
        <v>0</v>
      </c>
      <c r="M865" t="str">
        <f>IF(Table4[[#This Row],[Performance_Deviation]] &lt; 0, "Underperforming", "Outperforming")</f>
        <v>Outperforming</v>
      </c>
      <c r="N865">
        <f>IF(Table4[[#This Row],[Performance_Ratio]] &lt; 0.85, Table4[[#This Row],[Performance_Deviation]] * 50 / 1000, 0)</f>
        <v>0</v>
      </c>
    </row>
    <row r="866" spans="1:14" x14ac:dyDescent="0.3">
      <c r="A866" s="4" t="s">
        <v>7</v>
      </c>
      <c r="B866" s="3">
        <v>45297</v>
      </c>
      <c r="C866" s="4">
        <v>0</v>
      </c>
      <c r="D866" s="4">
        <v>0</v>
      </c>
      <c r="E866" s="4">
        <v>0</v>
      </c>
      <c r="F866" s="4">
        <v>86.364133827200305</v>
      </c>
      <c r="G866" s="4" t="str">
        <f t="shared" si="26"/>
        <v>OK</v>
      </c>
      <c r="H866" s="4" t="str">
        <f t="shared" si="27"/>
        <v>ZERO</v>
      </c>
      <c r="I866">
        <v>0</v>
      </c>
      <c r="J866">
        <f>IFERROR(Table4[[#This Row],[energy_kwh]]/Table4[[#This Row],[expected_kwh]],0)</f>
        <v>0</v>
      </c>
      <c r="K866" t="str">
        <f>IF(Table4[[#This Row],[Performance_Ratio]] &lt; 0.85, "Underperforming", "Performing")</f>
        <v>Underperforming</v>
      </c>
      <c r="L866">
        <f>Table4[[#This Row],[energy_kwh]] - Table4[[#This Row],[expected_kwh]]</f>
        <v>0</v>
      </c>
      <c r="M866" t="str">
        <f>IF(Table4[[#This Row],[Performance_Deviation]] &lt; 0, "Underperforming", "Outperforming")</f>
        <v>Outperforming</v>
      </c>
      <c r="N866">
        <f>IF(Table4[[#This Row],[Performance_Ratio]] &lt; 0.85, Table4[[#This Row],[Performance_Deviation]] * 50 / 1000, 0)</f>
        <v>0</v>
      </c>
    </row>
    <row r="867" spans="1:14" x14ac:dyDescent="0.3">
      <c r="A867" s="6" t="s">
        <v>7</v>
      </c>
      <c r="B867" s="5">
        <v>45297.041666666664</v>
      </c>
      <c r="C867" s="6">
        <v>0</v>
      </c>
      <c r="D867" s="6">
        <v>0</v>
      </c>
      <c r="E867" s="6">
        <v>0</v>
      </c>
      <c r="F867" s="6">
        <v>41.121203157922302</v>
      </c>
      <c r="G867" s="6" t="str">
        <f t="shared" si="26"/>
        <v>OK</v>
      </c>
      <c r="H867" s="6" t="str">
        <f t="shared" si="27"/>
        <v>ZERO</v>
      </c>
      <c r="I867">
        <v>0</v>
      </c>
      <c r="J867">
        <f>IFERROR(Table4[[#This Row],[energy_kwh]]/Table4[[#This Row],[expected_kwh]],0)</f>
        <v>0</v>
      </c>
      <c r="K867" t="str">
        <f>IF(Table4[[#This Row],[Performance_Ratio]] &lt; 0.85, "Underperforming", "Performing")</f>
        <v>Underperforming</v>
      </c>
      <c r="L867">
        <f>Table4[[#This Row],[energy_kwh]] - Table4[[#This Row],[expected_kwh]]</f>
        <v>0</v>
      </c>
      <c r="M867" t="str">
        <f>IF(Table4[[#This Row],[Performance_Deviation]] &lt; 0, "Underperforming", "Outperforming")</f>
        <v>Outperforming</v>
      </c>
      <c r="N867">
        <f>IF(Table4[[#This Row],[Performance_Ratio]] &lt; 0.85, Table4[[#This Row],[Performance_Deviation]] * 50 / 1000, 0)</f>
        <v>0</v>
      </c>
    </row>
    <row r="868" spans="1:14" x14ac:dyDescent="0.3">
      <c r="A868" s="4" t="s">
        <v>7</v>
      </c>
      <c r="B868" s="3">
        <v>45297.083333333336</v>
      </c>
      <c r="C868" s="4">
        <v>0</v>
      </c>
      <c r="D868" s="4">
        <v>0</v>
      </c>
      <c r="E868" s="4">
        <v>0</v>
      </c>
      <c r="F868" s="4">
        <v>43.3909576822793</v>
      </c>
      <c r="G868" s="4" t="str">
        <f t="shared" si="26"/>
        <v>OK</v>
      </c>
      <c r="H868" s="4" t="str">
        <f t="shared" si="27"/>
        <v>ZERO</v>
      </c>
      <c r="I868">
        <v>0</v>
      </c>
      <c r="J868">
        <f>IFERROR(Table4[[#This Row],[energy_kwh]]/Table4[[#This Row],[expected_kwh]],0)</f>
        <v>0</v>
      </c>
      <c r="K868" t="str">
        <f>IF(Table4[[#This Row],[Performance_Ratio]] &lt; 0.85, "Underperforming", "Performing")</f>
        <v>Underperforming</v>
      </c>
      <c r="L868">
        <f>Table4[[#This Row],[energy_kwh]] - Table4[[#This Row],[expected_kwh]]</f>
        <v>0</v>
      </c>
      <c r="M868" t="str">
        <f>IF(Table4[[#This Row],[Performance_Deviation]] &lt; 0, "Underperforming", "Outperforming")</f>
        <v>Outperforming</v>
      </c>
      <c r="N868">
        <f>IF(Table4[[#This Row],[Performance_Ratio]] &lt; 0.85, Table4[[#This Row],[Performance_Deviation]] * 50 / 1000, 0)</f>
        <v>0</v>
      </c>
    </row>
    <row r="869" spans="1:14" x14ac:dyDescent="0.3">
      <c r="A869" s="6" t="s">
        <v>7</v>
      </c>
      <c r="B869" s="5">
        <v>45297.125</v>
      </c>
      <c r="C869" s="6">
        <v>0</v>
      </c>
      <c r="D869" s="6">
        <v>0</v>
      </c>
      <c r="E869" s="6">
        <v>0</v>
      </c>
      <c r="F869" s="6">
        <v>53.209860240780301</v>
      </c>
      <c r="G869" s="6" t="str">
        <f t="shared" si="26"/>
        <v>OK</v>
      </c>
      <c r="H869" s="6" t="str">
        <f t="shared" si="27"/>
        <v>ZERO</v>
      </c>
      <c r="I869">
        <v>0</v>
      </c>
      <c r="J869">
        <f>IFERROR(Table4[[#This Row],[energy_kwh]]/Table4[[#This Row],[expected_kwh]],0)</f>
        <v>0</v>
      </c>
      <c r="K869" t="str">
        <f>IF(Table4[[#This Row],[Performance_Ratio]] &lt; 0.85, "Underperforming", "Performing")</f>
        <v>Underperforming</v>
      </c>
      <c r="L869">
        <f>Table4[[#This Row],[energy_kwh]] - Table4[[#This Row],[expected_kwh]]</f>
        <v>0</v>
      </c>
      <c r="M869" t="str">
        <f>IF(Table4[[#This Row],[Performance_Deviation]] &lt; 0, "Underperforming", "Outperforming")</f>
        <v>Outperforming</v>
      </c>
      <c r="N869">
        <f>IF(Table4[[#This Row],[Performance_Ratio]] &lt; 0.85, Table4[[#This Row],[Performance_Deviation]] * 50 / 1000, 0)</f>
        <v>0</v>
      </c>
    </row>
    <row r="870" spans="1:14" x14ac:dyDescent="0.3">
      <c r="A870" s="4" t="s">
        <v>7</v>
      </c>
      <c r="B870" s="3">
        <v>45297.166666666664</v>
      </c>
      <c r="C870" s="4">
        <v>0</v>
      </c>
      <c r="D870" s="4">
        <v>0</v>
      </c>
      <c r="E870" s="4">
        <v>0</v>
      </c>
      <c r="F870" s="4">
        <v>33.929980400388899</v>
      </c>
      <c r="G870" s="4" t="str">
        <f t="shared" si="26"/>
        <v>OK</v>
      </c>
      <c r="H870" s="4" t="str">
        <f t="shared" si="27"/>
        <v>ZERO</v>
      </c>
      <c r="I870">
        <v>0</v>
      </c>
      <c r="J870">
        <f>IFERROR(Table4[[#This Row],[energy_kwh]]/Table4[[#This Row],[expected_kwh]],0)</f>
        <v>0</v>
      </c>
      <c r="K870" t="str">
        <f>IF(Table4[[#This Row],[Performance_Ratio]] &lt; 0.85, "Underperforming", "Performing")</f>
        <v>Underperforming</v>
      </c>
      <c r="L870">
        <f>Table4[[#This Row],[energy_kwh]] - Table4[[#This Row],[expected_kwh]]</f>
        <v>0</v>
      </c>
      <c r="M870" t="str">
        <f>IF(Table4[[#This Row],[Performance_Deviation]] &lt; 0, "Underperforming", "Outperforming")</f>
        <v>Outperforming</v>
      </c>
      <c r="N870">
        <f>IF(Table4[[#This Row],[Performance_Ratio]] &lt; 0.85, Table4[[#This Row],[Performance_Deviation]] * 50 / 1000, 0)</f>
        <v>0</v>
      </c>
    </row>
    <row r="871" spans="1:14" x14ac:dyDescent="0.3">
      <c r="A871" s="6" t="s">
        <v>7</v>
      </c>
      <c r="B871" s="5">
        <v>45297.208333333336</v>
      </c>
      <c r="C871" s="6">
        <v>0</v>
      </c>
      <c r="D871" s="6">
        <v>0</v>
      </c>
      <c r="E871" s="6">
        <v>0</v>
      </c>
      <c r="F871" s="6">
        <v>24.635634551691599</v>
      </c>
      <c r="G871" s="6" t="str">
        <f t="shared" si="26"/>
        <v>OK</v>
      </c>
      <c r="H871" s="6" t="str">
        <f t="shared" si="27"/>
        <v>ZERO</v>
      </c>
      <c r="I871">
        <v>0</v>
      </c>
      <c r="J871">
        <f>IFERROR(Table4[[#This Row],[energy_kwh]]/Table4[[#This Row],[expected_kwh]],0)</f>
        <v>0</v>
      </c>
      <c r="K871" t="str">
        <f>IF(Table4[[#This Row],[Performance_Ratio]] &lt; 0.85, "Underperforming", "Performing")</f>
        <v>Underperforming</v>
      </c>
      <c r="L871">
        <f>Table4[[#This Row],[energy_kwh]] - Table4[[#This Row],[expected_kwh]]</f>
        <v>0</v>
      </c>
      <c r="M871" t="str">
        <f>IF(Table4[[#This Row],[Performance_Deviation]] &lt; 0, "Underperforming", "Outperforming")</f>
        <v>Outperforming</v>
      </c>
      <c r="N871">
        <f>IF(Table4[[#This Row],[Performance_Ratio]] &lt; 0.85, Table4[[#This Row],[Performance_Deviation]] * 50 / 1000, 0)</f>
        <v>0</v>
      </c>
    </row>
    <row r="872" spans="1:14" x14ac:dyDescent="0.3">
      <c r="A872" s="4" t="s">
        <v>7</v>
      </c>
      <c r="B872" s="3">
        <v>45297.25</v>
      </c>
      <c r="C872" s="4">
        <v>0</v>
      </c>
      <c r="D872" s="4">
        <v>0</v>
      </c>
      <c r="E872" s="4">
        <v>0</v>
      </c>
      <c r="F872" s="4">
        <v>57.613847026262398</v>
      </c>
      <c r="G872" s="4" t="str">
        <f t="shared" si="26"/>
        <v>OK</v>
      </c>
      <c r="H872" s="4" t="str">
        <f t="shared" si="27"/>
        <v>ZERO</v>
      </c>
      <c r="I872">
        <v>0</v>
      </c>
      <c r="J872">
        <f>IFERROR(Table4[[#This Row],[energy_kwh]]/Table4[[#This Row],[expected_kwh]],0)</f>
        <v>0</v>
      </c>
      <c r="K872" t="str">
        <f>IF(Table4[[#This Row],[Performance_Ratio]] &lt; 0.85, "Underperforming", "Performing")</f>
        <v>Underperforming</v>
      </c>
      <c r="L872">
        <f>Table4[[#This Row],[energy_kwh]] - Table4[[#This Row],[expected_kwh]]</f>
        <v>0</v>
      </c>
      <c r="M872" t="str">
        <f>IF(Table4[[#This Row],[Performance_Deviation]] &lt; 0, "Underperforming", "Outperforming")</f>
        <v>Outperforming</v>
      </c>
      <c r="N872">
        <f>IF(Table4[[#This Row],[Performance_Ratio]] &lt; 0.85, Table4[[#This Row],[Performance_Deviation]] * 50 / 1000, 0)</f>
        <v>0</v>
      </c>
    </row>
    <row r="873" spans="1:14" x14ac:dyDescent="0.3">
      <c r="A873" s="6" t="s">
        <v>7</v>
      </c>
      <c r="B873" s="5">
        <v>45297.291666666664</v>
      </c>
      <c r="C873" s="6">
        <v>150.770494405812</v>
      </c>
      <c r="D873" s="6">
        <v>147.457851382108</v>
      </c>
      <c r="E873" s="6">
        <v>147.457851382108</v>
      </c>
      <c r="F873" s="6">
        <v>69.643522447775794</v>
      </c>
      <c r="G873" s="6" t="str">
        <f t="shared" si="26"/>
        <v>OK</v>
      </c>
      <c r="H873" s="6" t="str">
        <f t="shared" si="27"/>
        <v>NON-ZERO</v>
      </c>
      <c r="I873">
        <v>155.291427061512</v>
      </c>
      <c r="J873">
        <f>IFERROR(Table4[[#This Row],[energy_kwh]]/Table4[[#This Row],[expected_kwh]],0)</f>
        <v>0.94955564626049149</v>
      </c>
      <c r="K873" t="str">
        <f>IF(Table4[[#This Row],[Performance_Ratio]] &lt; 0.85, "Underperforming", "Performing")</f>
        <v>Performing</v>
      </c>
      <c r="L873">
        <f>Table4[[#This Row],[energy_kwh]] - Table4[[#This Row],[expected_kwh]]</f>
        <v>-7.8335756794039924</v>
      </c>
      <c r="M873" t="str">
        <f>IF(Table4[[#This Row],[Performance_Deviation]] &lt; 0, "Underperforming", "Outperforming")</f>
        <v>Underperforming</v>
      </c>
      <c r="N873">
        <f>IF(Table4[[#This Row],[Performance_Ratio]] &lt; 0.85, Table4[[#This Row],[Performance_Deviation]] * 50 / 1000, 0)</f>
        <v>0</v>
      </c>
    </row>
    <row r="874" spans="1:14" x14ac:dyDescent="0.3">
      <c r="A874" s="4" t="s">
        <v>7</v>
      </c>
      <c r="B874" s="3">
        <v>45297.333333333336</v>
      </c>
      <c r="C874" s="4">
        <v>302.31972913801798</v>
      </c>
      <c r="D874" s="4">
        <v>295.67733305379602</v>
      </c>
      <c r="E874" s="4">
        <v>295.67733305379602</v>
      </c>
      <c r="F874" s="4">
        <v>81.305588547958195</v>
      </c>
      <c r="G874" s="4" t="str">
        <f t="shared" si="26"/>
        <v>OK</v>
      </c>
      <c r="H874" s="4" t="str">
        <f t="shared" si="27"/>
        <v>NON-ZERO</v>
      </c>
      <c r="I874">
        <v>300</v>
      </c>
      <c r="J874">
        <f>IFERROR(Table4[[#This Row],[energy_kwh]]/Table4[[#This Row],[expected_kwh]],0)</f>
        <v>0.98559111017932011</v>
      </c>
      <c r="K874" t="str">
        <f>IF(Table4[[#This Row],[Performance_Ratio]] &lt; 0.85, "Underperforming", "Performing")</f>
        <v>Performing</v>
      </c>
      <c r="L874">
        <f>Table4[[#This Row],[energy_kwh]] - Table4[[#This Row],[expected_kwh]]</f>
        <v>-4.3226669462039808</v>
      </c>
      <c r="M874" t="str">
        <f>IF(Table4[[#This Row],[Performance_Deviation]] &lt; 0, "Underperforming", "Outperforming")</f>
        <v>Underperforming</v>
      </c>
      <c r="N874">
        <f>IF(Table4[[#This Row],[Performance_Ratio]] &lt; 0.85, Table4[[#This Row],[Performance_Deviation]] * 50 / 1000, 0)</f>
        <v>0</v>
      </c>
    </row>
    <row r="875" spans="1:14" x14ac:dyDescent="0.3">
      <c r="A875" s="6" t="s">
        <v>7</v>
      </c>
      <c r="B875" s="5">
        <v>45297.375</v>
      </c>
      <c r="C875" s="6">
        <v>427.28503227938</v>
      </c>
      <c r="D875" s="6">
        <v>417.896970066731</v>
      </c>
      <c r="E875" s="6">
        <v>417.896970066731</v>
      </c>
      <c r="F875" s="6">
        <v>20.515847166473598</v>
      </c>
      <c r="G875" s="6" t="str">
        <f t="shared" si="26"/>
        <v>OK</v>
      </c>
      <c r="H875" s="6" t="str">
        <f t="shared" si="27"/>
        <v>NON-ZERO</v>
      </c>
      <c r="I875">
        <v>424.26406871192802</v>
      </c>
      <c r="J875">
        <f>IFERROR(Table4[[#This Row],[energy_kwh]]/Table4[[#This Row],[expected_kwh]],0)</f>
        <v>0.98499260457165838</v>
      </c>
      <c r="K875" t="str">
        <f>IF(Table4[[#This Row],[Performance_Ratio]] &lt; 0.85, "Underperforming", "Performing")</f>
        <v>Performing</v>
      </c>
      <c r="L875">
        <f>Table4[[#This Row],[energy_kwh]] - Table4[[#This Row],[expected_kwh]]</f>
        <v>-6.367098645197018</v>
      </c>
      <c r="M875" t="str">
        <f>IF(Table4[[#This Row],[Performance_Deviation]] &lt; 0, "Underperforming", "Outperforming")</f>
        <v>Underperforming</v>
      </c>
      <c r="N875">
        <f>IF(Table4[[#This Row],[Performance_Ratio]] &lt; 0.85, Table4[[#This Row],[Performance_Deviation]] * 50 / 1000, 0)</f>
        <v>0</v>
      </c>
    </row>
    <row r="876" spans="1:14" x14ac:dyDescent="0.3">
      <c r="A876" s="4" t="s">
        <v>7</v>
      </c>
      <c r="B876" s="3">
        <v>45297.416666666664</v>
      </c>
      <c r="C876" s="4">
        <v>516.74760109380395</v>
      </c>
      <c r="D876" s="4">
        <v>505.39391851469099</v>
      </c>
      <c r="E876" s="4">
        <v>505.39391851469099</v>
      </c>
      <c r="F876" s="4">
        <v>86.344016617221001</v>
      </c>
      <c r="G876" s="4" t="str">
        <f t="shared" si="26"/>
        <v>OK</v>
      </c>
      <c r="H876" s="4" t="str">
        <f t="shared" si="27"/>
        <v>NON-ZERO</v>
      </c>
      <c r="I876">
        <v>519.61524227066297</v>
      </c>
      <c r="J876">
        <f>IFERROR(Table4[[#This Row],[energy_kwh]]/Table4[[#This Row],[expected_kwh]],0)</f>
        <v>0.9726310496708559</v>
      </c>
      <c r="K876" t="str">
        <f>IF(Table4[[#This Row],[Performance_Ratio]] &lt; 0.85, "Underperforming", "Performing")</f>
        <v>Performing</v>
      </c>
      <c r="L876">
        <f>Table4[[#This Row],[energy_kwh]] - Table4[[#This Row],[expected_kwh]]</f>
        <v>-14.22132375597198</v>
      </c>
      <c r="M876" t="str">
        <f>IF(Table4[[#This Row],[Performance_Deviation]] &lt; 0, "Underperforming", "Outperforming")</f>
        <v>Underperforming</v>
      </c>
      <c r="N876">
        <f>IF(Table4[[#This Row],[Performance_Ratio]] &lt; 0.85, Table4[[#This Row],[Performance_Deviation]] * 50 / 1000, 0)</f>
        <v>0</v>
      </c>
    </row>
    <row r="877" spans="1:14" x14ac:dyDescent="0.3">
      <c r="A877" s="6" t="s">
        <v>7</v>
      </c>
      <c r="B877" s="5">
        <v>45297.458333333336</v>
      </c>
      <c r="C877" s="6">
        <v>505.24531193719201</v>
      </c>
      <c r="D877" s="6">
        <v>494.14435107316899</v>
      </c>
      <c r="E877" s="6">
        <v>494.14435107316899</v>
      </c>
      <c r="F877" s="6">
        <v>43.540855738627002</v>
      </c>
      <c r="G877" s="6" t="str">
        <f t="shared" si="26"/>
        <v>OK</v>
      </c>
      <c r="H877" s="6" t="str">
        <f t="shared" si="27"/>
        <v>NON-ZERO</v>
      </c>
      <c r="I877">
        <v>579.55549577344095</v>
      </c>
      <c r="J877">
        <f>IFERROR(Table4[[#This Row],[energy_kwh]]/Table4[[#This Row],[expected_kwh]],0)</f>
        <v>0.85262646058374925</v>
      </c>
      <c r="K877" t="str">
        <f>IF(Table4[[#This Row],[Performance_Ratio]] &lt; 0.85, "Underperforming", "Performing")</f>
        <v>Performing</v>
      </c>
      <c r="L877">
        <f>Table4[[#This Row],[energy_kwh]] - Table4[[#This Row],[expected_kwh]]</f>
        <v>-85.411144700271961</v>
      </c>
      <c r="M877" t="str">
        <f>IF(Table4[[#This Row],[Performance_Deviation]] &lt; 0, "Underperforming", "Outperforming")</f>
        <v>Underperforming</v>
      </c>
      <c r="N877">
        <f>IF(Table4[[#This Row],[Performance_Ratio]] &lt; 0.85, Table4[[#This Row],[Performance_Deviation]] * 50 / 1000, 0)</f>
        <v>0</v>
      </c>
    </row>
    <row r="878" spans="1:14" x14ac:dyDescent="0.3">
      <c r="A878" s="4" t="s">
        <v>7</v>
      </c>
      <c r="B878" s="3">
        <v>45297.5</v>
      </c>
      <c r="C878" s="4">
        <v>523.61472634451297</v>
      </c>
      <c r="D878" s="4">
        <v>512.11016321914803</v>
      </c>
      <c r="E878" s="4">
        <v>512.11016321914803</v>
      </c>
      <c r="F878" s="4">
        <v>45.6580715647695</v>
      </c>
      <c r="G878" s="4" t="str">
        <f t="shared" si="26"/>
        <v>OK</v>
      </c>
      <c r="H878" s="4" t="str">
        <f t="shared" si="27"/>
        <v>NON-ZERO</v>
      </c>
      <c r="I878">
        <v>600</v>
      </c>
      <c r="J878">
        <f>IFERROR(Table4[[#This Row],[energy_kwh]]/Table4[[#This Row],[expected_kwh]],0)</f>
        <v>0.85351693869858003</v>
      </c>
      <c r="K878" t="str">
        <f>IF(Table4[[#This Row],[Performance_Ratio]] &lt; 0.85, "Underperforming", "Performing")</f>
        <v>Performing</v>
      </c>
      <c r="L878">
        <f>Table4[[#This Row],[energy_kwh]] - Table4[[#This Row],[expected_kwh]]</f>
        <v>-87.889836780851965</v>
      </c>
      <c r="M878" t="str">
        <f>IF(Table4[[#This Row],[Performance_Deviation]] &lt; 0, "Underperforming", "Outperforming")</f>
        <v>Underperforming</v>
      </c>
      <c r="N878">
        <f>IF(Table4[[#This Row],[Performance_Ratio]] &lt; 0.85, Table4[[#This Row],[Performance_Deviation]] * 50 / 1000, 0)</f>
        <v>0</v>
      </c>
    </row>
    <row r="879" spans="1:14" x14ac:dyDescent="0.3">
      <c r="A879" s="6" t="s">
        <v>7</v>
      </c>
      <c r="B879" s="5">
        <v>45297.541666666664</v>
      </c>
      <c r="C879" s="6">
        <v>588.06217198911099</v>
      </c>
      <c r="D879" s="6">
        <v>575.14160646850598</v>
      </c>
      <c r="E879" s="6">
        <v>575.14160646850598</v>
      </c>
      <c r="F879" s="6">
        <v>28.9918320104534</v>
      </c>
      <c r="G879" s="6" t="str">
        <f t="shared" si="26"/>
        <v>OK</v>
      </c>
      <c r="H879" s="6" t="str">
        <f t="shared" si="27"/>
        <v>NON-ZERO</v>
      </c>
      <c r="I879">
        <v>579.55549577344095</v>
      </c>
      <c r="J879">
        <f>IFERROR(Table4[[#This Row],[energy_kwh]]/Table4[[#This Row],[expected_kwh]],0)</f>
        <v>0.9923840092327233</v>
      </c>
      <c r="K879" t="str">
        <f>IF(Table4[[#This Row],[Performance_Ratio]] &lt; 0.85, "Underperforming", "Performing")</f>
        <v>Performing</v>
      </c>
      <c r="L879">
        <f>Table4[[#This Row],[energy_kwh]] - Table4[[#This Row],[expected_kwh]]</f>
        <v>-4.413889304934969</v>
      </c>
      <c r="M879" t="str">
        <f>IF(Table4[[#This Row],[Performance_Deviation]] &lt; 0, "Underperforming", "Outperforming")</f>
        <v>Underperforming</v>
      </c>
      <c r="N879">
        <f>IF(Table4[[#This Row],[Performance_Ratio]] &lt; 0.85, Table4[[#This Row],[Performance_Deviation]] * 50 / 1000, 0)</f>
        <v>0</v>
      </c>
    </row>
    <row r="880" spans="1:14" x14ac:dyDescent="0.3">
      <c r="A880" s="4" t="s">
        <v>7</v>
      </c>
      <c r="B880" s="3">
        <v>45297.583333333336</v>
      </c>
      <c r="C880" s="4">
        <v>501.97533830531597</v>
      </c>
      <c r="D880" s="4">
        <v>490.94622343066902</v>
      </c>
      <c r="E880" s="4">
        <v>490.94622343066902</v>
      </c>
      <c r="F880" s="4">
        <v>42.495655233276601</v>
      </c>
      <c r="G880" s="4" t="str">
        <f t="shared" si="26"/>
        <v>OK</v>
      </c>
      <c r="H880" s="4" t="str">
        <f t="shared" si="27"/>
        <v>NON-ZERO</v>
      </c>
      <c r="I880">
        <v>519.61524227066297</v>
      </c>
      <c r="J880">
        <f>IFERROR(Table4[[#This Row],[energy_kwh]]/Table4[[#This Row],[expected_kwh]],0)</f>
        <v>0.9448264475177568</v>
      </c>
      <c r="K880" t="str">
        <f>IF(Table4[[#This Row],[Performance_Ratio]] &lt; 0.85, "Underperforming", "Performing")</f>
        <v>Performing</v>
      </c>
      <c r="L880">
        <f>Table4[[#This Row],[energy_kwh]] - Table4[[#This Row],[expected_kwh]]</f>
        <v>-28.669018839993953</v>
      </c>
      <c r="M880" t="str">
        <f>IF(Table4[[#This Row],[Performance_Deviation]] &lt; 0, "Underperforming", "Outperforming")</f>
        <v>Underperforming</v>
      </c>
      <c r="N880">
        <f>IF(Table4[[#This Row],[Performance_Ratio]] &lt; 0.85, Table4[[#This Row],[Performance_Deviation]] * 50 / 1000, 0)</f>
        <v>0</v>
      </c>
    </row>
    <row r="881" spans="1:14" x14ac:dyDescent="0.3">
      <c r="A881" s="6" t="s">
        <v>7</v>
      </c>
      <c r="B881" s="5">
        <v>45297.625</v>
      </c>
      <c r="C881" s="6">
        <v>453.91450133036301</v>
      </c>
      <c r="D881" s="6">
        <v>443.94135166260901</v>
      </c>
      <c r="E881" s="6">
        <v>443.94135166260901</v>
      </c>
      <c r="F881" s="6">
        <v>32.330414680915901</v>
      </c>
      <c r="G881" s="6" t="str">
        <f t="shared" si="26"/>
        <v>OK</v>
      </c>
      <c r="H881" s="6" t="str">
        <f t="shared" si="27"/>
        <v>NON-ZERO</v>
      </c>
      <c r="I881">
        <v>424.26406871192802</v>
      </c>
      <c r="J881">
        <f>IFERROR(Table4[[#This Row],[energy_kwh]]/Table4[[#This Row],[expected_kwh]],0)</f>
        <v>1.0463798006991767</v>
      </c>
      <c r="K881" t="str">
        <f>IF(Table4[[#This Row],[Performance_Ratio]] &lt; 0.85, "Underperforming", "Performing")</f>
        <v>Performing</v>
      </c>
      <c r="L881">
        <f>Table4[[#This Row],[energy_kwh]] - Table4[[#This Row],[expected_kwh]]</f>
        <v>19.67728295068099</v>
      </c>
      <c r="M881" t="str">
        <f>IF(Table4[[#This Row],[Performance_Deviation]] &lt; 0, "Underperforming", "Outperforming")</f>
        <v>Outperforming</v>
      </c>
      <c r="N881">
        <f>IF(Table4[[#This Row],[Performance_Ratio]] &lt; 0.85, Table4[[#This Row],[Performance_Deviation]] * 50 / 1000, 0)</f>
        <v>0</v>
      </c>
    </row>
    <row r="882" spans="1:14" x14ac:dyDescent="0.3">
      <c r="A882" s="4" t="s">
        <v>7</v>
      </c>
      <c r="B882" s="3">
        <v>45297.666666666664</v>
      </c>
      <c r="C882" s="4">
        <v>287.579712209344</v>
      </c>
      <c r="D882" s="4">
        <v>281.26117534201001</v>
      </c>
      <c r="E882" s="4">
        <v>281.26117534201001</v>
      </c>
      <c r="F882" s="4">
        <v>74.975008041696697</v>
      </c>
      <c r="G882" s="4" t="str">
        <f t="shared" si="26"/>
        <v>OK</v>
      </c>
      <c r="H882" s="4" t="str">
        <f t="shared" si="27"/>
        <v>NON-ZERO</v>
      </c>
      <c r="I882">
        <v>300</v>
      </c>
      <c r="J882">
        <f>IFERROR(Table4[[#This Row],[energy_kwh]]/Table4[[#This Row],[expected_kwh]],0)</f>
        <v>0.93753725114003339</v>
      </c>
      <c r="K882" t="str">
        <f>IF(Table4[[#This Row],[Performance_Ratio]] &lt; 0.85, "Underperforming", "Performing")</f>
        <v>Performing</v>
      </c>
      <c r="L882">
        <f>Table4[[#This Row],[energy_kwh]] - Table4[[#This Row],[expected_kwh]]</f>
        <v>-18.738824657989994</v>
      </c>
      <c r="M882" t="str">
        <f>IF(Table4[[#This Row],[Performance_Deviation]] &lt; 0, "Underperforming", "Outperforming")</f>
        <v>Underperforming</v>
      </c>
      <c r="N882">
        <f>IF(Table4[[#This Row],[Performance_Ratio]] &lt; 0.85, Table4[[#This Row],[Performance_Deviation]] * 50 / 1000, 0)</f>
        <v>0</v>
      </c>
    </row>
    <row r="883" spans="1:14" x14ac:dyDescent="0.3">
      <c r="A883" s="6" t="s">
        <v>7</v>
      </c>
      <c r="B883" s="5">
        <v>45297.708333333336</v>
      </c>
      <c r="C883" s="6">
        <v>136.56227465676201</v>
      </c>
      <c r="D883" s="6">
        <v>133.56180650663899</v>
      </c>
      <c r="E883" s="6">
        <v>133.56180650663899</v>
      </c>
      <c r="F883" s="6">
        <v>81.573576297435494</v>
      </c>
      <c r="G883" s="6" t="str">
        <f t="shared" si="26"/>
        <v>OK</v>
      </c>
      <c r="H883" s="6" t="str">
        <f t="shared" si="27"/>
        <v>NON-ZERO</v>
      </c>
      <c r="I883">
        <v>155.291427061512</v>
      </c>
      <c r="J883">
        <f>IFERROR(Table4[[#This Row],[energy_kwh]]/Table4[[#This Row],[expected_kwh]],0)</f>
        <v>0.860071988737242</v>
      </c>
      <c r="K883" t="str">
        <f>IF(Table4[[#This Row],[Performance_Ratio]] &lt; 0.85, "Underperforming", "Performing")</f>
        <v>Performing</v>
      </c>
      <c r="L883">
        <f>Table4[[#This Row],[energy_kwh]] - Table4[[#This Row],[expected_kwh]]</f>
        <v>-21.729620554873009</v>
      </c>
      <c r="M883" t="str">
        <f>IF(Table4[[#This Row],[Performance_Deviation]] &lt; 0, "Underperforming", "Outperforming")</f>
        <v>Underperforming</v>
      </c>
      <c r="N883">
        <f>IF(Table4[[#This Row],[Performance_Ratio]] &lt; 0.85, Table4[[#This Row],[Performance_Deviation]] * 50 / 1000, 0)</f>
        <v>0</v>
      </c>
    </row>
    <row r="884" spans="1:14" x14ac:dyDescent="0.3">
      <c r="A884" s="4" t="s">
        <v>7</v>
      </c>
      <c r="B884" s="3">
        <v>45297.75</v>
      </c>
      <c r="C884" s="7">
        <v>7.9625994002605701E-14</v>
      </c>
      <c r="D884" s="7">
        <v>7.7876497228864905E-14</v>
      </c>
      <c r="E884" s="7">
        <v>7.7876497228864905E-14</v>
      </c>
      <c r="F884" s="4">
        <v>44.509602939333298</v>
      </c>
      <c r="G884" s="4" t="str">
        <f t="shared" si="26"/>
        <v>OK</v>
      </c>
      <c r="H884" s="4" t="str">
        <f t="shared" si="27"/>
        <v>NON-ZERO</v>
      </c>
      <c r="I884" s="2">
        <v>7.3478807948841102E-14</v>
      </c>
      <c r="J884">
        <f>IFERROR(Table4[[#This Row],[energy_kwh]]/Table4[[#This Row],[expected_kwh]],0)</f>
        <v>1.0598497635275419</v>
      </c>
      <c r="K884" t="str">
        <f>IF(Table4[[#This Row],[Performance_Ratio]] &lt; 0.85, "Underperforming", "Performing")</f>
        <v>Performing</v>
      </c>
      <c r="L884">
        <f>Table4[[#This Row],[energy_kwh]] - Table4[[#This Row],[expected_kwh]]</f>
        <v>4.3976892800238031E-15</v>
      </c>
      <c r="M884" t="str">
        <f>IF(Table4[[#This Row],[Performance_Deviation]] &lt; 0, "Underperforming", "Outperforming")</f>
        <v>Outperforming</v>
      </c>
      <c r="N884">
        <f>IF(Table4[[#This Row],[Performance_Ratio]] &lt; 0.85, Table4[[#This Row],[Performance_Deviation]] * 50 / 1000, 0)</f>
        <v>0</v>
      </c>
    </row>
    <row r="885" spans="1:14" x14ac:dyDescent="0.3">
      <c r="A885" s="6" t="s">
        <v>7</v>
      </c>
      <c r="B885" s="5">
        <v>45297.791666666664</v>
      </c>
      <c r="C885" s="6">
        <v>0</v>
      </c>
      <c r="D885" s="6">
        <v>0</v>
      </c>
      <c r="E885" s="6">
        <v>0</v>
      </c>
      <c r="F885" s="6">
        <v>80.0735525302523</v>
      </c>
      <c r="G885" s="6" t="str">
        <f t="shared" si="26"/>
        <v>OK</v>
      </c>
      <c r="H885" s="6" t="str">
        <f t="shared" si="27"/>
        <v>ZERO</v>
      </c>
      <c r="I885">
        <v>0</v>
      </c>
      <c r="J885">
        <f>IFERROR(Table4[[#This Row],[energy_kwh]]/Table4[[#This Row],[expected_kwh]],0)</f>
        <v>0</v>
      </c>
      <c r="K885" t="str">
        <f>IF(Table4[[#This Row],[Performance_Ratio]] &lt; 0.85, "Underperforming", "Performing")</f>
        <v>Underperforming</v>
      </c>
      <c r="L885">
        <f>Table4[[#This Row],[energy_kwh]] - Table4[[#This Row],[expected_kwh]]</f>
        <v>0</v>
      </c>
      <c r="M885" t="str">
        <f>IF(Table4[[#This Row],[Performance_Deviation]] &lt; 0, "Underperforming", "Outperforming")</f>
        <v>Outperforming</v>
      </c>
      <c r="N885">
        <f>IF(Table4[[#This Row],[Performance_Ratio]] &lt; 0.85, Table4[[#This Row],[Performance_Deviation]] * 50 / 1000, 0)</f>
        <v>0</v>
      </c>
    </row>
    <row r="886" spans="1:14" x14ac:dyDescent="0.3">
      <c r="A886" s="4" t="s">
        <v>7</v>
      </c>
      <c r="B886" s="3">
        <v>45297.833333333336</v>
      </c>
      <c r="C886" s="4">
        <v>0</v>
      </c>
      <c r="D886" s="4">
        <v>0</v>
      </c>
      <c r="E886" s="4">
        <v>0</v>
      </c>
      <c r="F886" s="4">
        <v>93.542617029554194</v>
      </c>
      <c r="G886" s="4" t="str">
        <f t="shared" si="26"/>
        <v>OK</v>
      </c>
      <c r="H886" s="4" t="str">
        <f t="shared" si="27"/>
        <v>ZERO</v>
      </c>
      <c r="I886">
        <v>0</v>
      </c>
      <c r="J886">
        <f>IFERROR(Table4[[#This Row],[energy_kwh]]/Table4[[#This Row],[expected_kwh]],0)</f>
        <v>0</v>
      </c>
      <c r="K886" t="str">
        <f>IF(Table4[[#This Row],[Performance_Ratio]] &lt; 0.85, "Underperforming", "Performing")</f>
        <v>Underperforming</v>
      </c>
      <c r="L886">
        <f>Table4[[#This Row],[energy_kwh]] - Table4[[#This Row],[expected_kwh]]</f>
        <v>0</v>
      </c>
      <c r="M886" t="str">
        <f>IF(Table4[[#This Row],[Performance_Deviation]] &lt; 0, "Underperforming", "Outperforming")</f>
        <v>Outperforming</v>
      </c>
      <c r="N886">
        <f>IF(Table4[[#This Row],[Performance_Ratio]] &lt; 0.85, Table4[[#This Row],[Performance_Deviation]] * 50 / 1000, 0)</f>
        <v>0</v>
      </c>
    </row>
    <row r="887" spans="1:14" x14ac:dyDescent="0.3">
      <c r="A887" s="6" t="s">
        <v>7</v>
      </c>
      <c r="B887" s="5">
        <v>45297.875</v>
      </c>
      <c r="C887" s="6">
        <v>0</v>
      </c>
      <c r="D887" s="6">
        <v>0</v>
      </c>
      <c r="E887" s="6">
        <v>0</v>
      </c>
      <c r="F887" s="6">
        <v>64.613553462643196</v>
      </c>
      <c r="G887" s="6" t="str">
        <f t="shared" si="26"/>
        <v>OK</v>
      </c>
      <c r="H887" s="6" t="str">
        <f t="shared" si="27"/>
        <v>ZERO</v>
      </c>
      <c r="I887">
        <v>0</v>
      </c>
      <c r="J887">
        <f>IFERROR(Table4[[#This Row],[energy_kwh]]/Table4[[#This Row],[expected_kwh]],0)</f>
        <v>0</v>
      </c>
      <c r="K887" t="str">
        <f>IF(Table4[[#This Row],[Performance_Ratio]] &lt; 0.85, "Underperforming", "Performing")</f>
        <v>Underperforming</v>
      </c>
      <c r="L887">
        <f>Table4[[#This Row],[energy_kwh]] - Table4[[#This Row],[expected_kwh]]</f>
        <v>0</v>
      </c>
      <c r="M887" t="str">
        <f>IF(Table4[[#This Row],[Performance_Deviation]] &lt; 0, "Underperforming", "Outperforming")</f>
        <v>Outperforming</v>
      </c>
      <c r="N887">
        <f>IF(Table4[[#This Row],[Performance_Ratio]] &lt; 0.85, Table4[[#This Row],[Performance_Deviation]] * 50 / 1000, 0)</f>
        <v>0</v>
      </c>
    </row>
    <row r="888" spans="1:14" x14ac:dyDescent="0.3">
      <c r="A888" s="4" t="s">
        <v>7</v>
      </c>
      <c r="B888" s="3">
        <v>45297.916666666664</v>
      </c>
      <c r="C888" s="4">
        <v>0</v>
      </c>
      <c r="D888" s="4">
        <v>0</v>
      </c>
      <c r="E888" s="4">
        <v>0</v>
      </c>
      <c r="F888" s="4">
        <v>62.598072298706001</v>
      </c>
      <c r="G888" s="4" t="str">
        <f t="shared" si="26"/>
        <v>OK</v>
      </c>
      <c r="H888" s="4" t="str">
        <f t="shared" si="27"/>
        <v>ZERO</v>
      </c>
      <c r="I888">
        <v>0</v>
      </c>
      <c r="J888">
        <f>IFERROR(Table4[[#This Row],[energy_kwh]]/Table4[[#This Row],[expected_kwh]],0)</f>
        <v>0</v>
      </c>
      <c r="K888" t="str">
        <f>IF(Table4[[#This Row],[Performance_Ratio]] &lt; 0.85, "Underperforming", "Performing")</f>
        <v>Underperforming</v>
      </c>
      <c r="L888">
        <f>Table4[[#This Row],[energy_kwh]] - Table4[[#This Row],[expected_kwh]]</f>
        <v>0</v>
      </c>
      <c r="M888" t="str">
        <f>IF(Table4[[#This Row],[Performance_Deviation]] &lt; 0, "Underperforming", "Outperforming")</f>
        <v>Outperforming</v>
      </c>
      <c r="N888">
        <f>IF(Table4[[#This Row],[Performance_Ratio]] &lt; 0.85, Table4[[#This Row],[Performance_Deviation]] * 50 / 1000, 0)</f>
        <v>0</v>
      </c>
    </row>
    <row r="889" spans="1:14" x14ac:dyDescent="0.3">
      <c r="A889" s="6" t="s">
        <v>7</v>
      </c>
      <c r="B889" s="5">
        <v>45297.958333333336</v>
      </c>
      <c r="C889" s="6">
        <v>0</v>
      </c>
      <c r="D889" s="6">
        <v>0</v>
      </c>
      <c r="E889" s="6">
        <v>0</v>
      </c>
      <c r="F889" s="6">
        <v>81.405517211303803</v>
      </c>
      <c r="G889" s="6" t="str">
        <f t="shared" si="26"/>
        <v>OK</v>
      </c>
      <c r="H889" s="6" t="str">
        <f t="shared" si="27"/>
        <v>ZERO</v>
      </c>
      <c r="I889">
        <v>0</v>
      </c>
      <c r="J889">
        <f>IFERROR(Table4[[#This Row],[energy_kwh]]/Table4[[#This Row],[expected_kwh]],0)</f>
        <v>0</v>
      </c>
      <c r="K889" t="str">
        <f>IF(Table4[[#This Row],[Performance_Ratio]] &lt; 0.85, "Underperforming", "Performing")</f>
        <v>Underperforming</v>
      </c>
      <c r="L889">
        <f>Table4[[#This Row],[energy_kwh]] - Table4[[#This Row],[expected_kwh]]</f>
        <v>0</v>
      </c>
      <c r="M889" t="str">
        <f>IF(Table4[[#This Row],[Performance_Deviation]] &lt; 0, "Underperforming", "Outperforming")</f>
        <v>Outperforming</v>
      </c>
      <c r="N889">
        <f>IF(Table4[[#This Row],[Performance_Ratio]] &lt; 0.85, Table4[[#This Row],[Performance_Deviation]] * 50 / 1000, 0)</f>
        <v>0</v>
      </c>
    </row>
    <row r="890" spans="1:14" x14ac:dyDescent="0.3">
      <c r="A890" s="4" t="s">
        <v>7</v>
      </c>
      <c r="B890" s="3">
        <v>45298</v>
      </c>
      <c r="C890" s="4">
        <v>0</v>
      </c>
      <c r="D890" s="4">
        <v>0</v>
      </c>
      <c r="E890" s="4">
        <v>0</v>
      </c>
      <c r="F890" s="4">
        <v>23.957394339470198</v>
      </c>
      <c r="G890" s="4" t="str">
        <f t="shared" si="26"/>
        <v>OK</v>
      </c>
      <c r="H890" s="4" t="str">
        <f t="shared" si="27"/>
        <v>ZERO</v>
      </c>
      <c r="I890">
        <v>0</v>
      </c>
      <c r="J890">
        <f>IFERROR(Table4[[#This Row],[energy_kwh]]/Table4[[#This Row],[expected_kwh]],0)</f>
        <v>0</v>
      </c>
      <c r="K890" t="str">
        <f>IF(Table4[[#This Row],[Performance_Ratio]] &lt; 0.85, "Underperforming", "Performing")</f>
        <v>Underperforming</v>
      </c>
      <c r="L890">
        <f>Table4[[#This Row],[energy_kwh]] - Table4[[#This Row],[expected_kwh]]</f>
        <v>0</v>
      </c>
      <c r="M890" t="str">
        <f>IF(Table4[[#This Row],[Performance_Deviation]] &lt; 0, "Underperforming", "Outperforming")</f>
        <v>Outperforming</v>
      </c>
      <c r="N890">
        <f>IF(Table4[[#This Row],[Performance_Ratio]] &lt; 0.85, Table4[[#This Row],[Performance_Deviation]] * 50 / 1000, 0)</f>
        <v>0</v>
      </c>
    </row>
    <row r="891" spans="1:14" x14ac:dyDescent="0.3">
      <c r="A891" s="6" t="s">
        <v>7</v>
      </c>
      <c r="B891" s="5">
        <v>45298.041666666664</v>
      </c>
      <c r="C891" s="6">
        <v>0</v>
      </c>
      <c r="D891" s="6">
        <v>0</v>
      </c>
      <c r="E891" s="6">
        <v>0</v>
      </c>
      <c r="F891" s="6">
        <v>36.989121952707897</v>
      </c>
      <c r="G891" s="6" t="str">
        <f t="shared" si="26"/>
        <v>OK</v>
      </c>
      <c r="H891" s="6" t="str">
        <f t="shared" si="27"/>
        <v>ZERO</v>
      </c>
      <c r="I891">
        <v>0</v>
      </c>
      <c r="J891">
        <f>IFERROR(Table4[[#This Row],[energy_kwh]]/Table4[[#This Row],[expected_kwh]],0)</f>
        <v>0</v>
      </c>
      <c r="K891" t="str">
        <f>IF(Table4[[#This Row],[Performance_Ratio]] &lt; 0.85, "Underperforming", "Performing")</f>
        <v>Underperforming</v>
      </c>
      <c r="L891">
        <f>Table4[[#This Row],[energy_kwh]] - Table4[[#This Row],[expected_kwh]]</f>
        <v>0</v>
      </c>
      <c r="M891" t="str">
        <f>IF(Table4[[#This Row],[Performance_Deviation]] &lt; 0, "Underperforming", "Outperforming")</f>
        <v>Outperforming</v>
      </c>
      <c r="N891">
        <f>IF(Table4[[#This Row],[Performance_Ratio]] &lt; 0.85, Table4[[#This Row],[Performance_Deviation]] * 50 / 1000, 0)</f>
        <v>0</v>
      </c>
    </row>
    <row r="892" spans="1:14" x14ac:dyDescent="0.3">
      <c r="A892" s="4" t="s">
        <v>7</v>
      </c>
      <c r="B892" s="3">
        <v>45298.083333333336</v>
      </c>
      <c r="C892" s="4">
        <v>0</v>
      </c>
      <c r="D892" s="4">
        <v>0</v>
      </c>
      <c r="E892" s="4">
        <v>0</v>
      </c>
      <c r="F892" s="4">
        <v>81.766416995886402</v>
      </c>
      <c r="G892" s="4" t="str">
        <f t="shared" si="26"/>
        <v>OK</v>
      </c>
      <c r="H892" s="4" t="str">
        <f t="shared" si="27"/>
        <v>ZERO</v>
      </c>
      <c r="I892">
        <v>0</v>
      </c>
      <c r="J892">
        <f>IFERROR(Table4[[#This Row],[energy_kwh]]/Table4[[#This Row],[expected_kwh]],0)</f>
        <v>0</v>
      </c>
      <c r="K892" t="str">
        <f>IF(Table4[[#This Row],[Performance_Ratio]] &lt; 0.85, "Underperforming", "Performing")</f>
        <v>Underperforming</v>
      </c>
      <c r="L892">
        <f>Table4[[#This Row],[energy_kwh]] - Table4[[#This Row],[expected_kwh]]</f>
        <v>0</v>
      </c>
      <c r="M892" t="str">
        <f>IF(Table4[[#This Row],[Performance_Deviation]] &lt; 0, "Underperforming", "Outperforming")</f>
        <v>Outperforming</v>
      </c>
      <c r="N892">
        <f>IF(Table4[[#This Row],[Performance_Ratio]] &lt; 0.85, Table4[[#This Row],[Performance_Deviation]] * 50 / 1000, 0)</f>
        <v>0</v>
      </c>
    </row>
    <row r="893" spans="1:14" x14ac:dyDescent="0.3">
      <c r="A893" s="6" t="s">
        <v>7</v>
      </c>
      <c r="B893" s="5">
        <v>45298.125</v>
      </c>
      <c r="C893" s="6">
        <v>0</v>
      </c>
      <c r="D893" s="6">
        <v>0</v>
      </c>
      <c r="E893" s="6">
        <v>0</v>
      </c>
      <c r="F893" s="6">
        <v>46.311433200126103</v>
      </c>
      <c r="G893" s="6" t="str">
        <f t="shared" si="26"/>
        <v>OK</v>
      </c>
      <c r="H893" s="6" t="str">
        <f t="shared" si="27"/>
        <v>ZERO</v>
      </c>
      <c r="I893">
        <v>0</v>
      </c>
      <c r="J893">
        <f>IFERROR(Table4[[#This Row],[energy_kwh]]/Table4[[#This Row],[expected_kwh]],0)</f>
        <v>0</v>
      </c>
      <c r="K893" t="str">
        <f>IF(Table4[[#This Row],[Performance_Ratio]] &lt; 0.85, "Underperforming", "Performing")</f>
        <v>Underperforming</v>
      </c>
      <c r="L893">
        <f>Table4[[#This Row],[energy_kwh]] - Table4[[#This Row],[expected_kwh]]</f>
        <v>0</v>
      </c>
      <c r="M893" t="str">
        <f>IF(Table4[[#This Row],[Performance_Deviation]] &lt; 0, "Underperforming", "Outperforming")</f>
        <v>Outperforming</v>
      </c>
      <c r="N893">
        <f>IF(Table4[[#This Row],[Performance_Ratio]] &lt; 0.85, Table4[[#This Row],[Performance_Deviation]] * 50 / 1000, 0)</f>
        <v>0</v>
      </c>
    </row>
    <row r="894" spans="1:14" x14ac:dyDescent="0.3">
      <c r="A894" s="4" t="s">
        <v>7</v>
      </c>
      <c r="B894" s="3">
        <v>45298.166666666664</v>
      </c>
      <c r="C894" s="4">
        <v>0</v>
      </c>
      <c r="D894" s="4">
        <v>0</v>
      </c>
      <c r="E894" s="4">
        <v>0</v>
      </c>
      <c r="F894" s="4">
        <v>26.351625640647999</v>
      </c>
      <c r="G894" s="4" t="str">
        <f t="shared" si="26"/>
        <v>OK</v>
      </c>
      <c r="H894" s="4" t="str">
        <f t="shared" si="27"/>
        <v>ZERO</v>
      </c>
      <c r="I894">
        <v>0</v>
      </c>
      <c r="J894">
        <f>IFERROR(Table4[[#This Row],[energy_kwh]]/Table4[[#This Row],[expected_kwh]],0)</f>
        <v>0</v>
      </c>
      <c r="K894" t="str">
        <f>IF(Table4[[#This Row],[Performance_Ratio]] &lt; 0.85, "Underperforming", "Performing")</f>
        <v>Underperforming</v>
      </c>
      <c r="L894">
        <f>Table4[[#This Row],[energy_kwh]] - Table4[[#This Row],[expected_kwh]]</f>
        <v>0</v>
      </c>
      <c r="M894" t="str">
        <f>IF(Table4[[#This Row],[Performance_Deviation]] &lt; 0, "Underperforming", "Outperforming")</f>
        <v>Outperforming</v>
      </c>
      <c r="N894">
        <f>IF(Table4[[#This Row],[Performance_Ratio]] &lt; 0.85, Table4[[#This Row],[Performance_Deviation]] * 50 / 1000, 0)</f>
        <v>0</v>
      </c>
    </row>
    <row r="895" spans="1:14" x14ac:dyDescent="0.3">
      <c r="A895" s="6" t="s">
        <v>7</v>
      </c>
      <c r="B895" s="5">
        <v>45298.208333333336</v>
      </c>
      <c r="C895" s="6">
        <v>0</v>
      </c>
      <c r="D895" s="6">
        <v>0</v>
      </c>
      <c r="E895" s="6">
        <v>0</v>
      </c>
      <c r="F895" s="6">
        <v>83.068153280217999</v>
      </c>
      <c r="G895" s="6" t="str">
        <f t="shared" si="26"/>
        <v>OK</v>
      </c>
      <c r="H895" s="6" t="str">
        <f t="shared" si="27"/>
        <v>ZERO</v>
      </c>
      <c r="I895">
        <v>0</v>
      </c>
      <c r="J895">
        <f>IFERROR(Table4[[#This Row],[energy_kwh]]/Table4[[#This Row],[expected_kwh]],0)</f>
        <v>0</v>
      </c>
      <c r="K895" t="str">
        <f>IF(Table4[[#This Row],[Performance_Ratio]] &lt; 0.85, "Underperforming", "Performing")</f>
        <v>Underperforming</v>
      </c>
      <c r="L895">
        <f>Table4[[#This Row],[energy_kwh]] - Table4[[#This Row],[expected_kwh]]</f>
        <v>0</v>
      </c>
      <c r="M895" t="str">
        <f>IF(Table4[[#This Row],[Performance_Deviation]] &lt; 0, "Underperforming", "Outperforming")</f>
        <v>Outperforming</v>
      </c>
      <c r="N895">
        <f>IF(Table4[[#This Row],[Performance_Ratio]] &lt; 0.85, Table4[[#This Row],[Performance_Deviation]] * 50 / 1000, 0)</f>
        <v>0</v>
      </c>
    </row>
    <row r="896" spans="1:14" x14ac:dyDescent="0.3">
      <c r="A896" s="4" t="s">
        <v>7</v>
      </c>
      <c r="B896" s="3">
        <v>45298.25</v>
      </c>
      <c r="C896" s="4">
        <v>0</v>
      </c>
      <c r="D896" s="4">
        <v>0</v>
      </c>
      <c r="E896" s="4">
        <v>0</v>
      </c>
      <c r="F896" s="4">
        <v>48.845830698407603</v>
      </c>
      <c r="G896" s="4" t="str">
        <f t="shared" si="26"/>
        <v>OK</v>
      </c>
      <c r="H896" s="4" t="str">
        <f t="shared" si="27"/>
        <v>ZERO</v>
      </c>
      <c r="I896">
        <v>0</v>
      </c>
      <c r="J896">
        <f>IFERROR(Table4[[#This Row],[energy_kwh]]/Table4[[#This Row],[expected_kwh]],0)</f>
        <v>0</v>
      </c>
      <c r="K896" t="str">
        <f>IF(Table4[[#This Row],[Performance_Ratio]] &lt; 0.85, "Underperforming", "Performing")</f>
        <v>Underperforming</v>
      </c>
      <c r="L896">
        <f>Table4[[#This Row],[energy_kwh]] - Table4[[#This Row],[expected_kwh]]</f>
        <v>0</v>
      </c>
      <c r="M896" t="str">
        <f>IF(Table4[[#This Row],[Performance_Deviation]] &lt; 0, "Underperforming", "Outperforming")</f>
        <v>Outperforming</v>
      </c>
      <c r="N896">
        <f>IF(Table4[[#This Row],[Performance_Ratio]] &lt; 0.85, Table4[[#This Row],[Performance_Deviation]] * 50 / 1000, 0)</f>
        <v>0</v>
      </c>
    </row>
    <row r="897" spans="1:14" x14ac:dyDescent="0.3">
      <c r="A897" s="6" t="s">
        <v>7</v>
      </c>
      <c r="B897" s="5">
        <v>45298.291666666664</v>
      </c>
      <c r="C897" s="6">
        <v>133.38073117186701</v>
      </c>
      <c r="D897" s="6">
        <v>130.45016607453601</v>
      </c>
      <c r="E897" s="6">
        <v>130.45016607453601</v>
      </c>
      <c r="F897" s="6">
        <v>89.941615881448399</v>
      </c>
      <c r="G897" s="6" t="str">
        <f t="shared" si="26"/>
        <v>OK</v>
      </c>
      <c r="H897" s="6" t="str">
        <f t="shared" si="27"/>
        <v>NON-ZERO</v>
      </c>
      <c r="I897">
        <v>155.291427061512</v>
      </c>
      <c r="J897">
        <f>IFERROR(Table4[[#This Row],[energy_kwh]]/Table4[[#This Row],[expected_kwh]],0)</f>
        <v>0.84003456303395174</v>
      </c>
      <c r="K897" t="str">
        <f>IF(Table4[[#This Row],[Performance_Ratio]] &lt; 0.85, "Underperforming", "Performing")</f>
        <v>Underperforming</v>
      </c>
      <c r="L897">
        <f>Table4[[#This Row],[energy_kwh]] - Table4[[#This Row],[expected_kwh]]</f>
        <v>-24.841260986975982</v>
      </c>
      <c r="M897" t="str">
        <f>IF(Table4[[#This Row],[Performance_Deviation]] &lt; 0, "Underperforming", "Outperforming")</f>
        <v>Underperforming</v>
      </c>
      <c r="N897">
        <f>IF(Table4[[#This Row],[Performance_Ratio]] &lt; 0.85, Table4[[#This Row],[Performance_Deviation]] * 50 / 1000, 0)</f>
        <v>-1.242063049348799</v>
      </c>
    </row>
    <row r="898" spans="1:14" x14ac:dyDescent="0.3">
      <c r="A898" s="4" t="s">
        <v>7</v>
      </c>
      <c r="B898" s="3">
        <v>45298.333333333336</v>
      </c>
      <c r="C898" s="4">
        <v>292.05749452643897</v>
      </c>
      <c r="D898" s="4">
        <v>285.640574388473</v>
      </c>
      <c r="E898" s="4">
        <v>285.640574388473</v>
      </c>
      <c r="F898" s="4">
        <v>50.5811078752049</v>
      </c>
      <c r="G898" s="4" t="str">
        <f t="shared" ref="G898:G961" si="28">IF(D898 &gt; C898, "ERROR", "OK")</f>
        <v>OK</v>
      </c>
      <c r="H898" s="4" t="str">
        <f t="shared" ref="H898:H961" si="29">IF(E898=0,"ZERO","NON-ZERO")</f>
        <v>NON-ZERO</v>
      </c>
      <c r="I898">
        <v>300</v>
      </c>
      <c r="J898">
        <f>IFERROR(Table4[[#This Row],[energy_kwh]]/Table4[[#This Row],[expected_kwh]],0)</f>
        <v>0.95213524796157667</v>
      </c>
      <c r="K898" t="str">
        <f>IF(Table4[[#This Row],[Performance_Ratio]] &lt; 0.85, "Underperforming", "Performing")</f>
        <v>Performing</v>
      </c>
      <c r="L898">
        <f>Table4[[#This Row],[energy_kwh]] - Table4[[#This Row],[expected_kwh]]</f>
        <v>-14.359425611527001</v>
      </c>
      <c r="M898" t="str">
        <f>IF(Table4[[#This Row],[Performance_Deviation]] &lt; 0, "Underperforming", "Outperforming")</f>
        <v>Underperforming</v>
      </c>
      <c r="N898">
        <f>IF(Table4[[#This Row],[Performance_Ratio]] &lt; 0.85, Table4[[#This Row],[Performance_Deviation]] * 50 / 1000, 0)</f>
        <v>0</v>
      </c>
    </row>
    <row r="899" spans="1:14" x14ac:dyDescent="0.3">
      <c r="A899" s="6" t="s">
        <v>7</v>
      </c>
      <c r="B899" s="5">
        <v>45298.375</v>
      </c>
      <c r="C899" s="6">
        <v>461.175983433824</v>
      </c>
      <c r="D899" s="6">
        <v>451.04328863672299</v>
      </c>
      <c r="E899" s="6">
        <v>451.04328863672299</v>
      </c>
      <c r="F899" s="6">
        <v>92.836318052621394</v>
      </c>
      <c r="G899" s="6" t="str">
        <f t="shared" si="28"/>
        <v>OK</v>
      </c>
      <c r="H899" s="6" t="str">
        <f t="shared" si="29"/>
        <v>NON-ZERO</v>
      </c>
      <c r="I899">
        <v>424.26406871192802</v>
      </c>
      <c r="J899">
        <f>IFERROR(Table4[[#This Row],[energy_kwh]]/Table4[[#This Row],[expected_kwh]],0)</f>
        <v>1.0631192266790281</v>
      </c>
      <c r="K899" t="str">
        <f>IF(Table4[[#This Row],[Performance_Ratio]] &lt; 0.85, "Underperforming", "Performing")</f>
        <v>Performing</v>
      </c>
      <c r="L899">
        <f>Table4[[#This Row],[energy_kwh]] - Table4[[#This Row],[expected_kwh]]</f>
        <v>26.779219924794972</v>
      </c>
      <c r="M899" t="str">
        <f>IF(Table4[[#This Row],[Performance_Deviation]] &lt; 0, "Underperforming", "Outperforming")</f>
        <v>Outperforming</v>
      </c>
      <c r="N899">
        <f>IF(Table4[[#This Row],[Performance_Ratio]] &lt; 0.85, Table4[[#This Row],[Performance_Deviation]] * 50 / 1000, 0)</f>
        <v>0</v>
      </c>
    </row>
    <row r="900" spans="1:14" x14ac:dyDescent="0.3">
      <c r="A900" s="4" t="s">
        <v>7</v>
      </c>
      <c r="B900" s="3">
        <v>45298.416666666664</v>
      </c>
      <c r="C900" s="4">
        <v>556.322200372814</v>
      </c>
      <c r="D900" s="4">
        <v>544.09900734515998</v>
      </c>
      <c r="E900" s="4">
        <v>544.09900734515998</v>
      </c>
      <c r="F900" s="4">
        <v>28.7268863873371</v>
      </c>
      <c r="G900" s="4" t="str">
        <f t="shared" si="28"/>
        <v>OK</v>
      </c>
      <c r="H900" s="4" t="str">
        <f t="shared" si="29"/>
        <v>NON-ZERO</v>
      </c>
      <c r="I900">
        <v>519.61524227066297</v>
      </c>
      <c r="J900">
        <f>IFERROR(Table4[[#This Row],[energy_kwh]]/Table4[[#This Row],[expected_kwh]],0)</f>
        <v>1.0471190278551215</v>
      </c>
      <c r="K900" t="str">
        <f>IF(Table4[[#This Row],[Performance_Ratio]] &lt; 0.85, "Underperforming", "Performing")</f>
        <v>Performing</v>
      </c>
      <c r="L900">
        <f>Table4[[#This Row],[energy_kwh]] - Table4[[#This Row],[expected_kwh]]</f>
        <v>24.483765074497001</v>
      </c>
      <c r="M900" t="str">
        <f>IF(Table4[[#This Row],[Performance_Deviation]] &lt; 0, "Underperforming", "Outperforming")</f>
        <v>Outperforming</v>
      </c>
      <c r="N900">
        <f>IF(Table4[[#This Row],[Performance_Ratio]] &lt; 0.85, Table4[[#This Row],[Performance_Deviation]] * 50 / 1000, 0)</f>
        <v>0</v>
      </c>
    </row>
    <row r="901" spans="1:14" x14ac:dyDescent="0.3">
      <c r="A901" s="6" t="s">
        <v>7</v>
      </c>
      <c r="B901" s="5">
        <v>45298.458333333336</v>
      </c>
      <c r="C901" s="6">
        <v>570.82506574765705</v>
      </c>
      <c r="D901" s="6">
        <v>558.28322406134498</v>
      </c>
      <c r="E901" s="6">
        <v>558.28322406134498</v>
      </c>
      <c r="F901" s="6">
        <v>69.633329935372899</v>
      </c>
      <c r="G901" s="6" t="str">
        <f t="shared" si="28"/>
        <v>OK</v>
      </c>
      <c r="H901" s="6" t="str">
        <f t="shared" si="29"/>
        <v>NON-ZERO</v>
      </c>
      <c r="I901">
        <v>579.55549577344095</v>
      </c>
      <c r="J901">
        <f>IFERROR(Table4[[#This Row],[energy_kwh]]/Table4[[#This Row],[expected_kwh]],0)</f>
        <v>0.96329553965542636</v>
      </c>
      <c r="K901" t="str">
        <f>IF(Table4[[#This Row],[Performance_Ratio]] &lt; 0.85, "Underperforming", "Performing")</f>
        <v>Performing</v>
      </c>
      <c r="L901">
        <f>Table4[[#This Row],[energy_kwh]] - Table4[[#This Row],[expected_kwh]]</f>
        <v>-21.272271712095971</v>
      </c>
      <c r="M901" t="str">
        <f>IF(Table4[[#This Row],[Performance_Deviation]] &lt; 0, "Underperforming", "Outperforming")</f>
        <v>Underperforming</v>
      </c>
      <c r="N901">
        <f>IF(Table4[[#This Row],[Performance_Ratio]] &lt; 0.85, Table4[[#This Row],[Performance_Deviation]] * 50 / 1000, 0)</f>
        <v>0</v>
      </c>
    </row>
    <row r="902" spans="1:14" x14ac:dyDescent="0.3">
      <c r="A902" s="4" t="s">
        <v>7</v>
      </c>
      <c r="B902" s="3">
        <v>45298.5</v>
      </c>
      <c r="C902" s="4">
        <v>560.90900664359901</v>
      </c>
      <c r="D902" s="4">
        <v>548.58503493339299</v>
      </c>
      <c r="E902" s="4">
        <v>548.58503493339299</v>
      </c>
      <c r="F902" s="4">
        <v>82.5233007856379</v>
      </c>
      <c r="G902" s="4" t="str">
        <f t="shared" si="28"/>
        <v>OK</v>
      </c>
      <c r="H902" s="4" t="str">
        <f t="shared" si="29"/>
        <v>NON-ZERO</v>
      </c>
      <c r="I902">
        <v>600</v>
      </c>
      <c r="J902">
        <f>IFERROR(Table4[[#This Row],[energy_kwh]]/Table4[[#This Row],[expected_kwh]],0)</f>
        <v>0.91430839155565502</v>
      </c>
      <c r="K902" t="str">
        <f>IF(Table4[[#This Row],[Performance_Ratio]] &lt; 0.85, "Underperforming", "Performing")</f>
        <v>Performing</v>
      </c>
      <c r="L902">
        <f>Table4[[#This Row],[energy_kwh]] - Table4[[#This Row],[expected_kwh]]</f>
        <v>-51.41496506660701</v>
      </c>
      <c r="M902" t="str">
        <f>IF(Table4[[#This Row],[Performance_Deviation]] &lt; 0, "Underperforming", "Outperforming")</f>
        <v>Underperforming</v>
      </c>
      <c r="N902">
        <f>IF(Table4[[#This Row],[Performance_Ratio]] &lt; 0.85, Table4[[#This Row],[Performance_Deviation]] * 50 / 1000, 0)</f>
        <v>0</v>
      </c>
    </row>
    <row r="903" spans="1:14" x14ac:dyDescent="0.3">
      <c r="A903" s="6" t="s">
        <v>7</v>
      </c>
      <c r="B903" s="5">
        <v>45298.541666666664</v>
      </c>
      <c r="C903" s="6">
        <v>525.00770290490698</v>
      </c>
      <c r="D903" s="6">
        <v>513.47253409569601</v>
      </c>
      <c r="E903" s="6">
        <v>513.47253409569601</v>
      </c>
      <c r="F903" s="6">
        <v>48.009345884952801</v>
      </c>
      <c r="G903" s="6" t="str">
        <f t="shared" si="28"/>
        <v>OK</v>
      </c>
      <c r="H903" s="6" t="str">
        <f t="shared" si="29"/>
        <v>NON-ZERO</v>
      </c>
      <c r="I903">
        <v>579.55549577344095</v>
      </c>
      <c r="J903">
        <f>IFERROR(Table4[[#This Row],[energy_kwh]]/Table4[[#This Row],[expected_kwh]],0)</f>
        <v>0.88597647307346383</v>
      </c>
      <c r="K903" t="str">
        <f>IF(Table4[[#This Row],[Performance_Ratio]] &lt; 0.85, "Underperforming", "Performing")</f>
        <v>Performing</v>
      </c>
      <c r="L903">
        <f>Table4[[#This Row],[energy_kwh]] - Table4[[#This Row],[expected_kwh]]</f>
        <v>-66.082961677744947</v>
      </c>
      <c r="M903" t="str">
        <f>IF(Table4[[#This Row],[Performance_Deviation]] &lt; 0, "Underperforming", "Outperforming")</f>
        <v>Underperforming</v>
      </c>
      <c r="N903">
        <f>IF(Table4[[#This Row],[Performance_Ratio]] &lt; 0.85, Table4[[#This Row],[Performance_Deviation]] * 50 / 1000, 0)</f>
        <v>0</v>
      </c>
    </row>
    <row r="904" spans="1:14" x14ac:dyDescent="0.3">
      <c r="A904" s="4" t="s">
        <v>7</v>
      </c>
      <c r="B904" s="3">
        <v>45298.583333333336</v>
      </c>
      <c r="C904" s="4">
        <v>476.71311591719899</v>
      </c>
      <c r="D904" s="4">
        <v>466.23904813639598</v>
      </c>
      <c r="E904" s="4">
        <v>466.23904813639598</v>
      </c>
      <c r="F904" s="4">
        <v>70.686719382805506</v>
      </c>
      <c r="G904" s="4" t="str">
        <f t="shared" si="28"/>
        <v>OK</v>
      </c>
      <c r="H904" s="4" t="str">
        <f t="shared" si="29"/>
        <v>NON-ZERO</v>
      </c>
      <c r="I904">
        <v>519.61524227066297</v>
      </c>
      <c r="J904">
        <f>IFERROR(Table4[[#This Row],[energy_kwh]]/Table4[[#This Row],[expected_kwh]],0)</f>
        <v>0.8972774664942107</v>
      </c>
      <c r="K904" t="str">
        <f>IF(Table4[[#This Row],[Performance_Ratio]] &lt; 0.85, "Underperforming", "Performing")</f>
        <v>Performing</v>
      </c>
      <c r="L904">
        <f>Table4[[#This Row],[energy_kwh]] - Table4[[#This Row],[expected_kwh]]</f>
        <v>-53.376194134266996</v>
      </c>
      <c r="M904" t="str">
        <f>IF(Table4[[#This Row],[Performance_Deviation]] &lt; 0, "Underperforming", "Outperforming")</f>
        <v>Underperforming</v>
      </c>
      <c r="N904">
        <f>IF(Table4[[#This Row],[Performance_Ratio]] &lt; 0.85, Table4[[#This Row],[Performance_Deviation]] * 50 / 1000, 0)</f>
        <v>0</v>
      </c>
    </row>
    <row r="905" spans="1:14" x14ac:dyDescent="0.3">
      <c r="A905" s="6" t="s">
        <v>7</v>
      </c>
      <c r="B905" s="5">
        <v>45298.625</v>
      </c>
      <c r="C905" s="6">
        <v>394.47408236595902</v>
      </c>
      <c r="D905" s="6">
        <v>385.80692356853098</v>
      </c>
      <c r="E905" s="6">
        <v>385.80692356853098</v>
      </c>
      <c r="F905" s="6">
        <v>49.644448657336802</v>
      </c>
      <c r="G905" s="6" t="str">
        <f t="shared" si="28"/>
        <v>OK</v>
      </c>
      <c r="H905" s="6" t="str">
        <f t="shared" si="29"/>
        <v>NON-ZERO</v>
      </c>
      <c r="I905">
        <v>424.26406871192802</v>
      </c>
      <c r="J905">
        <f>IFERROR(Table4[[#This Row],[energy_kwh]]/Table4[[#This Row],[expected_kwh]],0)</f>
        <v>0.90935563961342869</v>
      </c>
      <c r="K905" t="str">
        <f>IF(Table4[[#This Row],[Performance_Ratio]] &lt; 0.85, "Underperforming", "Performing")</f>
        <v>Performing</v>
      </c>
      <c r="L905">
        <f>Table4[[#This Row],[energy_kwh]] - Table4[[#This Row],[expected_kwh]]</f>
        <v>-38.457145143397042</v>
      </c>
      <c r="M905" t="str">
        <f>IF(Table4[[#This Row],[Performance_Deviation]] &lt; 0, "Underperforming", "Outperforming")</f>
        <v>Underperforming</v>
      </c>
      <c r="N905">
        <f>IF(Table4[[#This Row],[Performance_Ratio]] &lt; 0.85, Table4[[#This Row],[Performance_Deviation]] * 50 / 1000, 0)</f>
        <v>0</v>
      </c>
    </row>
    <row r="906" spans="1:14" x14ac:dyDescent="0.3">
      <c r="A906" s="4" t="s">
        <v>7</v>
      </c>
      <c r="B906" s="3">
        <v>45298.666666666664</v>
      </c>
      <c r="C906" s="4">
        <v>277.08207244817999</v>
      </c>
      <c r="D906" s="4">
        <v>270.994183714337</v>
      </c>
      <c r="E906" s="4">
        <v>270.994183714337</v>
      </c>
      <c r="F906" s="4">
        <v>51.438715692659102</v>
      </c>
      <c r="G906" s="4" t="str">
        <f t="shared" si="28"/>
        <v>OK</v>
      </c>
      <c r="H906" s="4" t="str">
        <f t="shared" si="29"/>
        <v>NON-ZERO</v>
      </c>
      <c r="I906">
        <v>300</v>
      </c>
      <c r="J906">
        <f>IFERROR(Table4[[#This Row],[energy_kwh]]/Table4[[#This Row],[expected_kwh]],0)</f>
        <v>0.90331394571445667</v>
      </c>
      <c r="K906" t="str">
        <f>IF(Table4[[#This Row],[Performance_Ratio]] &lt; 0.85, "Underperforming", "Performing")</f>
        <v>Performing</v>
      </c>
      <c r="L906">
        <f>Table4[[#This Row],[energy_kwh]] - Table4[[#This Row],[expected_kwh]]</f>
        <v>-29.005816285663002</v>
      </c>
      <c r="M906" t="str">
        <f>IF(Table4[[#This Row],[Performance_Deviation]] &lt; 0, "Underperforming", "Outperforming")</f>
        <v>Underperforming</v>
      </c>
      <c r="N906">
        <f>IF(Table4[[#This Row],[Performance_Ratio]] &lt; 0.85, Table4[[#This Row],[Performance_Deviation]] * 50 / 1000, 0)</f>
        <v>0</v>
      </c>
    </row>
    <row r="907" spans="1:14" x14ac:dyDescent="0.3">
      <c r="A907" s="6" t="s">
        <v>7</v>
      </c>
      <c r="B907" s="5">
        <v>45298.708333333336</v>
      </c>
      <c r="C907" s="6">
        <v>143.72640095770601</v>
      </c>
      <c r="D907" s="6">
        <v>140.56852672421601</v>
      </c>
      <c r="E907" s="6">
        <v>140.56852672421601</v>
      </c>
      <c r="F907" s="6">
        <v>61.778038495627598</v>
      </c>
      <c r="G907" s="6" t="str">
        <f t="shared" si="28"/>
        <v>OK</v>
      </c>
      <c r="H907" s="6" t="str">
        <f t="shared" si="29"/>
        <v>NON-ZERO</v>
      </c>
      <c r="I907">
        <v>155.291427061512</v>
      </c>
      <c r="J907">
        <f>IFERROR(Table4[[#This Row],[energy_kwh]]/Table4[[#This Row],[expected_kwh]],0)</f>
        <v>0.90519180217550488</v>
      </c>
      <c r="K907" t="str">
        <f>IF(Table4[[#This Row],[Performance_Ratio]] &lt; 0.85, "Underperforming", "Performing")</f>
        <v>Performing</v>
      </c>
      <c r="L907">
        <f>Table4[[#This Row],[energy_kwh]] - Table4[[#This Row],[expected_kwh]]</f>
        <v>-14.722900337295982</v>
      </c>
      <c r="M907" t="str">
        <f>IF(Table4[[#This Row],[Performance_Deviation]] &lt; 0, "Underperforming", "Outperforming")</f>
        <v>Underperforming</v>
      </c>
      <c r="N907">
        <f>IF(Table4[[#This Row],[Performance_Ratio]] &lt; 0.85, Table4[[#This Row],[Performance_Deviation]] * 50 / 1000, 0)</f>
        <v>0</v>
      </c>
    </row>
    <row r="908" spans="1:14" x14ac:dyDescent="0.3">
      <c r="A908" s="4" t="s">
        <v>7</v>
      </c>
      <c r="B908" s="3">
        <v>45298.75</v>
      </c>
      <c r="C908" s="7">
        <v>6.9878132644836004E-14</v>
      </c>
      <c r="D908" s="7">
        <v>6.8342810302572006E-14</v>
      </c>
      <c r="E908" s="7">
        <v>6.8342810302572006E-14</v>
      </c>
      <c r="F908" s="4">
        <v>36.533450318406402</v>
      </c>
      <c r="G908" s="4" t="str">
        <f t="shared" si="28"/>
        <v>OK</v>
      </c>
      <c r="H908" s="4" t="str">
        <f t="shared" si="29"/>
        <v>NON-ZERO</v>
      </c>
      <c r="I908" s="2">
        <v>7.3478807948841102E-14</v>
      </c>
      <c r="J908">
        <f>IFERROR(Table4[[#This Row],[energy_kwh]]/Table4[[#This Row],[expected_kwh]],0)</f>
        <v>0.93010232760110934</v>
      </c>
      <c r="K908" t="str">
        <f>IF(Table4[[#This Row],[Performance_Ratio]] &lt; 0.85, "Underperforming", "Performing")</f>
        <v>Performing</v>
      </c>
      <c r="L908">
        <f>Table4[[#This Row],[energy_kwh]] - Table4[[#This Row],[expected_kwh]]</f>
        <v>-5.1359976462690952E-15</v>
      </c>
      <c r="M908" t="str">
        <f>IF(Table4[[#This Row],[Performance_Deviation]] &lt; 0, "Underperforming", "Outperforming")</f>
        <v>Underperforming</v>
      </c>
      <c r="N908">
        <f>IF(Table4[[#This Row],[Performance_Ratio]] &lt; 0.85, Table4[[#This Row],[Performance_Deviation]] * 50 / 1000, 0)</f>
        <v>0</v>
      </c>
    </row>
    <row r="909" spans="1:14" x14ac:dyDescent="0.3">
      <c r="A909" s="6" t="s">
        <v>7</v>
      </c>
      <c r="B909" s="5">
        <v>45298.791666666664</v>
      </c>
      <c r="C909" s="6">
        <v>0</v>
      </c>
      <c r="D909" s="6">
        <v>0</v>
      </c>
      <c r="E909" s="6">
        <v>0</v>
      </c>
      <c r="F909" s="6">
        <v>88.731540839904895</v>
      </c>
      <c r="G909" s="6" t="str">
        <f t="shared" si="28"/>
        <v>OK</v>
      </c>
      <c r="H909" s="6" t="str">
        <f t="shared" si="29"/>
        <v>ZERO</v>
      </c>
      <c r="I909">
        <v>0</v>
      </c>
      <c r="J909">
        <f>IFERROR(Table4[[#This Row],[energy_kwh]]/Table4[[#This Row],[expected_kwh]],0)</f>
        <v>0</v>
      </c>
      <c r="K909" t="str">
        <f>IF(Table4[[#This Row],[Performance_Ratio]] &lt; 0.85, "Underperforming", "Performing")</f>
        <v>Underperforming</v>
      </c>
      <c r="L909">
        <f>Table4[[#This Row],[energy_kwh]] - Table4[[#This Row],[expected_kwh]]</f>
        <v>0</v>
      </c>
      <c r="M909" t="str">
        <f>IF(Table4[[#This Row],[Performance_Deviation]] &lt; 0, "Underperforming", "Outperforming")</f>
        <v>Outperforming</v>
      </c>
      <c r="N909">
        <f>IF(Table4[[#This Row],[Performance_Ratio]] &lt; 0.85, Table4[[#This Row],[Performance_Deviation]] * 50 / 1000, 0)</f>
        <v>0</v>
      </c>
    </row>
    <row r="910" spans="1:14" x14ac:dyDescent="0.3">
      <c r="A910" s="4" t="s">
        <v>7</v>
      </c>
      <c r="B910" s="3">
        <v>45298.833333333336</v>
      </c>
      <c r="C910" s="4">
        <v>0</v>
      </c>
      <c r="D910" s="4">
        <v>0</v>
      </c>
      <c r="E910" s="4">
        <v>0</v>
      </c>
      <c r="F910" s="4">
        <v>59.847051376319897</v>
      </c>
      <c r="G910" s="4" t="str">
        <f t="shared" si="28"/>
        <v>OK</v>
      </c>
      <c r="H910" s="4" t="str">
        <f t="shared" si="29"/>
        <v>ZERO</v>
      </c>
      <c r="I910">
        <v>0</v>
      </c>
      <c r="J910">
        <f>IFERROR(Table4[[#This Row],[energy_kwh]]/Table4[[#This Row],[expected_kwh]],0)</f>
        <v>0</v>
      </c>
      <c r="K910" t="str">
        <f>IF(Table4[[#This Row],[Performance_Ratio]] &lt; 0.85, "Underperforming", "Performing")</f>
        <v>Underperforming</v>
      </c>
      <c r="L910">
        <f>Table4[[#This Row],[energy_kwh]] - Table4[[#This Row],[expected_kwh]]</f>
        <v>0</v>
      </c>
      <c r="M910" t="str">
        <f>IF(Table4[[#This Row],[Performance_Deviation]] &lt; 0, "Underperforming", "Outperforming")</f>
        <v>Outperforming</v>
      </c>
      <c r="N910">
        <f>IF(Table4[[#This Row],[Performance_Ratio]] &lt; 0.85, Table4[[#This Row],[Performance_Deviation]] * 50 / 1000, 0)</f>
        <v>0</v>
      </c>
    </row>
    <row r="911" spans="1:14" x14ac:dyDescent="0.3">
      <c r="A911" s="6" t="s">
        <v>7</v>
      </c>
      <c r="B911" s="5">
        <v>45298.875</v>
      </c>
      <c r="C911" s="6">
        <v>0</v>
      </c>
      <c r="D911" s="6">
        <v>0</v>
      </c>
      <c r="E911" s="6">
        <v>0</v>
      </c>
      <c r="F911" s="6">
        <v>74.862234803235395</v>
      </c>
      <c r="G911" s="6" t="str">
        <f t="shared" si="28"/>
        <v>OK</v>
      </c>
      <c r="H911" s="6" t="str">
        <f t="shared" si="29"/>
        <v>ZERO</v>
      </c>
      <c r="I911">
        <v>0</v>
      </c>
      <c r="J911">
        <f>IFERROR(Table4[[#This Row],[energy_kwh]]/Table4[[#This Row],[expected_kwh]],0)</f>
        <v>0</v>
      </c>
      <c r="K911" t="str">
        <f>IF(Table4[[#This Row],[Performance_Ratio]] &lt; 0.85, "Underperforming", "Performing")</f>
        <v>Underperforming</v>
      </c>
      <c r="L911">
        <f>Table4[[#This Row],[energy_kwh]] - Table4[[#This Row],[expected_kwh]]</f>
        <v>0</v>
      </c>
      <c r="M911" t="str">
        <f>IF(Table4[[#This Row],[Performance_Deviation]] &lt; 0, "Underperforming", "Outperforming")</f>
        <v>Outperforming</v>
      </c>
      <c r="N911">
        <f>IF(Table4[[#This Row],[Performance_Ratio]] &lt; 0.85, Table4[[#This Row],[Performance_Deviation]] * 50 / 1000, 0)</f>
        <v>0</v>
      </c>
    </row>
    <row r="912" spans="1:14" x14ac:dyDescent="0.3">
      <c r="A912" s="4" t="s">
        <v>7</v>
      </c>
      <c r="B912" s="3">
        <v>45298.916666666664</v>
      </c>
      <c r="C912" s="4">
        <v>0</v>
      </c>
      <c r="D912" s="4">
        <v>0</v>
      </c>
      <c r="E912" s="4">
        <v>0</v>
      </c>
      <c r="F912" s="4">
        <v>83.349943181766804</v>
      </c>
      <c r="G912" s="4" t="str">
        <f t="shared" si="28"/>
        <v>OK</v>
      </c>
      <c r="H912" s="4" t="str">
        <f t="shared" si="29"/>
        <v>ZERO</v>
      </c>
      <c r="I912">
        <v>0</v>
      </c>
      <c r="J912">
        <f>IFERROR(Table4[[#This Row],[energy_kwh]]/Table4[[#This Row],[expected_kwh]],0)</f>
        <v>0</v>
      </c>
      <c r="K912" t="str">
        <f>IF(Table4[[#This Row],[Performance_Ratio]] &lt; 0.85, "Underperforming", "Performing")</f>
        <v>Underperforming</v>
      </c>
      <c r="L912">
        <f>Table4[[#This Row],[energy_kwh]] - Table4[[#This Row],[expected_kwh]]</f>
        <v>0</v>
      </c>
      <c r="M912" t="str">
        <f>IF(Table4[[#This Row],[Performance_Deviation]] &lt; 0, "Underperforming", "Outperforming")</f>
        <v>Outperforming</v>
      </c>
      <c r="N912">
        <f>IF(Table4[[#This Row],[Performance_Ratio]] &lt; 0.85, Table4[[#This Row],[Performance_Deviation]] * 50 / 1000, 0)</f>
        <v>0</v>
      </c>
    </row>
    <row r="913" spans="1:14" x14ac:dyDescent="0.3">
      <c r="A913" s="6" t="s">
        <v>7</v>
      </c>
      <c r="B913" s="5">
        <v>45298.958333333336</v>
      </c>
      <c r="C913" s="6">
        <v>0</v>
      </c>
      <c r="D913" s="6">
        <v>0</v>
      </c>
      <c r="E913" s="6">
        <v>0</v>
      </c>
      <c r="F913" s="6">
        <v>88.6295549387916</v>
      </c>
      <c r="G913" s="6" t="str">
        <f t="shared" si="28"/>
        <v>OK</v>
      </c>
      <c r="H913" s="6" t="str">
        <f t="shared" si="29"/>
        <v>ZERO</v>
      </c>
      <c r="I913">
        <v>0</v>
      </c>
      <c r="J913">
        <f>IFERROR(Table4[[#This Row],[energy_kwh]]/Table4[[#This Row],[expected_kwh]],0)</f>
        <v>0</v>
      </c>
      <c r="K913" t="str">
        <f>IF(Table4[[#This Row],[Performance_Ratio]] &lt; 0.85, "Underperforming", "Performing")</f>
        <v>Underperforming</v>
      </c>
      <c r="L913">
        <f>Table4[[#This Row],[energy_kwh]] - Table4[[#This Row],[expected_kwh]]</f>
        <v>0</v>
      </c>
      <c r="M913" t="str">
        <f>IF(Table4[[#This Row],[Performance_Deviation]] &lt; 0, "Underperforming", "Outperforming")</f>
        <v>Outperforming</v>
      </c>
      <c r="N913">
        <f>IF(Table4[[#This Row],[Performance_Ratio]] &lt; 0.85, Table4[[#This Row],[Performance_Deviation]] * 50 / 1000, 0)</f>
        <v>0</v>
      </c>
    </row>
    <row r="914" spans="1:14" x14ac:dyDescent="0.3">
      <c r="A914" s="4" t="s">
        <v>7</v>
      </c>
      <c r="B914" s="3">
        <v>45299</v>
      </c>
      <c r="C914" s="4">
        <v>0</v>
      </c>
      <c r="D914" s="4">
        <v>0</v>
      </c>
      <c r="E914" s="4">
        <v>0</v>
      </c>
      <c r="F914" s="4">
        <v>43.1351211117113</v>
      </c>
      <c r="G914" s="4" t="str">
        <f t="shared" si="28"/>
        <v>OK</v>
      </c>
      <c r="H914" s="4" t="str">
        <f t="shared" si="29"/>
        <v>ZERO</v>
      </c>
      <c r="I914">
        <v>0</v>
      </c>
      <c r="J914">
        <f>IFERROR(Table4[[#This Row],[energy_kwh]]/Table4[[#This Row],[expected_kwh]],0)</f>
        <v>0</v>
      </c>
      <c r="K914" t="str">
        <f>IF(Table4[[#This Row],[Performance_Ratio]] &lt; 0.85, "Underperforming", "Performing")</f>
        <v>Underperforming</v>
      </c>
      <c r="L914">
        <f>Table4[[#This Row],[energy_kwh]] - Table4[[#This Row],[expected_kwh]]</f>
        <v>0</v>
      </c>
      <c r="M914" t="str">
        <f>IF(Table4[[#This Row],[Performance_Deviation]] &lt; 0, "Underperforming", "Outperforming")</f>
        <v>Outperforming</v>
      </c>
      <c r="N914">
        <f>IF(Table4[[#This Row],[Performance_Ratio]] &lt; 0.85, Table4[[#This Row],[Performance_Deviation]] * 50 / 1000, 0)</f>
        <v>0</v>
      </c>
    </row>
    <row r="915" spans="1:14" x14ac:dyDescent="0.3">
      <c r="A915" s="6" t="s">
        <v>7</v>
      </c>
      <c r="B915" s="5">
        <v>45299.041666666664</v>
      </c>
      <c r="C915" s="6">
        <v>0</v>
      </c>
      <c r="D915" s="6">
        <v>0</v>
      </c>
      <c r="E915" s="6">
        <v>0</v>
      </c>
      <c r="F915" s="6">
        <v>22.945206068123898</v>
      </c>
      <c r="G915" s="6" t="str">
        <f t="shared" si="28"/>
        <v>OK</v>
      </c>
      <c r="H915" s="6" t="str">
        <f t="shared" si="29"/>
        <v>ZERO</v>
      </c>
      <c r="I915">
        <v>0</v>
      </c>
      <c r="J915">
        <f>IFERROR(Table4[[#This Row],[energy_kwh]]/Table4[[#This Row],[expected_kwh]],0)</f>
        <v>0</v>
      </c>
      <c r="K915" t="str">
        <f>IF(Table4[[#This Row],[Performance_Ratio]] &lt; 0.85, "Underperforming", "Performing")</f>
        <v>Underperforming</v>
      </c>
      <c r="L915">
        <f>Table4[[#This Row],[energy_kwh]] - Table4[[#This Row],[expected_kwh]]</f>
        <v>0</v>
      </c>
      <c r="M915" t="str">
        <f>IF(Table4[[#This Row],[Performance_Deviation]] &lt; 0, "Underperforming", "Outperforming")</f>
        <v>Outperforming</v>
      </c>
      <c r="N915">
        <f>IF(Table4[[#This Row],[Performance_Ratio]] &lt; 0.85, Table4[[#This Row],[Performance_Deviation]] * 50 / 1000, 0)</f>
        <v>0</v>
      </c>
    </row>
    <row r="916" spans="1:14" x14ac:dyDescent="0.3">
      <c r="A916" s="4" t="s">
        <v>7</v>
      </c>
      <c r="B916" s="3">
        <v>45299.083333333336</v>
      </c>
      <c r="C916" s="4">
        <v>0</v>
      </c>
      <c r="D916" s="4">
        <v>0</v>
      </c>
      <c r="E916" s="4">
        <v>0</v>
      </c>
      <c r="F916" s="4">
        <v>80.407253228448397</v>
      </c>
      <c r="G916" s="4" t="str">
        <f t="shared" si="28"/>
        <v>OK</v>
      </c>
      <c r="H916" s="4" t="str">
        <f t="shared" si="29"/>
        <v>ZERO</v>
      </c>
      <c r="I916">
        <v>0</v>
      </c>
      <c r="J916">
        <f>IFERROR(Table4[[#This Row],[energy_kwh]]/Table4[[#This Row],[expected_kwh]],0)</f>
        <v>0</v>
      </c>
      <c r="K916" t="str">
        <f>IF(Table4[[#This Row],[Performance_Ratio]] &lt; 0.85, "Underperforming", "Performing")</f>
        <v>Underperforming</v>
      </c>
      <c r="L916">
        <f>Table4[[#This Row],[energy_kwh]] - Table4[[#This Row],[expected_kwh]]</f>
        <v>0</v>
      </c>
      <c r="M916" t="str">
        <f>IF(Table4[[#This Row],[Performance_Deviation]] &lt; 0, "Underperforming", "Outperforming")</f>
        <v>Outperforming</v>
      </c>
      <c r="N916">
        <f>IF(Table4[[#This Row],[Performance_Ratio]] &lt; 0.85, Table4[[#This Row],[Performance_Deviation]] * 50 / 1000, 0)</f>
        <v>0</v>
      </c>
    </row>
    <row r="917" spans="1:14" x14ac:dyDescent="0.3">
      <c r="A917" s="6" t="s">
        <v>7</v>
      </c>
      <c r="B917" s="5">
        <v>45299.125</v>
      </c>
      <c r="C917" s="6">
        <v>0</v>
      </c>
      <c r="D917" s="6">
        <v>0</v>
      </c>
      <c r="E917" s="6">
        <v>0</v>
      </c>
      <c r="F917" s="6">
        <v>78.747348721703503</v>
      </c>
      <c r="G917" s="6" t="str">
        <f t="shared" si="28"/>
        <v>OK</v>
      </c>
      <c r="H917" s="6" t="str">
        <f t="shared" si="29"/>
        <v>ZERO</v>
      </c>
      <c r="I917">
        <v>0</v>
      </c>
      <c r="J917">
        <f>IFERROR(Table4[[#This Row],[energy_kwh]]/Table4[[#This Row],[expected_kwh]],0)</f>
        <v>0</v>
      </c>
      <c r="K917" t="str">
        <f>IF(Table4[[#This Row],[Performance_Ratio]] &lt; 0.85, "Underperforming", "Performing")</f>
        <v>Underperforming</v>
      </c>
      <c r="L917">
        <f>Table4[[#This Row],[energy_kwh]] - Table4[[#This Row],[expected_kwh]]</f>
        <v>0</v>
      </c>
      <c r="M917" t="str">
        <f>IF(Table4[[#This Row],[Performance_Deviation]] &lt; 0, "Underperforming", "Outperforming")</f>
        <v>Outperforming</v>
      </c>
      <c r="N917">
        <f>IF(Table4[[#This Row],[Performance_Ratio]] &lt; 0.85, Table4[[#This Row],[Performance_Deviation]] * 50 / 1000, 0)</f>
        <v>0</v>
      </c>
    </row>
    <row r="918" spans="1:14" x14ac:dyDescent="0.3">
      <c r="A918" s="4" t="s">
        <v>7</v>
      </c>
      <c r="B918" s="3">
        <v>45299.166666666664</v>
      </c>
      <c r="C918" s="4">
        <v>0</v>
      </c>
      <c r="D918" s="4">
        <v>0</v>
      </c>
      <c r="E918" s="4">
        <v>0</v>
      </c>
      <c r="F918" s="4">
        <v>29.029068409181601</v>
      </c>
      <c r="G918" s="4" t="str">
        <f t="shared" si="28"/>
        <v>OK</v>
      </c>
      <c r="H918" s="4" t="str">
        <f t="shared" si="29"/>
        <v>ZERO</v>
      </c>
      <c r="I918">
        <v>0</v>
      </c>
      <c r="J918">
        <f>IFERROR(Table4[[#This Row],[energy_kwh]]/Table4[[#This Row],[expected_kwh]],0)</f>
        <v>0</v>
      </c>
      <c r="K918" t="str">
        <f>IF(Table4[[#This Row],[Performance_Ratio]] &lt; 0.85, "Underperforming", "Performing")</f>
        <v>Underperforming</v>
      </c>
      <c r="L918">
        <f>Table4[[#This Row],[energy_kwh]] - Table4[[#This Row],[expected_kwh]]</f>
        <v>0</v>
      </c>
      <c r="M918" t="str">
        <f>IF(Table4[[#This Row],[Performance_Deviation]] &lt; 0, "Underperforming", "Outperforming")</f>
        <v>Outperforming</v>
      </c>
      <c r="N918">
        <f>IF(Table4[[#This Row],[Performance_Ratio]] &lt; 0.85, Table4[[#This Row],[Performance_Deviation]] * 50 / 1000, 0)</f>
        <v>0</v>
      </c>
    </row>
    <row r="919" spans="1:14" x14ac:dyDescent="0.3">
      <c r="A919" s="6" t="s">
        <v>7</v>
      </c>
      <c r="B919" s="5">
        <v>45299.208333333336</v>
      </c>
      <c r="C919" s="6">
        <v>0</v>
      </c>
      <c r="D919" s="6">
        <v>0</v>
      </c>
      <c r="E919" s="6">
        <v>0</v>
      </c>
      <c r="F919" s="6">
        <v>66.706505242988001</v>
      </c>
      <c r="G919" s="6" t="str">
        <f t="shared" si="28"/>
        <v>OK</v>
      </c>
      <c r="H919" s="6" t="str">
        <f t="shared" si="29"/>
        <v>ZERO</v>
      </c>
      <c r="I919">
        <v>0</v>
      </c>
      <c r="J919">
        <f>IFERROR(Table4[[#This Row],[energy_kwh]]/Table4[[#This Row],[expected_kwh]],0)</f>
        <v>0</v>
      </c>
      <c r="K919" t="str">
        <f>IF(Table4[[#This Row],[Performance_Ratio]] &lt; 0.85, "Underperforming", "Performing")</f>
        <v>Underperforming</v>
      </c>
      <c r="L919">
        <f>Table4[[#This Row],[energy_kwh]] - Table4[[#This Row],[expected_kwh]]</f>
        <v>0</v>
      </c>
      <c r="M919" t="str">
        <f>IF(Table4[[#This Row],[Performance_Deviation]] &lt; 0, "Underperforming", "Outperforming")</f>
        <v>Outperforming</v>
      </c>
      <c r="N919">
        <f>IF(Table4[[#This Row],[Performance_Ratio]] &lt; 0.85, Table4[[#This Row],[Performance_Deviation]] * 50 / 1000, 0)</f>
        <v>0</v>
      </c>
    </row>
    <row r="920" spans="1:14" x14ac:dyDescent="0.3">
      <c r="A920" s="4" t="s">
        <v>7</v>
      </c>
      <c r="B920" s="3">
        <v>45299.25</v>
      </c>
      <c r="C920" s="4">
        <v>0</v>
      </c>
      <c r="D920" s="4">
        <v>0</v>
      </c>
      <c r="E920" s="4">
        <v>0</v>
      </c>
      <c r="F920" s="4">
        <v>32.016920073237898</v>
      </c>
      <c r="G920" s="4" t="str">
        <f t="shared" si="28"/>
        <v>OK</v>
      </c>
      <c r="H920" s="4" t="str">
        <f t="shared" si="29"/>
        <v>ZERO</v>
      </c>
      <c r="I920">
        <v>0</v>
      </c>
      <c r="J920">
        <f>IFERROR(Table4[[#This Row],[energy_kwh]]/Table4[[#This Row],[expected_kwh]],0)</f>
        <v>0</v>
      </c>
      <c r="K920" t="str">
        <f>IF(Table4[[#This Row],[Performance_Ratio]] &lt; 0.85, "Underperforming", "Performing")</f>
        <v>Underperforming</v>
      </c>
      <c r="L920">
        <f>Table4[[#This Row],[energy_kwh]] - Table4[[#This Row],[expected_kwh]]</f>
        <v>0</v>
      </c>
      <c r="M920" t="str">
        <f>IF(Table4[[#This Row],[Performance_Deviation]] &lt; 0, "Underperforming", "Outperforming")</f>
        <v>Outperforming</v>
      </c>
      <c r="N920">
        <f>IF(Table4[[#This Row],[Performance_Ratio]] &lt; 0.85, Table4[[#This Row],[Performance_Deviation]] * 50 / 1000, 0)</f>
        <v>0</v>
      </c>
    </row>
    <row r="921" spans="1:14" x14ac:dyDescent="0.3">
      <c r="A921" s="6" t="s">
        <v>7</v>
      </c>
      <c r="B921" s="5">
        <v>45299.291666666664</v>
      </c>
      <c r="C921" s="6">
        <v>136.345817554289</v>
      </c>
      <c r="D921" s="6">
        <v>133.35010527575199</v>
      </c>
      <c r="E921" s="6">
        <v>133.35010527575199</v>
      </c>
      <c r="F921" s="6">
        <v>76.796223370662503</v>
      </c>
      <c r="G921" s="6" t="str">
        <f t="shared" si="28"/>
        <v>OK</v>
      </c>
      <c r="H921" s="6" t="str">
        <f t="shared" si="29"/>
        <v>NON-ZERO</v>
      </c>
      <c r="I921">
        <v>155.291427061512</v>
      </c>
      <c r="J921">
        <f>IFERROR(Table4[[#This Row],[energy_kwh]]/Table4[[#This Row],[expected_kwh]],0)</f>
        <v>0.85870873749476906</v>
      </c>
      <c r="K921" t="str">
        <f>IF(Table4[[#This Row],[Performance_Ratio]] &lt; 0.85, "Underperforming", "Performing")</f>
        <v>Performing</v>
      </c>
      <c r="L921">
        <f>Table4[[#This Row],[energy_kwh]] - Table4[[#This Row],[expected_kwh]]</f>
        <v>-21.94132178576001</v>
      </c>
      <c r="M921" t="str">
        <f>IF(Table4[[#This Row],[Performance_Deviation]] &lt; 0, "Underperforming", "Outperforming")</f>
        <v>Underperforming</v>
      </c>
      <c r="N921">
        <f>IF(Table4[[#This Row],[Performance_Ratio]] &lt; 0.85, Table4[[#This Row],[Performance_Deviation]] * 50 / 1000, 0)</f>
        <v>0</v>
      </c>
    </row>
    <row r="922" spans="1:14" x14ac:dyDescent="0.3">
      <c r="A922" s="4" t="s">
        <v>7</v>
      </c>
      <c r="B922" s="3">
        <v>45299.333333333336</v>
      </c>
      <c r="C922" s="4">
        <v>267.350110350595</v>
      </c>
      <c r="D922" s="4">
        <v>261.47604671878202</v>
      </c>
      <c r="E922" s="4">
        <v>261.47604671878202</v>
      </c>
      <c r="F922" s="4">
        <v>65.183708147494002</v>
      </c>
      <c r="G922" s="4" t="str">
        <f t="shared" si="28"/>
        <v>OK</v>
      </c>
      <c r="H922" s="4" t="str">
        <f t="shared" si="29"/>
        <v>NON-ZERO</v>
      </c>
      <c r="I922">
        <v>300</v>
      </c>
      <c r="J922">
        <f>IFERROR(Table4[[#This Row],[energy_kwh]]/Table4[[#This Row],[expected_kwh]],0)</f>
        <v>0.8715868223959401</v>
      </c>
      <c r="K922" t="str">
        <f>IF(Table4[[#This Row],[Performance_Ratio]] &lt; 0.85, "Underperforming", "Performing")</f>
        <v>Performing</v>
      </c>
      <c r="L922">
        <f>Table4[[#This Row],[energy_kwh]] - Table4[[#This Row],[expected_kwh]]</f>
        <v>-38.523953281217985</v>
      </c>
      <c r="M922" t="str">
        <f>IF(Table4[[#This Row],[Performance_Deviation]] &lt; 0, "Underperforming", "Outperforming")</f>
        <v>Underperforming</v>
      </c>
      <c r="N922">
        <f>IF(Table4[[#This Row],[Performance_Ratio]] &lt; 0.85, Table4[[#This Row],[Performance_Deviation]] * 50 / 1000, 0)</f>
        <v>0</v>
      </c>
    </row>
    <row r="923" spans="1:14" x14ac:dyDescent="0.3">
      <c r="A923" s="6" t="s">
        <v>7</v>
      </c>
      <c r="B923" s="5">
        <v>45299.375</v>
      </c>
      <c r="C923" s="6">
        <v>396.37626087938997</v>
      </c>
      <c r="D923" s="6">
        <v>387.66730850419901</v>
      </c>
      <c r="E923" s="6">
        <v>387.66730850419901</v>
      </c>
      <c r="F923" s="6">
        <v>21.778081523338798</v>
      </c>
      <c r="G923" s="6" t="str">
        <f t="shared" si="28"/>
        <v>OK</v>
      </c>
      <c r="H923" s="6" t="str">
        <f t="shared" si="29"/>
        <v>NON-ZERO</v>
      </c>
      <c r="I923">
        <v>424.26406871192802</v>
      </c>
      <c r="J923">
        <f>IFERROR(Table4[[#This Row],[energy_kwh]]/Table4[[#This Row],[expected_kwh]],0)</f>
        <v>0.913740608958856</v>
      </c>
      <c r="K923" t="str">
        <f>IF(Table4[[#This Row],[Performance_Ratio]] &lt; 0.85, "Underperforming", "Performing")</f>
        <v>Performing</v>
      </c>
      <c r="L923">
        <f>Table4[[#This Row],[energy_kwh]] - Table4[[#This Row],[expected_kwh]]</f>
        <v>-36.596760207729005</v>
      </c>
      <c r="M923" t="str">
        <f>IF(Table4[[#This Row],[Performance_Deviation]] &lt; 0, "Underperforming", "Outperforming")</f>
        <v>Underperforming</v>
      </c>
      <c r="N923">
        <f>IF(Table4[[#This Row],[Performance_Ratio]] &lt; 0.85, Table4[[#This Row],[Performance_Deviation]] * 50 / 1000, 0)</f>
        <v>0</v>
      </c>
    </row>
    <row r="924" spans="1:14" x14ac:dyDescent="0.3">
      <c r="A924" s="4" t="s">
        <v>7</v>
      </c>
      <c r="B924" s="3">
        <v>45299.416666666664</v>
      </c>
      <c r="C924" s="4">
        <v>480.043244364408</v>
      </c>
      <c r="D924" s="4">
        <v>469.49600890705</v>
      </c>
      <c r="E924" s="4">
        <v>469.49600890705</v>
      </c>
      <c r="F924" s="4">
        <v>51.4720537105107</v>
      </c>
      <c r="G924" s="4" t="str">
        <f t="shared" si="28"/>
        <v>OK</v>
      </c>
      <c r="H924" s="4" t="str">
        <f t="shared" si="29"/>
        <v>NON-ZERO</v>
      </c>
      <c r="I924">
        <v>519.61524227066297</v>
      </c>
      <c r="J924">
        <f>IFERROR(Table4[[#This Row],[energy_kwh]]/Table4[[#This Row],[expected_kwh]],0)</f>
        <v>0.90354549041980126</v>
      </c>
      <c r="K924" t="str">
        <f>IF(Table4[[#This Row],[Performance_Ratio]] &lt; 0.85, "Underperforming", "Performing")</f>
        <v>Performing</v>
      </c>
      <c r="L924">
        <f>Table4[[#This Row],[energy_kwh]] - Table4[[#This Row],[expected_kwh]]</f>
        <v>-50.119233363612977</v>
      </c>
      <c r="M924" t="str">
        <f>IF(Table4[[#This Row],[Performance_Deviation]] &lt; 0, "Underperforming", "Outperforming")</f>
        <v>Underperforming</v>
      </c>
      <c r="N924">
        <f>IF(Table4[[#This Row],[Performance_Ratio]] &lt; 0.85, Table4[[#This Row],[Performance_Deviation]] * 50 / 1000, 0)</f>
        <v>0</v>
      </c>
    </row>
    <row r="925" spans="1:14" x14ac:dyDescent="0.3">
      <c r="A925" s="6" t="s">
        <v>7</v>
      </c>
      <c r="B925" s="5">
        <v>45299.458333333336</v>
      </c>
      <c r="C925" s="6">
        <v>529.99828561468098</v>
      </c>
      <c r="D925" s="6">
        <v>518.35346657806394</v>
      </c>
      <c r="E925" s="6">
        <v>518.35346657806394</v>
      </c>
      <c r="F925" s="6">
        <v>63.0462399551757</v>
      </c>
      <c r="G925" s="6" t="str">
        <f t="shared" si="28"/>
        <v>OK</v>
      </c>
      <c r="H925" s="6" t="str">
        <f t="shared" si="29"/>
        <v>NON-ZERO</v>
      </c>
      <c r="I925">
        <v>579.55549577344095</v>
      </c>
      <c r="J925">
        <f>IFERROR(Table4[[#This Row],[energy_kwh]]/Table4[[#This Row],[expected_kwh]],0)</f>
        <v>0.89439832830210619</v>
      </c>
      <c r="K925" t="str">
        <f>IF(Table4[[#This Row],[Performance_Ratio]] &lt; 0.85, "Underperforming", "Performing")</f>
        <v>Performing</v>
      </c>
      <c r="L925">
        <f>Table4[[#This Row],[energy_kwh]] - Table4[[#This Row],[expected_kwh]]</f>
        <v>-61.202029195377008</v>
      </c>
      <c r="M925" t="str">
        <f>IF(Table4[[#This Row],[Performance_Deviation]] &lt; 0, "Underperforming", "Outperforming")</f>
        <v>Underperforming</v>
      </c>
      <c r="N925">
        <f>IF(Table4[[#This Row],[Performance_Ratio]] &lt; 0.85, Table4[[#This Row],[Performance_Deviation]] * 50 / 1000, 0)</f>
        <v>0</v>
      </c>
    </row>
    <row r="926" spans="1:14" x14ac:dyDescent="0.3">
      <c r="A926" s="4" t="s">
        <v>7</v>
      </c>
      <c r="B926" s="3">
        <v>45299.5</v>
      </c>
      <c r="C926" s="4">
        <v>554.93183068400299</v>
      </c>
      <c r="D926" s="4">
        <v>542.73918606350401</v>
      </c>
      <c r="E926" s="4">
        <v>542.73918606350401</v>
      </c>
      <c r="F926" s="4">
        <v>79.052896861195407</v>
      </c>
      <c r="G926" s="4" t="str">
        <f t="shared" si="28"/>
        <v>OK</v>
      </c>
      <c r="H926" s="4" t="str">
        <f t="shared" si="29"/>
        <v>NON-ZERO</v>
      </c>
      <c r="I926">
        <v>600</v>
      </c>
      <c r="J926">
        <f>IFERROR(Table4[[#This Row],[energy_kwh]]/Table4[[#This Row],[expected_kwh]],0)</f>
        <v>0.90456531010583996</v>
      </c>
      <c r="K926" t="str">
        <f>IF(Table4[[#This Row],[Performance_Ratio]] &lt; 0.85, "Underperforming", "Performing")</f>
        <v>Performing</v>
      </c>
      <c r="L926">
        <f>Table4[[#This Row],[energy_kwh]] - Table4[[#This Row],[expected_kwh]]</f>
        <v>-57.260813936495992</v>
      </c>
      <c r="M926" t="str">
        <f>IF(Table4[[#This Row],[Performance_Deviation]] &lt; 0, "Underperforming", "Outperforming")</f>
        <v>Underperforming</v>
      </c>
      <c r="N926">
        <f>IF(Table4[[#This Row],[Performance_Ratio]] &lt; 0.85, Table4[[#This Row],[Performance_Deviation]] * 50 / 1000, 0)</f>
        <v>0</v>
      </c>
    </row>
    <row r="927" spans="1:14" x14ac:dyDescent="0.3">
      <c r="A927" s="6" t="s">
        <v>7</v>
      </c>
      <c r="B927" s="5">
        <v>45299.541666666664</v>
      </c>
      <c r="C927" s="6">
        <v>547.27043082277896</v>
      </c>
      <c r="D927" s="6">
        <v>535.24611809574503</v>
      </c>
      <c r="E927" s="6">
        <v>535.24611809574503</v>
      </c>
      <c r="F927" s="6">
        <v>64.126416573736407</v>
      </c>
      <c r="G927" s="6" t="str">
        <f t="shared" si="28"/>
        <v>OK</v>
      </c>
      <c r="H927" s="6" t="str">
        <f t="shared" si="29"/>
        <v>NON-ZERO</v>
      </c>
      <c r="I927">
        <v>579.55549577344095</v>
      </c>
      <c r="J927">
        <f>IFERROR(Table4[[#This Row],[energy_kwh]]/Table4[[#This Row],[expected_kwh]],0)</f>
        <v>0.92354592786914524</v>
      </c>
      <c r="K927" t="str">
        <f>IF(Table4[[#This Row],[Performance_Ratio]] &lt; 0.85, "Underperforming", "Performing")</f>
        <v>Performing</v>
      </c>
      <c r="L927">
        <f>Table4[[#This Row],[energy_kwh]] - Table4[[#This Row],[expected_kwh]]</f>
        <v>-44.30937767769592</v>
      </c>
      <c r="M927" t="str">
        <f>IF(Table4[[#This Row],[Performance_Deviation]] &lt; 0, "Underperforming", "Outperforming")</f>
        <v>Underperforming</v>
      </c>
      <c r="N927">
        <f>IF(Table4[[#This Row],[Performance_Ratio]] &lt; 0.85, Table4[[#This Row],[Performance_Deviation]] * 50 / 1000, 0)</f>
        <v>0</v>
      </c>
    </row>
    <row r="928" spans="1:14" x14ac:dyDescent="0.3">
      <c r="A928" s="4" t="s">
        <v>7</v>
      </c>
      <c r="B928" s="3">
        <v>45299.583333333336</v>
      </c>
      <c r="C928" s="4">
        <v>506.160790355443</v>
      </c>
      <c r="D928" s="4">
        <v>495.03971512350398</v>
      </c>
      <c r="E928" s="4">
        <v>495.03971512350398</v>
      </c>
      <c r="F928" s="4">
        <v>73.207914847548096</v>
      </c>
      <c r="G928" s="4" t="str">
        <f t="shared" si="28"/>
        <v>OK</v>
      </c>
      <c r="H928" s="4" t="str">
        <f t="shared" si="29"/>
        <v>NON-ZERO</v>
      </c>
      <c r="I928">
        <v>519.61524227066297</v>
      </c>
      <c r="J928">
        <f>IFERROR(Table4[[#This Row],[energy_kwh]]/Table4[[#This Row],[expected_kwh]],0)</f>
        <v>0.95270437595370261</v>
      </c>
      <c r="K928" t="str">
        <f>IF(Table4[[#This Row],[Performance_Ratio]] &lt; 0.85, "Underperforming", "Performing")</f>
        <v>Performing</v>
      </c>
      <c r="L928">
        <f>Table4[[#This Row],[energy_kwh]] - Table4[[#This Row],[expected_kwh]]</f>
        <v>-24.575527147158994</v>
      </c>
      <c r="M928" t="str">
        <f>IF(Table4[[#This Row],[Performance_Deviation]] &lt; 0, "Underperforming", "Outperforming")</f>
        <v>Underperforming</v>
      </c>
      <c r="N928">
        <f>IF(Table4[[#This Row],[Performance_Ratio]] &lt; 0.85, Table4[[#This Row],[Performance_Deviation]] * 50 / 1000, 0)</f>
        <v>0</v>
      </c>
    </row>
    <row r="929" spans="1:14" x14ac:dyDescent="0.3">
      <c r="A929" s="6" t="s">
        <v>7</v>
      </c>
      <c r="B929" s="5">
        <v>45299.625</v>
      </c>
      <c r="C929" s="6">
        <v>400.84223057398498</v>
      </c>
      <c r="D929" s="6">
        <v>392.03515446834399</v>
      </c>
      <c r="E929" s="6">
        <v>392.03515446834399</v>
      </c>
      <c r="F929" s="6">
        <v>48.104147788053197</v>
      </c>
      <c r="G929" s="6" t="str">
        <f t="shared" si="28"/>
        <v>OK</v>
      </c>
      <c r="H929" s="6" t="str">
        <f t="shared" si="29"/>
        <v>NON-ZERO</v>
      </c>
      <c r="I929">
        <v>424.26406871192802</v>
      </c>
      <c r="J929">
        <f>IFERROR(Table4[[#This Row],[energy_kwh]]/Table4[[#This Row],[expected_kwh]],0)</f>
        <v>0.92403572062693995</v>
      </c>
      <c r="K929" t="str">
        <f>IF(Table4[[#This Row],[Performance_Ratio]] &lt; 0.85, "Underperforming", "Performing")</f>
        <v>Performing</v>
      </c>
      <c r="L929">
        <f>Table4[[#This Row],[energy_kwh]] - Table4[[#This Row],[expected_kwh]]</f>
        <v>-32.228914243584029</v>
      </c>
      <c r="M929" t="str">
        <f>IF(Table4[[#This Row],[Performance_Deviation]] &lt; 0, "Underperforming", "Outperforming")</f>
        <v>Underperforming</v>
      </c>
      <c r="N929">
        <f>IF(Table4[[#This Row],[Performance_Ratio]] &lt; 0.85, Table4[[#This Row],[Performance_Deviation]] * 50 / 1000, 0)</f>
        <v>0</v>
      </c>
    </row>
    <row r="930" spans="1:14" x14ac:dyDescent="0.3">
      <c r="A930" s="4" t="s">
        <v>7</v>
      </c>
      <c r="B930" s="3">
        <v>45299.666666666664</v>
      </c>
      <c r="C930" s="4">
        <v>271.76541038285001</v>
      </c>
      <c r="D930" s="4">
        <v>265.794336305412</v>
      </c>
      <c r="E930" s="4">
        <v>265.794336305412</v>
      </c>
      <c r="F930" s="4">
        <v>80.423660402250604</v>
      </c>
      <c r="G930" s="4" t="str">
        <f t="shared" si="28"/>
        <v>OK</v>
      </c>
      <c r="H930" s="4" t="str">
        <f t="shared" si="29"/>
        <v>NON-ZERO</v>
      </c>
      <c r="I930">
        <v>300</v>
      </c>
      <c r="J930">
        <f>IFERROR(Table4[[#This Row],[energy_kwh]]/Table4[[#This Row],[expected_kwh]],0)</f>
        <v>0.88598112101804005</v>
      </c>
      <c r="K930" t="str">
        <f>IF(Table4[[#This Row],[Performance_Ratio]] &lt; 0.85, "Underperforming", "Performing")</f>
        <v>Performing</v>
      </c>
      <c r="L930">
        <f>Table4[[#This Row],[energy_kwh]] - Table4[[#This Row],[expected_kwh]]</f>
        <v>-34.205663694587997</v>
      </c>
      <c r="M930" t="str">
        <f>IF(Table4[[#This Row],[Performance_Deviation]] &lt; 0, "Underperforming", "Outperforming")</f>
        <v>Underperforming</v>
      </c>
      <c r="N930">
        <f>IF(Table4[[#This Row],[Performance_Ratio]] &lt; 0.85, Table4[[#This Row],[Performance_Deviation]] * 50 / 1000, 0)</f>
        <v>0</v>
      </c>
    </row>
    <row r="931" spans="1:14" x14ac:dyDescent="0.3">
      <c r="A931" s="6" t="s">
        <v>7</v>
      </c>
      <c r="B931" s="5">
        <v>45299.708333333336</v>
      </c>
      <c r="C931" s="6">
        <v>148.28701480657099</v>
      </c>
      <c r="D931" s="6">
        <v>145.028937375434</v>
      </c>
      <c r="E931" s="6">
        <v>145.028937375434</v>
      </c>
      <c r="F931" s="6">
        <v>81.297898415992705</v>
      </c>
      <c r="G931" s="6" t="str">
        <f t="shared" si="28"/>
        <v>OK</v>
      </c>
      <c r="H931" s="6" t="str">
        <f t="shared" si="29"/>
        <v>NON-ZERO</v>
      </c>
      <c r="I931">
        <v>155.291427061512</v>
      </c>
      <c r="J931">
        <f>IFERROR(Table4[[#This Row],[energy_kwh]]/Table4[[#This Row],[expected_kwh]],0)</f>
        <v>0.93391464113461364</v>
      </c>
      <c r="K931" t="str">
        <f>IF(Table4[[#This Row],[Performance_Ratio]] &lt; 0.85, "Underperforming", "Performing")</f>
        <v>Performing</v>
      </c>
      <c r="L931">
        <f>Table4[[#This Row],[energy_kwh]] - Table4[[#This Row],[expected_kwh]]</f>
        <v>-10.262489686077998</v>
      </c>
      <c r="M931" t="str">
        <f>IF(Table4[[#This Row],[Performance_Deviation]] &lt; 0, "Underperforming", "Outperforming")</f>
        <v>Underperforming</v>
      </c>
      <c r="N931">
        <f>IF(Table4[[#This Row],[Performance_Ratio]] &lt; 0.85, Table4[[#This Row],[Performance_Deviation]] * 50 / 1000, 0)</f>
        <v>0</v>
      </c>
    </row>
    <row r="932" spans="1:14" x14ac:dyDescent="0.3">
      <c r="A932" s="4" t="s">
        <v>7</v>
      </c>
      <c r="B932" s="3">
        <v>45299.75</v>
      </c>
      <c r="C932" s="7">
        <v>5.9592615920756004E-14</v>
      </c>
      <c r="D932" s="7">
        <v>5.82832810660008E-14</v>
      </c>
      <c r="E932" s="7">
        <v>5.82832810660008E-14</v>
      </c>
      <c r="F932" s="4">
        <v>35.8344456918528</v>
      </c>
      <c r="G932" s="4" t="str">
        <f t="shared" si="28"/>
        <v>OK</v>
      </c>
      <c r="H932" s="4" t="str">
        <f t="shared" si="29"/>
        <v>NON-ZERO</v>
      </c>
      <c r="I932" s="2">
        <v>7.3478807948841102E-14</v>
      </c>
      <c r="J932">
        <f>IFERROR(Table4[[#This Row],[energy_kwh]]/Table4[[#This Row],[expected_kwh]],0)</f>
        <v>0.79319851114868334</v>
      </c>
      <c r="K932" t="str">
        <f>IF(Table4[[#This Row],[Performance_Ratio]] &lt; 0.85, "Underperforming", "Performing")</f>
        <v>Underperforming</v>
      </c>
      <c r="L932">
        <f>Table4[[#This Row],[energy_kwh]] - Table4[[#This Row],[expected_kwh]]</f>
        <v>-1.5195526882840302E-14</v>
      </c>
      <c r="M932" t="str">
        <f>IF(Table4[[#This Row],[Performance_Deviation]] &lt; 0, "Underperforming", "Outperforming")</f>
        <v>Underperforming</v>
      </c>
      <c r="N932">
        <f>IF(Table4[[#This Row],[Performance_Ratio]] &lt; 0.85, Table4[[#This Row],[Performance_Deviation]] * 50 / 1000, 0)</f>
        <v>-7.5977634414201512E-16</v>
      </c>
    </row>
    <row r="933" spans="1:14" x14ac:dyDescent="0.3">
      <c r="A933" s="6" t="s">
        <v>7</v>
      </c>
      <c r="B933" s="5">
        <v>45299.791666666664</v>
      </c>
      <c r="C933" s="6">
        <v>0</v>
      </c>
      <c r="D933" s="6">
        <v>0</v>
      </c>
      <c r="E933" s="6">
        <v>0</v>
      </c>
      <c r="F933" s="6">
        <v>56.940153553571697</v>
      </c>
      <c r="G933" s="6" t="str">
        <f t="shared" si="28"/>
        <v>OK</v>
      </c>
      <c r="H933" s="6" t="str">
        <f t="shared" si="29"/>
        <v>ZERO</v>
      </c>
      <c r="I933">
        <v>0</v>
      </c>
      <c r="J933">
        <f>IFERROR(Table4[[#This Row],[energy_kwh]]/Table4[[#This Row],[expected_kwh]],0)</f>
        <v>0</v>
      </c>
      <c r="K933" t="str">
        <f>IF(Table4[[#This Row],[Performance_Ratio]] &lt; 0.85, "Underperforming", "Performing")</f>
        <v>Underperforming</v>
      </c>
      <c r="L933">
        <f>Table4[[#This Row],[energy_kwh]] - Table4[[#This Row],[expected_kwh]]</f>
        <v>0</v>
      </c>
      <c r="M933" t="str">
        <f>IF(Table4[[#This Row],[Performance_Deviation]] &lt; 0, "Underperforming", "Outperforming")</f>
        <v>Outperforming</v>
      </c>
      <c r="N933">
        <f>IF(Table4[[#This Row],[Performance_Ratio]] &lt; 0.85, Table4[[#This Row],[Performance_Deviation]] * 50 / 1000, 0)</f>
        <v>0</v>
      </c>
    </row>
    <row r="934" spans="1:14" x14ac:dyDescent="0.3">
      <c r="A934" s="4" t="s">
        <v>7</v>
      </c>
      <c r="B934" s="3">
        <v>45299.833333333336</v>
      </c>
      <c r="C934" s="4">
        <v>0</v>
      </c>
      <c r="D934" s="4">
        <v>0</v>
      </c>
      <c r="E934" s="4">
        <v>0</v>
      </c>
      <c r="F934" s="4">
        <v>32.102551879128697</v>
      </c>
      <c r="G934" s="4" t="str">
        <f t="shared" si="28"/>
        <v>OK</v>
      </c>
      <c r="H934" s="4" t="str">
        <f t="shared" si="29"/>
        <v>ZERO</v>
      </c>
      <c r="I934">
        <v>0</v>
      </c>
      <c r="J934">
        <f>IFERROR(Table4[[#This Row],[energy_kwh]]/Table4[[#This Row],[expected_kwh]],0)</f>
        <v>0</v>
      </c>
      <c r="K934" t="str">
        <f>IF(Table4[[#This Row],[Performance_Ratio]] &lt; 0.85, "Underperforming", "Performing")</f>
        <v>Underperforming</v>
      </c>
      <c r="L934">
        <f>Table4[[#This Row],[energy_kwh]] - Table4[[#This Row],[expected_kwh]]</f>
        <v>0</v>
      </c>
      <c r="M934" t="str">
        <f>IF(Table4[[#This Row],[Performance_Deviation]] &lt; 0, "Underperforming", "Outperforming")</f>
        <v>Outperforming</v>
      </c>
      <c r="N934">
        <f>IF(Table4[[#This Row],[Performance_Ratio]] &lt; 0.85, Table4[[#This Row],[Performance_Deviation]] * 50 / 1000, 0)</f>
        <v>0</v>
      </c>
    </row>
    <row r="935" spans="1:14" x14ac:dyDescent="0.3">
      <c r="A935" s="6" t="s">
        <v>7</v>
      </c>
      <c r="B935" s="5">
        <v>45299.875</v>
      </c>
      <c r="C935" s="6">
        <v>0</v>
      </c>
      <c r="D935" s="6">
        <v>0</v>
      </c>
      <c r="E935" s="6">
        <v>0</v>
      </c>
      <c r="F935" s="6">
        <v>77.0120697342619</v>
      </c>
      <c r="G935" s="6" t="str">
        <f t="shared" si="28"/>
        <v>OK</v>
      </c>
      <c r="H935" s="6" t="str">
        <f t="shared" si="29"/>
        <v>ZERO</v>
      </c>
      <c r="I935">
        <v>0</v>
      </c>
      <c r="J935">
        <f>IFERROR(Table4[[#This Row],[energy_kwh]]/Table4[[#This Row],[expected_kwh]],0)</f>
        <v>0</v>
      </c>
      <c r="K935" t="str">
        <f>IF(Table4[[#This Row],[Performance_Ratio]] &lt; 0.85, "Underperforming", "Performing")</f>
        <v>Underperforming</v>
      </c>
      <c r="L935">
        <f>Table4[[#This Row],[energy_kwh]] - Table4[[#This Row],[expected_kwh]]</f>
        <v>0</v>
      </c>
      <c r="M935" t="str">
        <f>IF(Table4[[#This Row],[Performance_Deviation]] &lt; 0, "Underperforming", "Outperforming")</f>
        <v>Outperforming</v>
      </c>
      <c r="N935">
        <f>IF(Table4[[#This Row],[Performance_Ratio]] &lt; 0.85, Table4[[#This Row],[Performance_Deviation]] * 50 / 1000, 0)</f>
        <v>0</v>
      </c>
    </row>
    <row r="936" spans="1:14" x14ac:dyDescent="0.3">
      <c r="A936" s="4" t="s">
        <v>7</v>
      </c>
      <c r="B936" s="3">
        <v>45299.916666666664</v>
      </c>
      <c r="C936" s="4">
        <v>0</v>
      </c>
      <c r="D936" s="4">
        <v>0</v>
      </c>
      <c r="E936" s="4">
        <v>0</v>
      </c>
      <c r="F936" s="4">
        <v>50.634168605636098</v>
      </c>
      <c r="G936" s="4" t="str">
        <f t="shared" si="28"/>
        <v>OK</v>
      </c>
      <c r="H936" s="4" t="str">
        <f t="shared" si="29"/>
        <v>ZERO</v>
      </c>
      <c r="I936">
        <v>0</v>
      </c>
      <c r="J936">
        <f>IFERROR(Table4[[#This Row],[energy_kwh]]/Table4[[#This Row],[expected_kwh]],0)</f>
        <v>0</v>
      </c>
      <c r="K936" t="str">
        <f>IF(Table4[[#This Row],[Performance_Ratio]] &lt; 0.85, "Underperforming", "Performing")</f>
        <v>Underperforming</v>
      </c>
      <c r="L936">
        <f>Table4[[#This Row],[energy_kwh]] - Table4[[#This Row],[expected_kwh]]</f>
        <v>0</v>
      </c>
      <c r="M936" t="str">
        <f>IF(Table4[[#This Row],[Performance_Deviation]] &lt; 0, "Underperforming", "Outperforming")</f>
        <v>Outperforming</v>
      </c>
      <c r="N936">
        <f>IF(Table4[[#This Row],[Performance_Ratio]] &lt; 0.85, Table4[[#This Row],[Performance_Deviation]] * 50 / 1000, 0)</f>
        <v>0</v>
      </c>
    </row>
    <row r="937" spans="1:14" x14ac:dyDescent="0.3">
      <c r="A937" s="6" t="s">
        <v>7</v>
      </c>
      <c r="B937" s="5">
        <v>45299.958333333336</v>
      </c>
      <c r="C937" s="6">
        <v>0</v>
      </c>
      <c r="D937" s="6">
        <v>0</v>
      </c>
      <c r="E937" s="6">
        <v>0</v>
      </c>
      <c r="F937" s="6">
        <v>22.600452816954899</v>
      </c>
      <c r="G937" s="6" t="str">
        <f t="shared" si="28"/>
        <v>OK</v>
      </c>
      <c r="H937" s="6" t="str">
        <f t="shared" si="29"/>
        <v>ZERO</v>
      </c>
      <c r="I937">
        <v>0</v>
      </c>
      <c r="J937">
        <f>IFERROR(Table4[[#This Row],[energy_kwh]]/Table4[[#This Row],[expected_kwh]],0)</f>
        <v>0</v>
      </c>
      <c r="K937" t="str">
        <f>IF(Table4[[#This Row],[Performance_Ratio]] &lt; 0.85, "Underperforming", "Performing")</f>
        <v>Underperforming</v>
      </c>
      <c r="L937">
        <f>Table4[[#This Row],[energy_kwh]] - Table4[[#This Row],[expected_kwh]]</f>
        <v>0</v>
      </c>
      <c r="M937" t="str">
        <f>IF(Table4[[#This Row],[Performance_Deviation]] &lt; 0, "Underperforming", "Outperforming")</f>
        <v>Outperforming</v>
      </c>
      <c r="N937">
        <f>IF(Table4[[#This Row],[Performance_Ratio]] &lt; 0.85, Table4[[#This Row],[Performance_Deviation]] * 50 / 1000, 0)</f>
        <v>0</v>
      </c>
    </row>
    <row r="938" spans="1:14" x14ac:dyDescent="0.3">
      <c r="A938" s="4" t="s">
        <v>7</v>
      </c>
      <c r="B938" s="3">
        <v>45300</v>
      </c>
      <c r="C938" s="4">
        <v>0</v>
      </c>
      <c r="D938" s="4">
        <v>0</v>
      </c>
      <c r="E938" s="4">
        <v>0</v>
      </c>
      <c r="F938" s="4">
        <v>39.487110345522403</v>
      </c>
      <c r="G938" s="4" t="str">
        <f t="shared" si="28"/>
        <v>OK</v>
      </c>
      <c r="H938" s="4" t="str">
        <f t="shared" si="29"/>
        <v>ZERO</v>
      </c>
      <c r="I938">
        <v>0</v>
      </c>
      <c r="J938">
        <f>IFERROR(Table4[[#This Row],[energy_kwh]]/Table4[[#This Row],[expected_kwh]],0)</f>
        <v>0</v>
      </c>
      <c r="K938" t="str">
        <f>IF(Table4[[#This Row],[Performance_Ratio]] &lt; 0.85, "Underperforming", "Performing")</f>
        <v>Underperforming</v>
      </c>
      <c r="L938">
        <f>Table4[[#This Row],[energy_kwh]] - Table4[[#This Row],[expected_kwh]]</f>
        <v>0</v>
      </c>
      <c r="M938" t="str">
        <f>IF(Table4[[#This Row],[Performance_Deviation]] &lt; 0, "Underperforming", "Outperforming")</f>
        <v>Outperforming</v>
      </c>
      <c r="N938">
        <f>IF(Table4[[#This Row],[Performance_Ratio]] &lt; 0.85, Table4[[#This Row],[Performance_Deviation]] * 50 / 1000, 0)</f>
        <v>0</v>
      </c>
    </row>
    <row r="939" spans="1:14" x14ac:dyDescent="0.3">
      <c r="A939" s="6" t="s">
        <v>7</v>
      </c>
      <c r="B939" s="5">
        <v>45300.041666666664</v>
      </c>
      <c r="C939" s="6">
        <v>0</v>
      </c>
      <c r="D939" s="6">
        <v>0</v>
      </c>
      <c r="E939" s="6">
        <v>0</v>
      </c>
      <c r="F939" s="6">
        <v>42.2965403210994</v>
      </c>
      <c r="G939" s="6" t="str">
        <f t="shared" si="28"/>
        <v>OK</v>
      </c>
      <c r="H939" s="6" t="str">
        <f t="shared" si="29"/>
        <v>ZERO</v>
      </c>
      <c r="I939">
        <v>0</v>
      </c>
      <c r="J939">
        <f>IFERROR(Table4[[#This Row],[energy_kwh]]/Table4[[#This Row],[expected_kwh]],0)</f>
        <v>0</v>
      </c>
      <c r="K939" t="str">
        <f>IF(Table4[[#This Row],[Performance_Ratio]] &lt; 0.85, "Underperforming", "Performing")</f>
        <v>Underperforming</v>
      </c>
      <c r="L939">
        <f>Table4[[#This Row],[energy_kwh]] - Table4[[#This Row],[expected_kwh]]</f>
        <v>0</v>
      </c>
      <c r="M939" t="str">
        <f>IF(Table4[[#This Row],[Performance_Deviation]] &lt; 0, "Underperforming", "Outperforming")</f>
        <v>Outperforming</v>
      </c>
      <c r="N939">
        <f>IF(Table4[[#This Row],[Performance_Ratio]] &lt; 0.85, Table4[[#This Row],[Performance_Deviation]] * 50 / 1000, 0)</f>
        <v>0</v>
      </c>
    </row>
    <row r="940" spans="1:14" x14ac:dyDescent="0.3">
      <c r="A940" s="4" t="s">
        <v>7</v>
      </c>
      <c r="B940" s="3">
        <v>45300.083333333336</v>
      </c>
      <c r="C940" s="4">
        <v>0</v>
      </c>
      <c r="D940" s="4">
        <v>0</v>
      </c>
      <c r="E940" s="4">
        <v>0</v>
      </c>
      <c r="F940" s="4">
        <v>81.954851341121397</v>
      </c>
      <c r="G940" s="4" t="str">
        <f t="shared" si="28"/>
        <v>OK</v>
      </c>
      <c r="H940" s="4" t="str">
        <f t="shared" si="29"/>
        <v>ZERO</v>
      </c>
      <c r="I940">
        <v>0</v>
      </c>
      <c r="J940">
        <f>IFERROR(Table4[[#This Row],[energy_kwh]]/Table4[[#This Row],[expected_kwh]],0)</f>
        <v>0</v>
      </c>
      <c r="K940" t="str">
        <f>IF(Table4[[#This Row],[Performance_Ratio]] &lt; 0.85, "Underperforming", "Performing")</f>
        <v>Underperforming</v>
      </c>
      <c r="L940">
        <f>Table4[[#This Row],[energy_kwh]] - Table4[[#This Row],[expected_kwh]]</f>
        <v>0</v>
      </c>
      <c r="M940" t="str">
        <f>IF(Table4[[#This Row],[Performance_Deviation]] &lt; 0, "Underperforming", "Outperforming")</f>
        <v>Outperforming</v>
      </c>
      <c r="N940">
        <f>IF(Table4[[#This Row],[Performance_Ratio]] &lt; 0.85, Table4[[#This Row],[Performance_Deviation]] * 50 / 1000, 0)</f>
        <v>0</v>
      </c>
    </row>
    <row r="941" spans="1:14" x14ac:dyDescent="0.3">
      <c r="A941" s="6" t="s">
        <v>7</v>
      </c>
      <c r="B941" s="5">
        <v>45300.125</v>
      </c>
      <c r="C941" s="6">
        <v>0</v>
      </c>
      <c r="D941" s="6">
        <v>0</v>
      </c>
      <c r="E941" s="6">
        <v>0</v>
      </c>
      <c r="F941" s="6">
        <v>49.774412165560499</v>
      </c>
      <c r="G941" s="6" t="str">
        <f t="shared" si="28"/>
        <v>OK</v>
      </c>
      <c r="H941" s="6" t="str">
        <f t="shared" si="29"/>
        <v>ZERO</v>
      </c>
      <c r="I941">
        <v>0</v>
      </c>
      <c r="J941">
        <f>IFERROR(Table4[[#This Row],[energy_kwh]]/Table4[[#This Row],[expected_kwh]],0)</f>
        <v>0</v>
      </c>
      <c r="K941" t="str">
        <f>IF(Table4[[#This Row],[Performance_Ratio]] &lt; 0.85, "Underperforming", "Performing")</f>
        <v>Underperforming</v>
      </c>
      <c r="L941">
        <f>Table4[[#This Row],[energy_kwh]] - Table4[[#This Row],[expected_kwh]]</f>
        <v>0</v>
      </c>
      <c r="M941" t="str">
        <f>IF(Table4[[#This Row],[Performance_Deviation]] &lt; 0, "Underperforming", "Outperforming")</f>
        <v>Outperforming</v>
      </c>
      <c r="N941">
        <f>IF(Table4[[#This Row],[Performance_Ratio]] &lt; 0.85, Table4[[#This Row],[Performance_Deviation]] * 50 / 1000, 0)</f>
        <v>0</v>
      </c>
    </row>
    <row r="942" spans="1:14" x14ac:dyDescent="0.3">
      <c r="A942" s="4" t="s">
        <v>7</v>
      </c>
      <c r="B942" s="3">
        <v>45300.166666666664</v>
      </c>
      <c r="C942" s="4">
        <v>0</v>
      </c>
      <c r="D942" s="4">
        <v>0</v>
      </c>
      <c r="E942" s="4">
        <v>0</v>
      </c>
      <c r="F942" s="4">
        <v>40.298295648632397</v>
      </c>
      <c r="G942" s="4" t="str">
        <f t="shared" si="28"/>
        <v>OK</v>
      </c>
      <c r="H942" s="4" t="str">
        <f t="shared" si="29"/>
        <v>ZERO</v>
      </c>
      <c r="I942">
        <v>0</v>
      </c>
      <c r="J942">
        <f>IFERROR(Table4[[#This Row],[energy_kwh]]/Table4[[#This Row],[expected_kwh]],0)</f>
        <v>0</v>
      </c>
      <c r="K942" t="str">
        <f>IF(Table4[[#This Row],[Performance_Ratio]] &lt; 0.85, "Underperforming", "Performing")</f>
        <v>Underperforming</v>
      </c>
      <c r="L942">
        <f>Table4[[#This Row],[energy_kwh]] - Table4[[#This Row],[expected_kwh]]</f>
        <v>0</v>
      </c>
      <c r="M942" t="str">
        <f>IF(Table4[[#This Row],[Performance_Deviation]] &lt; 0, "Underperforming", "Outperforming")</f>
        <v>Outperforming</v>
      </c>
      <c r="N942">
        <f>IF(Table4[[#This Row],[Performance_Ratio]] &lt; 0.85, Table4[[#This Row],[Performance_Deviation]] * 50 / 1000, 0)</f>
        <v>0</v>
      </c>
    </row>
    <row r="943" spans="1:14" x14ac:dyDescent="0.3">
      <c r="A943" s="6" t="s">
        <v>7</v>
      </c>
      <c r="B943" s="5">
        <v>45300.208333333336</v>
      </c>
      <c r="C943" s="6">
        <v>0</v>
      </c>
      <c r="D943" s="6">
        <v>0</v>
      </c>
      <c r="E943" s="6">
        <v>0</v>
      </c>
      <c r="F943" s="6">
        <v>31.715113094794901</v>
      </c>
      <c r="G943" s="6" t="str">
        <f t="shared" si="28"/>
        <v>OK</v>
      </c>
      <c r="H943" s="6" t="str">
        <f t="shared" si="29"/>
        <v>ZERO</v>
      </c>
      <c r="I943">
        <v>0</v>
      </c>
      <c r="J943">
        <f>IFERROR(Table4[[#This Row],[energy_kwh]]/Table4[[#This Row],[expected_kwh]],0)</f>
        <v>0</v>
      </c>
      <c r="K943" t="str">
        <f>IF(Table4[[#This Row],[Performance_Ratio]] &lt; 0.85, "Underperforming", "Performing")</f>
        <v>Underperforming</v>
      </c>
      <c r="L943">
        <f>Table4[[#This Row],[energy_kwh]] - Table4[[#This Row],[expected_kwh]]</f>
        <v>0</v>
      </c>
      <c r="M943" t="str">
        <f>IF(Table4[[#This Row],[Performance_Deviation]] &lt; 0, "Underperforming", "Outperforming")</f>
        <v>Outperforming</v>
      </c>
      <c r="N943">
        <f>IF(Table4[[#This Row],[Performance_Ratio]] &lt; 0.85, Table4[[#This Row],[Performance_Deviation]] * 50 / 1000, 0)</f>
        <v>0</v>
      </c>
    </row>
    <row r="944" spans="1:14" x14ac:dyDescent="0.3">
      <c r="A944" s="4" t="s">
        <v>7</v>
      </c>
      <c r="B944" s="3">
        <v>45300.25</v>
      </c>
      <c r="C944" s="4">
        <v>0</v>
      </c>
      <c r="D944" s="4">
        <v>0</v>
      </c>
      <c r="E944" s="4">
        <v>0</v>
      </c>
      <c r="F944" s="4">
        <v>41.7079641214616</v>
      </c>
      <c r="G944" s="4" t="str">
        <f t="shared" si="28"/>
        <v>OK</v>
      </c>
      <c r="H944" s="4" t="str">
        <f t="shared" si="29"/>
        <v>ZERO</v>
      </c>
      <c r="I944">
        <v>0</v>
      </c>
      <c r="J944">
        <f>IFERROR(Table4[[#This Row],[energy_kwh]]/Table4[[#This Row],[expected_kwh]],0)</f>
        <v>0</v>
      </c>
      <c r="K944" t="str">
        <f>IF(Table4[[#This Row],[Performance_Ratio]] &lt; 0.85, "Underperforming", "Performing")</f>
        <v>Underperforming</v>
      </c>
      <c r="L944">
        <f>Table4[[#This Row],[energy_kwh]] - Table4[[#This Row],[expected_kwh]]</f>
        <v>0</v>
      </c>
      <c r="M944" t="str">
        <f>IF(Table4[[#This Row],[Performance_Deviation]] &lt; 0, "Underperforming", "Outperforming")</f>
        <v>Outperforming</v>
      </c>
      <c r="N944">
        <f>IF(Table4[[#This Row],[Performance_Ratio]] &lt; 0.85, Table4[[#This Row],[Performance_Deviation]] * 50 / 1000, 0)</f>
        <v>0</v>
      </c>
    </row>
    <row r="945" spans="1:14" x14ac:dyDescent="0.3">
      <c r="A945" s="6" t="s">
        <v>7</v>
      </c>
      <c r="B945" s="5">
        <v>45300.291666666664</v>
      </c>
      <c r="C945" s="6">
        <v>159.652061706393</v>
      </c>
      <c r="D945" s="6">
        <v>156.14427796849401</v>
      </c>
      <c r="E945" s="6">
        <v>156.14427796849401</v>
      </c>
      <c r="F945" s="6">
        <v>50.839285690211803</v>
      </c>
      <c r="G945" s="6" t="str">
        <f t="shared" si="28"/>
        <v>OK</v>
      </c>
      <c r="H945" s="6" t="str">
        <f t="shared" si="29"/>
        <v>NON-ZERO</v>
      </c>
      <c r="I945">
        <v>155.291427061512</v>
      </c>
      <c r="J945">
        <f>IFERROR(Table4[[#This Row],[energy_kwh]]/Table4[[#This Row],[expected_kwh]],0)</f>
        <v>1.0054919381135199</v>
      </c>
      <c r="K945" t="str">
        <f>IF(Table4[[#This Row],[Performance_Ratio]] &lt; 0.85, "Underperforming", "Performing")</f>
        <v>Performing</v>
      </c>
      <c r="L945">
        <f>Table4[[#This Row],[energy_kwh]] - Table4[[#This Row],[expected_kwh]]</f>
        <v>0.85285090698201316</v>
      </c>
      <c r="M945" t="str">
        <f>IF(Table4[[#This Row],[Performance_Deviation]] &lt; 0, "Underperforming", "Outperforming")</f>
        <v>Outperforming</v>
      </c>
      <c r="N945">
        <f>IF(Table4[[#This Row],[Performance_Ratio]] &lt; 0.85, Table4[[#This Row],[Performance_Deviation]] * 50 / 1000, 0)</f>
        <v>0</v>
      </c>
    </row>
    <row r="946" spans="1:14" x14ac:dyDescent="0.3">
      <c r="A946" s="4" t="s">
        <v>7</v>
      </c>
      <c r="B946" s="3">
        <v>45300.333333333336</v>
      </c>
      <c r="C946" s="4">
        <v>246.44248826244601</v>
      </c>
      <c r="D946" s="4">
        <v>241.027794938634</v>
      </c>
      <c r="E946" s="4">
        <v>241.027794938634</v>
      </c>
      <c r="F946" s="4">
        <v>35.114628350473403</v>
      </c>
      <c r="G946" s="4" t="str">
        <f t="shared" si="28"/>
        <v>OK</v>
      </c>
      <c r="H946" s="4" t="str">
        <f t="shared" si="29"/>
        <v>NON-ZERO</v>
      </c>
      <c r="I946">
        <v>300</v>
      </c>
      <c r="J946">
        <f>IFERROR(Table4[[#This Row],[energy_kwh]]/Table4[[#This Row],[expected_kwh]],0)</f>
        <v>0.80342598312878</v>
      </c>
      <c r="K946" t="str">
        <f>IF(Table4[[#This Row],[Performance_Ratio]] &lt; 0.85, "Underperforming", "Performing")</f>
        <v>Underperforming</v>
      </c>
      <c r="L946">
        <f>Table4[[#This Row],[energy_kwh]] - Table4[[#This Row],[expected_kwh]]</f>
        <v>-58.972205061365997</v>
      </c>
      <c r="M946" t="str">
        <f>IF(Table4[[#This Row],[Performance_Deviation]] &lt; 0, "Underperforming", "Outperforming")</f>
        <v>Underperforming</v>
      </c>
      <c r="N946">
        <f>IF(Table4[[#This Row],[Performance_Ratio]] &lt; 0.85, Table4[[#This Row],[Performance_Deviation]] * 50 / 1000, 0)</f>
        <v>-2.9486102530682996</v>
      </c>
    </row>
    <row r="947" spans="1:14" x14ac:dyDescent="0.3">
      <c r="A947" s="6" t="s">
        <v>7</v>
      </c>
      <c r="B947" s="5">
        <v>45300.375</v>
      </c>
      <c r="C947" s="6">
        <v>379.75268182454801</v>
      </c>
      <c r="D947" s="6">
        <v>371.40897321540001</v>
      </c>
      <c r="E947" s="6">
        <v>371.40897321540001</v>
      </c>
      <c r="F947" s="6">
        <v>81.745490951002196</v>
      </c>
      <c r="G947" s="6" t="str">
        <f t="shared" si="28"/>
        <v>OK</v>
      </c>
      <c r="H947" s="6" t="str">
        <f t="shared" si="29"/>
        <v>NON-ZERO</v>
      </c>
      <c r="I947">
        <v>424.26406871192802</v>
      </c>
      <c r="J947">
        <f>IFERROR(Table4[[#This Row],[energy_kwh]]/Table4[[#This Row],[expected_kwh]],0)</f>
        <v>0.87541934518047482</v>
      </c>
      <c r="K947" t="str">
        <f>IF(Table4[[#This Row],[Performance_Ratio]] &lt; 0.85, "Underperforming", "Performing")</f>
        <v>Performing</v>
      </c>
      <c r="L947">
        <f>Table4[[#This Row],[energy_kwh]] - Table4[[#This Row],[expected_kwh]]</f>
        <v>-52.855095496528008</v>
      </c>
      <c r="M947" t="str">
        <f>IF(Table4[[#This Row],[Performance_Deviation]] &lt; 0, "Underperforming", "Outperforming")</f>
        <v>Underperforming</v>
      </c>
      <c r="N947">
        <f>IF(Table4[[#This Row],[Performance_Ratio]] &lt; 0.85, Table4[[#This Row],[Performance_Deviation]] * 50 / 1000, 0)</f>
        <v>0</v>
      </c>
    </row>
    <row r="948" spans="1:14" x14ac:dyDescent="0.3">
      <c r="A948" s="4" t="s">
        <v>7</v>
      </c>
      <c r="B948" s="3">
        <v>45300.416666666664</v>
      </c>
      <c r="C948" s="4">
        <v>547.08770419025495</v>
      </c>
      <c r="D948" s="4">
        <v>535.06740622822497</v>
      </c>
      <c r="E948" s="4">
        <v>535.06740622822497</v>
      </c>
      <c r="F948" s="4">
        <v>23.010414431402399</v>
      </c>
      <c r="G948" s="4" t="str">
        <f t="shared" si="28"/>
        <v>OK</v>
      </c>
      <c r="H948" s="4" t="str">
        <f t="shared" si="29"/>
        <v>NON-ZERO</v>
      </c>
      <c r="I948">
        <v>519.61524227066297</v>
      </c>
      <c r="J948">
        <f>IFERROR(Table4[[#This Row],[energy_kwh]]/Table4[[#This Row],[expected_kwh]],0)</f>
        <v>1.0297377034015356</v>
      </c>
      <c r="K948" t="str">
        <f>IF(Table4[[#This Row],[Performance_Ratio]] &lt; 0.85, "Underperforming", "Performing")</f>
        <v>Performing</v>
      </c>
      <c r="L948">
        <f>Table4[[#This Row],[energy_kwh]] - Table4[[#This Row],[expected_kwh]]</f>
        <v>15.452163957561993</v>
      </c>
      <c r="M948" t="str">
        <f>IF(Table4[[#This Row],[Performance_Deviation]] &lt; 0, "Underperforming", "Outperforming")</f>
        <v>Outperforming</v>
      </c>
      <c r="N948">
        <f>IF(Table4[[#This Row],[Performance_Ratio]] &lt; 0.85, Table4[[#This Row],[Performance_Deviation]] * 50 / 1000, 0)</f>
        <v>0</v>
      </c>
    </row>
    <row r="949" spans="1:14" x14ac:dyDescent="0.3">
      <c r="A949" s="6" t="s">
        <v>7</v>
      </c>
      <c r="B949" s="5">
        <v>45300.458333333336</v>
      </c>
      <c r="C949" s="6">
        <v>562.56287651187597</v>
      </c>
      <c r="D949" s="6">
        <v>550.20256691936197</v>
      </c>
      <c r="E949" s="6">
        <v>550.20256691936197</v>
      </c>
      <c r="F949" s="6">
        <v>42.055059663258298</v>
      </c>
      <c r="G949" s="6" t="str">
        <f t="shared" si="28"/>
        <v>OK</v>
      </c>
      <c r="H949" s="6" t="str">
        <f t="shared" si="29"/>
        <v>NON-ZERO</v>
      </c>
      <c r="I949">
        <v>579.55549577344095</v>
      </c>
      <c r="J949">
        <f>IFERROR(Table4[[#This Row],[energy_kwh]]/Table4[[#This Row],[expected_kwh]],0)</f>
        <v>0.94935268655350036</v>
      </c>
      <c r="K949" t="str">
        <f>IF(Table4[[#This Row],[Performance_Ratio]] &lt; 0.85, "Underperforming", "Performing")</f>
        <v>Performing</v>
      </c>
      <c r="L949">
        <f>Table4[[#This Row],[energy_kwh]] - Table4[[#This Row],[expected_kwh]]</f>
        <v>-29.352928854078982</v>
      </c>
      <c r="M949" t="str">
        <f>IF(Table4[[#This Row],[Performance_Deviation]] &lt; 0, "Underperforming", "Outperforming")</f>
        <v>Underperforming</v>
      </c>
      <c r="N949">
        <f>IF(Table4[[#This Row],[Performance_Ratio]] &lt; 0.85, Table4[[#This Row],[Performance_Deviation]] * 50 / 1000, 0)</f>
        <v>0</v>
      </c>
    </row>
    <row r="950" spans="1:14" x14ac:dyDescent="0.3">
      <c r="A950" s="4" t="s">
        <v>7</v>
      </c>
      <c r="B950" s="3">
        <v>45300.5</v>
      </c>
      <c r="C950" s="4">
        <v>597.86480462436305</v>
      </c>
      <c r="D950" s="4">
        <v>584.72886126911499</v>
      </c>
      <c r="E950" s="4">
        <v>584.72886126911499</v>
      </c>
      <c r="F950" s="4">
        <v>27.713194411810701</v>
      </c>
      <c r="G950" s="4" t="str">
        <f t="shared" si="28"/>
        <v>OK</v>
      </c>
      <c r="H950" s="4" t="str">
        <f t="shared" si="29"/>
        <v>NON-ZERO</v>
      </c>
      <c r="I950">
        <v>600</v>
      </c>
      <c r="J950">
        <f>IFERROR(Table4[[#This Row],[energy_kwh]]/Table4[[#This Row],[expected_kwh]],0)</f>
        <v>0.97454810211519161</v>
      </c>
      <c r="K950" t="str">
        <f>IF(Table4[[#This Row],[Performance_Ratio]] &lt; 0.85, "Underperforming", "Performing")</f>
        <v>Performing</v>
      </c>
      <c r="L950">
        <f>Table4[[#This Row],[energy_kwh]] - Table4[[#This Row],[expected_kwh]]</f>
        <v>-15.271138730885014</v>
      </c>
      <c r="M950" t="str">
        <f>IF(Table4[[#This Row],[Performance_Deviation]] &lt; 0, "Underperforming", "Outperforming")</f>
        <v>Underperforming</v>
      </c>
      <c r="N950">
        <f>IF(Table4[[#This Row],[Performance_Ratio]] &lt; 0.85, Table4[[#This Row],[Performance_Deviation]] * 50 / 1000, 0)</f>
        <v>0</v>
      </c>
    </row>
    <row r="951" spans="1:14" x14ac:dyDescent="0.3">
      <c r="A951" s="6" t="s">
        <v>7</v>
      </c>
      <c r="B951" s="5">
        <v>45300.541666666664</v>
      </c>
      <c r="C951" s="6">
        <v>521.19584692831995</v>
      </c>
      <c r="D951" s="6">
        <v>509.74443003726799</v>
      </c>
      <c r="E951" s="6">
        <v>509.74443003726799</v>
      </c>
      <c r="F951" s="6">
        <v>70.537917370250298</v>
      </c>
      <c r="G951" s="6" t="str">
        <f t="shared" si="28"/>
        <v>OK</v>
      </c>
      <c r="H951" s="6" t="str">
        <f t="shared" si="29"/>
        <v>NON-ZERO</v>
      </c>
      <c r="I951">
        <v>579.55549577344095</v>
      </c>
      <c r="J951">
        <f>IFERROR(Table4[[#This Row],[energy_kwh]]/Table4[[#This Row],[expected_kwh]],0)</f>
        <v>0.8795437775238294</v>
      </c>
      <c r="K951" t="str">
        <f>IF(Table4[[#This Row],[Performance_Ratio]] &lt; 0.85, "Underperforming", "Performing")</f>
        <v>Performing</v>
      </c>
      <c r="L951">
        <f>Table4[[#This Row],[energy_kwh]] - Table4[[#This Row],[expected_kwh]]</f>
        <v>-69.811065736172964</v>
      </c>
      <c r="M951" t="str">
        <f>IF(Table4[[#This Row],[Performance_Deviation]] &lt; 0, "Underperforming", "Outperforming")</f>
        <v>Underperforming</v>
      </c>
      <c r="N951">
        <f>IF(Table4[[#This Row],[Performance_Ratio]] &lt; 0.85, Table4[[#This Row],[Performance_Deviation]] * 50 / 1000, 0)</f>
        <v>0</v>
      </c>
    </row>
    <row r="952" spans="1:14" x14ac:dyDescent="0.3">
      <c r="A952" s="4" t="s">
        <v>7</v>
      </c>
      <c r="B952" s="3">
        <v>45300.583333333336</v>
      </c>
      <c r="C952" s="4">
        <v>477.15363008157601</v>
      </c>
      <c r="D952" s="4">
        <v>466.66988357563997</v>
      </c>
      <c r="E952" s="4">
        <v>466.66988357563997</v>
      </c>
      <c r="F952" s="4">
        <v>65.236259009221001</v>
      </c>
      <c r="G952" s="4" t="str">
        <f t="shared" si="28"/>
        <v>OK</v>
      </c>
      <c r="H952" s="4" t="str">
        <f t="shared" si="29"/>
        <v>NON-ZERO</v>
      </c>
      <c r="I952">
        <v>519.61524227066297</v>
      </c>
      <c r="J952">
        <f>IFERROR(Table4[[#This Row],[energy_kwh]]/Table4[[#This Row],[expected_kwh]],0)</f>
        <v>0.89810660968362388</v>
      </c>
      <c r="K952" t="str">
        <f>IF(Table4[[#This Row],[Performance_Ratio]] &lt; 0.85, "Underperforming", "Performing")</f>
        <v>Performing</v>
      </c>
      <c r="L952">
        <f>Table4[[#This Row],[energy_kwh]] - Table4[[#This Row],[expected_kwh]]</f>
        <v>-52.945358695023003</v>
      </c>
      <c r="M952" t="str">
        <f>IF(Table4[[#This Row],[Performance_Deviation]] &lt; 0, "Underperforming", "Outperforming")</f>
        <v>Underperforming</v>
      </c>
      <c r="N952">
        <f>IF(Table4[[#This Row],[Performance_Ratio]] &lt; 0.85, Table4[[#This Row],[Performance_Deviation]] * 50 / 1000, 0)</f>
        <v>0</v>
      </c>
    </row>
    <row r="953" spans="1:14" x14ac:dyDescent="0.3">
      <c r="A953" s="6" t="s">
        <v>7</v>
      </c>
      <c r="B953" s="5">
        <v>45300.625</v>
      </c>
      <c r="C953" s="6">
        <v>429.622797985082</v>
      </c>
      <c r="D953" s="6">
        <v>420.18337172214802</v>
      </c>
      <c r="E953" s="6">
        <v>420.18337172214802</v>
      </c>
      <c r="F953" s="6">
        <v>52.179677697699901</v>
      </c>
      <c r="G953" s="6" t="str">
        <f t="shared" si="28"/>
        <v>OK</v>
      </c>
      <c r="H953" s="6" t="str">
        <f t="shared" si="29"/>
        <v>NON-ZERO</v>
      </c>
      <c r="I953">
        <v>424.26406871192802</v>
      </c>
      <c r="J953">
        <f>IFERROR(Table4[[#This Row],[energy_kwh]]/Table4[[#This Row],[expected_kwh]],0)</f>
        <v>0.99038170495519673</v>
      </c>
      <c r="K953" t="str">
        <f>IF(Table4[[#This Row],[Performance_Ratio]] &lt; 0.85, "Underperforming", "Performing")</f>
        <v>Performing</v>
      </c>
      <c r="L953">
        <f>Table4[[#This Row],[energy_kwh]] - Table4[[#This Row],[expected_kwh]]</f>
        <v>-4.0806969897799945</v>
      </c>
      <c r="M953" t="str">
        <f>IF(Table4[[#This Row],[Performance_Deviation]] &lt; 0, "Underperforming", "Outperforming")</f>
        <v>Underperforming</v>
      </c>
      <c r="N953">
        <f>IF(Table4[[#This Row],[Performance_Ratio]] &lt; 0.85, Table4[[#This Row],[Performance_Deviation]] * 50 / 1000, 0)</f>
        <v>0</v>
      </c>
    </row>
    <row r="954" spans="1:14" x14ac:dyDescent="0.3">
      <c r="A954" s="4" t="s">
        <v>7</v>
      </c>
      <c r="B954" s="3">
        <v>45300.666666666664</v>
      </c>
      <c r="C954" s="4">
        <v>304.277321083993</v>
      </c>
      <c r="D954" s="4">
        <v>297.59191390977901</v>
      </c>
      <c r="E954" s="4">
        <v>297.59191390977901</v>
      </c>
      <c r="F954" s="4">
        <v>37.499961698699401</v>
      </c>
      <c r="G954" s="4" t="str">
        <f t="shared" si="28"/>
        <v>OK</v>
      </c>
      <c r="H954" s="4" t="str">
        <f t="shared" si="29"/>
        <v>NON-ZERO</v>
      </c>
      <c r="I954">
        <v>300</v>
      </c>
      <c r="J954">
        <f>IFERROR(Table4[[#This Row],[energy_kwh]]/Table4[[#This Row],[expected_kwh]],0)</f>
        <v>0.99197304636592998</v>
      </c>
      <c r="K954" t="str">
        <f>IF(Table4[[#This Row],[Performance_Ratio]] &lt; 0.85, "Underperforming", "Performing")</f>
        <v>Performing</v>
      </c>
      <c r="L954">
        <f>Table4[[#This Row],[energy_kwh]] - Table4[[#This Row],[expected_kwh]]</f>
        <v>-2.4080860902209906</v>
      </c>
      <c r="M954" t="str">
        <f>IF(Table4[[#This Row],[Performance_Deviation]] &lt; 0, "Underperforming", "Outperforming")</f>
        <v>Underperforming</v>
      </c>
      <c r="N954">
        <f>IF(Table4[[#This Row],[Performance_Ratio]] &lt; 0.85, Table4[[#This Row],[Performance_Deviation]] * 50 / 1000, 0)</f>
        <v>0</v>
      </c>
    </row>
    <row r="955" spans="1:14" x14ac:dyDescent="0.3">
      <c r="A955" s="6" t="s">
        <v>7</v>
      </c>
      <c r="B955" s="5">
        <v>45300.708333333336</v>
      </c>
      <c r="C955" s="6">
        <v>139.201650266109</v>
      </c>
      <c r="D955" s="6">
        <v>136.14319126549699</v>
      </c>
      <c r="E955" s="6">
        <v>136.14319126549699</v>
      </c>
      <c r="F955" s="6">
        <v>36.403541667990403</v>
      </c>
      <c r="G955" s="6" t="str">
        <f t="shared" si="28"/>
        <v>OK</v>
      </c>
      <c r="H955" s="6" t="str">
        <f t="shared" si="29"/>
        <v>NON-ZERO</v>
      </c>
      <c r="I955">
        <v>155.291427061512</v>
      </c>
      <c r="J955">
        <f>IFERROR(Table4[[#This Row],[energy_kwh]]/Table4[[#This Row],[expected_kwh]],0)</f>
        <v>0.87669483011170823</v>
      </c>
      <c r="K955" t="str">
        <f>IF(Table4[[#This Row],[Performance_Ratio]] &lt; 0.85, "Underperforming", "Performing")</f>
        <v>Performing</v>
      </c>
      <c r="L955">
        <f>Table4[[#This Row],[energy_kwh]] - Table4[[#This Row],[expected_kwh]]</f>
        <v>-19.148235796015001</v>
      </c>
      <c r="M955" t="str">
        <f>IF(Table4[[#This Row],[Performance_Deviation]] &lt; 0, "Underperforming", "Outperforming")</f>
        <v>Underperforming</v>
      </c>
      <c r="N955">
        <f>IF(Table4[[#This Row],[Performance_Ratio]] &lt; 0.85, Table4[[#This Row],[Performance_Deviation]] * 50 / 1000, 0)</f>
        <v>0</v>
      </c>
    </row>
    <row r="956" spans="1:14" x14ac:dyDescent="0.3">
      <c r="A956" s="4" t="s">
        <v>7</v>
      </c>
      <c r="B956" s="3">
        <v>45300.75</v>
      </c>
      <c r="C956" s="7">
        <v>7.5323278277145394E-14</v>
      </c>
      <c r="D956" s="7">
        <v>7.3668318311067699E-14</v>
      </c>
      <c r="E956" s="7">
        <v>7.3668318311067699E-14</v>
      </c>
      <c r="F956" s="4">
        <v>45.598898446253898</v>
      </c>
      <c r="G956" s="4" t="str">
        <f t="shared" si="28"/>
        <v>OK</v>
      </c>
      <c r="H956" s="4" t="str">
        <f t="shared" si="29"/>
        <v>NON-ZERO</v>
      </c>
      <c r="I956" s="2">
        <v>7.3478807948841102E-14</v>
      </c>
      <c r="J956">
        <f>IFERROR(Table4[[#This Row],[energy_kwh]]/Table4[[#This Row],[expected_kwh]],0)</f>
        <v>1.0025791159045279</v>
      </c>
      <c r="K956" t="str">
        <f>IF(Table4[[#This Row],[Performance_Ratio]] &lt; 0.85, "Underperforming", "Performing")</f>
        <v>Performing</v>
      </c>
      <c r="L956">
        <f>Table4[[#This Row],[energy_kwh]] - Table4[[#This Row],[expected_kwh]]</f>
        <v>1.895103622265979E-16</v>
      </c>
      <c r="M956" t="str">
        <f>IF(Table4[[#This Row],[Performance_Deviation]] &lt; 0, "Underperforming", "Outperforming")</f>
        <v>Outperforming</v>
      </c>
      <c r="N956">
        <f>IF(Table4[[#This Row],[Performance_Ratio]] &lt; 0.85, Table4[[#This Row],[Performance_Deviation]] * 50 / 1000, 0)</f>
        <v>0</v>
      </c>
    </row>
    <row r="957" spans="1:14" x14ac:dyDescent="0.3">
      <c r="A957" s="6" t="s">
        <v>7</v>
      </c>
      <c r="B957" s="5">
        <v>45300.791666666664</v>
      </c>
      <c r="C957" s="6">
        <v>0</v>
      </c>
      <c r="D957" s="6">
        <v>0</v>
      </c>
      <c r="E957" s="6">
        <v>0</v>
      </c>
      <c r="F957" s="6">
        <v>44.8978628551884</v>
      </c>
      <c r="G957" s="6" t="str">
        <f t="shared" si="28"/>
        <v>OK</v>
      </c>
      <c r="H957" s="6" t="str">
        <f t="shared" si="29"/>
        <v>ZERO</v>
      </c>
      <c r="I957">
        <v>0</v>
      </c>
      <c r="J957">
        <f>IFERROR(Table4[[#This Row],[energy_kwh]]/Table4[[#This Row],[expected_kwh]],0)</f>
        <v>0</v>
      </c>
      <c r="K957" t="str">
        <f>IF(Table4[[#This Row],[Performance_Ratio]] &lt; 0.85, "Underperforming", "Performing")</f>
        <v>Underperforming</v>
      </c>
      <c r="L957">
        <f>Table4[[#This Row],[energy_kwh]] - Table4[[#This Row],[expected_kwh]]</f>
        <v>0</v>
      </c>
      <c r="M957" t="str">
        <f>IF(Table4[[#This Row],[Performance_Deviation]] &lt; 0, "Underperforming", "Outperforming")</f>
        <v>Outperforming</v>
      </c>
      <c r="N957">
        <f>IF(Table4[[#This Row],[Performance_Ratio]] &lt; 0.85, Table4[[#This Row],[Performance_Deviation]] * 50 / 1000, 0)</f>
        <v>0</v>
      </c>
    </row>
    <row r="958" spans="1:14" x14ac:dyDescent="0.3">
      <c r="A958" s="4" t="s">
        <v>7</v>
      </c>
      <c r="B958" s="3">
        <v>45300.833333333336</v>
      </c>
      <c r="C958" s="4">
        <v>0</v>
      </c>
      <c r="D958" s="4">
        <v>0</v>
      </c>
      <c r="E958" s="4">
        <v>0</v>
      </c>
      <c r="F958" s="4">
        <v>22.0889180615805</v>
      </c>
      <c r="G958" s="4" t="str">
        <f t="shared" si="28"/>
        <v>OK</v>
      </c>
      <c r="H958" s="4" t="str">
        <f t="shared" si="29"/>
        <v>ZERO</v>
      </c>
      <c r="I958">
        <v>0</v>
      </c>
      <c r="J958">
        <f>IFERROR(Table4[[#This Row],[energy_kwh]]/Table4[[#This Row],[expected_kwh]],0)</f>
        <v>0</v>
      </c>
      <c r="K958" t="str">
        <f>IF(Table4[[#This Row],[Performance_Ratio]] &lt; 0.85, "Underperforming", "Performing")</f>
        <v>Underperforming</v>
      </c>
      <c r="L958">
        <f>Table4[[#This Row],[energy_kwh]] - Table4[[#This Row],[expected_kwh]]</f>
        <v>0</v>
      </c>
      <c r="M958" t="str">
        <f>IF(Table4[[#This Row],[Performance_Deviation]] &lt; 0, "Underperforming", "Outperforming")</f>
        <v>Outperforming</v>
      </c>
      <c r="N958">
        <f>IF(Table4[[#This Row],[Performance_Ratio]] &lt; 0.85, Table4[[#This Row],[Performance_Deviation]] * 50 / 1000, 0)</f>
        <v>0</v>
      </c>
    </row>
    <row r="959" spans="1:14" x14ac:dyDescent="0.3">
      <c r="A959" s="6" t="s">
        <v>7</v>
      </c>
      <c r="B959" s="5">
        <v>45300.875</v>
      </c>
      <c r="C959" s="6">
        <v>0</v>
      </c>
      <c r="D959" s="6">
        <v>0</v>
      </c>
      <c r="E959" s="6">
        <v>0</v>
      </c>
      <c r="F959" s="6">
        <v>61.110890204601603</v>
      </c>
      <c r="G959" s="6" t="str">
        <f t="shared" si="28"/>
        <v>OK</v>
      </c>
      <c r="H959" s="6" t="str">
        <f t="shared" si="29"/>
        <v>ZERO</v>
      </c>
      <c r="I959">
        <v>0</v>
      </c>
      <c r="J959">
        <f>IFERROR(Table4[[#This Row],[energy_kwh]]/Table4[[#This Row],[expected_kwh]],0)</f>
        <v>0</v>
      </c>
      <c r="K959" t="str">
        <f>IF(Table4[[#This Row],[Performance_Ratio]] &lt; 0.85, "Underperforming", "Performing")</f>
        <v>Underperforming</v>
      </c>
      <c r="L959">
        <f>Table4[[#This Row],[energy_kwh]] - Table4[[#This Row],[expected_kwh]]</f>
        <v>0</v>
      </c>
      <c r="M959" t="str">
        <f>IF(Table4[[#This Row],[Performance_Deviation]] &lt; 0, "Underperforming", "Outperforming")</f>
        <v>Outperforming</v>
      </c>
      <c r="N959">
        <f>IF(Table4[[#This Row],[Performance_Ratio]] &lt; 0.85, Table4[[#This Row],[Performance_Deviation]] * 50 / 1000, 0)</f>
        <v>0</v>
      </c>
    </row>
    <row r="960" spans="1:14" x14ac:dyDescent="0.3">
      <c r="A960" s="4" t="s">
        <v>7</v>
      </c>
      <c r="B960" s="3">
        <v>45300.916666666664</v>
      </c>
      <c r="C960" s="4">
        <v>0</v>
      </c>
      <c r="D960" s="4">
        <v>0</v>
      </c>
      <c r="E960" s="4">
        <v>0</v>
      </c>
      <c r="F960" s="4">
        <v>23.781258020165598</v>
      </c>
      <c r="G960" s="4" t="str">
        <f t="shared" si="28"/>
        <v>OK</v>
      </c>
      <c r="H960" s="4" t="str">
        <f t="shared" si="29"/>
        <v>ZERO</v>
      </c>
      <c r="I960">
        <v>0</v>
      </c>
      <c r="J960">
        <f>IFERROR(Table4[[#This Row],[energy_kwh]]/Table4[[#This Row],[expected_kwh]],0)</f>
        <v>0</v>
      </c>
      <c r="K960" t="str">
        <f>IF(Table4[[#This Row],[Performance_Ratio]] &lt; 0.85, "Underperforming", "Performing")</f>
        <v>Underperforming</v>
      </c>
      <c r="L960">
        <f>Table4[[#This Row],[energy_kwh]] - Table4[[#This Row],[expected_kwh]]</f>
        <v>0</v>
      </c>
      <c r="M960" t="str">
        <f>IF(Table4[[#This Row],[Performance_Deviation]] &lt; 0, "Underperforming", "Outperforming")</f>
        <v>Outperforming</v>
      </c>
      <c r="N960">
        <f>IF(Table4[[#This Row],[Performance_Ratio]] &lt; 0.85, Table4[[#This Row],[Performance_Deviation]] * 50 / 1000, 0)</f>
        <v>0</v>
      </c>
    </row>
    <row r="961" spans="1:14" x14ac:dyDescent="0.3">
      <c r="A961" s="6" t="s">
        <v>7</v>
      </c>
      <c r="B961" s="5">
        <v>45300.958333333336</v>
      </c>
      <c r="C961" s="6">
        <v>0</v>
      </c>
      <c r="D961" s="6">
        <v>0</v>
      </c>
      <c r="E961" s="6">
        <v>0</v>
      </c>
      <c r="F961" s="6">
        <v>62.293967506671699</v>
      </c>
      <c r="G961" s="6" t="str">
        <f t="shared" si="28"/>
        <v>OK</v>
      </c>
      <c r="H961" s="6" t="str">
        <f t="shared" si="29"/>
        <v>ZERO</v>
      </c>
      <c r="I961">
        <v>0</v>
      </c>
      <c r="J961">
        <f>IFERROR(Table4[[#This Row],[energy_kwh]]/Table4[[#This Row],[expected_kwh]],0)</f>
        <v>0</v>
      </c>
      <c r="K961" t="str">
        <f>IF(Table4[[#This Row],[Performance_Ratio]] &lt; 0.85, "Underperforming", "Performing")</f>
        <v>Underperforming</v>
      </c>
      <c r="L961">
        <f>Table4[[#This Row],[energy_kwh]] - Table4[[#This Row],[expected_kwh]]</f>
        <v>0</v>
      </c>
      <c r="M961" t="str">
        <f>IF(Table4[[#This Row],[Performance_Deviation]] &lt; 0, "Underperforming", "Outperforming")</f>
        <v>Outperforming</v>
      </c>
      <c r="N961">
        <f>IF(Table4[[#This Row],[Performance_Ratio]] &lt; 0.85, Table4[[#This Row],[Performance_Deviation]] * 50 / 1000, 0)</f>
        <v>0</v>
      </c>
    </row>
    <row r="962" spans="1:14" x14ac:dyDescent="0.3">
      <c r="A962" s="4" t="s">
        <v>7</v>
      </c>
      <c r="B962" s="3">
        <v>45301</v>
      </c>
      <c r="C962" s="4">
        <v>0</v>
      </c>
      <c r="D962" s="4">
        <v>0</v>
      </c>
      <c r="E962" s="4">
        <v>0</v>
      </c>
      <c r="F962" s="4">
        <v>45.571892857666803</v>
      </c>
      <c r="G962" s="4" t="str">
        <f t="shared" ref="G962:G1025" si="30">IF(D962 &gt; C962, "ERROR", "OK")</f>
        <v>OK</v>
      </c>
      <c r="H962" s="4" t="str">
        <f t="shared" ref="H962:H1025" si="31">IF(E962=0,"ZERO","NON-ZERO")</f>
        <v>ZERO</v>
      </c>
      <c r="I962">
        <v>0</v>
      </c>
      <c r="J962">
        <f>IFERROR(Table4[[#This Row],[energy_kwh]]/Table4[[#This Row],[expected_kwh]],0)</f>
        <v>0</v>
      </c>
      <c r="K962" t="str">
        <f>IF(Table4[[#This Row],[Performance_Ratio]] &lt; 0.85, "Underperforming", "Performing")</f>
        <v>Underperforming</v>
      </c>
      <c r="L962">
        <f>Table4[[#This Row],[energy_kwh]] - Table4[[#This Row],[expected_kwh]]</f>
        <v>0</v>
      </c>
      <c r="M962" t="str">
        <f>IF(Table4[[#This Row],[Performance_Deviation]] &lt; 0, "Underperforming", "Outperforming")</f>
        <v>Outperforming</v>
      </c>
      <c r="N962">
        <f>IF(Table4[[#This Row],[Performance_Ratio]] &lt; 0.85, Table4[[#This Row],[Performance_Deviation]] * 50 / 1000, 0)</f>
        <v>0</v>
      </c>
    </row>
    <row r="963" spans="1:14" x14ac:dyDescent="0.3">
      <c r="A963" s="6" t="s">
        <v>7</v>
      </c>
      <c r="B963" s="5">
        <v>45301.041666666664</v>
      </c>
      <c r="C963" s="6">
        <v>0</v>
      </c>
      <c r="D963" s="6">
        <v>0</v>
      </c>
      <c r="E963" s="6">
        <v>0</v>
      </c>
      <c r="F963" s="6">
        <v>30.746109402698</v>
      </c>
      <c r="G963" s="6" t="str">
        <f t="shared" si="30"/>
        <v>OK</v>
      </c>
      <c r="H963" s="6" t="str">
        <f t="shared" si="31"/>
        <v>ZERO</v>
      </c>
      <c r="I963">
        <v>0</v>
      </c>
      <c r="J963">
        <f>IFERROR(Table4[[#This Row],[energy_kwh]]/Table4[[#This Row],[expected_kwh]],0)</f>
        <v>0</v>
      </c>
      <c r="K963" t="str">
        <f>IF(Table4[[#This Row],[Performance_Ratio]] &lt; 0.85, "Underperforming", "Performing")</f>
        <v>Underperforming</v>
      </c>
      <c r="L963">
        <f>Table4[[#This Row],[energy_kwh]] - Table4[[#This Row],[expected_kwh]]</f>
        <v>0</v>
      </c>
      <c r="M963" t="str">
        <f>IF(Table4[[#This Row],[Performance_Deviation]] &lt; 0, "Underperforming", "Outperforming")</f>
        <v>Outperforming</v>
      </c>
      <c r="N963">
        <f>IF(Table4[[#This Row],[Performance_Ratio]] &lt; 0.85, Table4[[#This Row],[Performance_Deviation]] * 50 / 1000, 0)</f>
        <v>0</v>
      </c>
    </row>
    <row r="964" spans="1:14" x14ac:dyDescent="0.3">
      <c r="A964" s="4" t="s">
        <v>7</v>
      </c>
      <c r="B964" s="3">
        <v>45301.083333333336</v>
      </c>
      <c r="C964" s="4">
        <v>0</v>
      </c>
      <c r="D964" s="4">
        <v>0</v>
      </c>
      <c r="E964" s="4">
        <v>0</v>
      </c>
      <c r="F964" s="4">
        <v>87.519808340155194</v>
      </c>
      <c r="G964" s="4" t="str">
        <f t="shared" si="30"/>
        <v>OK</v>
      </c>
      <c r="H964" s="4" t="str">
        <f t="shared" si="31"/>
        <v>ZERO</v>
      </c>
      <c r="I964">
        <v>0</v>
      </c>
      <c r="J964">
        <f>IFERROR(Table4[[#This Row],[energy_kwh]]/Table4[[#This Row],[expected_kwh]],0)</f>
        <v>0</v>
      </c>
      <c r="K964" t="str">
        <f>IF(Table4[[#This Row],[Performance_Ratio]] &lt; 0.85, "Underperforming", "Performing")</f>
        <v>Underperforming</v>
      </c>
      <c r="L964">
        <f>Table4[[#This Row],[energy_kwh]] - Table4[[#This Row],[expected_kwh]]</f>
        <v>0</v>
      </c>
      <c r="M964" t="str">
        <f>IF(Table4[[#This Row],[Performance_Deviation]] &lt; 0, "Underperforming", "Outperforming")</f>
        <v>Outperforming</v>
      </c>
      <c r="N964">
        <f>IF(Table4[[#This Row],[Performance_Ratio]] &lt; 0.85, Table4[[#This Row],[Performance_Deviation]] * 50 / 1000, 0)</f>
        <v>0</v>
      </c>
    </row>
    <row r="965" spans="1:14" x14ac:dyDescent="0.3">
      <c r="A965" s="6" t="s">
        <v>7</v>
      </c>
      <c r="B965" s="5">
        <v>45301.125</v>
      </c>
      <c r="C965" s="6">
        <v>0</v>
      </c>
      <c r="D965" s="6">
        <v>0</v>
      </c>
      <c r="E965" s="6">
        <v>0</v>
      </c>
      <c r="F965" s="6">
        <v>70.972488679635703</v>
      </c>
      <c r="G965" s="6" t="str">
        <f t="shared" si="30"/>
        <v>OK</v>
      </c>
      <c r="H965" s="6" t="str">
        <f t="shared" si="31"/>
        <v>ZERO</v>
      </c>
      <c r="I965">
        <v>0</v>
      </c>
      <c r="J965">
        <f>IFERROR(Table4[[#This Row],[energy_kwh]]/Table4[[#This Row],[expected_kwh]],0)</f>
        <v>0</v>
      </c>
      <c r="K965" t="str">
        <f>IF(Table4[[#This Row],[Performance_Ratio]] &lt; 0.85, "Underperforming", "Performing")</f>
        <v>Underperforming</v>
      </c>
      <c r="L965">
        <f>Table4[[#This Row],[energy_kwh]] - Table4[[#This Row],[expected_kwh]]</f>
        <v>0</v>
      </c>
      <c r="M965" t="str">
        <f>IF(Table4[[#This Row],[Performance_Deviation]] &lt; 0, "Underperforming", "Outperforming")</f>
        <v>Outperforming</v>
      </c>
      <c r="N965">
        <f>IF(Table4[[#This Row],[Performance_Ratio]] &lt; 0.85, Table4[[#This Row],[Performance_Deviation]] * 50 / 1000, 0)</f>
        <v>0</v>
      </c>
    </row>
    <row r="966" spans="1:14" x14ac:dyDescent="0.3">
      <c r="A966" s="4" t="s">
        <v>7</v>
      </c>
      <c r="B966" s="3">
        <v>45301.166666666664</v>
      </c>
      <c r="C966" s="4">
        <v>0</v>
      </c>
      <c r="D966" s="4">
        <v>0</v>
      </c>
      <c r="E966" s="4">
        <v>0</v>
      </c>
      <c r="F966" s="4">
        <v>36.341853472005702</v>
      </c>
      <c r="G966" s="4" t="str">
        <f t="shared" si="30"/>
        <v>OK</v>
      </c>
      <c r="H966" s="4" t="str">
        <f t="shared" si="31"/>
        <v>ZERO</v>
      </c>
      <c r="I966">
        <v>0</v>
      </c>
      <c r="J966">
        <f>IFERROR(Table4[[#This Row],[energy_kwh]]/Table4[[#This Row],[expected_kwh]],0)</f>
        <v>0</v>
      </c>
      <c r="K966" t="str">
        <f>IF(Table4[[#This Row],[Performance_Ratio]] &lt; 0.85, "Underperforming", "Performing")</f>
        <v>Underperforming</v>
      </c>
      <c r="L966">
        <f>Table4[[#This Row],[energy_kwh]] - Table4[[#This Row],[expected_kwh]]</f>
        <v>0</v>
      </c>
      <c r="M966" t="str">
        <f>IF(Table4[[#This Row],[Performance_Deviation]] &lt; 0, "Underperforming", "Outperforming")</f>
        <v>Outperforming</v>
      </c>
      <c r="N966">
        <f>IF(Table4[[#This Row],[Performance_Ratio]] &lt; 0.85, Table4[[#This Row],[Performance_Deviation]] * 50 / 1000, 0)</f>
        <v>0</v>
      </c>
    </row>
    <row r="967" spans="1:14" x14ac:dyDescent="0.3">
      <c r="A967" s="6" t="s">
        <v>7</v>
      </c>
      <c r="B967" s="5">
        <v>45301.208333333336</v>
      </c>
      <c r="C967" s="6">
        <v>0</v>
      </c>
      <c r="D967" s="6">
        <v>0</v>
      </c>
      <c r="E967" s="6">
        <v>0</v>
      </c>
      <c r="F967" s="6">
        <v>64.509603702854207</v>
      </c>
      <c r="G967" s="6" t="str">
        <f t="shared" si="30"/>
        <v>OK</v>
      </c>
      <c r="H967" s="6" t="str">
        <f t="shared" si="31"/>
        <v>ZERO</v>
      </c>
      <c r="I967">
        <v>0</v>
      </c>
      <c r="J967">
        <f>IFERROR(Table4[[#This Row],[energy_kwh]]/Table4[[#This Row],[expected_kwh]],0)</f>
        <v>0</v>
      </c>
      <c r="K967" t="str">
        <f>IF(Table4[[#This Row],[Performance_Ratio]] &lt; 0.85, "Underperforming", "Performing")</f>
        <v>Underperforming</v>
      </c>
      <c r="L967">
        <f>Table4[[#This Row],[energy_kwh]] - Table4[[#This Row],[expected_kwh]]</f>
        <v>0</v>
      </c>
      <c r="M967" t="str">
        <f>IF(Table4[[#This Row],[Performance_Deviation]] &lt; 0, "Underperforming", "Outperforming")</f>
        <v>Outperforming</v>
      </c>
      <c r="N967">
        <f>IF(Table4[[#This Row],[Performance_Ratio]] &lt; 0.85, Table4[[#This Row],[Performance_Deviation]] * 50 / 1000, 0)</f>
        <v>0</v>
      </c>
    </row>
    <row r="968" spans="1:14" x14ac:dyDescent="0.3">
      <c r="A968" s="4" t="s">
        <v>7</v>
      </c>
      <c r="B968" s="3">
        <v>45301.25</v>
      </c>
      <c r="C968" s="4">
        <v>0</v>
      </c>
      <c r="D968" s="4">
        <v>0</v>
      </c>
      <c r="E968" s="4">
        <v>0</v>
      </c>
      <c r="F968" s="4">
        <v>30.093220032807999</v>
      </c>
      <c r="G968" s="4" t="str">
        <f t="shared" si="30"/>
        <v>OK</v>
      </c>
      <c r="H968" s="4" t="str">
        <f t="shared" si="31"/>
        <v>ZERO</v>
      </c>
      <c r="I968">
        <v>0</v>
      </c>
      <c r="J968">
        <f>IFERROR(Table4[[#This Row],[energy_kwh]]/Table4[[#This Row],[expected_kwh]],0)</f>
        <v>0</v>
      </c>
      <c r="K968" t="str">
        <f>IF(Table4[[#This Row],[Performance_Ratio]] &lt; 0.85, "Underperforming", "Performing")</f>
        <v>Underperforming</v>
      </c>
      <c r="L968">
        <f>Table4[[#This Row],[energy_kwh]] - Table4[[#This Row],[expected_kwh]]</f>
        <v>0</v>
      </c>
      <c r="M968" t="str">
        <f>IF(Table4[[#This Row],[Performance_Deviation]] &lt; 0, "Underperforming", "Outperforming")</f>
        <v>Outperforming</v>
      </c>
      <c r="N968">
        <f>IF(Table4[[#This Row],[Performance_Ratio]] &lt; 0.85, Table4[[#This Row],[Performance_Deviation]] * 50 / 1000, 0)</f>
        <v>0</v>
      </c>
    </row>
    <row r="969" spans="1:14" x14ac:dyDescent="0.3">
      <c r="A969" s="6" t="s">
        <v>7</v>
      </c>
      <c r="B969" s="5">
        <v>45301.291666666664</v>
      </c>
      <c r="C969" s="6">
        <v>133.98675178327301</v>
      </c>
      <c r="D969" s="6">
        <v>131.04287154786701</v>
      </c>
      <c r="E969" s="6">
        <v>131.04287154786701</v>
      </c>
      <c r="F969" s="6">
        <v>88.879815656116804</v>
      </c>
      <c r="G969" s="6" t="str">
        <f t="shared" si="30"/>
        <v>OK</v>
      </c>
      <c r="H969" s="6" t="str">
        <f t="shared" si="31"/>
        <v>NON-ZERO</v>
      </c>
      <c r="I969">
        <v>155.291427061512</v>
      </c>
      <c r="J969">
        <f>IFERROR(Table4[[#This Row],[energy_kwh]]/Table4[[#This Row],[expected_kwh]],0)</f>
        <v>0.8438512931944403</v>
      </c>
      <c r="K969" t="str">
        <f>IF(Table4[[#This Row],[Performance_Ratio]] &lt; 0.85, "Underperforming", "Performing")</f>
        <v>Underperforming</v>
      </c>
      <c r="L969">
        <f>Table4[[#This Row],[energy_kwh]] - Table4[[#This Row],[expected_kwh]]</f>
        <v>-24.248555513644988</v>
      </c>
      <c r="M969" t="str">
        <f>IF(Table4[[#This Row],[Performance_Deviation]] &lt; 0, "Underperforming", "Outperforming")</f>
        <v>Underperforming</v>
      </c>
      <c r="N969">
        <f>IF(Table4[[#This Row],[Performance_Ratio]] &lt; 0.85, Table4[[#This Row],[Performance_Deviation]] * 50 / 1000, 0)</f>
        <v>-1.2124277756822495</v>
      </c>
    </row>
    <row r="970" spans="1:14" x14ac:dyDescent="0.3">
      <c r="A970" s="4" t="s">
        <v>7</v>
      </c>
      <c r="B970" s="3">
        <v>45301.333333333336</v>
      </c>
      <c r="C970" s="4">
        <v>269.03602157179603</v>
      </c>
      <c r="D970" s="4">
        <v>263.12491606340399</v>
      </c>
      <c r="E970" s="4">
        <v>263.12491606340399</v>
      </c>
      <c r="F970" s="4">
        <v>78.486566300755101</v>
      </c>
      <c r="G970" s="4" t="str">
        <f t="shared" si="30"/>
        <v>OK</v>
      </c>
      <c r="H970" s="4" t="str">
        <f t="shared" si="31"/>
        <v>NON-ZERO</v>
      </c>
      <c r="I970">
        <v>300</v>
      </c>
      <c r="J970">
        <f>IFERROR(Table4[[#This Row],[energy_kwh]]/Table4[[#This Row],[expected_kwh]],0)</f>
        <v>0.87708305354467997</v>
      </c>
      <c r="K970" t="str">
        <f>IF(Table4[[#This Row],[Performance_Ratio]] &lt; 0.85, "Underperforming", "Performing")</f>
        <v>Performing</v>
      </c>
      <c r="L970">
        <f>Table4[[#This Row],[energy_kwh]] - Table4[[#This Row],[expected_kwh]]</f>
        <v>-36.875083936596013</v>
      </c>
      <c r="M970" t="str">
        <f>IF(Table4[[#This Row],[Performance_Deviation]] &lt; 0, "Underperforming", "Outperforming")</f>
        <v>Underperforming</v>
      </c>
      <c r="N970">
        <f>IF(Table4[[#This Row],[Performance_Ratio]] &lt; 0.85, Table4[[#This Row],[Performance_Deviation]] * 50 / 1000, 0)</f>
        <v>0</v>
      </c>
    </row>
    <row r="971" spans="1:14" x14ac:dyDescent="0.3">
      <c r="A971" s="6" t="s">
        <v>7</v>
      </c>
      <c r="B971" s="5">
        <v>45301.375</v>
      </c>
      <c r="C971" s="6">
        <v>411.57829083215</v>
      </c>
      <c r="D971" s="6">
        <v>493.89394899858002</v>
      </c>
      <c r="E971" s="6">
        <v>493.89394899858002</v>
      </c>
      <c r="F971" s="6">
        <v>73.410278441045307</v>
      </c>
      <c r="G971" s="6" t="str">
        <f t="shared" si="30"/>
        <v>ERROR</v>
      </c>
      <c r="H971" s="6" t="str">
        <f t="shared" si="31"/>
        <v>NON-ZERO</v>
      </c>
      <c r="I971">
        <v>424.26406871192802</v>
      </c>
      <c r="J971">
        <f>IFERROR(Table4[[#This Row],[energy_kwh]]/Table4[[#This Row],[expected_kwh]],0)</f>
        <v>1.1641192017463307</v>
      </c>
      <c r="K971" t="str">
        <f>IF(Table4[[#This Row],[Performance_Ratio]] &lt; 0.85, "Underperforming", "Performing")</f>
        <v>Performing</v>
      </c>
      <c r="L971">
        <f>Table4[[#This Row],[energy_kwh]] - Table4[[#This Row],[expected_kwh]]</f>
        <v>69.629880286651996</v>
      </c>
      <c r="M971" t="str">
        <f>IF(Table4[[#This Row],[Performance_Deviation]] &lt; 0, "Underperforming", "Outperforming")</f>
        <v>Outperforming</v>
      </c>
      <c r="N971">
        <f>IF(Table4[[#This Row],[Performance_Ratio]] &lt; 0.85, Table4[[#This Row],[Performance_Deviation]] * 50 / 1000, 0)</f>
        <v>0</v>
      </c>
    </row>
    <row r="972" spans="1:14" x14ac:dyDescent="0.3">
      <c r="A972" s="4" t="s">
        <v>7</v>
      </c>
      <c r="B972" s="3">
        <v>45301.416666666664</v>
      </c>
      <c r="C972" s="4">
        <v>446.44007514217702</v>
      </c>
      <c r="D972" s="4">
        <v>436.63114928934198</v>
      </c>
      <c r="E972" s="4">
        <v>436.63114928934198</v>
      </c>
      <c r="F972" s="4">
        <v>83.836305156948598</v>
      </c>
      <c r="G972" s="4" t="str">
        <f t="shared" si="30"/>
        <v>OK</v>
      </c>
      <c r="H972" s="4" t="str">
        <f t="shared" si="31"/>
        <v>NON-ZERO</v>
      </c>
      <c r="I972">
        <v>519.61524227066297</v>
      </c>
      <c r="J972">
        <f>IFERROR(Table4[[#This Row],[energy_kwh]]/Table4[[#This Row],[expected_kwh]],0)</f>
        <v>0.84029703859592453</v>
      </c>
      <c r="K972" t="str">
        <f>IF(Table4[[#This Row],[Performance_Ratio]] &lt; 0.85, "Underperforming", "Performing")</f>
        <v>Underperforming</v>
      </c>
      <c r="L972">
        <f>Table4[[#This Row],[energy_kwh]] - Table4[[#This Row],[expected_kwh]]</f>
        <v>-82.984092981320998</v>
      </c>
      <c r="M972" t="str">
        <f>IF(Table4[[#This Row],[Performance_Deviation]] &lt; 0, "Underperforming", "Outperforming")</f>
        <v>Underperforming</v>
      </c>
      <c r="N972">
        <f>IF(Table4[[#This Row],[Performance_Ratio]] &lt; 0.85, Table4[[#This Row],[Performance_Deviation]] * 50 / 1000, 0)</f>
        <v>-4.1492046490660499</v>
      </c>
    </row>
    <row r="973" spans="1:14" x14ac:dyDescent="0.3">
      <c r="A973" s="6" t="s">
        <v>7</v>
      </c>
      <c r="B973" s="5">
        <v>45301.458333333336</v>
      </c>
      <c r="C973" s="6">
        <v>519.83234034668703</v>
      </c>
      <c r="D973" s="6">
        <v>508.41088164197203</v>
      </c>
      <c r="E973" s="6">
        <v>508.41088164197203</v>
      </c>
      <c r="F973" s="6">
        <v>58.584599580491997</v>
      </c>
      <c r="G973" s="6" t="str">
        <f t="shared" si="30"/>
        <v>OK</v>
      </c>
      <c r="H973" s="6" t="str">
        <f t="shared" si="31"/>
        <v>NON-ZERO</v>
      </c>
      <c r="I973">
        <v>579.55549577344095</v>
      </c>
      <c r="J973">
        <f>IFERROR(Table4[[#This Row],[energy_kwh]]/Table4[[#This Row],[expected_kwh]],0)</f>
        <v>0.87724279270870609</v>
      </c>
      <c r="K973" t="str">
        <f>IF(Table4[[#This Row],[Performance_Ratio]] &lt; 0.85, "Underperforming", "Performing")</f>
        <v>Performing</v>
      </c>
      <c r="L973">
        <f>Table4[[#This Row],[energy_kwh]] - Table4[[#This Row],[expected_kwh]]</f>
        <v>-71.144614131468927</v>
      </c>
      <c r="M973" t="str">
        <f>IF(Table4[[#This Row],[Performance_Deviation]] &lt; 0, "Underperforming", "Outperforming")</f>
        <v>Underperforming</v>
      </c>
      <c r="N973">
        <f>IF(Table4[[#This Row],[Performance_Ratio]] &lt; 0.85, Table4[[#This Row],[Performance_Deviation]] * 50 / 1000, 0)</f>
        <v>0</v>
      </c>
    </row>
    <row r="974" spans="1:14" x14ac:dyDescent="0.3">
      <c r="A974" s="4" t="s">
        <v>7</v>
      </c>
      <c r="B974" s="3">
        <v>45301.5</v>
      </c>
      <c r="C974" s="4">
        <v>574.16381025556097</v>
      </c>
      <c r="D974" s="4">
        <v>561.54861158553899</v>
      </c>
      <c r="E974" s="4">
        <v>561.54861158553899</v>
      </c>
      <c r="F974" s="4">
        <v>49.154476090740999</v>
      </c>
      <c r="G974" s="4" t="str">
        <f t="shared" si="30"/>
        <v>OK</v>
      </c>
      <c r="H974" s="4" t="str">
        <f t="shared" si="31"/>
        <v>NON-ZERO</v>
      </c>
      <c r="I974">
        <v>600</v>
      </c>
      <c r="J974">
        <f>IFERROR(Table4[[#This Row],[energy_kwh]]/Table4[[#This Row],[expected_kwh]],0)</f>
        <v>0.93591435264256495</v>
      </c>
      <c r="K974" t="str">
        <f>IF(Table4[[#This Row],[Performance_Ratio]] &lt; 0.85, "Underperforming", "Performing")</f>
        <v>Performing</v>
      </c>
      <c r="L974">
        <f>Table4[[#This Row],[energy_kwh]] - Table4[[#This Row],[expected_kwh]]</f>
        <v>-38.451388414461007</v>
      </c>
      <c r="M974" t="str">
        <f>IF(Table4[[#This Row],[Performance_Deviation]] &lt; 0, "Underperforming", "Outperforming")</f>
        <v>Underperforming</v>
      </c>
      <c r="N974">
        <f>IF(Table4[[#This Row],[Performance_Ratio]] &lt; 0.85, Table4[[#This Row],[Performance_Deviation]] * 50 / 1000, 0)</f>
        <v>0</v>
      </c>
    </row>
    <row r="975" spans="1:14" x14ac:dyDescent="0.3">
      <c r="A975" s="6" t="s">
        <v>7</v>
      </c>
      <c r="B975" s="5">
        <v>45301.541666666664</v>
      </c>
      <c r="C975" s="6">
        <v>516.43040609185402</v>
      </c>
      <c r="D975" s="6">
        <v>505.08369273980702</v>
      </c>
      <c r="E975" s="6">
        <v>505.08369273980702</v>
      </c>
      <c r="F975" s="6">
        <v>43.618883344167102</v>
      </c>
      <c r="G975" s="6" t="str">
        <f t="shared" si="30"/>
        <v>OK</v>
      </c>
      <c r="H975" s="6" t="str">
        <f t="shared" si="31"/>
        <v>NON-ZERO</v>
      </c>
      <c r="I975">
        <v>579.55549577344095</v>
      </c>
      <c r="J975">
        <f>IFERROR(Table4[[#This Row],[energy_kwh]]/Table4[[#This Row],[expected_kwh]],0)</f>
        <v>0.87150186034514576</v>
      </c>
      <c r="K975" t="str">
        <f>IF(Table4[[#This Row],[Performance_Ratio]] &lt; 0.85, "Underperforming", "Performing")</f>
        <v>Performing</v>
      </c>
      <c r="L975">
        <f>Table4[[#This Row],[energy_kwh]] - Table4[[#This Row],[expected_kwh]]</f>
        <v>-74.471803033633933</v>
      </c>
      <c r="M975" t="str">
        <f>IF(Table4[[#This Row],[Performance_Deviation]] &lt; 0, "Underperforming", "Outperforming")</f>
        <v>Underperforming</v>
      </c>
      <c r="N975">
        <f>IF(Table4[[#This Row],[Performance_Ratio]] &lt; 0.85, Table4[[#This Row],[Performance_Deviation]] * 50 / 1000, 0)</f>
        <v>0</v>
      </c>
    </row>
    <row r="976" spans="1:14" x14ac:dyDescent="0.3">
      <c r="A976" s="4" t="s">
        <v>7</v>
      </c>
      <c r="B976" s="3">
        <v>45301.583333333336</v>
      </c>
      <c r="C976" s="4">
        <v>492.48828027085898</v>
      </c>
      <c r="D976" s="4">
        <v>481.66760960631598</v>
      </c>
      <c r="E976" s="4">
        <v>481.66760960631598</v>
      </c>
      <c r="F976" s="4">
        <v>94.667667536801503</v>
      </c>
      <c r="G976" s="4" t="str">
        <f t="shared" si="30"/>
        <v>OK</v>
      </c>
      <c r="H976" s="4" t="str">
        <f t="shared" si="31"/>
        <v>NON-ZERO</v>
      </c>
      <c r="I976">
        <v>519.61524227066297</v>
      </c>
      <c r="J976">
        <f>IFERROR(Table4[[#This Row],[energy_kwh]]/Table4[[#This Row],[expected_kwh]],0)</f>
        <v>0.92696974688710077</v>
      </c>
      <c r="K976" t="str">
        <f>IF(Table4[[#This Row],[Performance_Ratio]] &lt; 0.85, "Underperforming", "Performing")</f>
        <v>Performing</v>
      </c>
      <c r="L976">
        <f>Table4[[#This Row],[energy_kwh]] - Table4[[#This Row],[expected_kwh]]</f>
        <v>-37.947632664346997</v>
      </c>
      <c r="M976" t="str">
        <f>IF(Table4[[#This Row],[Performance_Deviation]] &lt; 0, "Underperforming", "Outperforming")</f>
        <v>Underperforming</v>
      </c>
      <c r="N976">
        <f>IF(Table4[[#This Row],[Performance_Ratio]] &lt; 0.85, Table4[[#This Row],[Performance_Deviation]] * 50 / 1000, 0)</f>
        <v>0</v>
      </c>
    </row>
    <row r="977" spans="1:14" x14ac:dyDescent="0.3">
      <c r="A977" s="6" t="s">
        <v>7</v>
      </c>
      <c r="B977" s="5">
        <v>45301.625</v>
      </c>
      <c r="C977" s="6">
        <v>411.21028350166898</v>
      </c>
      <c r="D977" s="6">
        <v>402.175406470285</v>
      </c>
      <c r="E977" s="6">
        <v>402.175406470285</v>
      </c>
      <c r="F977" s="6">
        <v>44.5205768252506</v>
      </c>
      <c r="G977" s="6" t="str">
        <f t="shared" si="30"/>
        <v>OK</v>
      </c>
      <c r="H977" s="6" t="str">
        <f t="shared" si="31"/>
        <v>NON-ZERO</v>
      </c>
      <c r="I977">
        <v>424.26406871192802</v>
      </c>
      <c r="J977">
        <f>IFERROR(Table4[[#This Row],[energy_kwh]]/Table4[[#This Row],[expected_kwh]],0)</f>
        <v>0.94793652380531657</v>
      </c>
      <c r="K977" t="str">
        <f>IF(Table4[[#This Row],[Performance_Ratio]] &lt; 0.85, "Underperforming", "Performing")</f>
        <v>Performing</v>
      </c>
      <c r="L977">
        <f>Table4[[#This Row],[energy_kwh]] - Table4[[#This Row],[expected_kwh]]</f>
        <v>-22.088662241643021</v>
      </c>
      <c r="M977" t="str">
        <f>IF(Table4[[#This Row],[Performance_Deviation]] &lt; 0, "Underperforming", "Outperforming")</f>
        <v>Underperforming</v>
      </c>
      <c r="N977">
        <f>IF(Table4[[#This Row],[Performance_Ratio]] &lt; 0.85, Table4[[#This Row],[Performance_Deviation]] * 50 / 1000, 0)</f>
        <v>0</v>
      </c>
    </row>
    <row r="978" spans="1:14" x14ac:dyDescent="0.3">
      <c r="A978" s="4" t="s">
        <v>7</v>
      </c>
      <c r="B978" s="3">
        <v>45301.666666666664</v>
      </c>
      <c r="C978" s="4">
        <v>267.827975009667</v>
      </c>
      <c r="D978" s="4">
        <v>261.94341200902602</v>
      </c>
      <c r="E978" s="4">
        <v>261.94341200902602</v>
      </c>
      <c r="F978" s="4">
        <v>43.642957598708797</v>
      </c>
      <c r="G978" s="4" t="str">
        <f t="shared" si="30"/>
        <v>OK</v>
      </c>
      <c r="H978" s="4" t="str">
        <f t="shared" si="31"/>
        <v>NON-ZERO</v>
      </c>
      <c r="I978">
        <v>300</v>
      </c>
      <c r="J978">
        <f>IFERROR(Table4[[#This Row],[energy_kwh]]/Table4[[#This Row],[expected_kwh]],0)</f>
        <v>0.87314470669675337</v>
      </c>
      <c r="K978" t="str">
        <f>IF(Table4[[#This Row],[Performance_Ratio]] &lt; 0.85, "Underperforming", "Performing")</f>
        <v>Performing</v>
      </c>
      <c r="L978">
        <f>Table4[[#This Row],[energy_kwh]] - Table4[[#This Row],[expected_kwh]]</f>
        <v>-38.056587990973981</v>
      </c>
      <c r="M978" t="str">
        <f>IF(Table4[[#This Row],[Performance_Deviation]] &lt; 0, "Underperforming", "Outperforming")</f>
        <v>Underperforming</v>
      </c>
      <c r="N978">
        <f>IF(Table4[[#This Row],[Performance_Ratio]] &lt; 0.85, Table4[[#This Row],[Performance_Deviation]] * 50 / 1000, 0)</f>
        <v>0</v>
      </c>
    </row>
    <row r="979" spans="1:14" x14ac:dyDescent="0.3">
      <c r="A979" s="6" t="s">
        <v>7</v>
      </c>
      <c r="B979" s="5">
        <v>45301.708333333336</v>
      </c>
      <c r="C979" s="6">
        <v>129.77981099427399</v>
      </c>
      <c r="D979" s="6">
        <v>126.928363254434</v>
      </c>
      <c r="E979" s="6">
        <v>126.928363254434</v>
      </c>
      <c r="F979" s="6">
        <v>29.6244396641573</v>
      </c>
      <c r="G979" s="6" t="str">
        <f t="shared" si="30"/>
        <v>OK</v>
      </c>
      <c r="H979" s="6" t="str">
        <f t="shared" si="31"/>
        <v>NON-ZERO</v>
      </c>
      <c r="I979">
        <v>155.291427061512</v>
      </c>
      <c r="J979">
        <f>IFERROR(Table4[[#This Row],[energy_kwh]]/Table4[[#This Row],[expected_kwh]],0)</f>
        <v>0.81735589437372358</v>
      </c>
      <c r="K979" t="str">
        <f>IF(Table4[[#This Row],[Performance_Ratio]] &lt; 0.85, "Underperforming", "Performing")</f>
        <v>Underperforming</v>
      </c>
      <c r="L979">
        <f>Table4[[#This Row],[energy_kwh]] - Table4[[#This Row],[expected_kwh]]</f>
        <v>-28.363063807077992</v>
      </c>
      <c r="M979" t="str">
        <f>IF(Table4[[#This Row],[Performance_Deviation]] &lt; 0, "Underperforming", "Outperforming")</f>
        <v>Underperforming</v>
      </c>
      <c r="N979">
        <f>IF(Table4[[#This Row],[Performance_Ratio]] &lt; 0.85, Table4[[#This Row],[Performance_Deviation]] * 50 / 1000, 0)</f>
        <v>-1.4181531903538995</v>
      </c>
    </row>
    <row r="980" spans="1:14" x14ac:dyDescent="0.3">
      <c r="A980" s="4" t="s">
        <v>7</v>
      </c>
      <c r="B980" s="3">
        <v>45301.75</v>
      </c>
      <c r="C980" s="7">
        <v>7.8713691758084397E-14</v>
      </c>
      <c r="D980" s="7">
        <v>7.6984239567189405E-14</v>
      </c>
      <c r="E980" s="7">
        <v>7.6984239567189405E-14</v>
      </c>
      <c r="F980" s="4">
        <v>85.464456617424801</v>
      </c>
      <c r="G980" s="4" t="str">
        <f t="shared" si="30"/>
        <v>OK</v>
      </c>
      <c r="H980" s="4" t="str">
        <f t="shared" si="31"/>
        <v>NON-ZERO</v>
      </c>
      <c r="I980" s="2">
        <v>7.3478807948841102E-14</v>
      </c>
      <c r="J980">
        <f>IFERROR(Table4[[#This Row],[energy_kwh]]/Table4[[#This Row],[expected_kwh]],0)</f>
        <v>1.0477067023295876</v>
      </c>
      <c r="K980" t="str">
        <f>IF(Table4[[#This Row],[Performance_Ratio]] &lt; 0.85, "Underperforming", "Performing")</f>
        <v>Performing</v>
      </c>
      <c r="L980">
        <f>Table4[[#This Row],[energy_kwh]] - Table4[[#This Row],[expected_kwh]]</f>
        <v>3.5054316183483031E-15</v>
      </c>
      <c r="M980" t="str">
        <f>IF(Table4[[#This Row],[Performance_Deviation]] &lt; 0, "Underperforming", "Outperforming")</f>
        <v>Outperforming</v>
      </c>
      <c r="N980">
        <f>IF(Table4[[#This Row],[Performance_Ratio]] &lt; 0.85, Table4[[#This Row],[Performance_Deviation]] * 50 / 1000, 0)</f>
        <v>0</v>
      </c>
    </row>
    <row r="981" spans="1:14" x14ac:dyDescent="0.3">
      <c r="A981" s="6" t="s">
        <v>7</v>
      </c>
      <c r="B981" s="5">
        <v>45301.791666666664</v>
      </c>
      <c r="C981" s="6">
        <v>0</v>
      </c>
      <c r="D981" s="6">
        <v>0</v>
      </c>
      <c r="E981" s="6">
        <v>0</v>
      </c>
      <c r="F981" s="6">
        <v>66.437955152437695</v>
      </c>
      <c r="G981" s="6" t="str">
        <f t="shared" si="30"/>
        <v>OK</v>
      </c>
      <c r="H981" s="6" t="str">
        <f t="shared" si="31"/>
        <v>ZERO</v>
      </c>
      <c r="I981">
        <v>0</v>
      </c>
      <c r="J981">
        <f>IFERROR(Table4[[#This Row],[energy_kwh]]/Table4[[#This Row],[expected_kwh]],0)</f>
        <v>0</v>
      </c>
      <c r="K981" t="str">
        <f>IF(Table4[[#This Row],[Performance_Ratio]] &lt; 0.85, "Underperforming", "Performing")</f>
        <v>Underperforming</v>
      </c>
      <c r="L981">
        <f>Table4[[#This Row],[energy_kwh]] - Table4[[#This Row],[expected_kwh]]</f>
        <v>0</v>
      </c>
      <c r="M981" t="str">
        <f>IF(Table4[[#This Row],[Performance_Deviation]] &lt; 0, "Underperforming", "Outperforming")</f>
        <v>Outperforming</v>
      </c>
      <c r="N981">
        <f>IF(Table4[[#This Row],[Performance_Ratio]] &lt; 0.85, Table4[[#This Row],[Performance_Deviation]] * 50 / 1000, 0)</f>
        <v>0</v>
      </c>
    </row>
    <row r="982" spans="1:14" x14ac:dyDescent="0.3">
      <c r="A982" s="4" t="s">
        <v>7</v>
      </c>
      <c r="B982" s="3">
        <v>45301.833333333336</v>
      </c>
      <c r="C982" s="4">
        <v>0</v>
      </c>
      <c r="D982" s="4">
        <v>0</v>
      </c>
      <c r="E982" s="4">
        <v>0</v>
      </c>
      <c r="F982" s="4">
        <v>34.718428752962403</v>
      </c>
      <c r="G982" s="4" t="str">
        <f t="shared" si="30"/>
        <v>OK</v>
      </c>
      <c r="H982" s="4" t="str">
        <f t="shared" si="31"/>
        <v>ZERO</v>
      </c>
      <c r="I982">
        <v>0</v>
      </c>
      <c r="J982">
        <f>IFERROR(Table4[[#This Row],[energy_kwh]]/Table4[[#This Row],[expected_kwh]],0)</f>
        <v>0</v>
      </c>
      <c r="K982" t="str">
        <f>IF(Table4[[#This Row],[Performance_Ratio]] &lt; 0.85, "Underperforming", "Performing")</f>
        <v>Underperforming</v>
      </c>
      <c r="L982">
        <f>Table4[[#This Row],[energy_kwh]] - Table4[[#This Row],[expected_kwh]]</f>
        <v>0</v>
      </c>
      <c r="M982" t="str">
        <f>IF(Table4[[#This Row],[Performance_Deviation]] &lt; 0, "Underperforming", "Outperforming")</f>
        <v>Outperforming</v>
      </c>
      <c r="N982">
        <f>IF(Table4[[#This Row],[Performance_Ratio]] &lt; 0.85, Table4[[#This Row],[Performance_Deviation]] * 50 / 1000, 0)</f>
        <v>0</v>
      </c>
    </row>
    <row r="983" spans="1:14" x14ac:dyDescent="0.3">
      <c r="A983" s="6" t="s">
        <v>7</v>
      </c>
      <c r="B983" s="5">
        <v>45301.875</v>
      </c>
      <c r="C983" s="6">
        <v>0</v>
      </c>
      <c r="D983" s="6">
        <v>0</v>
      </c>
      <c r="E983" s="6">
        <v>0</v>
      </c>
      <c r="F983" s="6">
        <v>28.103341953230501</v>
      </c>
      <c r="G983" s="6" t="str">
        <f t="shared" si="30"/>
        <v>OK</v>
      </c>
      <c r="H983" s="6" t="str">
        <f t="shared" si="31"/>
        <v>ZERO</v>
      </c>
      <c r="I983">
        <v>0</v>
      </c>
      <c r="J983">
        <f>IFERROR(Table4[[#This Row],[energy_kwh]]/Table4[[#This Row],[expected_kwh]],0)</f>
        <v>0</v>
      </c>
      <c r="K983" t="str">
        <f>IF(Table4[[#This Row],[Performance_Ratio]] &lt; 0.85, "Underperforming", "Performing")</f>
        <v>Underperforming</v>
      </c>
      <c r="L983">
        <f>Table4[[#This Row],[energy_kwh]] - Table4[[#This Row],[expected_kwh]]</f>
        <v>0</v>
      </c>
      <c r="M983" t="str">
        <f>IF(Table4[[#This Row],[Performance_Deviation]] &lt; 0, "Underperforming", "Outperforming")</f>
        <v>Outperforming</v>
      </c>
      <c r="N983">
        <f>IF(Table4[[#This Row],[Performance_Ratio]] &lt; 0.85, Table4[[#This Row],[Performance_Deviation]] * 50 / 1000, 0)</f>
        <v>0</v>
      </c>
    </row>
    <row r="984" spans="1:14" x14ac:dyDescent="0.3">
      <c r="A984" s="4" t="s">
        <v>7</v>
      </c>
      <c r="B984" s="3">
        <v>45301.916666666664</v>
      </c>
      <c r="C984" s="4">
        <v>0</v>
      </c>
      <c r="D984" s="4">
        <v>0</v>
      </c>
      <c r="E984" s="4">
        <v>0</v>
      </c>
      <c r="F984" s="4">
        <v>24.2770185502714</v>
      </c>
      <c r="G984" s="4" t="str">
        <f t="shared" si="30"/>
        <v>OK</v>
      </c>
      <c r="H984" s="4" t="str">
        <f t="shared" si="31"/>
        <v>ZERO</v>
      </c>
      <c r="I984">
        <v>0</v>
      </c>
      <c r="J984">
        <f>IFERROR(Table4[[#This Row],[energy_kwh]]/Table4[[#This Row],[expected_kwh]],0)</f>
        <v>0</v>
      </c>
      <c r="K984" t="str">
        <f>IF(Table4[[#This Row],[Performance_Ratio]] &lt; 0.85, "Underperforming", "Performing")</f>
        <v>Underperforming</v>
      </c>
      <c r="L984">
        <f>Table4[[#This Row],[energy_kwh]] - Table4[[#This Row],[expected_kwh]]</f>
        <v>0</v>
      </c>
      <c r="M984" t="str">
        <f>IF(Table4[[#This Row],[Performance_Deviation]] &lt; 0, "Underperforming", "Outperforming")</f>
        <v>Outperforming</v>
      </c>
      <c r="N984">
        <f>IF(Table4[[#This Row],[Performance_Ratio]] &lt; 0.85, Table4[[#This Row],[Performance_Deviation]] * 50 / 1000, 0)</f>
        <v>0</v>
      </c>
    </row>
    <row r="985" spans="1:14" x14ac:dyDescent="0.3">
      <c r="A985" s="6" t="s">
        <v>7</v>
      </c>
      <c r="B985" s="5">
        <v>45301.958333333336</v>
      </c>
      <c r="C985" s="6">
        <v>0</v>
      </c>
      <c r="D985" s="6">
        <v>0</v>
      </c>
      <c r="E985" s="6">
        <v>0</v>
      </c>
      <c r="F985" s="6">
        <v>60.825866572574</v>
      </c>
      <c r="G985" s="6" t="str">
        <f t="shared" si="30"/>
        <v>OK</v>
      </c>
      <c r="H985" s="6" t="str">
        <f t="shared" si="31"/>
        <v>ZERO</v>
      </c>
      <c r="I985">
        <v>0</v>
      </c>
      <c r="J985">
        <f>IFERROR(Table4[[#This Row],[energy_kwh]]/Table4[[#This Row],[expected_kwh]],0)</f>
        <v>0</v>
      </c>
      <c r="K985" t="str">
        <f>IF(Table4[[#This Row],[Performance_Ratio]] &lt; 0.85, "Underperforming", "Performing")</f>
        <v>Underperforming</v>
      </c>
      <c r="L985">
        <f>Table4[[#This Row],[energy_kwh]] - Table4[[#This Row],[expected_kwh]]</f>
        <v>0</v>
      </c>
      <c r="M985" t="str">
        <f>IF(Table4[[#This Row],[Performance_Deviation]] &lt; 0, "Underperforming", "Outperforming")</f>
        <v>Outperforming</v>
      </c>
      <c r="N985">
        <f>IF(Table4[[#This Row],[Performance_Ratio]] &lt; 0.85, Table4[[#This Row],[Performance_Deviation]] * 50 / 1000, 0)</f>
        <v>0</v>
      </c>
    </row>
    <row r="986" spans="1:14" x14ac:dyDescent="0.3">
      <c r="A986" s="4" t="s">
        <v>7</v>
      </c>
      <c r="B986" s="3">
        <v>45302</v>
      </c>
      <c r="C986" s="4">
        <v>0</v>
      </c>
      <c r="D986" s="4">
        <v>0</v>
      </c>
      <c r="E986" s="4">
        <v>0</v>
      </c>
      <c r="F986" s="4">
        <v>57.359745766103103</v>
      </c>
      <c r="G986" s="4" t="str">
        <f t="shared" si="30"/>
        <v>OK</v>
      </c>
      <c r="H986" s="4" t="str">
        <f t="shared" si="31"/>
        <v>ZERO</v>
      </c>
      <c r="I986">
        <v>0</v>
      </c>
      <c r="J986">
        <f>IFERROR(Table4[[#This Row],[energy_kwh]]/Table4[[#This Row],[expected_kwh]],0)</f>
        <v>0</v>
      </c>
      <c r="K986" t="str">
        <f>IF(Table4[[#This Row],[Performance_Ratio]] &lt; 0.85, "Underperforming", "Performing")</f>
        <v>Underperforming</v>
      </c>
      <c r="L986">
        <f>Table4[[#This Row],[energy_kwh]] - Table4[[#This Row],[expected_kwh]]</f>
        <v>0</v>
      </c>
      <c r="M986" t="str">
        <f>IF(Table4[[#This Row],[Performance_Deviation]] &lt; 0, "Underperforming", "Outperforming")</f>
        <v>Outperforming</v>
      </c>
      <c r="N986">
        <f>IF(Table4[[#This Row],[Performance_Ratio]] &lt; 0.85, Table4[[#This Row],[Performance_Deviation]] * 50 / 1000, 0)</f>
        <v>0</v>
      </c>
    </row>
    <row r="987" spans="1:14" x14ac:dyDescent="0.3">
      <c r="A987" s="6" t="s">
        <v>7</v>
      </c>
      <c r="B987" s="5">
        <v>45302.041666666664</v>
      </c>
      <c r="C987" s="6">
        <v>0</v>
      </c>
      <c r="D987" s="6">
        <v>0</v>
      </c>
      <c r="E987" s="6">
        <v>0</v>
      </c>
      <c r="F987" s="6">
        <v>43.0828178969861</v>
      </c>
      <c r="G987" s="6" t="str">
        <f t="shared" si="30"/>
        <v>OK</v>
      </c>
      <c r="H987" s="6" t="str">
        <f t="shared" si="31"/>
        <v>ZERO</v>
      </c>
      <c r="I987">
        <v>0</v>
      </c>
      <c r="J987">
        <f>IFERROR(Table4[[#This Row],[energy_kwh]]/Table4[[#This Row],[expected_kwh]],0)</f>
        <v>0</v>
      </c>
      <c r="K987" t="str">
        <f>IF(Table4[[#This Row],[Performance_Ratio]] &lt; 0.85, "Underperforming", "Performing")</f>
        <v>Underperforming</v>
      </c>
      <c r="L987">
        <f>Table4[[#This Row],[energy_kwh]] - Table4[[#This Row],[expected_kwh]]</f>
        <v>0</v>
      </c>
      <c r="M987" t="str">
        <f>IF(Table4[[#This Row],[Performance_Deviation]] &lt; 0, "Underperforming", "Outperforming")</f>
        <v>Outperforming</v>
      </c>
      <c r="N987">
        <f>IF(Table4[[#This Row],[Performance_Ratio]] &lt; 0.85, Table4[[#This Row],[Performance_Deviation]] * 50 / 1000, 0)</f>
        <v>0</v>
      </c>
    </row>
    <row r="988" spans="1:14" x14ac:dyDescent="0.3">
      <c r="A988" s="4" t="s">
        <v>7</v>
      </c>
      <c r="B988" s="3">
        <v>45302.083333333336</v>
      </c>
      <c r="C988" s="4">
        <v>0</v>
      </c>
      <c r="D988" s="4">
        <v>0</v>
      </c>
      <c r="E988" s="4">
        <v>0</v>
      </c>
      <c r="F988" s="4">
        <v>74.766628831793696</v>
      </c>
      <c r="G988" s="4" t="str">
        <f t="shared" si="30"/>
        <v>OK</v>
      </c>
      <c r="H988" s="4" t="str">
        <f t="shared" si="31"/>
        <v>ZERO</v>
      </c>
      <c r="I988">
        <v>0</v>
      </c>
      <c r="J988">
        <f>IFERROR(Table4[[#This Row],[energy_kwh]]/Table4[[#This Row],[expected_kwh]],0)</f>
        <v>0</v>
      </c>
      <c r="K988" t="str">
        <f>IF(Table4[[#This Row],[Performance_Ratio]] &lt; 0.85, "Underperforming", "Performing")</f>
        <v>Underperforming</v>
      </c>
      <c r="L988">
        <f>Table4[[#This Row],[energy_kwh]] - Table4[[#This Row],[expected_kwh]]</f>
        <v>0</v>
      </c>
      <c r="M988" t="str">
        <f>IF(Table4[[#This Row],[Performance_Deviation]] &lt; 0, "Underperforming", "Outperforming")</f>
        <v>Outperforming</v>
      </c>
      <c r="N988">
        <f>IF(Table4[[#This Row],[Performance_Ratio]] &lt; 0.85, Table4[[#This Row],[Performance_Deviation]] * 50 / 1000, 0)</f>
        <v>0</v>
      </c>
    </row>
    <row r="989" spans="1:14" x14ac:dyDescent="0.3">
      <c r="A989" s="6" t="s">
        <v>7</v>
      </c>
      <c r="B989" s="5">
        <v>45302.125</v>
      </c>
      <c r="C989" s="6">
        <v>0</v>
      </c>
      <c r="D989" s="6">
        <v>0</v>
      </c>
      <c r="E989" s="6">
        <v>0</v>
      </c>
      <c r="F989" s="6">
        <v>54.963619334566701</v>
      </c>
      <c r="G989" s="6" t="str">
        <f t="shared" si="30"/>
        <v>OK</v>
      </c>
      <c r="H989" s="6" t="str">
        <f t="shared" si="31"/>
        <v>ZERO</v>
      </c>
      <c r="I989">
        <v>0</v>
      </c>
      <c r="J989">
        <f>IFERROR(Table4[[#This Row],[energy_kwh]]/Table4[[#This Row],[expected_kwh]],0)</f>
        <v>0</v>
      </c>
      <c r="K989" t="str">
        <f>IF(Table4[[#This Row],[Performance_Ratio]] &lt; 0.85, "Underperforming", "Performing")</f>
        <v>Underperforming</v>
      </c>
      <c r="L989">
        <f>Table4[[#This Row],[energy_kwh]] - Table4[[#This Row],[expected_kwh]]</f>
        <v>0</v>
      </c>
      <c r="M989" t="str">
        <f>IF(Table4[[#This Row],[Performance_Deviation]] &lt; 0, "Underperforming", "Outperforming")</f>
        <v>Outperforming</v>
      </c>
      <c r="N989">
        <f>IF(Table4[[#This Row],[Performance_Ratio]] &lt; 0.85, Table4[[#This Row],[Performance_Deviation]] * 50 / 1000, 0)</f>
        <v>0</v>
      </c>
    </row>
    <row r="990" spans="1:14" x14ac:dyDescent="0.3">
      <c r="A990" s="4" t="s">
        <v>7</v>
      </c>
      <c r="B990" s="3">
        <v>45302.166666666664</v>
      </c>
      <c r="C990" s="4">
        <v>0</v>
      </c>
      <c r="D990" s="4">
        <v>0</v>
      </c>
      <c r="E990" s="4">
        <v>0</v>
      </c>
      <c r="F990" s="4">
        <v>88.3504392558973</v>
      </c>
      <c r="G990" s="4" t="str">
        <f t="shared" si="30"/>
        <v>OK</v>
      </c>
      <c r="H990" s="4" t="str">
        <f t="shared" si="31"/>
        <v>ZERO</v>
      </c>
      <c r="I990">
        <v>0</v>
      </c>
      <c r="J990">
        <f>IFERROR(Table4[[#This Row],[energy_kwh]]/Table4[[#This Row],[expected_kwh]],0)</f>
        <v>0</v>
      </c>
      <c r="K990" t="str">
        <f>IF(Table4[[#This Row],[Performance_Ratio]] &lt; 0.85, "Underperforming", "Performing")</f>
        <v>Underperforming</v>
      </c>
      <c r="L990">
        <f>Table4[[#This Row],[energy_kwh]] - Table4[[#This Row],[expected_kwh]]</f>
        <v>0</v>
      </c>
      <c r="M990" t="str">
        <f>IF(Table4[[#This Row],[Performance_Deviation]] &lt; 0, "Underperforming", "Outperforming")</f>
        <v>Outperforming</v>
      </c>
      <c r="N990">
        <f>IF(Table4[[#This Row],[Performance_Ratio]] &lt; 0.85, Table4[[#This Row],[Performance_Deviation]] * 50 / 1000, 0)</f>
        <v>0</v>
      </c>
    </row>
    <row r="991" spans="1:14" x14ac:dyDescent="0.3">
      <c r="A991" s="6" t="s">
        <v>7</v>
      </c>
      <c r="B991" s="5">
        <v>45302.208333333336</v>
      </c>
      <c r="C991" s="6">
        <v>0</v>
      </c>
      <c r="D991" s="6">
        <v>0</v>
      </c>
      <c r="E991" s="6">
        <v>0</v>
      </c>
      <c r="F991" s="6">
        <v>24.2661048333234</v>
      </c>
      <c r="G991" s="6" t="str">
        <f t="shared" si="30"/>
        <v>OK</v>
      </c>
      <c r="H991" s="6" t="str">
        <f t="shared" si="31"/>
        <v>ZERO</v>
      </c>
      <c r="I991">
        <v>0</v>
      </c>
      <c r="J991">
        <f>IFERROR(Table4[[#This Row],[energy_kwh]]/Table4[[#This Row],[expected_kwh]],0)</f>
        <v>0</v>
      </c>
      <c r="K991" t="str">
        <f>IF(Table4[[#This Row],[Performance_Ratio]] &lt; 0.85, "Underperforming", "Performing")</f>
        <v>Underperforming</v>
      </c>
      <c r="L991">
        <f>Table4[[#This Row],[energy_kwh]] - Table4[[#This Row],[expected_kwh]]</f>
        <v>0</v>
      </c>
      <c r="M991" t="str">
        <f>IF(Table4[[#This Row],[Performance_Deviation]] &lt; 0, "Underperforming", "Outperforming")</f>
        <v>Outperforming</v>
      </c>
      <c r="N991">
        <f>IF(Table4[[#This Row],[Performance_Ratio]] &lt; 0.85, Table4[[#This Row],[Performance_Deviation]] * 50 / 1000, 0)</f>
        <v>0</v>
      </c>
    </row>
    <row r="992" spans="1:14" x14ac:dyDescent="0.3">
      <c r="A992" s="4" t="s">
        <v>7</v>
      </c>
      <c r="B992" s="3">
        <v>45302.25</v>
      </c>
      <c r="C992" s="4">
        <v>0</v>
      </c>
      <c r="D992" s="4">
        <v>0</v>
      </c>
      <c r="E992" s="4">
        <v>0</v>
      </c>
      <c r="F992" s="4">
        <v>49.695291964696203</v>
      </c>
      <c r="G992" s="4" t="str">
        <f t="shared" si="30"/>
        <v>OK</v>
      </c>
      <c r="H992" s="4" t="str">
        <f t="shared" si="31"/>
        <v>ZERO</v>
      </c>
      <c r="I992">
        <v>0</v>
      </c>
      <c r="J992">
        <f>IFERROR(Table4[[#This Row],[energy_kwh]]/Table4[[#This Row],[expected_kwh]],0)</f>
        <v>0</v>
      </c>
      <c r="K992" t="str">
        <f>IF(Table4[[#This Row],[Performance_Ratio]] &lt; 0.85, "Underperforming", "Performing")</f>
        <v>Underperforming</v>
      </c>
      <c r="L992">
        <f>Table4[[#This Row],[energy_kwh]] - Table4[[#This Row],[expected_kwh]]</f>
        <v>0</v>
      </c>
      <c r="M992" t="str">
        <f>IF(Table4[[#This Row],[Performance_Deviation]] &lt; 0, "Underperforming", "Outperforming")</f>
        <v>Outperforming</v>
      </c>
      <c r="N992">
        <f>IF(Table4[[#This Row],[Performance_Ratio]] &lt; 0.85, Table4[[#This Row],[Performance_Deviation]] * 50 / 1000, 0)</f>
        <v>0</v>
      </c>
    </row>
    <row r="993" spans="1:14" x14ac:dyDescent="0.3">
      <c r="A993" s="6" t="s">
        <v>7</v>
      </c>
      <c r="B993" s="5">
        <v>45302.291666666664</v>
      </c>
      <c r="C993" s="6">
        <v>158.510458058517</v>
      </c>
      <c r="D993" s="6">
        <v>155.027756982678</v>
      </c>
      <c r="E993" s="6">
        <v>155.027756982678</v>
      </c>
      <c r="F993" s="6">
        <v>50.920979587374902</v>
      </c>
      <c r="G993" s="6" t="str">
        <f t="shared" si="30"/>
        <v>OK</v>
      </c>
      <c r="H993" s="6" t="str">
        <f t="shared" si="31"/>
        <v>NON-ZERO</v>
      </c>
      <c r="I993">
        <v>155.291427061512</v>
      </c>
      <c r="J993">
        <f>IFERROR(Table4[[#This Row],[energy_kwh]]/Table4[[#This Row],[expected_kwh]],0)</f>
        <v>0.99830209507489709</v>
      </c>
      <c r="K993" t="str">
        <f>IF(Table4[[#This Row],[Performance_Ratio]] &lt; 0.85, "Underperforming", "Performing")</f>
        <v>Performing</v>
      </c>
      <c r="L993">
        <f>Table4[[#This Row],[energy_kwh]] - Table4[[#This Row],[expected_kwh]]</f>
        <v>-0.26367007883399651</v>
      </c>
      <c r="M993" t="str">
        <f>IF(Table4[[#This Row],[Performance_Deviation]] &lt; 0, "Underperforming", "Outperforming")</f>
        <v>Underperforming</v>
      </c>
      <c r="N993">
        <f>IF(Table4[[#This Row],[Performance_Ratio]] &lt; 0.85, Table4[[#This Row],[Performance_Deviation]] * 50 / 1000, 0)</f>
        <v>0</v>
      </c>
    </row>
    <row r="994" spans="1:14" x14ac:dyDescent="0.3">
      <c r="A994" s="4" t="s">
        <v>7</v>
      </c>
      <c r="B994" s="3">
        <v>45302.333333333336</v>
      </c>
      <c r="C994" s="4">
        <v>289.57852693478299</v>
      </c>
      <c r="D994" s="4">
        <v>283.21607325413697</v>
      </c>
      <c r="E994" s="4">
        <v>283.21607325413697</v>
      </c>
      <c r="F994" s="4">
        <v>24.652757272158599</v>
      </c>
      <c r="G994" s="4" t="str">
        <f t="shared" si="30"/>
        <v>OK</v>
      </c>
      <c r="H994" s="4" t="str">
        <f t="shared" si="31"/>
        <v>NON-ZERO</v>
      </c>
      <c r="I994">
        <v>300</v>
      </c>
      <c r="J994">
        <f>IFERROR(Table4[[#This Row],[energy_kwh]]/Table4[[#This Row],[expected_kwh]],0)</f>
        <v>0.94405357751378993</v>
      </c>
      <c r="K994" t="str">
        <f>IF(Table4[[#This Row],[Performance_Ratio]] &lt; 0.85, "Underperforming", "Performing")</f>
        <v>Performing</v>
      </c>
      <c r="L994">
        <f>Table4[[#This Row],[energy_kwh]] - Table4[[#This Row],[expected_kwh]]</f>
        <v>-16.783926745863027</v>
      </c>
      <c r="M994" t="str">
        <f>IF(Table4[[#This Row],[Performance_Deviation]] &lt; 0, "Underperforming", "Outperforming")</f>
        <v>Underperforming</v>
      </c>
      <c r="N994">
        <f>IF(Table4[[#This Row],[Performance_Ratio]] &lt; 0.85, Table4[[#This Row],[Performance_Deviation]] * 50 / 1000, 0)</f>
        <v>0</v>
      </c>
    </row>
    <row r="995" spans="1:14" x14ac:dyDescent="0.3">
      <c r="A995" s="6" t="s">
        <v>7</v>
      </c>
      <c r="B995" s="5">
        <v>45302.375</v>
      </c>
      <c r="C995" s="6">
        <v>373.98156525744099</v>
      </c>
      <c r="D995" s="6">
        <v>365.764656318947</v>
      </c>
      <c r="E995" s="6">
        <v>365.764656318947</v>
      </c>
      <c r="F995" s="6">
        <v>32.144225497416002</v>
      </c>
      <c r="G995" s="6" t="str">
        <f t="shared" si="30"/>
        <v>OK</v>
      </c>
      <c r="H995" s="6" t="str">
        <f t="shared" si="31"/>
        <v>NON-ZERO</v>
      </c>
      <c r="I995">
        <v>424.26406871192802</v>
      </c>
      <c r="J995">
        <f>IFERROR(Table4[[#This Row],[energy_kwh]]/Table4[[#This Row],[expected_kwh]],0)</f>
        <v>0.86211556267164902</v>
      </c>
      <c r="K995" t="str">
        <f>IF(Table4[[#This Row],[Performance_Ratio]] &lt; 0.85, "Underperforming", "Performing")</f>
        <v>Performing</v>
      </c>
      <c r="L995">
        <f>Table4[[#This Row],[energy_kwh]] - Table4[[#This Row],[expected_kwh]]</f>
        <v>-58.499412392981014</v>
      </c>
      <c r="M995" t="str">
        <f>IF(Table4[[#This Row],[Performance_Deviation]] &lt; 0, "Underperforming", "Outperforming")</f>
        <v>Underperforming</v>
      </c>
      <c r="N995">
        <f>IF(Table4[[#This Row],[Performance_Ratio]] &lt; 0.85, Table4[[#This Row],[Performance_Deviation]] * 50 / 1000, 0)</f>
        <v>0</v>
      </c>
    </row>
    <row r="996" spans="1:14" x14ac:dyDescent="0.3">
      <c r="A996" s="4" t="s">
        <v>7</v>
      </c>
      <c r="B996" s="3">
        <v>45302.416666666664</v>
      </c>
      <c r="C996" s="4">
        <v>418.525646831139</v>
      </c>
      <c r="D996" s="4">
        <v>409.330040822944</v>
      </c>
      <c r="E996" s="4">
        <v>409.330040822944</v>
      </c>
      <c r="F996" s="4">
        <v>86.245520106966694</v>
      </c>
      <c r="G996" s="4" t="str">
        <f t="shared" si="30"/>
        <v>OK</v>
      </c>
      <c r="H996" s="4" t="str">
        <f t="shared" si="31"/>
        <v>NON-ZERO</v>
      </c>
      <c r="I996">
        <v>519.61524227066297</v>
      </c>
      <c r="J996">
        <f>IFERROR(Table4[[#This Row],[energy_kwh]]/Table4[[#This Row],[expected_kwh]],0)</f>
        <v>0.78775603085509105</v>
      </c>
      <c r="K996" t="str">
        <f>IF(Table4[[#This Row],[Performance_Ratio]] &lt; 0.85, "Underperforming", "Performing")</f>
        <v>Underperforming</v>
      </c>
      <c r="L996">
        <f>Table4[[#This Row],[energy_kwh]] - Table4[[#This Row],[expected_kwh]]</f>
        <v>-110.28520144771898</v>
      </c>
      <c r="M996" t="str">
        <f>IF(Table4[[#This Row],[Performance_Deviation]] &lt; 0, "Underperforming", "Outperforming")</f>
        <v>Underperforming</v>
      </c>
      <c r="N996">
        <f>IF(Table4[[#This Row],[Performance_Ratio]] &lt; 0.85, Table4[[#This Row],[Performance_Deviation]] * 50 / 1000, 0)</f>
        <v>-5.514260072385949</v>
      </c>
    </row>
    <row r="997" spans="1:14" x14ac:dyDescent="0.3">
      <c r="A997" s="6" t="s">
        <v>7</v>
      </c>
      <c r="B997" s="5">
        <v>45302.458333333336</v>
      </c>
      <c r="C997" s="6">
        <v>522.74754552298702</v>
      </c>
      <c r="D997" s="6">
        <v>511.262035598382</v>
      </c>
      <c r="E997" s="6">
        <v>511.262035598382</v>
      </c>
      <c r="F997" s="6">
        <v>69.476770469785507</v>
      </c>
      <c r="G997" s="6" t="str">
        <f t="shared" si="30"/>
        <v>OK</v>
      </c>
      <c r="H997" s="6" t="str">
        <f t="shared" si="31"/>
        <v>NON-ZERO</v>
      </c>
      <c r="I997">
        <v>579.55549577344095</v>
      </c>
      <c r="J997">
        <f>IFERROR(Table4[[#This Row],[energy_kwh]]/Table4[[#This Row],[expected_kwh]],0)</f>
        <v>0.8821623456716281</v>
      </c>
      <c r="K997" t="str">
        <f>IF(Table4[[#This Row],[Performance_Ratio]] &lt; 0.85, "Underperforming", "Performing")</f>
        <v>Performing</v>
      </c>
      <c r="L997">
        <f>Table4[[#This Row],[energy_kwh]] - Table4[[#This Row],[expected_kwh]]</f>
        <v>-68.293460175058954</v>
      </c>
      <c r="M997" t="str">
        <f>IF(Table4[[#This Row],[Performance_Deviation]] &lt; 0, "Underperforming", "Outperforming")</f>
        <v>Underperforming</v>
      </c>
      <c r="N997">
        <f>IF(Table4[[#This Row],[Performance_Ratio]] &lt; 0.85, Table4[[#This Row],[Performance_Deviation]] * 50 / 1000, 0)</f>
        <v>0</v>
      </c>
    </row>
    <row r="998" spans="1:14" x14ac:dyDescent="0.3">
      <c r="A998" s="4" t="s">
        <v>7</v>
      </c>
      <c r="B998" s="3">
        <v>45302.5</v>
      </c>
      <c r="C998" s="4">
        <v>653.69897026134095</v>
      </c>
      <c r="D998" s="4">
        <v>639.336270570176</v>
      </c>
      <c r="E998" s="4">
        <v>639.336270570176</v>
      </c>
      <c r="F998" s="4">
        <v>90.537796465955196</v>
      </c>
      <c r="G998" s="4" t="str">
        <f t="shared" si="30"/>
        <v>OK</v>
      </c>
      <c r="H998" s="4" t="str">
        <f t="shared" si="31"/>
        <v>NON-ZERO</v>
      </c>
      <c r="I998">
        <v>600</v>
      </c>
      <c r="J998">
        <f>IFERROR(Table4[[#This Row],[energy_kwh]]/Table4[[#This Row],[expected_kwh]],0)</f>
        <v>1.0655604509502934</v>
      </c>
      <c r="K998" t="str">
        <f>IF(Table4[[#This Row],[Performance_Ratio]] &lt; 0.85, "Underperforming", "Performing")</f>
        <v>Performing</v>
      </c>
      <c r="L998">
        <f>Table4[[#This Row],[energy_kwh]] - Table4[[#This Row],[expected_kwh]]</f>
        <v>39.336270570175998</v>
      </c>
      <c r="M998" t="str">
        <f>IF(Table4[[#This Row],[Performance_Deviation]] &lt; 0, "Underperforming", "Outperforming")</f>
        <v>Outperforming</v>
      </c>
      <c r="N998">
        <f>IF(Table4[[#This Row],[Performance_Ratio]] &lt; 0.85, Table4[[#This Row],[Performance_Deviation]] * 50 / 1000, 0)</f>
        <v>0</v>
      </c>
    </row>
    <row r="999" spans="1:14" x14ac:dyDescent="0.3">
      <c r="A999" s="6" t="s">
        <v>7</v>
      </c>
      <c r="B999" s="5">
        <v>45302.541666666664</v>
      </c>
      <c r="C999" s="6">
        <v>518.96256765733904</v>
      </c>
      <c r="D999" s="6">
        <v>507.56021910042102</v>
      </c>
      <c r="E999" s="6">
        <v>507.56021910042102</v>
      </c>
      <c r="F999" s="6">
        <v>31.357423577747198</v>
      </c>
      <c r="G999" s="6" t="str">
        <f t="shared" si="30"/>
        <v>OK</v>
      </c>
      <c r="H999" s="6" t="str">
        <f t="shared" si="31"/>
        <v>NON-ZERO</v>
      </c>
      <c r="I999">
        <v>579.55549577344095</v>
      </c>
      <c r="J999">
        <f>IFERROR(Table4[[#This Row],[energy_kwh]]/Table4[[#This Row],[expected_kwh]],0)</f>
        <v>0.87577500826398125</v>
      </c>
      <c r="K999" t="str">
        <f>IF(Table4[[#This Row],[Performance_Ratio]] &lt; 0.85, "Underperforming", "Performing")</f>
        <v>Performing</v>
      </c>
      <c r="L999">
        <f>Table4[[#This Row],[energy_kwh]] - Table4[[#This Row],[expected_kwh]]</f>
        <v>-71.99527667301993</v>
      </c>
      <c r="M999" t="str">
        <f>IF(Table4[[#This Row],[Performance_Deviation]] &lt; 0, "Underperforming", "Outperforming")</f>
        <v>Underperforming</v>
      </c>
      <c r="N999">
        <f>IF(Table4[[#This Row],[Performance_Ratio]] &lt; 0.85, Table4[[#This Row],[Performance_Deviation]] * 50 / 1000, 0)</f>
        <v>0</v>
      </c>
    </row>
    <row r="1000" spans="1:14" x14ac:dyDescent="0.3">
      <c r="A1000" s="4" t="s">
        <v>7</v>
      </c>
      <c r="B1000" s="3">
        <v>45302.583333333336</v>
      </c>
      <c r="C1000" s="4">
        <v>582.55145230349899</v>
      </c>
      <c r="D1000" s="4">
        <v>569.75196516228095</v>
      </c>
      <c r="E1000" s="4">
        <v>569.75196516228095</v>
      </c>
      <c r="F1000" s="4">
        <v>45.356330702469599</v>
      </c>
      <c r="G1000" s="4" t="str">
        <f t="shared" si="30"/>
        <v>OK</v>
      </c>
      <c r="H1000" s="4" t="str">
        <f t="shared" si="31"/>
        <v>NON-ZERO</v>
      </c>
      <c r="I1000">
        <v>519.61524227066297</v>
      </c>
      <c r="J1000">
        <f>IFERROR(Table4[[#This Row],[energy_kwh]]/Table4[[#This Row],[expected_kwh]],0)</f>
        <v>1.0964881681925378</v>
      </c>
      <c r="K1000" t="str">
        <f>IF(Table4[[#This Row],[Performance_Ratio]] &lt; 0.85, "Underperforming", "Performing")</f>
        <v>Performing</v>
      </c>
      <c r="L1000">
        <f>Table4[[#This Row],[energy_kwh]] - Table4[[#This Row],[expected_kwh]]</f>
        <v>50.136722891617978</v>
      </c>
      <c r="M1000" t="str">
        <f>IF(Table4[[#This Row],[Performance_Deviation]] &lt; 0, "Underperforming", "Outperforming")</f>
        <v>Outperforming</v>
      </c>
      <c r="N1000">
        <f>IF(Table4[[#This Row],[Performance_Ratio]] &lt; 0.85, Table4[[#This Row],[Performance_Deviation]] * 50 / 1000, 0)</f>
        <v>0</v>
      </c>
    </row>
    <row r="1001" spans="1:14" x14ac:dyDescent="0.3">
      <c r="A1001" s="6" t="s">
        <v>7</v>
      </c>
      <c r="B1001" s="5">
        <v>45302.625</v>
      </c>
      <c r="C1001" s="6">
        <v>386.945901505645</v>
      </c>
      <c r="D1001" s="6">
        <v>378.44414759003098</v>
      </c>
      <c r="E1001" s="6">
        <v>378.44414759003098</v>
      </c>
      <c r="F1001" s="6">
        <v>32.199561132911299</v>
      </c>
      <c r="G1001" s="6" t="str">
        <f t="shared" si="30"/>
        <v>OK</v>
      </c>
      <c r="H1001" s="6" t="str">
        <f t="shared" si="31"/>
        <v>NON-ZERO</v>
      </c>
      <c r="I1001">
        <v>424.26406871192802</v>
      </c>
      <c r="J1001">
        <f>IFERROR(Table4[[#This Row],[energy_kwh]]/Table4[[#This Row],[expected_kwh]],0)</f>
        <v>0.89200141020424617</v>
      </c>
      <c r="K1001" t="str">
        <f>IF(Table4[[#This Row],[Performance_Ratio]] &lt; 0.85, "Underperforming", "Performing")</f>
        <v>Performing</v>
      </c>
      <c r="L1001">
        <f>Table4[[#This Row],[energy_kwh]] - Table4[[#This Row],[expected_kwh]]</f>
        <v>-45.819921121897039</v>
      </c>
      <c r="M1001" t="str">
        <f>IF(Table4[[#This Row],[Performance_Deviation]] &lt; 0, "Underperforming", "Outperforming")</f>
        <v>Underperforming</v>
      </c>
      <c r="N1001">
        <f>IF(Table4[[#This Row],[Performance_Ratio]] &lt; 0.85, Table4[[#This Row],[Performance_Deviation]] * 50 / 1000, 0)</f>
        <v>0</v>
      </c>
    </row>
    <row r="1002" spans="1:14" x14ac:dyDescent="0.3">
      <c r="A1002" s="4" t="s">
        <v>7</v>
      </c>
      <c r="B1002" s="3">
        <v>45302.666666666664</v>
      </c>
      <c r="C1002" s="4">
        <v>267.35177773968502</v>
      </c>
      <c r="D1002" s="4">
        <v>261.47767747295399</v>
      </c>
      <c r="E1002" s="4">
        <v>261.47767747295399</v>
      </c>
      <c r="F1002" s="4">
        <v>64.642229953955095</v>
      </c>
      <c r="G1002" s="4" t="str">
        <f t="shared" si="30"/>
        <v>OK</v>
      </c>
      <c r="H1002" s="4" t="str">
        <f t="shared" si="31"/>
        <v>NON-ZERO</v>
      </c>
      <c r="I1002">
        <v>300</v>
      </c>
      <c r="J1002">
        <f>IFERROR(Table4[[#This Row],[energy_kwh]]/Table4[[#This Row],[expected_kwh]],0)</f>
        <v>0.87159225824317998</v>
      </c>
      <c r="K1002" t="str">
        <f>IF(Table4[[#This Row],[Performance_Ratio]] &lt; 0.85, "Underperforming", "Performing")</f>
        <v>Performing</v>
      </c>
      <c r="L1002">
        <f>Table4[[#This Row],[energy_kwh]] - Table4[[#This Row],[expected_kwh]]</f>
        <v>-38.522322527046015</v>
      </c>
      <c r="M1002" t="str">
        <f>IF(Table4[[#This Row],[Performance_Deviation]] &lt; 0, "Underperforming", "Outperforming")</f>
        <v>Underperforming</v>
      </c>
      <c r="N1002">
        <f>IF(Table4[[#This Row],[Performance_Ratio]] &lt; 0.85, Table4[[#This Row],[Performance_Deviation]] * 50 / 1000, 0)</f>
        <v>0</v>
      </c>
    </row>
    <row r="1003" spans="1:14" x14ac:dyDescent="0.3">
      <c r="A1003" s="6" t="s">
        <v>7</v>
      </c>
      <c r="B1003" s="5">
        <v>45302.708333333336</v>
      </c>
      <c r="C1003" s="6">
        <v>154.88004875896499</v>
      </c>
      <c r="D1003" s="6">
        <v>151.47711295873199</v>
      </c>
      <c r="E1003" s="6">
        <v>151.47711295873199</v>
      </c>
      <c r="F1003" s="6">
        <v>45.911064029258398</v>
      </c>
      <c r="G1003" s="6" t="str">
        <f t="shared" si="30"/>
        <v>OK</v>
      </c>
      <c r="H1003" s="6" t="str">
        <f t="shared" si="31"/>
        <v>NON-ZERO</v>
      </c>
      <c r="I1003">
        <v>155.291427061512</v>
      </c>
      <c r="J1003">
        <f>IFERROR(Table4[[#This Row],[energy_kwh]]/Table4[[#This Row],[expected_kwh]],0)</f>
        <v>0.9754377033236411</v>
      </c>
      <c r="K1003" t="str">
        <f>IF(Table4[[#This Row],[Performance_Ratio]] &lt; 0.85, "Underperforming", "Performing")</f>
        <v>Performing</v>
      </c>
      <c r="L1003">
        <f>Table4[[#This Row],[energy_kwh]] - Table4[[#This Row],[expected_kwh]]</f>
        <v>-3.8143141027800027</v>
      </c>
      <c r="M1003" t="str">
        <f>IF(Table4[[#This Row],[Performance_Deviation]] &lt; 0, "Underperforming", "Outperforming")</f>
        <v>Underperforming</v>
      </c>
      <c r="N1003">
        <f>IF(Table4[[#This Row],[Performance_Ratio]] &lt; 0.85, Table4[[#This Row],[Performance_Deviation]] * 50 / 1000, 0)</f>
        <v>0</v>
      </c>
    </row>
    <row r="1004" spans="1:14" x14ac:dyDescent="0.3">
      <c r="A1004" s="4" t="s">
        <v>7</v>
      </c>
      <c r="B1004" s="3">
        <v>45302.75</v>
      </c>
      <c r="C1004" s="7">
        <v>7.0755738572745206E-14</v>
      </c>
      <c r="D1004" s="7">
        <v>6.9201133975248898E-14</v>
      </c>
      <c r="E1004" s="7">
        <v>6.9201133975248898E-14</v>
      </c>
      <c r="F1004" s="4">
        <v>88.101390906624601</v>
      </c>
      <c r="G1004" s="4" t="str">
        <f t="shared" si="30"/>
        <v>OK</v>
      </c>
      <c r="H1004" s="4" t="str">
        <f t="shared" si="31"/>
        <v>NON-ZERO</v>
      </c>
      <c r="I1004" s="2">
        <v>7.3478807948841102E-14</v>
      </c>
      <c r="J1004">
        <f>IFERROR(Table4[[#This Row],[energy_kwh]]/Table4[[#This Row],[expected_kwh]],0)</f>
        <v>0.94178356871860947</v>
      </c>
      <c r="K1004" t="str">
        <f>IF(Table4[[#This Row],[Performance_Ratio]] &lt; 0.85, "Underperforming", "Performing")</f>
        <v>Performing</v>
      </c>
      <c r="L1004">
        <f>Table4[[#This Row],[energy_kwh]] - Table4[[#This Row],[expected_kwh]]</f>
        <v>-4.2776739735922036E-15</v>
      </c>
      <c r="M1004" t="str">
        <f>IF(Table4[[#This Row],[Performance_Deviation]] &lt; 0, "Underperforming", "Outperforming")</f>
        <v>Underperforming</v>
      </c>
      <c r="N1004">
        <f>IF(Table4[[#This Row],[Performance_Ratio]] &lt; 0.85, Table4[[#This Row],[Performance_Deviation]] * 50 / 1000, 0)</f>
        <v>0</v>
      </c>
    </row>
    <row r="1005" spans="1:14" x14ac:dyDescent="0.3">
      <c r="A1005" s="6" t="s">
        <v>7</v>
      </c>
      <c r="B1005" s="5">
        <v>45302.791666666664</v>
      </c>
      <c r="C1005" s="6">
        <v>0</v>
      </c>
      <c r="D1005" s="6">
        <v>0</v>
      </c>
      <c r="E1005" s="6">
        <v>0</v>
      </c>
      <c r="F1005" s="6">
        <v>30.7602092763515</v>
      </c>
      <c r="G1005" s="6" t="str">
        <f t="shared" si="30"/>
        <v>OK</v>
      </c>
      <c r="H1005" s="6" t="str">
        <f t="shared" si="31"/>
        <v>ZERO</v>
      </c>
      <c r="I1005">
        <v>0</v>
      </c>
      <c r="J1005">
        <f>IFERROR(Table4[[#This Row],[energy_kwh]]/Table4[[#This Row],[expected_kwh]],0)</f>
        <v>0</v>
      </c>
      <c r="K1005" t="str">
        <f>IF(Table4[[#This Row],[Performance_Ratio]] &lt; 0.85, "Underperforming", "Performing")</f>
        <v>Underperforming</v>
      </c>
      <c r="L1005">
        <f>Table4[[#This Row],[energy_kwh]] - Table4[[#This Row],[expected_kwh]]</f>
        <v>0</v>
      </c>
      <c r="M1005" t="str">
        <f>IF(Table4[[#This Row],[Performance_Deviation]] &lt; 0, "Underperforming", "Outperforming")</f>
        <v>Outperforming</v>
      </c>
      <c r="N1005">
        <f>IF(Table4[[#This Row],[Performance_Ratio]] &lt; 0.85, Table4[[#This Row],[Performance_Deviation]] * 50 / 1000, 0)</f>
        <v>0</v>
      </c>
    </row>
    <row r="1006" spans="1:14" x14ac:dyDescent="0.3">
      <c r="A1006" s="4" t="s">
        <v>7</v>
      </c>
      <c r="B1006" s="3">
        <v>45302.833333333336</v>
      </c>
      <c r="C1006" s="4">
        <v>0</v>
      </c>
      <c r="D1006" s="4">
        <v>0</v>
      </c>
      <c r="E1006" s="4">
        <v>0</v>
      </c>
      <c r="F1006" s="4">
        <v>90.467644176887404</v>
      </c>
      <c r="G1006" s="4" t="str">
        <f t="shared" si="30"/>
        <v>OK</v>
      </c>
      <c r="H1006" s="4" t="str">
        <f t="shared" si="31"/>
        <v>ZERO</v>
      </c>
      <c r="I1006">
        <v>0</v>
      </c>
      <c r="J1006">
        <f>IFERROR(Table4[[#This Row],[energy_kwh]]/Table4[[#This Row],[expected_kwh]],0)</f>
        <v>0</v>
      </c>
      <c r="K1006" t="str">
        <f>IF(Table4[[#This Row],[Performance_Ratio]] &lt; 0.85, "Underperforming", "Performing")</f>
        <v>Underperforming</v>
      </c>
      <c r="L1006">
        <f>Table4[[#This Row],[energy_kwh]] - Table4[[#This Row],[expected_kwh]]</f>
        <v>0</v>
      </c>
      <c r="M1006" t="str">
        <f>IF(Table4[[#This Row],[Performance_Deviation]] &lt; 0, "Underperforming", "Outperforming")</f>
        <v>Outperforming</v>
      </c>
      <c r="N1006">
        <f>IF(Table4[[#This Row],[Performance_Ratio]] &lt; 0.85, Table4[[#This Row],[Performance_Deviation]] * 50 / 1000, 0)</f>
        <v>0</v>
      </c>
    </row>
    <row r="1007" spans="1:14" x14ac:dyDescent="0.3">
      <c r="A1007" s="6" t="s">
        <v>7</v>
      </c>
      <c r="B1007" s="5">
        <v>45302.875</v>
      </c>
      <c r="C1007" s="6">
        <v>0</v>
      </c>
      <c r="D1007" s="6">
        <v>0</v>
      </c>
      <c r="E1007" s="6">
        <v>0</v>
      </c>
      <c r="F1007" s="6">
        <v>82.132900320424298</v>
      </c>
      <c r="G1007" s="6" t="str">
        <f t="shared" si="30"/>
        <v>OK</v>
      </c>
      <c r="H1007" s="6" t="str">
        <f t="shared" si="31"/>
        <v>ZERO</v>
      </c>
      <c r="I1007">
        <v>0</v>
      </c>
      <c r="J1007">
        <f>IFERROR(Table4[[#This Row],[energy_kwh]]/Table4[[#This Row],[expected_kwh]],0)</f>
        <v>0</v>
      </c>
      <c r="K1007" t="str">
        <f>IF(Table4[[#This Row],[Performance_Ratio]] &lt; 0.85, "Underperforming", "Performing")</f>
        <v>Underperforming</v>
      </c>
      <c r="L1007">
        <f>Table4[[#This Row],[energy_kwh]] - Table4[[#This Row],[expected_kwh]]</f>
        <v>0</v>
      </c>
      <c r="M1007" t="str">
        <f>IF(Table4[[#This Row],[Performance_Deviation]] &lt; 0, "Underperforming", "Outperforming")</f>
        <v>Outperforming</v>
      </c>
      <c r="N1007">
        <f>IF(Table4[[#This Row],[Performance_Ratio]] &lt; 0.85, Table4[[#This Row],[Performance_Deviation]] * 50 / 1000, 0)</f>
        <v>0</v>
      </c>
    </row>
    <row r="1008" spans="1:14" x14ac:dyDescent="0.3">
      <c r="A1008" s="4" t="s">
        <v>7</v>
      </c>
      <c r="B1008" s="3">
        <v>45302.916666666664</v>
      </c>
      <c r="C1008" s="4">
        <v>0</v>
      </c>
      <c r="D1008" s="4">
        <v>0</v>
      </c>
      <c r="E1008" s="4">
        <v>0</v>
      </c>
      <c r="F1008" s="4">
        <v>78.760217003695004</v>
      </c>
      <c r="G1008" s="4" t="str">
        <f t="shared" si="30"/>
        <v>OK</v>
      </c>
      <c r="H1008" s="4" t="str">
        <f t="shared" si="31"/>
        <v>ZERO</v>
      </c>
      <c r="I1008">
        <v>0</v>
      </c>
      <c r="J1008">
        <f>IFERROR(Table4[[#This Row],[energy_kwh]]/Table4[[#This Row],[expected_kwh]],0)</f>
        <v>0</v>
      </c>
      <c r="K1008" t="str">
        <f>IF(Table4[[#This Row],[Performance_Ratio]] &lt; 0.85, "Underperforming", "Performing")</f>
        <v>Underperforming</v>
      </c>
      <c r="L1008">
        <f>Table4[[#This Row],[energy_kwh]] - Table4[[#This Row],[expected_kwh]]</f>
        <v>0</v>
      </c>
      <c r="M1008" t="str">
        <f>IF(Table4[[#This Row],[Performance_Deviation]] &lt; 0, "Underperforming", "Outperforming")</f>
        <v>Outperforming</v>
      </c>
      <c r="N1008">
        <f>IF(Table4[[#This Row],[Performance_Ratio]] &lt; 0.85, Table4[[#This Row],[Performance_Deviation]] * 50 / 1000, 0)</f>
        <v>0</v>
      </c>
    </row>
    <row r="1009" spans="1:14" x14ac:dyDescent="0.3">
      <c r="A1009" s="6" t="s">
        <v>7</v>
      </c>
      <c r="B1009" s="5">
        <v>45302.958333333336</v>
      </c>
      <c r="C1009" s="6">
        <v>0</v>
      </c>
      <c r="D1009" s="6">
        <v>0</v>
      </c>
      <c r="E1009" s="6">
        <v>0</v>
      </c>
      <c r="F1009" s="6">
        <v>29.325938107315199</v>
      </c>
      <c r="G1009" s="6" t="str">
        <f t="shared" si="30"/>
        <v>OK</v>
      </c>
      <c r="H1009" s="6" t="str">
        <f t="shared" si="31"/>
        <v>ZERO</v>
      </c>
      <c r="I1009">
        <v>0</v>
      </c>
      <c r="J1009">
        <f>IFERROR(Table4[[#This Row],[energy_kwh]]/Table4[[#This Row],[expected_kwh]],0)</f>
        <v>0</v>
      </c>
      <c r="K1009" t="str">
        <f>IF(Table4[[#This Row],[Performance_Ratio]] &lt; 0.85, "Underperforming", "Performing")</f>
        <v>Underperforming</v>
      </c>
      <c r="L1009">
        <f>Table4[[#This Row],[energy_kwh]] - Table4[[#This Row],[expected_kwh]]</f>
        <v>0</v>
      </c>
      <c r="M1009" t="str">
        <f>IF(Table4[[#This Row],[Performance_Deviation]] &lt; 0, "Underperforming", "Outperforming")</f>
        <v>Outperforming</v>
      </c>
      <c r="N1009">
        <f>IF(Table4[[#This Row],[Performance_Ratio]] &lt; 0.85, Table4[[#This Row],[Performance_Deviation]] * 50 / 1000, 0)</f>
        <v>0</v>
      </c>
    </row>
    <row r="1010" spans="1:14" x14ac:dyDescent="0.3">
      <c r="A1010" s="4" t="s">
        <v>7</v>
      </c>
      <c r="B1010" s="3">
        <v>45303</v>
      </c>
      <c r="C1010" s="4">
        <v>0</v>
      </c>
      <c r="D1010" s="4">
        <v>0</v>
      </c>
      <c r="E1010" s="4">
        <v>0</v>
      </c>
      <c r="F1010" s="4">
        <v>58.721247439825497</v>
      </c>
      <c r="G1010" s="4" t="str">
        <f t="shared" si="30"/>
        <v>OK</v>
      </c>
      <c r="H1010" s="4" t="str">
        <f t="shared" si="31"/>
        <v>ZERO</v>
      </c>
      <c r="I1010">
        <v>0</v>
      </c>
      <c r="J1010">
        <f>IFERROR(Table4[[#This Row],[energy_kwh]]/Table4[[#This Row],[expected_kwh]],0)</f>
        <v>0</v>
      </c>
      <c r="K1010" t="str">
        <f>IF(Table4[[#This Row],[Performance_Ratio]] &lt; 0.85, "Underperforming", "Performing")</f>
        <v>Underperforming</v>
      </c>
      <c r="L1010">
        <f>Table4[[#This Row],[energy_kwh]] - Table4[[#This Row],[expected_kwh]]</f>
        <v>0</v>
      </c>
      <c r="M1010" t="str">
        <f>IF(Table4[[#This Row],[Performance_Deviation]] &lt; 0, "Underperforming", "Outperforming")</f>
        <v>Outperforming</v>
      </c>
      <c r="N1010">
        <f>IF(Table4[[#This Row],[Performance_Ratio]] &lt; 0.85, Table4[[#This Row],[Performance_Deviation]] * 50 / 1000, 0)</f>
        <v>0</v>
      </c>
    </row>
    <row r="1011" spans="1:14" x14ac:dyDescent="0.3">
      <c r="A1011" s="6" t="s">
        <v>7</v>
      </c>
      <c r="B1011" s="5">
        <v>45303.041666666664</v>
      </c>
      <c r="C1011" s="6">
        <v>0</v>
      </c>
      <c r="D1011" s="6">
        <v>0</v>
      </c>
      <c r="E1011" s="6">
        <v>0</v>
      </c>
      <c r="F1011" s="6">
        <v>70.418801547064604</v>
      </c>
      <c r="G1011" s="6" t="str">
        <f t="shared" si="30"/>
        <v>OK</v>
      </c>
      <c r="H1011" s="6" t="str">
        <f t="shared" si="31"/>
        <v>ZERO</v>
      </c>
      <c r="I1011">
        <v>0</v>
      </c>
      <c r="J1011">
        <f>IFERROR(Table4[[#This Row],[energy_kwh]]/Table4[[#This Row],[expected_kwh]],0)</f>
        <v>0</v>
      </c>
      <c r="K1011" t="str">
        <f>IF(Table4[[#This Row],[Performance_Ratio]] &lt; 0.85, "Underperforming", "Performing")</f>
        <v>Underperforming</v>
      </c>
      <c r="L1011">
        <f>Table4[[#This Row],[energy_kwh]] - Table4[[#This Row],[expected_kwh]]</f>
        <v>0</v>
      </c>
      <c r="M1011" t="str">
        <f>IF(Table4[[#This Row],[Performance_Deviation]] &lt; 0, "Underperforming", "Outperforming")</f>
        <v>Outperforming</v>
      </c>
      <c r="N1011">
        <f>IF(Table4[[#This Row],[Performance_Ratio]] &lt; 0.85, Table4[[#This Row],[Performance_Deviation]] * 50 / 1000, 0)</f>
        <v>0</v>
      </c>
    </row>
    <row r="1012" spans="1:14" x14ac:dyDescent="0.3">
      <c r="A1012" s="4" t="s">
        <v>7</v>
      </c>
      <c r="B1012" s="3">
        <v>45303.083333333336</v>
      </c>
      <c r="C1012" s="4">
        <v>0</v>
      </c>
      <c r="D1012" s="4">
        <v>0</v>
      </c>
      <c r="E1012" s="4">
        <v>0</v>
      </c>
      <c r="F1012" s="4">
        <v>93.6890954192029</v>
      </c>
      <c r="G1012" s="4" t="str">
        <f t="shared" si="30"/>
        <v>OK</v>
      </c>
      <c r="H1012" s="4" t="str">
        <f t="shared" si="31"/>
        <v>ZERO</v>
      </c>
      <c r="I1012">
        <v>0</v>
      </c>
      <c r="J1012">
        <f>IFERROR(Table4[[#This Row],[energy_kwh]]/Table4[[#This Row],[expected_kwh]],0)</f>
        <v>0</v>
      </c>
      <c r="K1012" t="str">
        <f>IF(Table4[[#This Row],[Performance_Ratio]] &lt; 0.85, "Underperforming", "Performing")</f>
        <v>Underperforming</v>
      </c>
      <c r="L1012">
        <f>Table4[[#This Row],[energy_kwh]] - Table4[[#This Row],[expected_kwh]]</f>
        <v>0</v>
      </c>
      <c r="M1012" t="str">
        <f>IF(Table4[[#This Row],[Performance_Deviation]] &lt; 0, "Underperforming", "Outperforming")</f>
        <v>Outperforming</v>
      </c>
      <c r="N1012">
        <f>IF(Table4[[#This Row],[Performance_Ratio]] &lt; 0.85, Table4[[#This Row],[Performance_Deviation]] * 50 / 1000, 0)</f>
        <v>0</v>
      </c>
    </row>
    <row r="1013" spans="1:14" x14ac:dyDescent="0.3">
      <c r="A1013" s="6" t="s">
        <v>7</v>
      </c>
      <c r="B1013" s="5">
        <v>45303.125</v>
      </c>
      <c r="C1013" s="6">
        <v>0</v>
      </c>
      <c r="D1013" s="6">
        <v>0</v>
      </c>
      <c r="E1013" s="6">
        <v>0</v>
      </c>
      <c r="F1013" s="6">
        <v>41.025106441355902</v>
      </c>
      <c r="G1013" s="6" t="str">
        <f t="shared" si="30"/>
        <v>OK</v>
      </c>
      <c r="H1013" s="6" t="str">
        <f t="shared" si="31"/>
        <v>ZERO</v>
      </c>
      <c r="I1013">
        <v>0</v>
      </c>
      <c r="J1013">
        <f>IFERROR(Table4[[#This Row],[energy_kwh]]/Table4[[#This Row],[expected_kwh]],0)</f>
        <v>0</v>
      </c>
      <c r="K1013" t="str">
        <f>IF(Table4[[#This Row],[Performance_Ratio]] &lt; 0.85, "Underperforming", "Performing")</f>
        <v>Underperforming</v>
      </c>
      <c r="L1013">
        <f>Table4[[#This Row],[energy_kwh]] - Table4[[#This Row],[expected_kwh]]</f>
        <v>0</v>
      </c>
      <c r="M1013" t="str">
        <f>IF(Table4[[#This Row],[Performance_Deviation]] &lt; 0, "Underperforming", "Outperforming")</f>
        <v>Outperforming</v>
      </c>
      <c r="N1013">
        <f>IF(Table4[[#This Row],[Performance_Ratio]] &lt; 0.85, Table4[[#This Row],[Performance_Deviation]] * 50 / 1000, 0)</f>
        <v>0</v>
      </c>
    </row>
    <row r="1014" spans="1:14" x14ac:dyDescent="0.3">
      <c r="A1014" s="4" t="s">
        <v>7</v>
      </c>
      <c r="B1014" s="3">
        <v>45303.166666666664</v>
      </c>
      <c r="C1014" s="4">
        <v>0</v>
      </c>
      <c r="D1014" s="4">
        <v>0</v>
      </c>
      <c r="E1014" s="4">
        <v>0</v>
      </c>
      <c r="F1014" s="4">
        <v>24.092405621202399</v>
      </c>
      <c r="G1014" s="4" t="str">
        <f t="shared" si="30"/>
        <v>OK</v>
      </c>
      <c r="H1014" s="4" t="str">
        <f t="shared" si="31"/>
        <v>ZERO</v>
      </c>
      <c r="I1014">
        <v>0</v>
      </c>
      <c r="J1014">
        <f>IFERROR(Table4[[#This Row],[energy_kwh]]/Table4[[#This Row],[expected_kwh]],0)</f>
        <v>0</v>
      </c>
      <c r="K1014" t="str">
        <f>IF(Table4[[#This Row],[Performance_Ratio]] &lt; 0.85, "Underperforming", "Performing")</f>
        <v>Underperforming</v>
      </c>
      <c r="L1014">
        <f>Table4[[#This Row],[energy_kwh]] - Table4[[#This Row],[expected_kwh]]</f>
        <v>0</v>
      </c>
      <c r="M1014" t="str">
        <f>IF(Table4[[#This Row],[Performance_Deviation]] &lt; 0, "Underperforming", "Outperforming")</f>
        <v>Outperforming</v>
      </c>
      <c r="N1014">
        <f>IF(Table4[[#This Row],[Performance_Ratio]] &lt; 0.85, Table4[[#This Row],[Performance_Deviation]] * 50 / 1000, 0)</f>
        <v>0</v>
      </c>
    </row>
    <row r="1015" spans="1:14" x14ac:dyDescent="0.3">
      <c r="A1015" s="6" t="s">
        <v>7</v>
      </c>
      <c r="B1015" s="5">
        <v>45303.208333333336</v>
      </c>
      <c r="C1015" s="6">
        <v>0</v>
      </c>
      <c r="D1015" s="6">
        <v>0</v>
      </c>
      <c r="E1015" s="6">
        <v>0</v>
      </c>
      <c r="F1015" s="6">
        <v>48.741152446043799</v>
      </c>
      <c r="G1015" s="6" t="str">
        <f t="shared" si="30"/>
        <v>OK</v>
      </c>
      <c r="H1015" s="6" t="str">
        <f t="shared" si="31"/>
        <v>ZERO</v>
      </c>
      <c r="I1015">
        <v>0</v>
      </c>
      <c r="J1015">
        <f>IFERROR(Table4[[#This Row],[energy_kwh]]/Table4[[#This Row],[expected_kwh]],0)</f>
        <v>0</v>
      </c>
      <c r="K1015" t="str">
        <f>IF(Table4[[#This Row],[Performance_Ratio]] &lt; 0.85, "Underperforming", "Performing")</f>
        <v>Underperforming</v>
      </c>
      <c r="L1015">
        <f>Table4[[#This Row],[energy_kwh]] - Table4[[#This Row],[expected_kwh]]</f>
        <v>0</v>
      </c>
      <c r="M1015" t="str">
        <f>IF(Table4[[#This Row],[Performance_Deviation]] &lt; 0, "Underperforming", "Outperforming")</f>
        <v>Outperforming</v>
      </c>
      <c r="N1015">
        <f>IF(Table4[[#This Row],[Performance_Ratio]] &lt; 0.85, Table4[[#This Row],[Performance_Deviation]] * 50 / 1000, 0)</f>
        <v>0</v>
      </c>
    </row>
    <row r="1016" spans="1:14" x14ac:dyDescent="0.3">
      <c r="A1016" s="4" t="s">
        <v>7</v>
      </c>
      <c r="B1016" s="3">
        <v>45303.25</v>
      </c>
      <c r="C1016" s="4">
        <v>0</v>
      </c>
      <c r="D1016" s="4">
        <v>0</v>
      </c>
      <c r="E1016" s="4">
        <v>0</v>
      </c>
      <c r="F1016" s="4">
        <v>81.975560821263997</v>
      </c>
      <c r="G1016" s="4" t="str">
        <f t="shared" si="30"/>
        <v>OK</v>
      </c>
      <c r="H1016" s="4" t="str">
        <f t="shared" si="31"/>
        <v>ZERO</v>
      </c>
      <c r="I1016">
        <v>0</v>
      </c>
      <c r="J1016">
        <f>IFERROR(Table4[[#This Row],[energy_kwh]]/Table4[[#This Row],[expected_kwh]],0)</f>
        <v>0</v>
      </c>
      <c r="K1016" t="str">
        <f>IF(Table4[[#This Row],[Performance_Ratio]] &lt; 0.85, "Underperforming", "Performing")</f>
        <v>Underperforming</v>
      </c>
      <c r="L1016">
        <f>Table4[[#This Row],[energy_kwh]] - Table4[[#This Row],[expected_kwh]]</f>
        <v>0</v>
      </c>
      <c r="M1016" t="str">
        <f>IF(Table4[[#This Row],[Performance_Deviation]] &lt; 0, "Underperforming", "Outperforming")</f>
        <v>Outperforming</v>
      </c>
      <c r="N1016">
        <f>IF(Table4[[#This Row],[Performance_Ratio]] &lt; 0.85, Table4[[#This Row],[Performance_Deviation]] * 50 / 1000, 0)</f>
        <v>0</v>
      </c>
    </row>
    <row r="1017" spans="1:14" x14ac:dyDescent="0.3">
      <c r="A1017" s="6" t="s">
        <v>7</v>
      </c>
      <c r="B1017" s="5">
        <v>45303.291666666664</v>
      </c>
      <c r="C1017" s="6">
        <v>131.771083637581</v>
      </c>
      <c r="D1017" s="6">
        <v>128.87588479474201</v>
      </c>
      <c r="E1017" s="6">
        <v>128.87588479474201</v>
      </c>
      <c r="F1017" s="6">
        <v>79.983752333433699</v>
      </c>
      <c r="G1017" s="6" t="str">
        <f t="shared" si="30"/>
        <v>OK</v>
      </c>
      <c r="H1017" s="6" t="str">
        <f t="shared" si="31"/>
        <v>NON-ZERO</v>
      </c>
      <c r="I1017">
        <v>155.291427061512</v>
      </c>
      <c r="J1017">
        <f>IFERROR(Table4[[#This Row],[energy_kwh]]/Table4[[#This Row],[expected_kwh]],0)</f>
        <v>0.82989697006064211</v>
      </c>
      <c r="K1017" t="str">
        <f>IF(Table4[[#This Row],[Performance_Ratio]] &lt; 0.85, "Underperforming", "Performing")</f>
        <v>Underperforming</v>
      </c>
      <c r="L1017">
        <f>Table4[[#This Row],[energy_kwh]] - Table4[[#This Row],[expected_kwh]]</f>
        <v>-26.41554226676999</v>
      </c>
      <c r="M1017" t="str">
        <f>IF(Table4[[#This Row],[Performance_Deviation]] &lt; 0, "Underperforming", "Outperforming")</f>
        <v>Underperforming</v>
      </c>
      <c r="N1017">
        <f>IF(Table4[[#This Row],[Performance_Ratio]] &lt; 0.85, Table4[[#This Row],[Performance_Deviation]] * 50 / 1000, 0)</f>
        <v>-1.3207771133384996</v>
      </c>
    </row>
    <row r="1018" spans="1:14" x14ac:dyDescent="0.3">
      <c r="A1018" s="4" t="s">
        <v>7</v>
      </c>
      <c r="B1018" s="3">
        <v>45303.333333333336</v>
      </c>
      <c r="C1018" s="4">
        <v>311.65262578562499</v>
      </c>
      <c r="D1018" s="4">
        <v>304.80517263707202</v>
      </c>
      <c r="E1018" s="4">
        <v>304.80517263707202</v>
      </c>
      <c r="F1018" s="4">
        <v>64.892224491332001</v>
      </c>
      <c r="G1018" s="4" t="str">
        <f t="shared" si="30"/>
        <v>OK</v>
      </c>
      <c r="H1018" s="4" t="str">
        <f t="shared" si="31"/>
        <v>NON-ZERO</v>
      </c>
      <c r="I1018">
        <v>300</v>
      </c>
      <c r="J1018">
        <f>IFERROR(Table4[[#This Row],[energy_kwh]]/Table4[[#This Row],[expected_kwh]],0)</f>
        <v>1.0160172421235734</v>
      </c>
      <c r="K1018" t="str">
        <f>IF(Table4[[#This Row],[Performance_Ratio]] &lt; 0.85, "Underperforming", "Performing")</f>
        <v>Performing</v>
      </c>
      <c r="L1018">
        <f>Table4[[#This Row],[energy_kwh]] - Table4[[#This Row],[expected_kwh]]</f>
        <v>4.8051726370720189</v>
      </c>
      <c r="M1018" t="str">
        <f>IF(Table4[[#This Row],[Performance_Deviation]] &lt; 0, "Underperforming", "Outperforming")</f>
        <v>Outperforming</v>
      </c>
      <c r="N1018">
        <f>IF(Table4[[#This Row],[Performance_Ratio]] &lt; 0.85, Table4[[#This Row],[Performance_Deviation]] * 50 / 1000, 0)</f>
        <v>0</v>
      </c>
    </row>
    <row r="1019" spans="1:14" x14ac:dyDescent="0.3">
      <c r="A1019" s="6" t="s">
        <v>7</v>
      </c>
      <c r="B1019" s="5">
        <v>45303.375</v>
      </c>
      <c r="C1019" s="6">
        <v>409.37515683467302</v>
      </c>
      <c r="D1019" s="6">
        <v>400.38060015625399</v>
      </c>
      <c r="E1019" s="6">
        <v>400.38060015625399</v>
      </c>
      <c r="F1019" s="6">
        <v>60.583536865913302</v>
      </c>
      <c r="G1019" s="6" t="str">
        <f t="shared" si="30"/>
        <v>OK</v>
      </c>
      <c r="H1019" s="6" t="str">
        <f t="shared" si="31"/>
        <v>NON-ZERO</v>
      </c>
      <c r="I1019">
        <v>424.26406871192802</v>
      </c>
      <c r="J1019">
        <f>IFERROR(Table4[[#This Row],[energy_kwh]]/Table4[[#This Row],[expected_kwh]],0)</f>
        <v>0.94370612475342397</v>
      </c>
      <c r="K1019" t="str">
        <f>IF(Table4[[#This Row],[Performance_Ratio]] &lt; 0.85, "Underperforming", "Performing")</f>
        <v>Performing</v>
      </c>
      <c r="L1019">
        <f>Table4[[#This Row],[energy_kwh]] - Table4[[#This Row],[expected_kwh]]</f>
        <v>-23.883468555674028</v>
      </c>
      <c r="M1019" t="str">
        <f>IF(Table4[[#This Row],[Performance_Deviation]] &lt; 0, "Underperforming", "Outperforming")</f>
        <v>Underperforming</v>
      </c>
      <c r="N1019">
        <f>IF(Table4[[#This Row],[Performance_Ratio]] &lt; 0.85, Table4[[#This Row],[Performance_Deviation]] * 50 / 1000, 0)</f>
        <v>0</v>
      </c>
    </row>
    <row r="1020" spans="1:14" x14ac:dyDescent="0.3">
      <c r="A1020" s="4" t="s">
        <v>7</v>
      </c>
      <c r="B1020" s="3">
        <v>45303.416666666664</v>
      </c>
      <c r="C1020" s="4">
        <v>444.74745488991101</v>
      </c>
      <c r="D1020" s="4">
        <v>434.97571832064602</v>
      </c>
      <c r="E1020" s="4">
        <v>434.97571832064602</v>
      </c>
      <c r="F1020" s="4">
        <v>33.8628798460268</v>
      </c>
      <c r="G1020" s="4" t="str">
        <f t="shared" si="30"/>
        <v>OK</v>
      </c>
      <c r="H1020" s="4" t="str">
        <f t="shared" si="31"/>
        <v>NON-ZERO</v>
      </c>
      <c r="I1020">
        <v>519.61524227066297</v>
      </c>
      <c r="J1020">
        <f>IFERROR(Table4[[#This Row],[energy_kwh]]/Table4[[#This Row],[expected_kwh]],0)</f>
        <v>0.83711116021125309</v>
      </c>
      <c r="K1020" t="str">
        <f>IF(Table4[[#This Row],[Performance_Ratio]] &lt; 0.85, "Underperforming", "Performing")</f>
        <v>Underperforming</v>
      </c>
      <c r="L1020">
        <f>Table4[[#This Row],[energy_kwh]] - Table4[[#This Row],[expected_kwh]]</f>
        <v>-84.639523950016951</v>
      </c>
      <c r="M1020" t="str">
        <f>IF(Table4[[#This Row],[Performance_Deviation]] &lt; 0, "Underperforming", "Outperforming")</f>
        <v>Underperforming</v>
      </c>
      <c r="N1020">
        <f>IF(Table4[[#This Row],[Performance_Ratio]] &lt; 0.85, Table4[[#This Row],[Performance_Deviation]] * 50 / 1000, 0)</f>
        <v>-4.2319761975008481</v>
      </c>
    </row>
    <row r="1021" spans="1:14" x14ac:dyDescent="0.3">
      <c r="A1021" s="6" t="s">
        <v>7</v>
      </c>
      <c r="B1021" s="5">
        <v>45303.458333333336</v>
      </c>
      <c r="C1021" s="6">
        <v>571.07825350438202</v>
      </c>
      <c r="D1021" s="6">
        <v>558.53084892156801</v>
      </c>
      <c r="E1021" s="6">
        <v>558.53084892156801</v>
      </c>
      <c r="F1021" s="6">
        <v>77.276920201273995</v>
      </c>
      <c r="G1021" s="6" t="str">
        <f t="shared" si="30"/>
        <v>OK</v>
      </c>
      <c r="H1021" s="6" t="str">
        <f t="shared" si="31"/>
        <v>NON-ZERO</v>
      </c>
      <c r="I1021">
        <v>579.55549577344095</v>
      </c>
      <c r="J1021">
        <f>IFERROR(Table4[[#This Row],[energy_kwh]]/Table4[[#This Row],[expected_kwh]],0)</f>
        <v>0.96372280652120346</v>
      </c>
      <c r="K1021" t="str">
        <f>IF(Table4[[#This Row],[Performance_Ratio]] &lt; 0.85, "Underperforming", "Performing")</f>
        <v>Performing</v>
      </c>
      <c r="L1021">
        <f>Table4[[#This Row],[energy_kwh]] - Table4[[#This Row],[expected_kwh]]</f>
        <v>-21.024646851872944</v>
      </c>
      <c r="M1021" t="str">
        <f>IF(Table4[[#This Row],[Performance_Deviation]] &lt; 0, "Underperforming", "Outperforming")</f>
        <v>Underperforming</v>
      </c>
      <c r="N1021">
        <f>IF(Table4[[#This Row],[Performance_Ratio]] &lt; 0.85, Table4[[#This Row],[Performance_Deviation]] * 50 / 1000, 0)</f>
        <v>0</v>
      </c>
    </row>
    <row r="1022" spans="1:14" x14ac:dyDescent="0.3">
      <c r="A1022" s="4" t="s">
        <v>7</v>
      </c>
      <c r="B1022" s="3">
        <v>45303.5</v>
      </c>
      <c r="C1022" s="4">
        <v>505.13615115936699</v>
      </c>
      <c r="D1022" s="4">
        <v>494.03758871348703</v>
      </c>
      <c r="E1022" s="4">
        <v>494.03758871348703</v>
      </c>
      <c r="F1022" s="4">
        <v>53.137527860146598</v>
      </c>
      <c r="G1022" s="4" t="str">
        <f t="shared" si="30"/>
        <v>OK</v>
      </c>
      <c r="H1022" s="4" t="str">
        <f t="shared" si="31"/>
        <v>NON-ZERO</v>
      </c>
      <c r="I1022">
        <v>600</v>
      </c>
      <c r="J1022">
        <f>IFERROR(Table4[[#This Row],[energy_kwh]]/Table4[[#This Row],[expected_kwh]],0)</f>
        <v>0.82339598118914503</v>
      </c>
      <c r="K1022" t="str">
        <f>IF(Table4[[#This Row],[Performance_Ratio]] &lt; 0.85, "Underperforming", "Performing")</f>
        <v>Underperforming</v>
      </c>
      <c r="L1022">
        <f>Table4[[#This Row],[energy_kwh]] - Table4[[#This Row],[expected_kwh]]</f>
        <v>-105.96241128651297</v>
      </c>
      <c r="M1022" t="str">
        <f>IF(Table4[[#This Row],[Performance_Deviation]] &lt; 0, "Underperforming", "Outperforming")</f>
        <v>Underperforming</v>
      </c>
      <c r="N1022">
        <f>IF(Table4[[#This Row],[Performance_Ratio]] &lt; 0.85, Table4[[#This Row],[Performance_Deviation]] * 50 / 1000, 0)</f>
        <v>-5.2981205643256493</v>
      </c>
    </row>
    <row r="1023" spans="1:14" x14ac:dyDescent="0.3">
      <c r="A1023" s="6" t="s">
        <v>7</v>
      </c>
      <c r="B1023" s="5">
        <v>45303.541666666664</v>
      </c>
      <c r="C1023" s="6">
        <v>555.94388057195295</v>
      </c>
      <c r="D1023" s="6">
        <v>543.72899977046802</v>
      </c>
      <c r="E1023" s="6">
        <v>543.72899977046802</v>
      </c>
      <c r="F1023" s="6">
        <v>35.172046186865202</v>
      </c>
      <c r="G1023" s="6" t="str">
        <f t="shared" si="30"/>
        <v>OK</v>
      </c>
      <c r="H1023" s="6" t="str">
        <f t="shared" si="31"/>
        <v>NON-ZERO</v>
      </c>
      <c r="I1023">
        <v>579.55549577344095</v>
      </c>
      <c r="J1023">
        <f>IFERROR(Table4[[#This Row],[energy_kwh]]/Table4[[#This Row],[expected_kwh]],0)</f>
        <v>0.93818280343427518</v>
      </c>
      <c r="K1023" t="str">
        <f>IF(Table4[[#This Row],[Performance_Ratio]] &lt; 0.85, "Underperforming", "Performing")</f>
        <v>Performing</v>
      </c>
      <c r="L1023">
        <f>Table4[[#This Row],[energy_kwh]] - Table4[[#This Row],[expected_kwh]]</f>
        <v>-35.826496002972931</v>
      </c>
      <c r="M1023" t="str">
        <f>IF(Table4[[#This Row],[Performance_Deviation]] &lt; 0, "Underperforming", "Outperforming")</f>
        <v>Underperforming</v>
      </c>
      <c r="N1023">
        <f>IF(Table4[[#This Row],[Performance_Ratio]] &lt; 0.85, Table4[[#This Row],[Performance_Deviation]] * 50 / 1000, 0)</f>
        <v>0</v>
      </c>
    </row>
    <row r="1024" spans="1:14" x14ac:dyDescent="0.3">
      <c r="A1024" s="4" t="s">
        <v>7</v>
      </c>
      <c r="B1024" s="3">
        <v>45303.583333333336</v>
      </c>
      <c r="C1024" s="4">
        <v>474.05717932434499</v>
      </c>
      <c r="D1024" s="4">
        <v>463.64146626248402</v>
      </c>
      <c r="E1024" s="4">
        <v>463.64146626248402</v>
      </c>
      <c r="F1024" s="4">
        <v>56.247071372474302</v>
      </c>
      <c r="G1024" s="4" t="str">
        <f t="shared" si="30"/>
        <v>OK</v>
      </c>
      <c r="H1024" s="4" t="str">
        <f t="shared" si="31"/>
        <v>NON-ZERO</v>
      </c>
      <c r="I1024">
        <v>519.61524227066297</v>
      </c>
      <c r="J1024">
        <f>IFERROR(Table4[[#This Row],[energy_kwh]]/Table4[[#This Row],[expected_kwh]],0)</f>
        <v>0.89227841784706019</v>
      </c>
      <c r="K1024" t="str">
        <f>IF(Table4[[#This Row],[Performance_Ratio]] &lt; 0.85, "Underperforming", "Performing")</f>
        <v>Performing</v>
      </c>
      <c r="L1024">
        <f>Table4[[#This Row],[energy_kwh]] - Table4[[#This Row],[expected_kwh]]</f>
        <v>-55.973776008178959</v>
      </c>
      <c r="M1024" t="str">
        <f>IF(Table4[[#This Row],[Performance_Deviation]] &lt; 0, "Underperforming", "Outperforming")</f>
        <v>Underperforming</v>
      </c>
      <c r="N1024">
        <f>IF(Table4[[#This Row],[Performance_Ratio]] &lt; 0.85, Table4[[#This Row],[Performance_Deviation]] * 50 / 1000, 0)</f>
        <v>0</v>
      </c>
    </row>
    <row r="1025" spans="1:14" x14ac:dyDescent="0.3">
      <c r="A1025" s="6" t="s">
        <v>7</v>
      </c>
      <c r="B1025" s="5">
        <v>45303.625</v>
      </c>
      <c r="C1025" s="6">
        <v>399.01618604533098</v>
      </c>
      <c r="D1025" s="6">
        <v>390.24923074510798</v>
      </c>
      <c r="E1025" s="6">
        <v>390.24923074510798</v>
      </c>
      <c r="F1025" s="6">
        <v>30.899501931537799</v>
      </c>
      <c r="G1025" s="6" t="str">
        <f t="shared" si="30"/>
        <v>OK</v>
      </c>
      <c r="H1025" s="6" t="str">
        <f t="shared" si="31"/>
        <v>NON-ZERO</v>
      </c>
      <c r="I1025">
        <v>424.26406871192802</v>
      </c>
      <c r="J1025">
        <f>IFERROR(Table4[[#This Row],[energy_kwh]]/Table4[[#This Row],[expected_kwh]],0)</f>
        <v>0.91982625804233298</v>
      </c>
      <c r="K1025" t="str">
        <f>IF(Table4[[#This Row],[Performance_Ratio]] &lt; 0.85, "Underperforming", "Performing")</f>
        <v>Performing</v>
      </c>
      <c r="L1025">
        <f>Table4[[#This Row],[energy_kwh]] - Table4[[#This Row],[expected_kwh]]</f>
        <v>-34.014837966820039</v>
      </c>
      <c r="M1025" t="str">
        <f>IF(Table4[[#This Row],[Performance_Deviation]] &lt; 0, "Underperforming", "Outperforming")</f>
        <v>Underperforming</v>
      </c>
      <c r="N1025">
        <f>IF(Table4[[#This Row],[Performance_Ratio]] &lt; 0.85, Table4[[#This Row],[Performance_Deviation]] * 50 / 1000, 0)</f>
        <v>0</v>
      </c>
    </row>
    <row r="1026" spans="1:14" x14ac:dyDescent="0.3">
      <c r="A1026" s="4" t="s">
        <v>7</v>
      </c>
      <c r="B1026" s="3">
        <v>45303.666666666664</v>
      </c>
      <c r="C1026" s="4">
        <v>269.718880548019</v>
      </c>
      <c r="D1026" s="4">
        <v>263.79277165297202</v>
      </c>
      <c r="E1026" s="4">
        <v>263.79277165297202</v>
      </c>
      <c r="F1026" s="4">
        <v>62.451381866586502</v>
      </c>
      <c r="G1026" s="4" t="str">
        <f t="shared" ref="G1026:G1089" si="32">IF(D1026 &gt; C1026, "ERROR", "OK")</f>
        <v>OK</v>
      </c>
      <c r="H1026" s="4" t="str">
        <f t="shared" ref="H1026:H1089" si="33">IF(E1026=0,"ZERO","NON-ZERO")</f>
        <v>NON-ZERO</v>
      </c>
      <c r="I1026">
        <v>300</v>
      </c>
      <c r="J1026">
        <f>IFERROR(Table4[[#This Row],[energy_kwh]]/Table4[[#This Row],[expected_kwh]],0)</f>
        <v>0.87930923884324008</v>
      </c>
      <c r="K1026" t="str">
        <f>IF(Table4[[#This Row],[Performance_Ratio]] &lt; 0.85, "Underperforming", "Performing")</f>
        <v>Performing</v>
      </c>
      <c r="L1026">
        <f>Table4[[#This Row],[energy_kwh]] - Table4[[#This Row],[expected_kwh]]</f>
        <v>-36.207228347027979</v>
      </c>
      <c r="M1026" t="str">
        <f>IF(Table4[[#This Row],[Performance_Deviation]] &lt; 0, "Underperforming", "Outperforming")</f>
        <v>Underperforming</v>
      </c>
      <c r="N1026">
        <f>IF(Table4[[#This Row],[Performance_Ratio]] &lt; 0.85, Table4[[#This Row],[Performance_Deviation]] * 50 / 1000, 0)</f>
        <v>0</v>
      </c>
    </row>
    <row r="1027" spans="1:14" x14ac:dyDescent="0.3">
      <c r="A1027" s="6" t="s">
        <v>7</v>
      </c>
      <c r="B1027" s="5">
        <v>45303.708333333336</v>
      </c>
      <c r="C1027" s="6">
        <v>147.62974615254001</v>
      </c>
      <c r="D1027" s="6">
        <v>144.38610985214299</v>
      </c>
      <c r="E1027" s="6">
        <v>144.38610985214299</v>
      </c>
      <c r="F1027" s="6">
        <v>91.984326530363703</v>
      </c>
      <c r="G1027" s="6" t="str">
        <f t="shared" si="32"/>
        <v>OK</v>
      </c>
      <c r="H1027" s="6" t="str">
        <f t="shared" si="33"/>
        <v>NON-ZERO</v>
      </c>
      <c r="I1027">
        <v>155.291427061512</v>
      </c>
      <c r="J1027">
        <f>IFERROR(Table4[[#This Row],[energy_kwh]]/Table4[[#This Row],[expected_kwh]],0)</f>
        <v>0.92977514975730546</v>
      </c>
      <c r="K1027" t="str">
        <f>IF(Table4[[#This Row],[Performance_Ratio]] &lt; 0.85, "Underperforming", "Performing")</f>
        <v>Performing</v>
      </c>
      <c r="L1027">
        <f>Table4[[#This Row],[energy_kwh]] - Table4[[#This Row],[expected_kwh]]</f>
        <v>-10.905317209369002</v>
      </c>
      <c r="M1027" t="str">
        <f>IF(Table4[[#This Row],[Performance_Deviation]] &lt; 0, "Underperforming", "Outperforming")</f>
        <v>Underperforming</v>
      </c>
      <c r="N1027">
        <f>IF(Table4[[#This Row],[Performance_Ratio]] &lt; 0.85, Table4[[#This Row],[Performance_Deviation]] * 50 / 1000, 0)</f>
        <v>0</v>
      </c>
    </row>
    <row r="1028" spans="1:14" x14ac:dyDescent="0.3">
      <c r="A1028" s="4" t="s">
        <v>7</v>
      </c>
      <c r="B1028" s="3">
        <v>45303.75</v>
      </c>
      <c r="C1028" s="7">
        <v>8.0625144986290105E-14</v>
      </c>
      <c r="D1028" s="7">
        <v>7.8853695438906301E-14</v>
      </c>
      <c r="E1028" s="7">
        <v>7.8853695438906301E-14</v>
      </c>
      <c r="F1028" s="4">
        <v>83.162403248778503</v>
      </c>
      <c r="G1028" s="4" t="str">
        <f t="shared" si="32"/>
        <v>OK</v>
      </c>
      <c r="H1028" s="4" t="str">
        <f t="shared" si="33"/>
        <v>NON-ZERO</v>
      </c>
      <c r="I1028" s="2">
        <v>7.3478807948841102E-14</v>
      </c>
      <c r="J1028">
        <f>IFERROR(Table4[[#This Row],[energy_kwh]]/Table4[[#This Row],[expected_kwh]],0)</f>
        <v>1.073148811747292</v>
      </c>
      <c r="K1028" t="str">
        <f>IF(Table4[[#This Row],[Performance_Ratio]] &lt; 0.85, "Underperforming", "Performing")</f>
        <v>Performing</v>
      </c>
      <c r="L1028">
        <f>Table4[[#This Row],[energy_kwh]] - Table4[[#This Row],[expected_kwh]]</f>
        <v>5.3748874900651999E-15</v>
      </c>
      <c r="M1028" t="str">
        <f>IF(Table4[[#This Row],[Performance_Deviation]] &lt; 0, "Underperforming", "Outperforming")</f>
        <v>Outperforming</v>
      </c>
      <c r="N1028">
        <f>IF(Table4[[#This Row],[Performance_Ratio]] &lt; 0.85, Table4[[#This Row],[Performance_Deviation]] * 50 / 1000, 0)</f>
        <v>0</v>
      </c>
    </row>
    <row r="1029" spans="1:14" x14ac:dyDescent="0.3">
      <c r="A1029" s="6" t="s">
        <v>7</v>
      </c>
      <c r="B1029" s="5">
        <v>45303.791666666664</v>
      </c>
      <c r="C1029" s="6">
        <v>0</v>
      </c>
      <c r="D1029" s="6">
        <v>0</v>
      </c>
      <c r="E1029" s="6">
        <v>0</v>
      </c>
      <c r="F1029" s="6">
        <v>32.741530491429202</v>
      </c>
      <c r="G1029" s="6" t="str">
        <f t="shared" si="32"/>
        <v>OK</v>
      </c>
      <c r="H1029" s="6" t="str">
        <f t="shared" si="33"/>
        <v>ZERO</v>
      </c>
      <c r="I1029">
        <v>0</v>
      </c>
      <c r="J1029">
        <f>IFERROR(Table4[[#This Row],[energy_kwh]]/Table4[[#This Row],[expected_kwh]],0)</f>
        <v>0</v>
      </c>
      <c r="K1029" t="str">
        <f>IF(Table4[[#This Row],[Performance_Ratio]] &lt; 0.85, "Underperforming", "Performing")</f>
        <v>Underperforming</v>
      </c>
      <c r="L1029">
        <f>Table4[[#This Row],[energy_kwh]] - Table4[[#This Row],[expected_kwh]]</f>
        <v>0</v>
      </c>
      <c r="M1029" t="str">
        <f>IF(Table4[[#This Row],[Performance_Deviation]] &lt; 0, "Underperforming", "Outperforming")</f>
        <v>Outperforming</v>
      </c>
      <c r="N1029">
        <f>IF(Table4[[#This Row],[Performance_Ratio]] &lt; 0.85, Table4[[#This Row],[Performance_Deviation]] * 50 / 1000, 0)</f>
        <v>0</v>
      </c>
    </row>
    <row r="1030" spans="1:14" x14ac:dyDescent="0.3">
      <c r="A1030" s="4" t="s">
        <v>7</v>
      </c>
      <c r="B1030" s="3">
        <v>45303.833333333336</v>
      </c>
      <c r="C1030" s="4">
        <v>0</v>
      </c>
      <c r="D1030" s="4">
        <v>0</v>
      </c>
      <c r="E1030" s="4">
        <v>0</v>
      </c>
      <c r="F1030" s="4">
        <v>71.3235686694008</v>
      </c>
      <c r="G1030" s="4" t="str">
        <f t="shared" si="32"/>
        <v>OK</v>
      </c>
      <c r="H1030" s="4" t="str">
        <f t="shared" si="33"/>
        <v>ZERO</v>
      </c>
      <c r="I1030">
        <v>0</v>
      </c>
      <c r="J1030">
        <f>IFERROR(Table4[[#This Row],[energy_kwh]]/Table4[[#This Row],[expected_kwh]],0)</f>
        <v>0</v>
      </c>
      <c r="K1030" t="str">
        <f>IF(Table4[[#This Row],[Performance_Ratio]] &lt; 0.85, "Underperforming", "Performing")</f>
        <v>Underperforming</v>
      </c>
      <c r="L1030">
        <f>Table4[[#This Row],[energy_kwh]] - Table4[[#This Row],[expected_kwh]]</f>
        <v>0</v>
      </c>
      <c r="M1030" t="str">
        <f>IF(Table4[[#This Row],[Performance_Deviation]] &lt; 0, "Underperforming", "Outperforming")</f>
        <v>Outperforming</v>
      </c>
      <c r="N1030">
        <f>IF(Table4[[#This Row],[Performance_Ratio]] &lt; 0.85, Table4[[#This Row],[Performance_Deviation]] * 50 / 1000, 0)</f>
        <v>0</v>
      </c>
    </row>
    <row r="1031" spans="1:14" x14ac:dyDescent="0.3">
      <c r="A1031" s="6" t="s">
        <v>7</v>
      </c>
      <c r="B1031" s="5">
        <v>45303.875</v>
      </c>
      <c r="C1031" s="6">
        <v>0</v>
      </c>
      <c r="D1031" s="6">
        <v>0</v>
      </c>
      <c r="E1031" s="6">
        <v>0</v>
      </c>
      <c r="F1031" s="6">
        <v>48.660460612442598</v>
      </c>
      <c r="G1031" s="6" t="str">
        <f t="shared" si="32"/>
        <v>OK</v>
      </c>
      <c r="H1031" s="6" t="str">
        <f t="shared" si="33"/>
        <v>ZERO</v>
      </c>
      <c r="I1031">
        <v>0</v>
      </c>
      <c r="J1031">
        <f>IFERROR(Table4[[#This Row],[energy_kwh]]/Table4[[#This Row],[expected_kwh]],0)</f>
        <v>0</v>
      </c>
      <c r="K1031" t="str">
        <f>IF(Table4[[#This Row],[Performance_Ratio]] &lt; 0.85, "Underperforming", "Performing")</f>
        <v>Underperforming</v>
      </c>
      <c r="L1031">
        <f>Table4[[#This Row],[energy_kwh]] - Table4[[#This Row],[expected_kwh]]</f>
        <v>0</v>
      </c>
      <c r="M1031" t="str">
        <f>IF(Table4[[#This Row],[Performance_Deviation]] &lt; 0, "Underperforming", "Outperforming")</f>
        <v>Outperforming</v>
      </c>
      <c r="N1031">
        <f>IF(Table4[[#This Row],[Performance_Ratio]] &lt; 0.85, Table4[[#This Row],[Performance_Deviation]] * 50 / 1000, 0)</f>
        <v>0</v>
      </c>
    </row>
    <row r="1032" spans="1:14" x14ac:dyDescent="0.3">
      <c r="A1032" s="4" t="s">
        <v>7</v>
      </c>
      <c r="B1032" s="3">
        <v>45303.916666666664</v>
      </c>
      <c r="C1032" s="4">
        <v>0</v>
      </c>
      <c r="D1032" s="4">
        <v>0</v>
      </c>
      <c r="E1032" s="4">
        <v>0</v>
      </c>
      <c r="F1032" s="4">
        <v>68.136463760107603</v>
      </c>
      <c r="G1032" s="4" t="str">
        <f t="shared" si="32"/>
        <v>OK</v>
      </c>
      <c r="H1032" s="4" t="str">
        <f t="shared" si="33"/>
        <v>ZERO</v>
      </c>
      <c r="I1032">
        <v>0</v>
      </c>
      <c r="J1032">
        <f>IFERROR(Table4[[#This Row],[energy_kwh]]/Table4[[#This Row],[expected_kwh]],0)</f>
        <v>0</v>
      </c>
      <c r="K1032" t="str">
        <f>IF(Table4[[#This Row],[Performance_Ratio]] &lt; 0.85, "Underperforming", "Performing")</f>
        <v>Underperforming</v>
      </c>
      <c r="L1032">
        <f>Table4[[#This Row],[energy_kwh]] - Table4[[#This Row],[expected_kwh]]</f>
        <v>0</v>
      </c>
      <c r="M1032" t="str">
        <f>IF(Table4[[#This Row],[Performance_Deviation]] &lt; 0, "Underperforming", "Outperforming")</f>
        <v>Outperforming</v>
      </c>
      <c r="N1032">
        <f>IF(Table4[[#This Row],[Performance_Ratio]] &lt; 0.85, Table4[[#This Row],[Performance_Deviation]] * 50 / 1000, 0)</f>
        <v>0</v>
      </c>
    </row>
    <row r="1033" spans="1:14" x14ac:dyDescent="0.3">
      <c r="A1033" s="6" t="s">
        <v>7</v>
      </c>
      <c r="B1033" s="5">
        <v>45303.958333333336</v>
      </c>
      <c r="C1033" s="6">
        <v>0</v>
      </c>
      <c r="D1033" s="6">
        <v>0</v>
      </c>
      <c r="E1033" s="6">
        <v>0</v>
      </c>
      <c r="F1033" s="6">
        <v>51.158225044406699</v>
      </c>
      <c r="G1033" s="6" t="str">
        <f t="shared" si="32"/>
        <v>OK</v>
      </c>
      <c r="H1033" s="6" t="str">
        <f t="shared" si="33"/>
        <v>ZERO</v>
      </c>
      <c r="I1033">
        <v>0</v>
      </c>
      <c r="J1033">
        <f>IFERROR(Table4[[#This Row],[energy_kwh]]/Table4[[#This Row],[expected_kwh]],0)</f>
        <v>0</v>
      </c>
      <c r="K1033" t="str">
        <f>IF(Table4[[#This Row],[Performance_Ratio]] &lt; 0.85, "Underperforming", "Performing")</f>
        <v>Underperforming</v>
      </c>
      <c r="L1033">
        <f>Table4[[#This Row],[energy_kwh]] - Table4[[#This Row],[expected_kwh]]</f>
        <v>0</v>
      </c>
      <c r="M1033" t="str">
        <f>IF(Table4[[#This Row],[Performance_Deviation]] &lt; 0, "Underperforming", "Outperforming")</f>
        <v>Outperforming</v>
      </c>
      <c r="N1033">
        <f>IF(Table4[[#This Row],[Performance_Ratio]] &lt; 0.85, Table4[[#This Row],[Performance_Deviation]] * 50 / 1000, 0)</f>
        <v>0</v>
      </c>
    </row>
    <row r="1034" spans="1:14" x14ac:dyDescent="0.3">
      <c r="A1034" s="4" t="s">
        <v>7</v>
      </c>
      <c r="B1034" s="3">
        <v>45304</v>
      </c>
      <c r="C1034" s="4">
        <v>0</v>
      </c>
      <c r="D1034" s="4">
        <v>0</v>
      </c>
      <c r="E1034" s="4">
        <v>0</v>
      </c>
      <c r="F1034" s="4">
        <v>49.486034712051101</v>
      </c>
      <c r="G1034" s="4" t="str">
        <f t="shared" si="32"/>
        <v>OK</v>
      </c>
      <c r="H1034" s="4" t="str">
        <f t="shared" si="33"/>
        <v>ZERO</v>
      </c>
      <c r="I1034">
        <v>0</v>
      </c>
      <c r="J1034">
        <f>IFERROR(Table4[[#This Row],[energy_kwh]]/Table4[[#This Row],[expected_kwh]],0)</f>
        <v>0</v>
      </c>
      <c r="K1034" t="str">
        <f>IF(Table4[[#This Row],[Performance_Ratio]] &lt; 0.85, "Underperforming", "Performing")</f>
        <v>Underperforming</v>
      </c>
      <c r="L1034">
        <f>Table4[[#This Row],[energy_kwh]] - Table4[[#This Row],[expected_kwh]]</f>
        <v>0</v>
      </c>
      <c r="M1034" t="str">
        <f>IF(Table4[[#This Row],[Performance_Deviation]] &lt; 0, "Underperforming", "Outperforming")</f>
        <v>Outperforming</v>
      </c>
      <c r="N1034">
        <f>IF(Table4[[#This Row],[Performance_Ratio]] &lt; 0.85, Table4[[#This Row],[Performance_Deviation]] * 50 / 1000, 0)</f>
        <v>0</v>
      </c>
    </row>
    <row r="1035" spans="1:14" x14ac:dyDescent="0.3">
      <c r="A1035" s="6" t="s">
        <v>7</v>
      </c>
      <c r="B1035" s="5">
        <v>45304.041666666664</v>
      </c>
      <c r="C1035" s="6">
        <v>0</v>
      </c>
      <c r="D1035" s="6">
        <v>0</v>
      </c>
      <c r="E1035" s="6">
        <v>0</v>
      </c>
      <c r="F1035" s="6">
        <v>33.427372808118697</v>
      </c>
      <c r="G1035" s="6" t="str">
        <f t="shared" si="32"/>
        <v>OK</v>
      </c>
      <c r="H1035" s="6" t="str">
        <f t="shared" si="33"/>
        <v>ZERO</v>
      </c>
      <c r="I1035">
        <v>0</v>
      </c>
      <c r="J1035">
        <f>IFERROR(Table4[[#This Row],[energy_kwh]]/Table4[[#This Row],[expected_kwh]],0)</f>
        <v>0</v>
      </c>
      <c r="K1035" t="str">
        <f>IF(Table4[[#This Row],[Performance_Ratio]] &lt; 0.85, "Underperforming", "Performing")</f>
        <v>Underperforming</v>
      </c>
      <c r="L1035">
        <f>Table4[[#This Row],[energy_kwh]] - Table4[[#This Row],[expected_kwh]]</f>
        <v>0</v>
      </c>
      <c r="M1035" t="str">
        <f>IF(Table4[[#This Row],[Performance_Deviation]] &lt; 0, "Underperforming", "Outperforming")</f>
        <v>Outperforming</v>
      </c>
      <c r="N1035">
        <f>IF(Table4[[#This Row],[Performance_Ratio]] &lt; 0.85, Table4[[#This Row],[Performance_Deviation]] * 50 / 1000, 0)</f>
        <v>0</v>
      </c>
    </row>
    <row r="1036" spans="1:14" x14ac:dyDescent="0.3">
      <c r="A1036" s="4" t="s">
        <v>7</v>
      </c>
      <c r="B1036" s="3">
        <v>45304.083333333336</v>
      </c>
      <c r="C1036" s="4">
        <v>0</v>
      </c>
      <c r="D1036" s="4">
        <v>0</v>
      </c>
      <c r="E1036" s="4">
        <v>0</v>
      </c>
      <c r="F1036" s="4">
        <v>89.182571274209295</v>
      </c>
      <c r="G1036" s="4" t="str">
        <f t="shared" si="32"/>
        <v>OK</v>
      </c>
      <c r="H1036" s="4" t="str">
        <f t="shared" si="33"/>
        <v>ZERO</v>
      </c>
      <c r="I1036">
        <v>0</v>
      </c>
      <c r="J1036">
        <f>IFERROR(Table4[[#This Row],[energy_kwh]]/Table4[[#This Row],[expected_kwh]],0)</f>
        <v>0</v>
      </c>
      <c r="K1036" t="str">
        <f>IF(Table4[[#This Row],[Performance_Ratio]] &lt; 0.85, "Underperforming", "Performing")</f>
        <v>Underperforming</v>
      </c>
      <c r="L1036">
        <f>Table4[[#This Row],[energy_kwh]] - Table4[[#This Row],[expected_kwh]]</f>
        <v>0</v>
      </c>
      <c r="M1036" t="str">
        <f>IF(Table4[[#This Row],[Performance_Deviation]] &lt; 0, "Underperforming", "Outperforming")</f>
        <v>Outperforming</v>
      </c>
      <c r="N1036">
        <f>IF(Table4[[#This Row],[Performance_Ratio]] &lt; 0.85, Table4[[#This Row],[Performance_Deviation]] * 50 / 1000, 0)</f>
        <v>0</v>
      </c>
    </row>
    <row r="1037" spans="1:14" x14ac:dyDescent="0.3">
      <c r="A1037" s="6" t="s">
        <v>7</v>
      </c>
      <c r="B1037" s="5">
        <v>45304.125</v>
      </c>
      <c r="C1037" s="6">
        <v>0</v>
      </c>
      <c r="D1037" s="6">
        <v>0</v>
      </c>
      <c r="E1037" s="6">
        <v>0</v>
      </c>
      <c r="F1037" s="6">
        <v>46.245339017803502</v>
      </c>
      <c r="G1037" s="6" t="str">
        <f t="shared" si="32"/>
        <v>OK</v>
      </c>
      <c r="H1037" s="6" t="str">
        <f t="shared" si="33"/>
        <v>ZERO</v>
      </c>
      <c r="I1037">
        <v>0</v>
      </c>
      <c r="J1037">
        <f>IFERROR(Table4[[#This Row],[energy_kwh]]/Table4[[#This Row],[expected_kwh]],0)</f>
        <v>0</v>
      </c>
      <c r="K1037" t="str">
        <f>IF(Table4[[#This Row],[Performance_Ratio]] &lt; 0.85, "Underperforming", "Performing")</f>
        <v>Underperforming</v>
      </c>
      <c r="L1037">
        <f>Table4[[#This Row],[energy_kwh]] - Table4[[#This Row],[expected_kwh]]</f>
        <v>0</v>
      </c>
      <c r="M1037" t="str">
        <f>IF(Table4[[#This Row],[Performance_Deviation]] &lt; 0, "Underperforming", "Outperforming")</f>
        <v>Outperforming</v>
      </c>
      <c r="N1037">
        <f>IF(Table4[[#This Row],[Performance_Ratio]] &lt; 0.85, Table4[[#This Row],[Performance_Deviation]] * 50 / 1000, 0)</f>
        <v>0</v>
      </c>
    </row>
    <row r="1038" spans="1:14" x14ac:dyDescent="0.3">
      <c r="A1038" s="4" t="s">
        <v>7</v>
      </c>
      <c r="B1038" s="3">
        <v>45304.166666666664</v>
      </c>
      <c r="C1038" s="4">
        <v>0</v>
      </c>
      <c r="D1038" s="4">
        <v>0</v>
      </c>
      <c r="E1038" s="4">
        <v>0</v>
      </c>
      <c r="F1038" s="4">
        <v>49.949943514941602</v>
      </c>
      <c r="G1038" s="4" t="str">
        <f t="shared" si="32"/>
        <v>OK</v>
      </c>
      <c r="H1038" s="4" t="str">
        <f t="shared" si="33"/>
        <v>ZERO</v>
      </c>
      <c r="I1038">
        <v>0</v>
      </c>
      <c r="J1038">
        <f>IFERROR(Table4[[#This Row],[energy_kwh]]/Table4[[#This Row],[expected_kwh]],0)</f>
        <v>0</v>
      </c>
      <c r="K1038" t="str">
        <f>IF(Table4[[#This Row],[Performance_Ratio]] &lt; 0.85, "Underperforming", "Performing")</f>
        <v>Underperforming</v>
      </c>
      <c r="L1038">
        <f>Table4[[#This Row],[energy_kwh]] - Table4[[#This Row],[expected_kwh]]</f>
        <v>0</v>
      </c>
      <c r="M1038" t="str">
        <f>IF(Table4[[#This Row],[Performance_Deviation]] &lt; 0, "Underperforming", "Outperforming")</f>
        <v>Outperforming</v>
      </c>
      <c r="N1038">
        <f>IF(Table4[[#This Row],[Performance_Ratio]] &lt; 0.85, Table4[[#This Row],[Performance_Deviation]] * 50 / 1000, 0)</f>
        <v>0</v>
      </c>
    </row>
    <row r="1039" spans="1:14" x14ac:dyDescent="0.3">
      <c r="A1039" s="6" t="s">
        <v>7</v>
      </c>
      <c r="B1039" s="5">
        <v>45304.208333333336</v>
      </c>
      <c r="C1039" s="6">
        <v>0</v>
      </c>
      <c r="D1039" s="6">
        <v>0</v>
      </c>
      <c r="E1039" s="6">
        <v>0</v>
      </c>
      <c r="F1039" s="6">
        <v>33.566892603417301</v>
      </c>
      <c r="G1039" s="6" t="str">
        <f t="shared" si="32"/>
        <v>OK</v>
      </c>
      <c r="H1039" s="6" t="str">
        <f t="shared" si="33"/>
        <v>ZERO</v>
      </c>
      <c r="I1039">
        <v>0</v>
      </c>
      <c r="J1039">
        <f>IFERROR(Table4[[#This Row],[energy_kwh]]/Table4[[#This Row],[expected_kwh]],0)</f>
        <v>0</v>
      </c>
      <c r="K1039" t="str">
        <f>IF(Table4[[#This Row],[Performance_Ratio]] &lt; 0.85, "Underperforming", "Performing")</f>
        <v>Underperforming</v>
      </c>
      <c r="L1039">
        <f>Table4[[#This Row],[energy_kwh]] - Table4[[#This Row],[expected_kwh]]</f>
        <v>0</v>
      </c>
      <c r="M1039" t="str">
        <f>IF(Table4[[#This Row],[Performance_Deviation]] &lt; 0, "Underperforming", "Outperforming")</f>
        <v>Outperforming</v>
      </c>
      <c r="N1039">
        <f>IF(Table4[[#This Row],[Performance_Ratio]] &lt; 0.85, Table4[[#This Row],[Performance_Deviation]] * 50 / 1000, 0)</f>
        <v>0</v>
      </c>
    </row>
    <row r="1040" spans="1:14" x14ac:dyDescent="0.3">
      <c r="A1040" s="4" t="s">
        <v>7</v>
      </c>
      <c r="B1040" s="3">
        <v>45304.25</v>
      </c>
      <c r="C1040" s="4">
        <v>0</v>
      </c>
      <c r="D1040" s="4">
        <v>0</v>
      </c>
      <c r="E1040" s="4">
        <v>0</v>
      </c>
      <c r="F1040" s="4">
        <v>63.376982233740499</v>
      </c>
      <c r="G1040" s="4" t="str">
        <f t="shared" si="32"/>
        <v>OK</v>
      </c>
      <c r="H1040" s="4" t="str">
        <f t="shared" si="33"/>
        <v>ZERO</v>
      </c>
      <c r="I1040">
        <v>0</v>
      </c>
      <c r="J1040">
        <f>IFERROR(Table4[[#This Row],[energy_kwh]]/Table4[[#This Row],[expected_kwh]],0)</f>
        <v>0</v>
      </c>
      <c r="K1040" t="str">
        <f>IF(Table4[[#This Row],[Performance_Ratio]] &lt; 0.85, "Underperforming", "Performing")</f>
        <v>Underperforming</v>
      </c>
      <c r="L1040">
        <f>Table4[[#This Row],[energy_kwh]] - Table4[[#This Row],[expected_kwh]]</f>
        <v>0</v>
      </c>
      <c r="M1040" t="str">
        <f>IF(Table4[[#This Row],[Performance_Deviation]] &lt; 0, "Underperforming", "Outperforming")</f>
        <v>Outperforming</v>
      </c>
      <c r="N1040">
        <f>IF(Table4[[#This Row],[Performance_Ratio]] &lt; 0.85, Table4[[#This Row],[Performance_Deviation]] * 50 / 1000, 0)</f>
        <v>0</v>
      </c>
    </row>
    <row r="1041" spans="1:14" x14ac:dyDescent="0.3">
      <c r="A1041" s="6" t="s">
        <v>7</v>
      </c>
      <c r="B1041" s="5">
        <v>45304.291666666664</v>
      </c>
      <c r="C1041" s="6">
        <v>159.244078663062</v>
      </c>
      <c r="D1041" s="6">
        <v>155.74525889512</v>
      </c>
      <c r="E1041" s="6">
        <v>155.74525889512</v>
      </c>
      <c r="F1041" s="6">
        <v>84.981738765477502</v>
      </c>
      <c r="G1041" s="6" t="str">
        <f t="shared" si="32"/>
        <v>OK</v>
      </c>
      <c r="H1041" s="6" t="str">
        <f t="shared" si="33"/>
        <v>NON-ZERO</v>
      </c>
      <c r="I1041">
        <v>155.291427061512</v>
      </c>
      <c r="J1041">
        <f>IFERROR(Table4[[#This Row],[energy_kwh]]/Table4[[#This Row],[expected_kwh]],0)</f>
        <v>1.002922452592494</v>
      </c>
      <c r="K1041" t="str">
        <f>IF(Table4[[#This Row],[Performance_Ratio]] &lt; 0.85, "Underperforming", "Performing")</f>
        <v>Performing</v>
      </c>
      <c r="L1041">
        <f>Table4[[#This Row],[energy_kwh]] - Table4[[#This Row],[expected_kwh]]</f>
        <v>0.45383183360800672</v>
      </c>
      <c r="M1041" t="str">
        <f>IF(Table4[[#This Row],[Performance_Deviation]] &lt; 0, "Underperforming", "Outperforming")</f>
        <v>Outperforming</v>
      </c>
      <c r="N1041">
        <f>IF(Table4[[#This Row],[Performance_Ratio]] &lt; 0.85, Table4[[#This Row],[Performance_Deviation]] * 50 / 1000, 0)</f>
        <v>0</v>
      </c>
    </row>
    <row r="1042" spans="1:14" x14ac:dyDescent="0.3">
      <c r="A1042" s="4" t="s">
        <v>7</v>
      </c>
      <c r="B1042" s="3">
        <v>45304.333333333336</v>
      </c>
      <c r="C1042" s="4">
        <v>288.35407230232403</v>
      </c>
      <c r="D1042" s="4">
        <v>282.01852163815897</v>
      </c>
      <c r="E1042" s="4">
        <v>282.01852163815897</v>
      </c>
      <c r="F1042" s="4">
        <v>61.144131129101602</v>
      </c>
      <c r="G1042" s="4" t="str">
        <f t="shared" si="32"/>
        <v>OK</v>
      </c>
      <c r="H1042" s="4" t="str">
        <f t="shared" si="33"/>
        <v>NON-ZERO</v>
      </c>
      <c r="I1042">
        <v>300</v>
      </c>
      <c r="J1042">
        <f>IFERROR(Table4[[#This Row],[energy_kwh]]/Table4[[#This Row],[expected_kwh]],0)</f>
        <v>0.94006173879386323</v>
      </c>
      <c r="K1042" t="str">
        <f>IF(Table4[[#This Row],[Performance_Ratio]] &lt; 0.85, "Underperforming", "Performing")</f>
        <v>Performing</v>
      </c>
      <c r="L1042">
        <f>Table4[[#This Row],[energy_kwh]] - Table4[[#This Row],[expected_kwh]]</f>
        <v>-17.981478361841027</v>
      </c>
      <c r="M1042" t="str">
        <f>IF(Table4[[#This Row],[Performance_Deviation]] &lt; 0, "Underperforming", "Outperforming")</f>
        <v>Underperforming</v>
      </c>
      <c r="N1042">
        <f>IF(Table4[[#This Row],[Performance_Ratio]] &lt; 0.85, Table4[[#This Row],[Performance_Deviation]] * 50 / 1000, 0)</f>
        <v>0</v>
      </c>
    </row>
    <row r="1043" spans="1:14" x14ac:dyDescent="0.3">
      <c r="A1043" s="6" t="s">
        <v>7</v>
      </c>
      <c r="B1043" s="5">
        <v>45304.375</v>
      </c>
      <c r="C1043" s="6">
        <v>392.174041787048</v>
      </c>
      <c r="D1043" s="6">
        <v>383.55741816500699</v>
      </c>
      <c r="E1043" s="6">
        <v>383.55741816500699</v>
      </c>
      <c r="F1043" s="6">
        <v>94.739473159896406</v>
      </c>
      <c r="G1043" s="6" t="str">
        <f t="shared" si="32"/>
        <v>OK</v>
      </c>
      <c r="H1043" s="6" t="str">
        <f t="shared" si="33"/>
        <v>NON-ZERO</v>
      </c>
      <c r="I1043">
        <v>424.26406871192802</v>
      </c>
      <c r="J1043">
        <f>IFERROR(Table4[[#This Row],[energy_kwh]]/Table4[[#This Row],[expected_kwh]],0)</f>
        <v>0.90405350452960342</v>
      </c>
      <c r="K1043" t="str">
        <f>IF(Table4[[#This Row],[Performance_Ratio]] &lt; 0.85, "Underperforming", "Performing")</f>
        <v>Performing</v>
      </c>
      <c r="L1043">
        <f>Table4[[#This Row],[energy_kwh]] - Table4[[#This Row],[expected_kwh]]</f>
        <v>-40.706650546921026</v>
      </c>
      <c r="M1043" t="str">
        <f>IF(Table4[[#This Row],[Performance_Deviation]] &lt; 0, "Underperforming", "Outperforming")</f>
        <v>Underperforming</v>
      </c>
      <c r="N1043">
        <f>IF(Table4[[#This Row],[Performance_Ratio]] &lt; 0.85, Table4[[#This Row],[Performance_Deviation]] * 50 / 1000, 0)</f>
        <v>0</v>
      </c>
    </row>
    <row r="1044" spans="1:14" x14ac:dyDescent="0.3">
      <c r="A1044" s="4" t="s">
        <v>7</v>
      </c>
      <c r="B1044" s="3">
        <v>45304.416666666664</v>
      </c>
      <c r="C1044" s="4">
        <v>508.12729678257301</v>
      </c>
      <c r="D1044" s="4">
        <v>496.96301459676198</v>
      </c>
      <c r="E1044" s="4">
        <v>496.96301459676198</v>
      </c>
      <c r="F1044" s="4">
        <v>31.905257253073199</v>
      </c>
      <c r="G1044" s="4" t="str">
        <f t="shared" si="32"/>
        <v>OK</v>
      </c>
      <c r="H1044" s="4" t="str">
        <f t="shared" si="33"/>
        <v>NON-ZERO</v>
      </c>
      <c r="I1044">
        <v>519.61524227066297</v>
      </c>
      <c r="J1044">
        <f>IFERROR(Table4[[#This Row],[energy_kwh]]/Table4[[#This Row],[expected_kwh]],0)</f>
        <v>0.9564057675157619</v>
      </c>
      <c r="K1044" t="str">
        <f>IF(Table4[[#This Row],[Performance_Ratio]] &lt; 0.85, "Underperforming", "Performing")</f>
        <v>Performing</v>
      </c>
      <c r="L1044">
        <f>Table4[[#This Row],[energy_kwh]] - Table4[[#This Row],[expected_kwh]]</f>
        <v>-22.652227673900995</v>
      </c>
      <c r="M1044" t="str">
        <f>IF(Table4[[#This Row],[Performance_Deviation]] &lt; 0, "Underperforming", "Outperforming")</f>
        <v>Underperforming</v>
      </c>
      <c r="N1044">
        <f>IF(Table4[[#This Row],[Performance_Ratio]] &lt; 0.85, Table4[[#This Row],[Performance_Deviation]] * 50 / 1000, 0)</f>
        <v>0</v>
      </c>
    </row>
    <row r="1045" spans="1:14" x14ac:dyDescent="0.3">
      <c r="A1045" s="6" t="s">
        <v>7</v>
      </c>
      <c r="B1045" s="5">
        <v>45304.458333333336</v>
      </c>
      <c r="C1045" s="6">
        <v>516.970560152041</v>
      </c>
      <c r="D1045" s="6">
        <v>505.61197884409</v>
      </c>
      <c r="E1045" s="6">
        <v>505.61197884409</v>
      </c>
      <c r="F1045" s="6">
        <v>88.028147031126593</v>
      </c>
      <c r="G1045" s="6" t="str">
        <f t="shared" si="32"/>
        <v>OK</v>
      </c>
      <c r="H1045" s="6" t="str">
        <f t="shared" si="33"/>
        <v>NON-ZERO</v>
      </c>
      <c r="I1045">
        <v>579.55549577344095</v>
      </c>
      <c r="J1045">
        <f>IFERROR(Table4[[#This Row],[energy_kwh]]/Table4[[#This Row],[expected_kwh]],0)</f>
        <v>0.8724133970454887</v>
      </c>
      <c r="K1045" t="str">
        <f>IF(Table4[[#This Row],[Performance_Ratio]] &lt; 0.85, "Underperforming", "Performing")</f>
        <v>Performing</v>
      </c>
      <c r="L1045">
        <f>Table4[[#This Row],[energy_kwh]] - Table4[[#This Row],[expected_kwh]]</f>
        <v>-73.943516929350949</v>
      </c>
      <c r="M1045" t="str">
        <f>IF(Table4[[#This Row],[Performance_Deviation]] &lt; 0, "Underperforming", "Outperforming")</f>
        <v>Underperforming</v>
      </c>
      <c r="N1045">
        <f>IF(Table4[[#This Row],[Performance_Ratio]] &lt; 0.85, Table4[[#This Row],[Performance_Deviation]] * 50 / 1000, 0)</f>
        <v>0</v>
      </c>
    </row>
    <row r="1046" spans="1:14" x14ac:dyDescent="0.3">
      <c r="A1046" s="4" t="s">
        <v>7</v>
      </c>
      <c r="B1046" s="3">
        <v>45304.5</v>
      </c>
      <c r="C1046" s="4">
        <v>627.46013623407998</v>
      </c>
      <c r="D1046" s="4">
        <v>613.673941188821</v>
      </c>
      <c r="E1046" s="4">
        <v>613.673941188821</v>
      </c>
      <c r="F1046" s="4">
        <v>46.835843700169399</v>
      </c>
      <c r="G1046" s="4" t="str">
        <f t="shared" si="32"/>
        <v>OK</v>
      </c>
      <c r="H1046" s="4" t="str">
        <f t="shared" si="33"/>
        <v>NON-ZERO</v>
      </c>
      <c r="I1046">
        <v>600</v>
      </c>
      <c r="J1046">
        <f>IFERROR(Table4[[#This Row],[energy_kwh]]/Table4[[#This Row],[expected_kwh]],0)</f>
        <v>1.0227899019813684</v>
      </c>
      <c r="K1046" t="str">
        <f>IF(Table4[[#This Row],[Performance_Ratio]] &lt; 0.85, "Underperforming", "Performing")</f>
        <v>Performing</v>
      </c>
      <c r="L1046">
        <f>Table4[[#This Row],[energy_kwh]] - Table4[[#This Row],[expected_kwh]]</f>
        <v>13.673941188821004</v>
      </c>
      <c r="M1046" t="str">
        <f>IF(Table4[[#This Row],[Performance_Deviation]] &lt; 0, "Underperforming", "Outperforming")</f>
        <v>Outperforming</v>
      </c>
      <c r="N1046">
        <f>IF(Table4[[#This Row],[Performance_Ratio]] &lt; 0.85, Table4[[#This Row],[Performance_Deviation]] * 50 / 1000, 0)</f>
        <v>0</v>
      </c>
    </row>
    <row r="1047" spans="1:14" x14ac:dyDescent="0.3">
      <c r="A1047" s="6" t="s">
        <v>7</v>
      </c>
      <c r="B1047" s="5">
        <v>45304.541666666664</v>
      </c>
      <c r="C1047" s="6">
        <v>503.16320095083199</v>
      </c>
      <c r="D1047" s="6">
        <v>492.10798703789999</v>
      </c>
      <c r="E1047" s="6">
        <v>492.10798703789999</v>
      </c>
      <c r="F1047" s="6">
        <v>32.109337554817998</v>
      </c>
      <c r="G1047" s="6" t="str">
        <f t="shared" si="32"/>
        <v>OK</v>
      </c>
      <c r="H1047" s="6" t="str">
        <f t="shared" si="33"/>
        <v>NON-ZERO</v>
      </c>
      <c r="I1047">
        <v>579.55549577344095</v>
      </c>
      <c r="J1047">
        <f>IFERROR(Table4[[#This Row],[energy_kwh]]/Table4[[#This Row],[expected_kwh]],0)</f>
        <v>0.84911279528315298</v>
      </c>
      <c r="K1047" t="str">
        <f>IF(Table4[[#This Row],[Performance_Ratio]] &lt; 0.85, "Underperforming", "Performing")</f>
        <v>Underperforming</v>
      </c>
      <c r="L1047">
        <f>Table4[[#This Row],[energy_kwh]] - Table4[[#This Row],[expected_kwh]]</f>
        <v>-87.447508735540964</v>
      </c>
      <c r="M1047" t="str">
        <f>IF(Table4[[#This Row],[Performance_Deviation]] &lt; 0, "Underperforming", "Outperforming")</f>
        <v>Underperforming</v>
      </c>
      <c r="N1047">
        <f>IF(Table4[[#This Row],[Performance_Ratio]] &lt; 0.85, Table4[[#This Row],[Performance_Deviation]] * 50 / 1000, 0)</f>
        <v>-4.3723754367770482</v>
      </c>
    </row>
    <row r="1048" spans="1:14" x14ac:dyDescent="0.3">
      <c r="A1048" s="4" t="s">
        <v>7</v>
      </c>
      <c r="B1048" s="3">
        <v>45304.583333333336</v>
      </c>
      <c r="C1048" s="4">
        <v>587.10988083674101</v>
      </c>
      <c r="D1048" s="4">
        <v>574.21023851238101</v>
      </c>
      <c r="E1048" s="4">
        <v>574.21023851238101</v>
      </c>
      <c r="F1048" s="4">
        <v>75.670354418921505</v>
      </c>
      <c r="G1048" s="4" t="str">
        <f t="shared" si="32"/>
        <v>OK</v>
      </c>
      <c r="H1048" s="4" t="str">
        <f t="shared" si="33"/>
        <v>NON-ZERO</v>
      </c>
      <c r="I1048">
        <v>519.61524227066297</v>
      </c>
      <c r="J1048">
        <f>IFERROR(Table4[[#This Row],[energy_kwh]]/Table4[[#This Row],[expected_kwh]],0)</f>
        <v>1.1050681192552085</v>
      </c>
      <c r="K1048" t="str">
        <f>IF(Table4[[#This Row],[Performance_Ratio]] &lt; 0.85, "Underperforming", "Performing")</f>
        <v>Performing</v>
      </c>
      <c r="L1048">
        <f>Table4[[#This Row],[energy_kwh]] - Table4[[#This Row],[expected_kwh]]</f>
        <v>54.594996241718036</v>
      </c>
      <c r="M1048" t="str">
        <f>IF(Table4[[#This Row],[Performance_Deviation]] &lt; 0, "Underperforming", "Outperforming")</f>
        <v>Outperforming</v>
      </c>
      <c r="N1048">
        <f>IF(Table4[[#This Row],[Performance_Ratio]] &lt; 0.85, Table4[[#This Row],[Performance_Deviation]] * 50 / 1000, 0)</f>
        <v>0</v>
      </c>
    </row>
    <row r="1049" spans="1:14" x14ac:dyDescent="0.3">
      <c r="A1049" s="6" t="s">
        <v>7</v>
      </c>
      <c r="B1049" s="5">
        <v>45304.625</v>
      </c>
      <c r="C1049" s="6">
        <v>362.71403667006598</v>
      </c>
      <c r="D1049" s="6">
        <v>354.74469142177901</v>
      </c>
      <c r="E1049" s="6">
        <v>354.74469142177901</v>
      </c>
      <c r="F1049" s="6">
        <v>78.515948640172496</v>
      </c>
      <c r="G1049" s="6" t="str">
        <f t="shared" si="32"/>
        <v>OK</v>
      </c>
      <c r="H1049" s="6" t="str">
        <f t="shared" si="33"/>
        <v>NON-ZERO</v>
      </c>
      <c r="I1049">
        <v>424.26406871192802</v>
      </c>
      <c r="J1049">
        <f>IFERROR(Table4[[#This Row],[energy_kwh]]/Table4[[#This Row],[expected_kwh]],0)</f>
        <v>0.83614125631423164</v>
      </c>
      <c r="K1049" t="str">
        <f>IF(Table4[[#This Row],[Performance_Ratio]] &lt; 0.85, "Underperforming", "Performing")</f>
        <v>Underperforming</v>
      </c>
      <c r="L1049">
        <f>Table4[[#This Row],[energy_kwh]] - Table4[[#This Row],[expected_kwh]]</f>
        <v>-69.519377290149009</v>
      </c>
      <c r="M1049" t="str">
        <f>IF(Table4[[#This Row],[Performance_Deviation]] &lt; 0, "Underperforming", "Outperforming")</f>
        <v>Underperforming</v>
      </c>
      <c r="N1049">
        <f>IF(Table4[[#This Row],[Performance_Ratio]] &lt; 0.85, Table4[[#This Row],[Performance_Deviation]] * 50 / 1000, 0)</f>
        <v>-3.47596886450745</v>
      </c>
    </row>
    <row r="1050" spans="1:14" x14ac:dyDescent="0.3">
      <c r="A1050" s="4" t="s">
        <v>7</v>
      </c>
      <c r="B1050" s="3">
        <v>45304.666666666664</v>
      </c>
      <c r="C1050" s="4">
        <v>250.950722721434</v>
      </c>
      <c r="D1050" s="4">
        <v>245.436977049955</v>
      </c>
      <c r="E1050" s="4">
        <v>245.436977049955</v>
      </c>
      <c r="F1050" s="4">
        <v>79.718270709229003</v>
      </c>
      <c r="G1050" s="4" t="str">
        <f t="shared" si="32"/>
        <v>OK</v>
      </c>
      <c r="H1050" s="4" t="str">
        <f t="shared" si="33"/>
        <v>NON-ZERO</v>
      </c>
      <c r="I1050">
        <v>300</v>
      </c>
      <c r="J1050">
        <f>IFERROR(Table4[[#This Row],[energy_kwh]]/Table4[[#This Row],[expected_kwh]],0)</f>
        <v>0.81812325683318332</v>
      </c>
      <c r="K1050" t="str">
        <f>IF(Table4[[#This Row],[Performance_Ratio]] &lt; 0.85, "Underperforming", "Performing")</f>
        <v>Underperforming</v>
      </c>
      <c r="L1050">
        <f>Table4[[#This Row],[energy_kwh]] - Table4[[#This Row],[expected_kwh]]</f>
        <v>-54.563022950044996</v>
      </c>
      <c r="M1050" t="str">
        <f>IF(Table4[[#This Row],[Performance_Deviation]] &lt; 0, "Underperforming", "Outperforming")</f>
        <v>Underperforming</v>
      </c>
      <c r="N1050">
        <f>IF(Table4[[#This Row],[Performance_Ratio]] &lt; 0.85, Table4[[#This Row],[Performance_Deviation]] * 50 / 1000, 0)</f>
        <v>-2.72815114750225</v>
      </c>
    </row>
    <row r="1051" spans="1:14" x14ac:dyDescent="0.3">
      <c r="A1051" s="6" t="s">
        <v>7</v>
      </c>
      <c r="B1051" s="5">
        <v>45304.708333333336</v>
      </c>
      <c r="C1051" s="6">
        <v>152.241883193315</v>
      </c>
      <c r="D1051" s="6">
        <v>148.89691165718301</v>
      </c>
      <c r="E1051" s="6">
        <v>148.89691165718301</v>
      </c>
      <c r="F1051" s="6">
        <v>56.613325648310997</v>
      </c>
      <c r="G1051" s="6" t="str">
        <f t="shared" si="32"/>
        <v>OK</v>
      </c>
      <c r="H1051" s="6" t="str">
        <f t="shared" si="33"/>
        <v>NON-ZERO</v>
      </c>
      <c r="I1051">
        <v>155.291427061512</v>
      </c>
      <c r="J1051">
        <f>IFERROR(Table4[[#This Row],[energy_kwh]]/Table4[[#This Row],[expected_kwh]],0)</f>
        <v>0.95882248282903559</v>
      </c>
      <c r="K1051" t="str">
        <f>IF(Table4[[#This Row],[Performance_Ratio]] &lt; 0.85, "Underperforming", "Performing")</f>
        <v>Performing</v>
      </c>
      <c r="L1051">
        <f>Table4[[#This Row],[energy_kwh]] - Table4[[#This Row],[expected_kwh]]</f>
        <v>-6.3945154043289847</v>
      </c>
      <c r="M1051" t="str">
        <f>IF(Table4[[#This Row],[Performance_Deviation]] &lt; 0, "Underperforming", "Outperforming")</f>
        <v>Underperforming</v>
      </c>
      <c r="N1051">
        <f>IF(Table4[[#This Row],[Performance_Ratio]] &lt; 0.85, Table4[[#This Row],[Performance_Deviation]] * 50 / 1000, 0)</f>
        <v>0</v>
      </c>
    </row>
    <row r="1052" spans="1:14" x14ac:dyDescent="0.3">
      <c r="A1052" s="4" t="s">
        <v>7</v>
      </c>
      <c r="B1052" s="3">
        <v>45304.75</v>
      </c>
      <c r="C1052" s="7">
        <v>6.7757017528131402E-14</v>
      </c>
      <c r="D1052" s="7">
        <v>6.6268299113389997E-14</v>
      </c>
      <c r="E1052" s="7">
        <v>6.6268299113389997E-14</v>
      </c>
      <c r="F1052" s="4">
        <v>58.528089141147802</v>
      </c>
      <c r="G1052" s="4" t="str">
        <f t="shared" si="32"/>
        <v>OK</v>
      </c>
      <c r="H1052" s="4" t="str">
        <f t="shared" si="33"/>
        <v>NON-ZERO</v>
      </c>
      <c r="I1052" s="2">
        <v>7.3478807948841102E-14</v>
      </c>
      <c r="J1052">
        <f>IFERROR(Table4[[#This Row],[energy_kwh]]/Table4[[#This Row],[expected_kwh]],0)</f>
        <v>0.90186954529159824</v>
      </c>
      <c r="K1052" t="str">
        <f>IF(Table4[[#This Row],[Performance_Ratio]] &lt; 0.85, "Underperforming", "Performing")</f>
        <v>Performing</v>
      </c>
      <c r="L1052">
        <f>Table4[[#This Row],[energy_kwh]] - Table4[[#This Row],[expected_kwh]]</f>
        <v>-7.2105088354511045E-15</v>
      </c>
      <c r="M1052" t="str">
        <f>IF(Table4[[#This Row],[Performance_Deviation]] &lt; 0, "Underperforming", "Outperforming")</f>
        <v>Underperforming</v>
      </c>
      <c r="N1052">
        <f>IF(Table4[[#This Row],[Performance_Ratio]] &lt; 0.85, Table4[[#This Row],[Performance_Deviation]] * 50 / 1000, 0)</f>
        <v>0</v>
      </c>
    </row>
    <row r="1053" spans="1:14" x14ac:dyDescent="0.3">
      <c r="A1053" s="6" t="s">
        <v>7</v>
      </c>
      <c r="B1053" s="5">
        <v>45304.791666666664</v>
      </c>
      <c r="C1053" s="6">
        <v>0</v>
      </c>
      <c r="D1053" s="6">
        <v>0</v>
      </c>
      <c r="E1053" s="6">
        <v>0</v>
      </c>
      <c r="F1053" s="6">
        <v>57.217941642561001</v>
      </c>
      <c r="G1053" s="6" t="str">
        <f t="shared" si="32"/>
        <v>OK</v>
      </c>
      <c r="H1053" s="6" t="str">
        <f t="shared" si="33"/>
        <v>ZERO</v>
      </c>
      <c r="I1053">
        <v>0</v>
      </c>
      <c r="J1053">
        <f>IFERROR(Table4[[#This Row],[energy_kwh]]/Table4[[#This Row],[expected_kwh]],0)</f>
        <v>0</v>
      </c>
      <c r="K1053" t="str">
        <f>IF(Table4[[#This Row],[Performance_Ratio]] &lt; 0.85, "Underperforming", "Performing")</f>
        <v>Underperforming</v>
      </c>
      <c r="L1053">
        <f>Table4[[#This Row],[energy_kwh]] - Table4[[#This Row],[expected_kwh]]</f>
        <v>0</v>
      </c>
      <c r="M1053" t="str">
        <f>IF(Table4[[#This Row],[Performance_Deviation]] &lt; 0, "Underperforming", "Outperforming")</f>
        <v>Outperforming</v>
      </c>
      <c r="N1053">
        <f>IF(Table4[[#This Row],[Performance_Ratio]] &lt; 0.85, Table4[[#This Row],[Performance_Deviation]] * 50 / 1000, 0)</f>
        <v>0</v>
      </c>
    </row>
    <row r="1054" spans="1:14" x14ac:dyDescent="0.3">
      <c r="A1054" s="4" t="s">
        <v>7</v>
      </c>
      <c r="B1054" s="3">
        <v>45304.833333333336</v>
      </c>
      <c r="C1054" s="4">
        <v>0</v>
      </c>
      <c r="D1054" s="4">
        <v>0</v>
      </c>
      <c r="E1054" s="4">
        <v>0</v>
      </c>
      <c r="F1054" s="4">
        <v>90.610567812954898</v>
      </c>
      <c r="G1054" s="4" t="str">
        <f t="shared" si="32"/>
        <v>OK</v>
      </c>
      <c r="H1054" s="4" t="str">
        <f t="shared" si="33"/>
        <v>ZERO</v>
      </c>
      <c r="I1054">
        <v>0</v>
      </c>
      <c r="J1054">
        <f>IFERROR(Table4[[#This Row],[energy_kwh]]/Table4[[#This Row],[expected_kwh]],0)</f>
        <v>0</v>
      </c>
      <c r="K1054" t="str">
        <f>IF(Table4[[#This Row],[Performance_Ratio]] &lt; 0.85, "Underperforming", "Performing")</f>
        <v>Underperforming</v>
      </c>
      <c r="L1054">
        <f>Table4[[#This Row],[energy_kwh]] - Table4[[#This Row],[expected_kwh]]</f>
        <v>0</v>
      </c>
      <c r="M1054" t="str">
        <f>IF(Table4[[#This Row],[Performance_Deviation]] &lt; 0, "Underperforming", "Outperforming")</f>
        <v>Outperforming</v>
      </c>
      <c r="N1054">
        <f>IF(Table4[[#This Row],[Performance_Ratio]] &lt; 0.85, Table4[[#This Row],[Performance_Deviation]] * 50 / 1000, 0)</f>
        <v>0</v>
      </c>
    </row>
    <row r="1055" spans="1:14" x14ac:dyDescent="0.3">
      <c r="A1055" s="6" t="s">
        <v>7</v>
      </c>
      <c r="B1055" s="5">
        <v>45304.875</v>
      </c>
      <c r="C1055" s="6">
        <v>0</v>
      </c>
      <c r="D1055" s="6">
        <v>0</v>
      </c>
      <c r="E1055" s="6">
        <v>0</v>
      </c>
      <c r="F1055" s="6">
        <v>26.856649386285302</v>
      </c>
      <c r="G1055" s="6" t="str">
        <f t="shared" si="32"/>
        <v>OK</v>
      </c>
      <c r="H1055" s="6" t="str">
        <f t="shared" si="33"/>
        <v>ZERO</v>
      </c>
      <c r="I1055">
        <v>0</v>
      </c>
      <c r="J1055">
        <f>IFERROR(Table4[[#This Row],[energy_kwh]]/Table4[[#This Row],[expected_kwh]],0)</f>
        <v>0</v>
      </c>
      <c r="K1055" t="str">
        <f>IF(Table4[[#This Row],[Performance_Ratio]] &lt; 0.85, "Underperforming", "Performing")</f>
        <v>Underperforming</v>
      </c>
      <c r="L1055">
        <f>Table4[[#This Row],[energy_kwh]] - Table4[[#This Row],[expected_kwh]]</f>
        <v>0</v>
      </c>
      <c r="M1055" t="str">
        <f>IF(Table4[[#This Row],[Performance_Deviation]] &lt; 0, "Underperforming", "Outperforming")</f>
        <v>Outperforming</v>
      </c>
      <c r="N1055">
        <f>IF(Table4[[#This Row],[Performance_Ratio]] &lt; 0.85, Table4[[#This Row],[Performance_Deviation]] * 50 / 1000, 0)</f>
        <v>0</v>
      </c>
    </row>
    <row r="1056" spans="1:14" x14ac:dyDescent="0.3">
      <c r="A1056" s="4" t="s">
        <v>7</v>
      </c>
      <c r="B1056" s="3">
        <v>45304.916666666664</v>
      </c>
      <c r="C1056" s="4">
        <v>0</v>
      </c>
      <c r="D1056" s="4">
        <v>0</v>
      </c>
      <c r="E1056" s="4">
        <v>0</v>
      </c>
      <c r="F1056" s="4">
        <v>87.243099385175697</v>
      </c>
      <c r="G1056" s="4" t="str">
        <f t="shared" si="32"/>
        <v>OK</v>
      </c>
      <c r="H1056" s="4" t="str">
        <f t="shared" si="33"/>
        <v>ZERO</v>
      </c>
      <c r="I1056">
        <v>0</v>
      </c>
      <c r="J1056">
        <f>IFERROR(Table4[[#This Row],[energy_kwh]]/Table4[[#This Row],[expected_kwh]],0)</f>
        <v>0</v>
      </c>
      <c r="K1056" t="str">
        <f>IF(Table4[[#This Row],[Performance_Ratio]] &lt; 0.85, "Underperforming", "Performing")</f>
        <v>Underperforming</v>
      </c>
      <c r="L1056">
        <f>Table4[[#This Row],[energy_kwh]] - Table4[[#This Row],[expected_kwh]]</f>
        <v>0</v>
      </c>
      <c r="M1056" t="str">
        <f>IF(Table4[[#This Row],[Performance_Deviation]] &lt; 0, "Underperforming", "Outperforming")</f>
        <v>Outperforming</v>
      </c>
      <c r="N1056">
        <f>IF(Table4[[#This Row],[Performance_Ratio]] &lt; 0.85, Table4[[#This Row],[Performance_Deviation]] * 50 / 1000, 0)</f>
        <v>0</v>
      </c>
    </row>
    <row r="1057" spans="1:14" x14ac:dyDescent="0.3">
      <c r="A1057" s="6" t="s">
        <v>7</v>
      </c>
      <c r="B1057" s="5">
        <v>45304.958333333336</v>
      </c>
      <c r="C1057" s="6">
        <v>0</v>
      </c>
      <c r="D1057" s="6">
        <v>0</v>
      </c>
      <c r="E1057" s="6">
        <v>0</v>
      </c>
      <c r="F1057" s="6">
        <v>84.624866352432505</v>
      </c>
      <c r="G1057" s="6" t="str">
        <f t="shared" si="32"/>
        <v>OK</v>
      </c>
      <c r="H1057" s="6" t="str">
        <f t="shared" si="33"/>
        <v>ZERO</v>
      </c>
      <c r="I1057">
        <v>0</v>
      </c>
      <c r="J1057">
        <f>IFERROR(Table4[[#This Row],[energy_kwh]]/Table4[[#This Row],[expected_kwh]],0)</f>
        <v>0</v>
      </c>
      <c r="K1057" t="str">
        <f>IF(Table4[[#This Row],[Performance_Ratio]] &lt; 0.85, "Underperforming", "Performing")</f>
        <v>Underperforming</v>
      </c>
      <c r="L1057">
        <f>Table4[[#This Row],[energy_kwh]] - Table4[[#This Row],[expected_kwh]]</f>
        <v>0</v>
      </c>
      <c r="M1057" t="str">
        <f>IF(Table4[[#This Row],[Performance_Deviation]] &lt; 0, "Underperforming", "Outperforming")</f>
        <v>Outperforming</v>
      </c>
      <c r="N1057">
        <f>IF(Table4[[#This Row],[Performance_Ratio]] &lt; 0.85, Table4[[#This Row],[Performance_Deviation]] * 50 / 1000, 0)</f>
        <v>0</v>
      </c>
    </row>
    <row r="1058" spans="1:14" x14ac:dyDescent="0.3">
      <c r="A1058" s="4" t="s">
        <v>7</v>
      </c>
      <c r="B1058" s="3">
        <v>45305</v>
      </c>
      <c r="C1058" s="4">
        <v>0</v>
      </c>
      <c r="D1058" s="4">
        <v>0</v>
      </c>
      <c r="E1058" s="4">
        <v>0</v>
      </c>
      <c r="F1058" s="4">
        <v>52.225502251636001</v>
      </c>
      <c r="G1058" s="4" t="str">
        <f t="shared" si="32"/>
        <v>OK</v>
      </c>
      <c r="H1058" s="4" t="str">
        <f t="shared" si="33"/>
        <v>ZERO</v>
      </c>
      <c r="I1058">
        <v>0</v>
      </c>
      <c r="J1058">
        <f>IFERROR(Table4[[#This Row],[energy_kwh]]/Table4[[#This Row],[expected_kwh]],0)</f>
        <v>0</v>
      </c>
      <c r="K1058" t="str">
        <f>IF(Table4[[#This Row],[Performance_Ratio]] &lt; 0.85, "Underperforming", "Performing")</f>
        <v>Underperforming</v>
      </c>
      <c r="L1058">
        <f>Table4[[#This Row],[energy_kwh]] - Table4[[#This Row],[expected_kwh]]</f>
        <v>0</v>
      </c>
      <c r="M1058" t="str">
        <f>IF(Table4[[#This Row],[Performance_Deviation]] &lt; 0, "Underperforming", "Outperforming")</f>
        <v>Outperforming</v>
      </c>
      <c r="N1058">
        <f>IF(Table4[[#This Row],[Performance_Ratio]] &lt; 0.85, Table4[[#This Row],[Performance_Deviation]] * 50 / 1000, 0)</f>
        <v>0</v>
      </c>
    </row>
    <row r="1059" spans="1:14" x14ac:dyDescent="0.3">
      <c r="A1059" s="6" t="s">
        <v>7</v>
      </c>
      <c r="B1059" s="5">
        <v>45305.041666666664</v>
      </c>
      <c r="C1059" s="6">
        <v>0</v>
      </c>
      <c r="D1059" s="6">
        <v>0</v>
      </c>
      <c r="E1059" s="6">
        <v>0</v>
      </c>
      <c r="F1059" s="6">
        <v>62.909222279165398</v>
      </c>
      <c r="G1059" s="6" t="str">
        <f t="shared" si="32"/>
        <v>OK</v>
      </c>
      <c r="H1059" s="6" t="str">
        <f t="shared" si="33"/>
        <v>ZERO</v>
      </c>
      <c r="I1059">
        <v>0</v>
      </c>
      <c r="J1059">
        <f>IFERROR(Table4[[#This Row],[energy_kwh]]/Table4[[#This Row],[expected_kwh]],0)</f>
        <v>0</v>
      </c>
      <c r="K1059" t="str">
        <f>IF(Table4[[#This Row],[Performance_Ratio]] &lt; 0.85, "Underperforming", "Performing")</f>
        <v>Underperforming</v>
      </c>
      <c r="L1059">
        <f>Table4[[#This Row],[energy_kwh]] - Table4[[#This Row],[expected_kwh]]</f>
        <v>0</v>
      </c>
      <c r="M1059" t="str">
        <f>IF(Table4[[#This Row],[Performance_Deviation]] &lt; 0, "Underperforming", "Outperforming")</f>
        <v>Outperforming</v>
      </c>
      <c r="N1059">
        <f>IF(Table4[[#This Row],[Performance_Ratio]] &lt; 0.85, Table4[[#This Row],[Performance_Deviation]] * 50 / 1000, 0)</f>
        <v>0</v>
      </c>
    </row>
    <row r="1060" spans="1:14" x14ac:dyDescent="0.3">
      <c r="A1060" s="4" t="s">
        <v>7</v>
      </c>
      <c r="B1060" s="3">
        <v>45305.083333333336</v>
      </c>
      <c r="C1060" s="4">
        <v>0</v>
      </c>
      <c r="D1060" s="4">
        <v>0</v>
      </c>
      <c r="E1060" s="4">
        <v>0</v>
      </c>
      <c r="F1060" s="4">
        <v>42.981158701327701</v>
      </c>
      <c r="G1060" s="4" t="str">
        <f t="shared" si="32"/>
        <v>OK</v>
      </c>
      <c r="H1060" s="4" t="str">
        <f t="shared" si="33"/>
        <v>ZERO</v>
      </c>
      <c r="I1060">
        <v>0</v>
      </c>
      <c r="J1060">
        <f>IFERROR(Table4[[#This Row],[energy_kwh]]/Table4[[#This Row],[expected_kwh]],0)</f>
        <v>0</v>
      </c>
      <c r="K1060" t="str">
        <f>IF(Table4[[#This Row],[Performance_Ratio]] &lt; 0.85, "Underperforming", "Performing")</f>
        <v>Underperforming</v>
      </c>
      <c r="L1060">
        <f>Table4[[#This Row],[energy_kwh]] - Table4[[#This Row],[expected_kwh]]</f>
        <v>0</v>
      </c>
      <c r="M1060" t="str">
        <f>IF(Table4[[#This Row],[Performance_Deviation]] &lt; 0, "Underperforming", "Outperforming")</f>
        <v>Outperforming</v>
      </c>
      <c r="N1060">
        <f>IF(Table4[[#This Row],[Performance_Ratio]] &lt; 0.85, Table4[[#This Row],[Performance_Deviation]] * 50 / 1000, 0)</f>
        <v>0</v>
      </c>
    </row>
    <row r="1061" spans="1:14" x14ac:dyDescent="0.3">
      <c r="A1061" s="6" t="s">
        <v>7</v>
      </c>
      <c r="B1061" s="5">
        <v>45305.125</v>
      </c>
      <c r="C1061" s="6">
        <v>0</v>
      </c>
      <c r="D1061" s="6">
        <v>0</v>
      </c>
      <c r="E1061" s="6">
        <v>0</v>
      </c>
      <c r="F1061" s="6">
        <v>51.987481043139503</v>
      </c>
      <c r="G1061" s="6" t="str">
        <f t="shared" si="32"/>
        <v>OK</v>
      </c>
      <c r="H1061" s="6" t="str">
        <f t="shared" si="33"/>
        <v>ZERO</v>
      </c>
      <c r="I1061">
        <v>0</v>
      </c>
      <c r="J1061">
        <f>IFERROR(Table4[[#This Row],[energy_kwh]]/Table4[[#This Row],[expected_kwh]],0)</f>
        <v>0</v>
      </c>
      <c r="K1061" t="str">
        <f>IF(Table4[[#This Row],[Performance_Ratio]] &lt; 0.85, "Underperforming", "Performing")</f>
        <v>Underperforming</v>
      </c>
      <c r="L1061">
        <f>Table4[[#This Row],[energy_kwh]] - Table4[[#This Row],[expected_kwh]]</f>
        <v>0</v>
      </c>
      <c r="M1061" t="str">
        <f>IF(Table4[[#This Row],[Performance_Deviation]] &lt; 0, "Underperforming", "Outperforming")</f>
        <v>Outperforming</v>
      </c>
      <c r="N1061">
        <f>IF(Table4[[#This Row],[Performance_Ratio]] &lt; 0.85, Table4[[#This Row],[Performance_Deviation]] * 50 / 1000, 0)</f>
        <v>0</v>
      </c>
    </row>
    <row r="1062" spans="1:14" x14ac:dyDescent="0.3">
      <c r="A1062" s="4" t="s">
        <v>7</v>
      </c>
      <c r="B1062" s="3">
        <v>45305.166666666664</v>
      </c>
      <c r="C1062" s="4">
        <v>0</v>
      </c>
      <c r="D1062" s="4">
        <v>0</v>
      </c>
      <c r="E1062" s="4">
        <v>0</v>
      </c>
      <c r="F1062" s="4">
        <v>58.855812353025797</v>
      </c>
      <c r="G1062" s="4" t="str">
        <f t="shared" si="32"/>
        <v>OK</v>
      </c>
      <c r="H1062" s="4" t="str">
        <f t="shared" si="33"/>
        <v>ZERO</v>
      </c>
      <c r="I1062">
        <v>0</v>
      </c>
      <c r="J1062">
        <f>IFERROR(Table4[[#This Row],[energy_kwh]]/Table4[[#This Row],[expected_kwh]],0)</f>
        <v>0</v>
      </c>
      <c r="K1062" t="str">
        <f>IF(Table4[[#This Row],[Performance_Ratio]] &lt; 0.85, "Underperforming", "Performing")</f>
        <v>Underperforming</v>
      </c>
      <c r="L1062">
        <f>Table4[[#This Row],[energy_kwh]] - Table4[[#This Row],[expected_kwh]]</f>
        <v>0</v>
      </c>
      <c r="M1062" t="str">
        <f>IF(Table4[[#This Row],[Performance_Deviation]] &lt; 0, "Underperforming", "Outperforming")</f>
        <v>Outperforming</v>
      </c>
      <c r="N1062">
        <f>IF(Table4[[#This Row],[Performance_Ratio]] &lt; 0.85, Table4[[#This Row],[Performance_Deviation]] * 50 / 1000, 0)</f>
        <v>0</v>
      </c>
    </row>
    <row r="1063" spans="1:14" x14ac:dyDescent="0.3">
      <c r="A1063" s="6" t="s">
        <v>7</v>
      </c>
      <c r="B1063" s="5">
        <v>45305.208333333336</v>
      </c>
      <c r="C1063" s="6">
        <v>0</v>
      </c>
      <c r="D1063" s="6">
        <v>0</v>
      </c>
      <c r="E1063" s="6">
        <v>0</v>
      </c>
      <c r="F1063" s="6">
        <v>50.023462712974499</v>
      </c>
      <c r="G1063" s="6" t="str">
        <f t="shared" si="32"/>
        <v>OK</v>
      </c>
      <c r="H1063" s="6" t="str">
        <f t="shared" si="33"/>
        <v>ZERO</v>
      </c>
      <c r="I1063">
        <v>0</v>
      </c>
      <c r="J1063">
        <f>IFERROR(Table4[[#This Row],[energy_kwh]]/Table4[[#This Row],[expected_kwh]],0)</f>
        <v>0</v>
      </c>
      <c r="K1063" t="str">
        <f>IF(Table4[[#This Row],[Performance_Ratio]] &lt; 0.85, "Underperforming", "Performing")</f>
        <v>Underperforming</v>
      </c>
      <c r="L1063">
        <f>Table4[[#This Row],[energy_kwh]] - Table4[[#This Row],[expected_kwh]]</f>
        <v>0</v>
      </c>
      <c r="M1063" t="str">
        <f>IF(Table4[[#This Row],[Performance_Deviation]] &lt; 0, "Underperforming", "Outperforming")</f>
        <v>Outperforming</v>
      </c>
      <c r="N1063">
        <f>IF(Table4[[#This Row],[Performance_Ratio]] &lt; 0.85, Table4[[#This Row],[Performance_Deviation]] * 50 / 1000, 0)</f>
        <v>0</v>
      </c>
    </row>
    <row r="1064" spans="1:14" x14ac:dyDescent="0.3">
      <c r="A1064" s="4" t="s">
        <v>7</v>
      </c>
      <c r="B1064" s="3">
        <v>45305.25</v>
      </c>
      <c r="C1064" s="4">
        <v>0</v>
      </c>
      <c r="D1064" s="4">
        <v>0</v>
      </c>
      <c r="E1064" s="4">
        <v>0</v>
      </c>
      <c r="F1064" s="4">
        <v>21.510338671196699</v>
      </c>
      <c r="G1064" s="4" t="str">
        <f t="shared" si="32"/>
        <v>OK</v>
      </c>
      <c r="H1064" s="4" t="str">
        <f t="shared" si="33"/>
        <v>ZERO</v>
      </c>
      <c r="I1064">
        <v>0</v>
      </c>
      <c r="J1064">
        <f>IFERROR(Table4[[#This Row],[energy_kwh]]/Table4[[#This Row],[expected_kwh]],0)</f>
        <v>0</v>
      </c>
      <c r="K1064" t="str">
        <f>IF(Table4[[#This Row],[Performance_Ratio]] &lt; 0.85, "Underperforming", "Performing")</f>
        <v>Underperforming</v>
      </c>
      <c r="L1064">
        <f>Table4[[#This Row],[energy_kwh]] - Table4[[#This Row],[expected_kwh]]</f>
        <v>0</v>
      </c>
      <c r="M1064" t="str">
        <f>IF(Table4[[#This Row],[Performance_Deviation]] &lt; 0, "Underperforming", "Outperforming")</f>
        <v>Outperforming</v>
      </c>
      <c r="N1064">
        <f>IF(Table4[[#This Row],[Performance_Ratio]] &lt; 0.85, Table4[[#This Row],[Performance_Deviation]] * 50 / 1000, 0)</f>
        <v>0</v>
      </c>
    </row>
    <row r="1065" spans="1:14" x14ac:dyDescent="0.3">
      <c r="A1065" s="6" t="s">
        <v>7</v>
      </c>
      <c r="B1065" s="5">
        <v>45305.291666666664</v>
      </c>
      <c r="C1065" s="6">
        <v>160.38181806288901</v>
      </c>
      <c r="D1065" s="6">
        <v>156.85800053593201</v>
      </c>
      <c r="E1065" s="6">
        <v>156.85800053593201</v>
      </c>
      <c r="F1065" s="6">
        <v>54.388892164026103</v>
      </c>
      <c r="G1065" s="6" t="str">
        <f t="shared" si="32"/>
        <v>OK</v>
      </c>
      <c r="H1065" s="6" t="str">
        <f t="shared" si="33"/>
        <v>NON-ZERO</v>
      </c>
      <c r="I1065">
        <v>155.291427061512</v>
      </c>
      <c r="J1065">
        <f>IFERROR(Table4[[#This Row],[energy_kwh]]/Table4[[#This Row],[expected_kwh]],0)</f>
        <v>1.0100879585181446</v>
      </c>
      <c r="K1065" t="str">
        <f>IF(Table4[[#This Row],[Performance_Ratio]] &lt; 0.85, "Underperforming", "Performing")</f>
        <v>Performing</v>
      </c>
      <c r="L1065">
        <f>Table4[[#This Row],[energy_kwh]] - Table4[[#This Row],[expected_kwh]]</f>
        <v>1.5665734744200108</v>
      </c>
      <c r="M1065" t="str">
        <f>IF(Table4[[#This Row],[Performance_Deviation]] &lt; 0, "Underperforming", "Outperforming")</f>
        <v>Outperforming</v>
      </c>
      <c r="N1065">
        <f>IF(Table4[[#This Row],[Performance_Ratio]] &lt; 0.85, Table4[[#This Row],[Performance_Deviation]] * 50 / 1000, 0)</f>
        <v>0</v>
      </c>
    </row>
    <row r="1066" spans="1:14" x14ac:dyDescent="0.3">
      <c r="A1066" s="4" t="s">
        <v>7</v>
      </c>
      <c r="B1066" s="3">
        <v>45305.333333333336</v>
      </c>
      <c r="C1066" s="4">
        <v>324.96914644227002</v>
      </c>
      <c r="D1066" s="4">
        <v>317.829110322313</v>
      </c>
      <c r="E1066" s="4">
        <v>317.829110322313</v>
      </c>
      <c r="F1066" s="4">
        <v>94.771206305875197</v>
      </c>
      <c r="G1066" s="4" t="str">
        <f t="shared" si="32"/>
        <v>OK</v>
      </c>
      <c r="H1066" s="4" t="str">
        <f t="shared" si="33"/>
        <v>NON-ZERO</v>
      </c>
      <c r="I1066">
        <v>300</v>
      </c>
      <c r="J1066">
        <f>IFERROR(Table4[[#This Row],[energy_kwh]]/Table4[[#This Row],[expected_kwh]],0)</f>
        <v>1.0594303677410433</v>
      </c>
      <c r="K1066" t="str">
        <f>IF(Table4[[#This Row],[Performance_Ratio]] &lt; 0.85, "Underperforming", "Performing")</f>
        <v>Performing</v>
      </c>
      <c r="L1066">
        <f>Table4[[#This Row],[energy_kwh]] - Table4[[#This Row],[expected_kwh]]</f>
        <v>17.829110322312999</v>
      </c>
      <c r="M1066" t="str">
        <f>IF(Table4[[#This Row],[Performance_Deviation]] &lt; 0, "Underperforming", "Outperforming")</f>
        <v>Outperforming</v>
      </c>
      <c r="N1066">
        <f>IF(Table4[[#This Row],[Performance_Ratio]] &lt; 0.85, Table4[[#This Row],[Performance_Deviation]] * 50 / 1000, 0)</f>
        <v>0</v>
      </c>
    </row>
    <row r="1067" spans="1:14" x14ac:dyDescent="0.3">
      <c r="A1067" s="6" t="s">
        <v>7</v>
      </c>
      <c r="B1067" s="5">
        <v>45305.375</v>
      </c>
      <c r="C1067" s="6">
        <v>425.44577792268899</v>
      </c>
      <c r="D1067" s="6">
        <v>416.09812675424001</v>
      </c>
      <c r="E1067" s="6">
        <v>416.09812675424001</v>
      </c>
      <c r="F1067" s="6">
        <v>85.981430172075704</v>
      </c>
      <c r="G1067" s="6" t="str">
        <f t="shared" si="32"/>
        <v>OK</v>
      </c>
      <c r="H1067" s="6" t="str">
        <f t="shared" si="33"/>
        <v>NON-ZERO</v>
      </c>
      <c r="I1067">
        <v>424.26406871192802</v>
      </c>
      <c r="J1067">
        <f>IFERROR(Table4[[#This Row],[energy_kwh]]/Table4[[#This Row],[expected_kwh]],0)</f>
        <v>0.98075269022314349</v>
      </c>
      <c r="K1067" t="str">
        <f>IF(Table4[[#This Row],[Performance_Ratio]] &lt; 0.85, "Underperforming", "Performing")</f>
        <v>Performing</v>
      </c>
      <c r="L1067">
        <f>Table4[[#This Row],[energy_kwh]] - Table4[[#This Row],[expected_kwh]]</f>
        <v>-8.1659419576880055</v>
      </c>
      <c r="M1067" t="str">
        <f>IF(Table4[[#This Row],[Performance_Deviation]] &lt; 0, "Underperforming", "Outperforming")</f>
        <v>Underperforming</v>
      </c>
      <c r="N1067">
        <f>IF(Table4[[#This Row],[Performance_Ratio]] &lt; 0.85, Table4[[#This Row],[Performance_Deviation]] * 50 / 1000, 0)</f>
        <v>0</v>
      </c>
    </row>
    <row r="1068" spans="1:14" x14ac:dyDescent="0.3">
      <c r="A1068" s="4" t="s">
        <v>7</v>
      </c>
      <c r="B1068" s="3">
        <v>45305.416666666664</v>
      </c>
      <c r="C1068" s="4">
        <v>483.57238516487399</v>
      </c>
      <c r="D1068" s="4">
        <v>472.94760944542202</v>
      </c>
      <c r="E1068" s="4">
        <v>472.94760944542202</v>
      </c>
      <c r="F1068" s="4">
        <v>84.433381823518701</v>
      </c>
      <c r="G1068" s="4" t="str">
        <f t="shared" si="32"/>
        <v>OK</v>
      </c>
      <c r="H1068" s="4" t="str">
        <f t="shared" si="33"/>
        <v>NON-ZERO</v>
      </c>
      <c r="I1068">
        <v>519.61524227066297</v>
      </c>
      <c r="J1068">
        <f>IFERROR(Table4[[#This Row],[energy_kwh]]/Table4[[#This Row],[expected_kwh]],0)</f>
        <v>0.91018809875301498</v>
      </c>
      <c r="K1068" t="str">
        <f>IF(Table4[[#This Row],[Performance_Ratio]] &lt; 0.85, "Underperforming", "Performing")</f>
        <v>Performing</v>
      </c>
      <c r="L1068">
        <f>Table4[[#This Row],[energy_kwh]] - Table4[[#This Row],[expected_kwh]]</f>
        <v>-46.667632825240958</v>
      </c>
      <c r="M1068" t="str">
        <f>IF(Table4[[#This Row],[Performance_Deviation]] &lt; 0, "Underperforming", "Outperforming")</f>
        <v>Underperforming</v>
      </c>
      <c r="N1068">
        <f>IF(Table4[[#This Row],[Performance_Ratio]] &lt; 0.85, Table4[[#This Row],[Performance_Deviation]] * 50 / 1000, 0)</f>
        <v>0</v>
      </c>
    </row>
    <row r="1069" spans="1:14" x14ac:dyDescent="0.3">
      <c r="A1069" s="6" t="s">
        <v>7</v>
      </c>
      <c r="B1069" s="5">
        <v>45305.458333333336</v>
      </c>
      <c r="C1069" s="6">
        <v>568.86988119985597</v>
      </c>
      <c r="D1069" s="6">
        <v>556.37099770956195</v>
      </c>
      <c r="E1069" s="6">
        <v>556.37099770956195</v>
      </c>
      <c r="F1069" s="6">
        <v>37.929978805627201</v>
      </c>
      <c r="G1069" s="6" t="str">
        <f t="shared" si="32"/>
        <v>OK</v>
      </c>
      <c r="H1069" s="6" t="str">
        <f t="shared" si="33"/>
        <v>NON-ZERO</v>
      </c>
      <c r="I1069">
        <v>579.55549577344095</v>
      </c>
      <c r="J1069">
        <f>IFERROR(Table4[[#This Row],[energy_kwh]]/Table4[[#This Row],[expected_kwh]],0)</f>
        <v>0.95999606899950396</v>
      </c>
      <c r="K1069" t="str">
        <f>IF(Table4[[#This Row],[Performance_Ratio]] &lt; 0.85, "Underperforming", "Performing")</f>
        <v>Performing</v>
      </c>
      <c r="L1069">
        <f>Table4[[#This Row],[energy_kwh]] - Table4[[#This Row],[expected_kwh]]</f>
        <v>-23.184498063879005</v>
      </c>
      <c r="M1069" t="str">
        <f>IF(Table4[[#This Row],[Performance_Deviation]] &lt; 0, "Underperforming", "Outperforming")</f>
        <v>Underperforming</v>
      </c>
      <c r="N1069">
        <f>IF(Table4[[#This Row],[Performance_Ratio]] &lt; 0.85, Table4[[#This Row],[Performance_Deviation]] * 50 / 1000, 0)</f>
        <v>0</v>
      </c>
    </row>
    <row r="1070" spans="1:14" x14ac:dyDescent="0.3">
      <c r="A1070" s="4" t="s">
        <v>7</v>
      </c>
      <c r="B1070" s="3">
        <v>45305.5</v>
      </c>
      <c r="C1070" s="4">
        <v>603.25544933774495</v>
      </c>
      <c r="D1070" s="4">
        <v>590.00106582168598</v>
      </c>
      <c r="E1070" s="4">
        <v>590.00106582168598</v>
      </c>
      <c r="F1070" s="4">
        <v>35.726770807264998</v>
      </c>
      <c r="G1070" s="4" t="str">
        <f t="shared" si="32"/>
        <v>OK</v>
      </c>
      <c r="H1070" s="4" t="str">
        <f t="shared" si="33"/>
        <v>NON-ZERO</v>
      </c>
      <c r="I1070">
        <v>600</v>
      </c>
      <c r="J1070">
        <f>IFERROR(Table4[[#This Row],[energy_kwh]]/Table4[[#This Row],[expected_kwh]],0)</f>
        <v>0.98333510970281002</v>
      </c>
      <c r="K1070" t="str">
        <f>IF(Table4[[#This Row],[Performance_Ratio]] &lt; 0.85, "Underperforming", "Performing")</f>
        <v>Performing</v>
      </c>
      <c r="L1070">
        <f>Table4[[#This Row],[energy_kwh]] - Table4[[#This Row],[expected_kwh]]</f>
        <v>-9.9989341783140162</v>
      </c>
      <c r="M1070" t="str">
        <f>IF(Table4[[#This Row],[Performance_Deviation]] &lt; 0, "Underperforming", "Outperforming")</f>
        <v>Underperforming</v>
      </c>
      <c r="N1070">
        <f>IF(Table4[[#This Row],[Performance_Ratio]] &lt; 0.85, Table4[[#This Row],[Performance_Deviation]] * 50 / 1000, 0)</f>
        <v>0</v>
      </c>
    </row>
    <row r="1071" spans="1:14" x14ac:dyDescent="0.3">
      <c r="A1071" s="6" t="s">
        <v>7</v>
      </c>
      <c r="B1071" s="5">
        <v>45305.541666666664</v>
      </c>
      <c r="C1071" s="6">
        <v>582.45723778905995</v>
      </c>
      <c r="D1071" s="6">
        <v>569.65982067523896</v>
      </c>
      <c r="E1071" s="6">
        <v>569.65982067523896</v>
      </c>
      <c r="F1071" s="6">
        <v>90.090791053663594</v>
      </c>
      <c r="G1071" s="6" t="str">
        <f t="shared" si="32"/>
        <v>OK</v>
      </c>
      <c r="H1071" s="6" t="str">
        <f t="shared" si="33"/>
        <v>NON-ZERO</v>
      </c>
      <c r="I1071">
        <v>579.55549577344095</v>
      </c>
      <c r="J1071">
        <f>IFERROR(Table4[[#This Row],[energy_kwh]]/Table4[[#This Row],[expected_kwh]],0)</f>
        <v>0.9829254054695904</v>
      </c>
      <c r="K1071" t="str">
        <f>IF(Table4[[#This Row],[Performance_Ratio]] &lt; 0.85, "Underperforming", "Performing")</f>
        <v>Performing</v>
      </c>
      <c r="L1071">
        <f>Table4[[#This Row],[energy_kwh]] - Table4[[#This Row],[expected_kwh]]</f>
        <v>-9.8956750982019912</v>
      </c>
      <c r="M1071" t="str">
        <f>IF(Table4[[#This Row],[Performance_Deviation]] &lt; 0, "Underperforming", "Outperforming")</f>
        <v>Underperforming</v>
      </c>
      <c r="N1071">
        <f>IF(Table4[[#This Row],[Performance_Ratio]] &lt; 0.85, Table4[[#This Row],[Performance_Deviation]] * 50 / 1000, 0)</f>
        <v>0</v>
      </c>
    </row>
    <row r="1072" spans="1:14" x14ac:dyDescent="0.3">
      <c r="A1072" s="4" t="s">
        <v>7</v>
      </c>
      <c r="B1072" s="3">
        <v>45305.583333333336</v>
      </c>
      <c r="C1072" s="4">
        <v>530.16673874537003</v>
      </c>
      <c r="D1072" s="4">
        <v>518.51821855296498</v>
      </c>
      <c r="E1072" s="4">
        <v>518.51821855296498</v>
      </c>
      <c r="F1072" s="4">
        <v>92.422923145010003</v>
      </c>
      <c r="G1072" s="4" t="str">
        <f t="shared" si="32"/>
        <v>OK</v>
      </c>
      <c r="H1072" s="4" t="str">
        <f t="shared" si="33"/>
        <v>NON-ZERO</v>
      </c>
      <c r="I1072">
        <v>519.61524227066297</v>
      </c>
      <c r="J1072">
        <f>IFERROR(Table4[[#This Row],[energy_kwh]]/Table4[[#This Row],[expected_kwh]],0)</f>
        <v>0.99788877687093225</v>
      </c>
      <c r="K1072" t="str">
        <f>IF(Table4[[#This Row],[Performance_Ratio]] &lt; 0.85, "Underperforming", "Performing")</f>
        <v>Performing</v>
      </c>
      <c r="L1072">
        <f>Table4[[#This Row],[energy_kwh]] - Table4[[#This Row],[expected_kwh]]</f>
        <v>-1.0970237176979936</v>
      </c>
      <c r="M1072" t="str">
        <f>IF(Table4[[#This Row],[Performance_Deviation]] &lt; 0, "Underperforming", "Outperforming")</f>
        <v>Underperforming</v>
      </c>
      <c r="N1072">
        <f>IF(Table4[[#This Row],[Performance_Ratio]] &lt; 0.85, Table4[[#This Row],[Performance_Deviation]] * 50 / 1000, 0)</f>
        <v>0</v>
      </c>
    </row>
    <row r="1073" spans="1:14" x14ac:dyDescent="0.3">
      <c r="A1073" s="6" t="s">
        <v>7</v>
      </c>
      <c r="B1073" s="5">
        <v>45305.625</v>
      </c>
      <c r="C1073" s="6">
        <v>382.24598293096</v>
      </c>
      <c r="D1073" s="6">
        <v>373.84749293671001</v>
      </c>
      <c r="E1073" s="6">
        <v>373.84749293671001</v>
      </c>
      <c r="F1073" s="6">
        <v>70.378164443304499</v>
      </c>
      <c r="G1073" s="6" t="str">
        <f t="shared" si="32"/>
        <v>OK</v>
      </c>
      <c r="H1073" s="6" t="str">
        <f t="shared" si="33"/>
        <v>NON-ZERO</v>
      </c>
      <c r="I1073">
        <v>424.26406871192802</v>
      </c>
      <c r="J1073">
        <f>IFERROR(Table4[[#This Row],[energy_kwh]]/Table4[[#This Row],[expected_kwh]],0)</f>
        <v>0.88116699128379294</v>
      </c>
      <c r="K1073" t="str">
        <f>IF(Table4[[#This Row],[Performance_Ratio]] &lt; 0.85, "Underperforming", "Performing")</f>
        <v>Performing</v>
      </c>
      <c r="L1073">
        <f>Table4[[#This Row],[energy_kwh]] - Table4[[#This Row],[expected_kwh]]</f>
        <v>-50.416575775218007</v>
      </c>
      <c r="M1073" t="str">
        <f>IF(Table4[[#This Row],[Performance_Deviation]] &lt; 0, "Underperforming", "Outperforming")</f>
        <v>Underperforming</v>
      </c>
      <c r="N1073">
        <f>IF(Table4[[#This Row],[Performance_Ratio]] &lt; 0.85, Table4[[#This Row],[Performance_Deviation]] * 50 / 1000, 0)</f>
        <v>0</v>
      </c>
    </row>
    <row r="1074" spans="1:14" x14ac:dyDescent="0.3">
      <c r="A1074" s="4" t="s">
        <v>7</v>
      </c>
      <c r="B1074" s="3">
        <v>45305.666666666664</v>
      </c>
      <c r="C1074" s="4">
        <v>296.15302864797599</v>
      </c>
      <c r="D1074" s="4">
        <v>289.64612377798801</v>
      </c>
      <c r="E1074" s="4">
        <v>289.64612377798801</v>
      </c>
      <c r="F1074" s="4">
        <v>43.414230242684702</v>
      </c>
      <c r="G1074" s="4" t="str">
        <f t="shared" si="32"/>
        <v>OK</v>
      </c>
      <c r="H1074" s="4" t="str">
        <f t="shared" si="33"/>
        <v>NON-ZERO</v>
      </c>
      <c r="I1074">
        <v>300</v>
      </c>
      <c r="J1074">
        <f>IFERROR(Table4[[#This Row],[energy_kwh]]/Table4[[#This Row],[expected_kwh]],0)</f>
        <v>0.96548707925996002</v>
      </c>
      <c r="K1074" t="str">
        <f>IF(Table4[[#This Row],[Performance_Ratio]] &lt; 0.85, "Underperforming", "Performing")</f>
        <v>Performing</v>
      </c>
      <c r="L1074">
        <f>Table4[[#This Row],[energy_kwh]] - Table4[[#This Row],[expected_kwh]]</f>
        <v>-10.353876222011991</v>
      </c>
      <c r="M1074" t="str">
        <f>IF(Table4[[#This Row],[Performance_Deviation]] &lt; 0, "Underperforming", "Outperforming")</f>
        <v>Underperforming</v>
      </c>
      <c r="N1074">
        <f>IF(Table4[[#This Row],[Performance_Ratio]] &lt; 0.85, Table4[[#This Row],[Performance_Deviation]] * 50 / 1000, 0)</f>
        <v>0</v>
      </c>
    </row>
    <row r="1075" spans="1:14" x14ac:dyDescent="0.3">
      <c r="A1075" s="6" t="s">
        <v>7</v>
      </c>
      <c r="B1075" s="5">
        <v>45305.708333333336</v>
      </c>
      <c r="C1075" s="6">
        <v>165.164061501878</v>
      </c>
      <c r="D1075" s="6">
        <v>161.53517125875001</v>
      </c>
      <c r="E1075" s="6">
        <v>161.53517125875001</v>
      </c>
      <c r="F1075" s="6">
        <v>75.891105701812506</v>
      </c>
      <c r="G1075" s="6" t="str">
        <f t="shared" si="32"/>
        <v>OK</v>
      </c>
      <c r="H1075" s="6" t="str">
        <f t="shared" si="33"/>
        <v>NON-ZERO</v>
      </c>
      <c r="I1075">
        <v>155.291427061512</v>
      </c>
      <c r="J1075">
        <f>IFERROR(Table4[[#This Row],[energy_kwh]]/Table4[[#This Row],[expected_kwh]],0)</f>
        <v>1.0402066251523647</v>
      </c>
      <c r="K1075" t="str">
        <f>IF(Table4[[#This Row],[Performance_Ratio]] &lt; 0.85, "Underperforming", "Performing")</f>
        <v>Performing</v>
      </c>
      <c r="L1075">
        <f>Table4[[#This Row],[energy_kwh]] - Table4[[#This Row],[expected_kwh]]</f>
        <v>6.2437441972380157</v>
      </c>
      <c r="M1075" t="str">
        <f>IF(Table4[[#This Row],[Performance_Deviation]] &lt; 0, "Underperforming", "Outperforming")</f>
        <v>Outperforming</v>
      </c>
      <c r="N1075">
        <f>IF(Table4[[#This Row],[Performance_Ratio]] &lt; 0.85, Table4[[#This Row],[Performance_Deviation]] * 50 / 1000, 0)</f>
        <v>0</v>
      </c>
    </row>
    <row r="1076" spans="1:14" x14ac:dyDescent="0.3">
      <c r="A1076" s="4" t="s">
        <v>7</v>
      </c>
      <c r="B1076" s="3">
        <v>45305.75</v>
      </c>
      <c r="C1076" s="7">
        <v>6.7226066401695997E-14</v>
      </c>
      <c r="D1076" s="7">
        <v>6.57490137412644E-14</v>
      </c>
      <c r="E1076" s="7">
        <v>6.57490137412644E-14</v>
      </c>
      <c r="F1076" s="4">
        <v>78.754041499687801</v>
      </c>
      <c r="G1076" s="4" t="str">
        <f t="shared" si="32"/>
        <v>OK</v>
      </c>
      <c r="H1076" s="4" t="str">
        <f t="shared" si="33"/>
        <v>NON-ZERO</v>
      </c>
      <c r="I1076" s="2">
        <v>7.3478807948841102E-14</v>
      </c>
      <c r="J1076">
        <f>IFERROR(Table4[[#This Row],[energy_kwh]]/Table4[[#This Row],[expected_kwh]],0)</f>
        <v>0.89480240053760129</v>
      </c>
      <c r="K1076" t="str">
        <f>IF(Table4[[#This Row],[Performance_Ratio]] &lt; 0.85, "Underperforming", "Performing")</f>
        <v>Performing</v>
      </c>
      <c r="L1076">
        <f>Table4[[#This Row],[energy_kwh]] - Table4[[#This Row],[expected_kwh]]</f>
        <v>-7.7297942075767011E-15</v>
      </c>
      <c r="M1076" t="str">
        <f>IF(Table4[[#This Row],[Performance_Deviation]] &lt; 0, "Underperforming", "Outperforming")</f>
        <v>Underperforming</v>
      </c>
      <c r="N1076">
        <f>IF(Table4[[#This Row],[Performance_Ratio]] &lt; 0.85, Table4[[#This Row],[Performance_Deviation]] * 50 / 1000, 0)</f>
        <v>0</v>
      </c>
    </row>
    <row r="1077" spans="1:14" x14ac:dyDescent="0.3">
      <c r="A1077" s="6" t="s">
        <v>7</v>
      </c>
      <c r="B1077" s="5">
        <v>45305.791666666664</v>
      </c>
      <c r="C1077" s="6">
        <v>0</v>
      </c>
      <c r="D1077" s="6">
        <v>0</v>
      </c>
      <c r="E1077" s="6">
        <v>0</v>
      </c>
      <c r="F1077" s="6">
        <v>76.345919328032494</v>
      </c>
      <c r="G1077" s="6" t="str">
        <f t="shared" si="32"/>
        <v>OK</v>
      </c>
      <c r="H1077" s="6" t="str">
        <f t="shared" si="33"/>
        <v>ZERO</v>
      </c>
      <c r="I1077">
        <v>0</v>
      </c>
      <c r="J1077">
        <f>IFERROR(Table4[[#This Row],[energy_kwh]]/Table4[[#This Row],[expected_kwh]],0)</f>
        <v>0</v>
      </c>
      <c r="K1077" t="str">
        <f>IF(Table4[[#This Row],[Performance_Ratio]] &lt; 0.85, "Underperforming", "Performing")</f>
        <v>Underperforming</v>
      </c>
      <c r="L1077">
        <f>Table4[[#This Row],[energy_kwh]] - Table4[[#This Row],[expected_kwh]]</f>
        <v>0</v>
      </c>
      <c r="M1077" t="str">
        <f>IF(Table4[[#This Row],[Performance_Deviation]] &lt; 0, "Underperforming", "Outperforming")</f>
        <v>Outperforming</v>
      </c>
      <c r="N1077">
        <f>IF(Table4[[#This Row],[Performance_Ratio]] &lt; 0.85, Table4[[#This Row],[Performance_Deviation]] * 50 / 1000, 0)</f>
        <v>0</v>
      </c>
    </row>
    <row r="1078" spans="1:14" x14ac:dyDescent="0.3">
      <c r="A1078" s="4" t="s">
        <v>7</v>
      </c>
      <c r="B1078" s="3">
        <v>45305.833333333336</v>
      </c>
      <c r="C1078" s="4">
        <v>0</v>
      </c>
      <c r="D1078" s="4">
        <v>0</v>
      </c>
      <c r="E1078" s="4">
        <v>0</v>
      </c>
      <c r="F1078" s="4">
        <v>28.1760211730696</v>
      </c>
      <c r="G1078" s="4" t="str">
        <f t="shared" si="32"/>
        <v>OK</v>
      </c>
      <c r="H1078" s="4" t="str">
        <f t="shared" si="33"/>
        <v>ZERO</v>
      </c>
      <c r="I1078">
        <v>0</v>
      </c>
      <c r="J1078">
        <f>IFERROR(Table4[[#This Row],[energy_kwh]]/Table4[[#This Row],[expected_kwh]],0)</f>
        <v>0</v>
      </c>
      <c r="K1078" t="str">
        <f>IF(Table4[[#This Row],[Performance_Ratio]] &lt; 0.85, "Underperforming", "Performing")</f>
        <v>Underperforming</v>
      </c>
      <c r="L1078">
        <f>Table4[[#This Row],[energy_kwh]] - Table4[[#This Row],[expected_kwh]]</f>
        <v>0</v>
      </c>
      <c r="M1078" t="str">
        <f>IF(Table4[[#This Row],[Performance_Deviation]] &lt; 0, "Underperforming", "Outperforming")</f>
        <v>Outperforming</v>
      </c>
      <c r="N1078">
        <f>IF(Table4[[#This Row],[Performance_Ratio]] &lt; 0.85, Table4[[#This Row],[Performance_Deviation]] * 50 / 1000, 0)</f>
        <v>0</v>
      </c>
    </row>
    <row r="1079" spans="1:14" x14ac:dyDescent="0.3">
      <c r="A1079" s="6" t="s">
        <v>7</v>
      </c>
      <c r="B1079" s="5">
        <v>45305.875</v>
      </c>
      <c r="C1079" s="6">
        <v>0</v>
      </c>
      <c r="D1079" s="6">
        <v>0</v>
      </c>
      <c r="E1079" s="6">
        <v>0</v>
      </c>
      <c r="F1079" s="6">
        <v>80.661974261876296</v>
      </c>
      <c r="G1079" s="6" t="str">
        <f t="shared" si="32"/>
        <v>OK</v>
      </c>
      <c r="H1079" s="6" t="str">
        <f t="shared" si="33"/>
        <v>ZERO</v>
      </c>
      <c r="I1079">
        <v>0</v>
      </c>
      <c r="J1079">
        <f>IFERROR(Table4[[#This Row],[energy_kwh]]/Table4[[#This Row],[expected_kwh]],0)</f>
        <v>0</v>
      </c>
      <c r="K1079" t="str">
        <f>IF(Table4[[#This Row],[Performance_Ratio]] &lt; 0.85, "Underperforming", "Performing")</f>
        <v>Underperforming</v>
      </c>
      <c r="L1079">
        <f>Table4[[#This Row],[energy_kwh]] - Table4[[#This Row],[expected_kwh]]</f>
        <v>0</v>
      </c>
      <c r="M1079" t="str">
        <f>IF(Table4[[#This Row],[Performance_Deviation]] &lt; 0, "Underperforming", "Outperforming")</f>
        <v>Outperforming</v>
      </c>
      <c r="N1079">
        <f>IF(Table4[[#This Row],[Performance_Ratio]] &lt; 0.85, Table4[[#This Row],[Performance_Deviation]] * 50 / 1000, 0)</f>
        <v>0</v>
      </c>
    </row>
    <row r="1080" spans="1:14" x14ac:dyDescent="0.3">
      <c r="A1080" s="4" t="s">
        <v>7</v>
      </c>
      <c r="B1080" s="3">
        <v>45305.916666666664</v>
      </c>
      <c r="C1080" s="4">
        <v>0</v>
      </c>
      <c r="D1080" s="4">
        <v>0</v>
      </c>
      <c r="E1080" s="4">
        <v>0</v>
      </c>
      <c r="F1080" s="4">
        <v>77.348821278865501</v>
      </c>
      <c r="G1080" s="4" t="str">
        <f t="shared" si="32"/>
        <v>OK</v>
      </c>
      <c r="H1080" s="4" t="str">
        <f t="shared" si="33"/>
        <v>ZERO</v>
      </c>
      <c r="I1080">
        <v>0</v>
      </c>
      <c r="J1080">
        <f>IFERROR(Table4[[#This Row],[energy_kwh]]/Table4[[#This Row],[expected_kwh]],0)</f>
        <v>0</v>
      </c>
      <c r="K1080" t="str">
        <f>IF(Table4[[#This Row],[Performance_Ratio]] &lt; 0.85, "Underperforming", "Performing")</f>
        <v>Underperforming</v>
      </c>
      <c r="L1080">
        <f>Table4[[#This Row],[energy_kwh]] - Table4[[#This Row],[expected_kwh]]</f>
        <v>0</v>
      </c>
      <c r="M1080" t="str">
        <f>IF(Table4[[#This Row],[Performance_Deviation]] &lt; 0, "Underperforming", "Outperforming")</f>
        <v>Outperforming</v>
      </c>
      <c r="N1080">
        <f>IF(Table4[[#This Row],[Performance_Ratio]] &lt; 0.85, Table4[[#This Row],[Performance_Deviation]] * 50 / 1000, 0)</f>
        <v>0</v>
      </c>
    </row>
    <row r="1081" spans="1:14" x14ac:dyDescent="0.3">
      <c r="A1081" s="6" t="s">
        <v>7</v>
      </c>
      <c r="B1081" s="5">
        <v>45305.958333333336</v>
      </c>
      <c r="C1081" s="6">
        <v>0</v>
      </c>
      <c r="D1081" s="6">
        <v>0</v>
      </c>
      <c r="E1081" s="6">
        <v>0</v>
      </c>
      <c r="F1081" s="6">
        <v>90.876804843542601</v>
      </c>
      <c r="G1081" s="6" t="str">
        <f t="shared" si="32"/>
        <v>OK</v>
      </c>
      <c r="H1081" s="6" t="str">
        <f t="shared" si="33"/>
        <v>ZERO</v>
      </c>
      <c r="I1081">
        <v>0</v>
      </c>
      <c r="J1081">
        <f>IFERROR(Table4[[#This Row],[energy_kwh]]/Table4[[#This Row],[expected_kwh]],0)</f>
        <v>0</v>
      </c>
      <c r="K1081" t="str">
        <f>IF(Table4[[#This Row],[Performance_Ratio]] &lt; 0.85, "Underperforming", "Performing")</f>
        <v>Underperforming</v>
      </c>
      <c r="L1081">
        <f>Table4[[#This Row],[energy_kwh]] - Table4[[#This Row],[expected_kwh]]</f>
        <v>0</v>
      </c>
      <c r="M1081" t="str">
        <f>IF(Table4[[#This Row],[Performance_Deviation]] &lt; 0, "Underperforming", "Outperforming")</f>
        <v>Outperforming</v>
      </c>
      <c r="N1081">
        <f>IF(Table4[[#This Row],[Performance_Ratio]] &lt; 0.85, Table4[[#This Row],[Performance_Deviation]] * 50 / 1000, 0)</f>
        <v>0</v>
      </c>
    </row>
    <row r="1082" spans="1:14" x14ac:dyDescent="0.3">
      <c r="A1082" s="4" t="s">
        <v>7</v>
      </c>
      <c r="B1082" s="3">
        <v>45306</v>
      </c>
      <c r="C1082" s="4">
        <v>0</v>
      </c>
      <c r="D1082" s="4">
        <v>0</v>
      </c>
      <c r="E1082" s="4">
        <v>0</v>
      </c>
      <c r="F1082" s="4">
        <v>58.292780654637703</v>
      </c>
      <c r="G1082" s="4" t="str">
        <f t="shared" si="32"/>
        <v>OK</v>
      </c>
      <c r="H1082" s="4" t="str">
        <f t="shared" si="33"/>
        <v>ZERO</v>
      </c>
      <c r="I1082">
        <v>0</v>
      </c>
      <c r="J1082">
        <f>IFERROR(Table4[[#This Row],[energy_kwh]]/Table4[[#This Row],[expected_kwh]],0)</f>
        <v>0</v>
      </c>
      <c r="K1082" t="str">
        <f>IF(Table4[[#This Row],[Performance_Ratio]] &lt; 0.85, "Underperforming", "Performing")</f>
        <v>Underperforming</v>
      </c>
      <c r="L1082">
        <f>Table4[[#This Row],[energy_kwh]] - Table4[[#This Row],[expected_kwh]]</f>
        <v>0</v>
      </c>
      <c r="M1082" t="str">
        <f>IF(Table4[[#This Row],[Performance_Deviation]] &lt; 0, "Underperforming", "Outperforming")</f>
        <v>Outperforming</v>
      </c>
      <c r="N1082">
        <f>IF(Table4[[#This Row],[Performance_Ratio]] &lt; 0.85, Table4[[#This Row],[Performance_Deviation]] * 50 / 1000, 0)</f>
        <v>0</v>
      </c>
    </row>
    <row r="1083" spans="1:14" x14ac:dyDescent="0.3">
      <c r="A1083" s="6" t="s">
        <v>7</v>
      </c>
      <c r="B1083" s="5">
        <v>45306.041666666664</v>
      </c>
      <c r="C1083" s="6">
        <v>0</v>
      </c>
      <c r="D1083" s="6">
        <v>0</v>
      </c>
      <c r="E1083" s="6">
        <v>0</v>
      </c>
      <c r="F1083" s="6">
        <v>80.179702291522403</v>
      </c>
      <c r="G1083" s="6" t="str">
        <f t="shared" si="32"/>
        <v>OK</v>
      </c>
      <c r="H1083" s="6" t="str">
        <f t="shared" si="33"/>
        <v>ZERO</v>
      </c>
      <c r="I1083">
        <v>0</v>
      </c>
      <c r="J1083">
        <f>IFERROR(Table4[[#This Row],[energy_kwh]]/Table4[[#This Row],[expected_kwh]],0)</f>
        <v>0</v>
      </c>
      <c r="K1083" t="str">
        <f>IF(Table4[[#This Row],[Performance_Ratio]] &lt; 0.85, "Underperforming", "Performing")</f>
        <v>Underperforming</v>
      </c>
      <c r="L1083">
        <f>Table4[[#This Row],[energy_kwh]] - Table4[[#This Row],[expected_kwh]]</f>
        <v>0</v>
      </c>
      <c r="M1083" t="str">
        <f>IF(Table4[[#This Row],[Performance_Deviation]] &lt; 0, "Underperforming", "Outperforming")</f>
        <v>Outperforming</v>
      </c>
      <c r="N1083">
        <f>IF(Table4[[#This Row],[Performance_Ratio]] &lt; 0.85, Table4[[#This Row],[Performance_Deviation]] * 50 / 1000, 0)</f>
        <v>0</v>
      </c>
    </row>
    <row r="1084" spans="1:14" x14ac:dyDescent="0.3">
      <c r="A1084" s="4" t="s">
        <v>7</v>
      </c>
      <c r="B1084" s="3">
        <v>45306.083333333336</v>
      </c>
      <c r="C1084" s="4">
        <v>0</v>
      </c>
      <c r="D1084" s="4">
        <v>0</v>
      </c>
      <c r="E1084" s="4">
        <v>0</v>
      </c>
      <c r="F1084" s="4">
        <v>80.895967597841206</v>
      </c>
      <c r="G1084" s="4" t="str">
        <f t="shared" si="32"/>
        <v>OK</v>
      </c>
      <c r="H1084" s="4" t="str">
        <f t="shared" si="33"/>
        <v>ZERO</v>
      </c>
      <c r="I1084">
        <v>0</v>
      </c>
      <c r="J1084">
        <f>IFERROR(Table4[[#This Row],[energy_kwh]]/Table4[[#This Row],[expected_kwh]],0)</f>
        <v>0</v>
      </c>
      <c r="K1084" t="str">
        <f>IF(Table4[[#This Row],[Performance_Ratio]] &lt; 0.85, "Underperforming", "Performing")</f>
        <v>Underperforming</v>
      </c>
      <c r="L1084">
        <f>Table4[[#This Row],[energy_kwh]] - Table4[[#This Row],[expected_kwh]]</f>
        <v>0</v>
      </c>
      <c r="M1084" t="str">
        <f>IF(Table4[[#This Row],[Performance_Deviation]] &lt; 0, "Underperforming", "Outperforming")</f>
        <v>Outperforming</v>
      </c>
      <c r="N1084">
        <f>IF(Table4[[#This Row],[Performance_Ratio]] &lt; 0.85, Table4[[#This Row],[Performance_Deviation]] * 50 / 1000, 0)</f>
        <v>0</v>
      </c>
    </row>
    <row r="1085" spans="1:14" x14ac:dyDescent="0.3">
      <c r="A1085" s="6" t="s">
        <v>7</v>
      </c>
      <c r="B1085" s="5">
        <v>45306.125</v>
      </c>
      <c r="C1085" s="6">
        <v>0</v>
      </c>
      <c r="D1085" s="6">
        <v>0</v>
      </c>
      <c r="E1085" s="6">
        <v>0</v>
      </c>
      <c r="F1085" s="6">
        <v>84.387984091366505</v>
      </c>
      <c r="G1085" s="6" t="str">
        <f t="shared" si="32"/>
        <v>OK</v>
      </c>
      <c r="H1085" s="6" t="str">
        <f t="shared" si="33"/>
        <v>ZERO</v>
      </c>
      <c r="I1085">
        <v>0</v>
      </c>
      <c r="J1085">
        <f>IFERROR(Table4[[#This Row],[energy_kwh]]/Table4[[#This Row],[expected_kwh]],0)</f>
        <v>0</v>
      </c>
      <c r="K1085" t="str">
        <f>IF(Table4[[#This Row],[Performance_Ratio]] &lt; 0.85, "Underperforming", "Performing")</f>
        <v>Underperforming</v>
      </c>
      <c r="L1085">
        <f>Table4[[#This Row],[energy_kwh]] - Table4[[#This Row],[expected_kwh]]</f>
        <v>0</v>
      </c>
      <c r="M1085" t="str">
        <f>IF(Table4[[#This Row],[Performance_Deviation]] &lt; 0, "Underperforming", "Outperforming")</f>
        <v>Outperforming</v>
      </c>
      <c r="N1085">
        <f>IF(Table4[[#This Row],[Performance_Ratio]] &lt; 0.85, Table4[[#This Row],[Performance_Deviation]] * 50 / 1000, 0)</f>
        <v>0</v>
      </c>
    </row>
    <row r="1086" spans="1:14" x14ac:dyDescent="0.3">
      <c r="A1086" s="4" t="s">
        <v>7</v>
      </c>
      <c r="B1086" s="3">
        <v>45306.166666666664</v>
      </c>
      <c r="C1086" s="4">
        <v>0</v>
      </c>
      <c r="D1086" s="4">
        <v>0</v>
      </c>
      <c r="E1086" s="4">
        <v>0</v>
      </c>
      <c r="F1086" s="4">
        <v>38.923605210136401</v>
      </c>
      <c r="G1086" s="4" t="str">
        <f t="shared" si="32"/>
        <v>OK</v>
      </c>
      <c r="H1086" s="4" t="str">
        <f t="shared" si="33"/>
        <v>ZERO</v>
      </c>
      <c r="I1086">
        <v>0</v>
      </c>
      <c r="J1086">
        <f>IFERROR(Table4[[#This Row],[energy_kwh]]/Table4[[#This Row],[expected_kwh]],0)</f>
        <v>0</v>
      </c>
      <c r="K1086" t="str">
        <f>IF(Table4[[#This Row],[Performance_Ratio]] &lt; 0.85, "Underperforming", "Performing")</f>
        <v>Underperforming</v>
      </c>
      <c r="L1086">
        <f>Table4[[#This Row],[energy_kwh]] - Table4[[#This Row],[expected_kwh]]</f>
        <v>0</v>
      </c>
      <c r="M1086" t="str">
        <f>IF(Table4[[#This Row],[Performance_Deviation]] &lt; 0, "Underperforming", "Outperforming")</f>
        <v>Outperforming</v>
      </c>
      <c r="N1086">
        <f>IF(Table4[[#This Row],[Performance_Ratio]] &lt; 0.85, Table4[[#This Row],[Performance_Deviation]] * 50 / 1000, 0)</f>
        <v>0</v>
      </c>
    </row>
    <row r="1087" spans="1:14" x14ac:dyDescent="0.3">
      <c r="A1087" s="6" t="s">
        <v>7</v>
      </c>
      <c r="B1087" s="5">
        <v>45306.208333333336</v>
      </c>
      <c r="C1087" s="6">
        <v>0</v>
      </c>
      <c r="D1087" s="6">
        <v>0</v>
      </c>
      <c r="E1087" s="6">
        <v>0</v>
      </c>
      <c r="F1087" s="6">
        <v>24.022609364062301</v>
      </c>
      <c r="G1087" s="6" t="str">
        <f t="shared" si="32"/>
        <v>OK</v>
      </c>
      <c r="H1087" s="6" t="str">
        <f t="shared" si="33"/>
        <v>ZERO</v>
      </c>
      <c r="I1087">
        <v>0</v>
      </c>
      <c r="J1087">
        <f>IFERROR(Table4[[#This Row],[energy_kwh]]/Table4[[#This Row],[expected_kwh]],0)</f>
        <v>0</v>
      </c>
      <c r="K1087" t="str">
        <f>IF(Table4[[#This Row],[Performance_Ratio]] &lt; 0.85, "Underperforming", "Performing")</f>
        <v>Underperforming</v>
      </c>
      <c r="L1087">
        <f>Table4[[#This Row],[energy_kwh]] - Table4[[#This Row],[expected_kwh]]</f>
        <v>0</v>
      </c>
      <c r="M1087" t="str">
        <f>IF(Table4[[#This Row],[Performance_Deviation]] &lt; 0, "Underperforming", "Outperforming")</f>
        <v>Outperforming</v>
      </c>
      <c r="N1087">
        <f>IF(Table4[[#This Row],[Performance_Ratio]] &lt; 0.85, Table4[[#This Row],[Performance_Deviation]] * 50 / 1000, 0)</f>
        <v>0</v>
      </c>
    </row>
    <row r="1088" spans="1:14" x14ac:dyDescent="0.3">
      <c r="A1088" s="4" t="s">
        <v>7</v>
      </c>
      <c r="B1088" s="3">
        <v>45306.25</v>
      </c>
      <c r="C1088" s="4">
        <v>0</v>
      </c>
      <c r="D1088" s="4">
        <v>0</v>
      </c>
      <c r="E1088" s="4">
        <v>0</v>
      </c>
      <c r="F1088" s="4">
        <v>32.620894138078398</v>
      </c>
      <c r="G1088" s="4" t="str">
        <f t="shared" si="32"/>
        <v>OK</v>
      </c>
      <c r="H1088" s="4" t="str">
        <f t="shared" si="33"/>
        <v>ZERO</v>
      </c>
      <c r="I1088">
        <v>0</v>
      </c>
      <c r="J1088">
        <f>IFERROR(Table4[[#This Row],[energy_kwh]]/Table4[[#This Row],[expected_kwh]],0)</f>
        <v>0</v>
      </c>
      <c r="K1088" t="str">
        <f>IF(Table4[[#This Row],[Performance_Ratio]] &lt; 0.85, "Underperforming", "Performing")</f>
        <v>Underperforming</v>
      </c>
      <c r="L1088">
        <f>Table4[[#This Row],[energy_kwh]] - Table4[[#This Row],[expected_kwh]]</f>
        <v>0</v>
      </c>
      <c r="M1088" t="str">
        <f>IF(Table4[[#This Row],[Performance_Deviation]] &lt; 0, "Underperforming", "Outperforming")</f>
        <v>Outperforming</v>
      </c>
      <c r="N1088">
        <f>IF(Table4[[#This Row],[Performance_Ratio]] &lt; 0.85, Table4[[#This Row],[Performance_Deviation]] * 50 / 1000, 0)</f>
        <v>0</v>
      </c>
    </row>
    <row r="1089" spans="1:14" x14ac:dyDescent="0.3">
      <c r="A1089" s="6" t="s">
        <v>7</v>
      </c>
      <c r="B1089" s="5">
        <v>45306.291666666664</v>
      </c>
      <c r="C1089" s="6">
        <v>167.16440933387801</v>
      </c>
      <c r="D1089" s="6">
        <v>163.49156859289701</v>
      </c>
      <c r="E1089" s="6">
        <v>163.49156859289701</v>
      </c>
      <c r="F1089" s="6">
        <v>34.189684429276603</v>
      </c>
      <c r="G1089" s="6" t="str">
        <f t="shared" si="32"/>
        <v>OK</v>
      </c>
      <c r="H1089" s="6" t="str">
        <f t="shared" si="33"/>
        <v>NON-ZERO</v>
      </c>
      <c r="I1089">
        <v>155.291427061512</v>
      </c>
      <c r="J1089">
        <f>IFERROR(Table4[[#This Row],[energy_kwh]]/Table4[[#This Row],[expected_kwh]],0)</f>
        <v>1.0528048565626027</v>
      </c>
      <c r="K1089" t="str">
        <f>IF(Table4[[#This Row],[Performance_Ratio]] &lt; 0.85, "Underperforming", "Performing")</f>
        <v>Performing</v>
      </c>
      <c r="L1089">
        <f>Table4[[#This Row],[energy_kwh]] - Table4[[#This Row],[expected_kwh]]</f>
        <v>8.2001415313850146</v>
      </c>
      <c r="M1089" t="str">
        <f>IF(Table4[[#This Row],[Performance_Deviation]] &lt; 0, "Underperforming", "Outperforming")</f>
        <v>Outperforming</v>
      </c>
      <c r="N1089">
        <f>IF(Table4[[#This Row],[Performance_Ratio]] &lt; 0.85, Table4[[#This Row],[Performance_Deviation]] * 50 / 1000, 0)</f>
        <v>0</v>
      </c>
    </row>
    <row r="1090" spans="1:14" x14ac:dyDescent="0.3">
      <c r="A1090" s="4" t="s">
        <v>7</v>
      </c>
      <c r="B1090" s="3">
        <v>45306.333333333336</v>
      </c>
      <c r="C1090" s="4">
        <v>286.913118198728</v>
      </c>
      <c r="D1090" s="4">
        <v>280.60922735353302</v>
      </c>
      <c r="E1090" s="4">
        <v>280.60922735353302</v>
      </c>
      <c r="F1090" s="4">
        <v>82.153173786350393</v>
      </c>
      <c r="G1090" s="4" t="str">
        <f t="shared" ref="G1090:G1153" si="34">IF(D1090 &gt; C1090, "ERROR", "OK")</f>
        <v>OK</v>
      </c>
      <c r="H1090" s="4" t="str">
        <f t="shared" ref="H1090:H1153" si="35">IF(E1090=0,"ZERO","NON-ZERO")</f>
        <v>NON-ZERO</v>
      </c>
      <c r="I1090">
        <v>300</v>
      </c>
      <c r="J1090">
        <f>IFERROR(Table4[[#This Row],[energy_kwh]]/Table4[[#This Row],[expected_kwh]],0)</f>
        <v>0.93536409117844344</v>
      </c>
      <c r="K1090" t="str">
        <f>IF(Table4[[#This Row],[Performance_Ratio]] &lt; 0.85, "Underperforming", "Performing")</f>
        <v>Performing</v>
      </c>
      <c r="L1090">
        <f>Table4[[#This Row],[energy_kwh]] - Table4[[#This Row],[expected_kwh]]</f>
        <v>-19.390772646466985</v>
      </c>
      <c r="M1090" t="str">
        <f>IF(Table4[[#This Row],[Performance_Deviation]] &lt; 0, "Underperforming", "Outperforming")</f>
        <v>Underperforming</v>
      </c>
      <c r="N1090">
        <f>IF(Table4[[#This Row],[Performance_Ratio]] &lt; 0.85, Table4[[#This Row],[Performance_Deviation]] * 50 / 1000, 0)</f>
        <v>0</v>
      </c>
    </row>
    <row r="1091" spans="1:14" x14ac:dyDescent="0.3">
      <c r="A1091" s="6" t="s">
        <v>7</v>
      </c>
      <c r="B1091" s="5">
        <v>45306.375</v>
      </c>
      <c r="C1091" s="6">
        <v>456.70220777510701</v>
      </c>
      <c r="D1091" s="6">
        <v>446.66780821663201</v>
      </c>
      <c r="E1091" s="6">
        <v>446.66780821663201</v>
      </c>
      <c r="F1091" s="6">
        <v>27.905103304734599</v>
      </c>
      <c r="G1091" s="6" t="str">
        <f t="shared" si="34"/>
        <v>OK</v>
      </c>
      <c r="H1091" s="6" t="str">
        <f t="shared" si="35"/>
        <v>NON-ZERO</v>
      </c>
      <c r="I1091">
        <v>424.26406871192802</v>
      </c>
      <c r="J1091">
        <f>IFERROR(Table4[[#This Row],[energy_kwh]]/Table4[[#This Row],[expected_kwh]],0)</f>
        <v>1.0528061204257104</v>
      </c>
      <c r="K1091" t="str">
        <f>IF(Table4[[#This Row],[Performance_Ratio]] &lt; 0.85, "Underperforming", "Performing")</f>
        <v>Performing</v>
      </c>
      <c r="L1091">
        <f>Table4[[#This Row],[energy_kwh]] - Table4[[#This Row],[expected_kwh]]</f>
        <v>22.403739504703992</v>
      </c>
      <c r="M1091" t="str">
        <f>IF(Table4[[#This Row],[Performance_Deviation]] &lt; 0, "Underperforming", "Outperforming")</f>
        <v>Outperforming</v>
      </c>
      <c r="N1091">
        <f>IF(Table4[[#This Row],[Performance_Ratio]] &lt; 0.85, Table4[[#This Row],[Performance_Deviation]] * 50 / 1000, 0)</f>
        <v>0</v>
      </c>
    </row>
    <row r="1092" spans="1:14" x14ac:dyDescent="0.3">
      <c r="A1092" s="4" t="s">
        <v>7</v>
      </c>
      <c r="B1092" s="3">
        <v>45306.416666666664</v>
      </c>
      <c r="C1092" s="4">
        <v>510.840793244748</v>
      </c>
      <c r="D1092" s="4">
        <v>499.61689166748602</v>
      </c>
      <c r="E1092" s="4">
        <v>499.61689166748602</v>
      </c>
      <c r="F1092" s="4">
        <v>85.945966711775498</v>
      </c>
      <c r="G1092" s="4" t="str">
        <f t="shared" si="34"/>
        <v>OK</v>
      </c>
      <c r="H1092" s="4" t="str">
        <f t="shared" si="35"/>
        <v>NON-ZERO</v>
      </c>
      <c r="I1092">
        <v>519.61524227066297</v>
      </c>
      <c r="J1092">
        <f>IFERROR(Table4[[#This Row],[energy_kwh]]/Table4[[#This Row],[expected_kwh]],0)</f>
        <v>0.96151315631969092</v>
      </c>
      <c r="K1092" t="str">
        <f>IF(Table4[[#This Row],[Performance_Ratio]] &lt; 0.85, "Underperforming", "Performing")</f>
        <v>Performing</v>
      </c>
      <c r="L1092">
        <f>Table4[[#This Row],[energy_kwh]] - Table4[[#This Row],[expected_kwh]]</f>
        <v>-19.998350603176959</v>
      </c>
      <c r="M1092" t="str">
        <f>IF(Table4[[#This Row],[Performance_Deviation]] &lt; 0, "Underperforming", "Outperforming")</f>
        <v>Underperforming</v>
      </c>
      <c r="N1092">
        <f>IF(Table4[[#This Row],[Performance_Ratio]] &lt; 0.85, Table4[[#This Row],[Performance_Deviation]] * 50 / 1000, 0)</f>
        <v>0</v>
      </c>
    </row>
    <row r="1093" spans="1:14" x14ac:dyDescent="0.3">
      <c r="A1093" s="6" t="s">
        <v>7</v>
      </c>
      <c r="B1093" s="5">
        <v>45306.458333333336</v>
      </c>
      <c r="C1093" s="6">
        <v>588.604043816694</v>
      </c>
      <c r="D1093" s="6">
        <v>575.67157259838302</v>
      </c>
      <c r="E1093" s="6">
        <v>575.67157259838302</v>
      </c>
      <c r="F1093" s="6">
        <v>50.583352580462197</v>
      </c>
      <c r="G1093" s="6" t="str">
        <f t="shared" si="34"/>
        <v>OK</v>
      </c>
      <c r="H1093" s="6" t="str">
        <f t="shared" si="35"/>
        <v>NON-ZERO</v>
      </c>
      <c r="I1093">
        <v>579.55549577344095</v>
      </c>
      <c r="J1093">
        <f>IFERROR(Table4[[#This Row],[energy_kwh]]/Table4[[#This Row],[expected_kwh]],0)</f>
        <v>0.99329844475053308</v>
      </c>
      <c r="K1093" t="str">
        <f>IF(Table4[[#This Row],[Performance_Ratio]] &lt; 0.85, "Underperforming", "Performing")</f>
        <v>Performing</v>
      </c>
      <c r="L1093">
        <f>Table4[[#This Row],[energy_kwh]] - Table4[[#This Row],[expected_kwh]]</f>
        <v>-3.8839231750579302</v>
      </c>
      <c r="M1093" t="str">
        <f>IF(Table4[[#This Row],[Performance_Deviation]] &lt; 0, "Underperforming", "Outperforming")</f>
        <v>Underperforming</v>
      </c>
      <c r="N1093">
        <f>IF(Table4[[#This Row],[Performance_Ratio]] &lt; 0.85, Table4[[#This Row],[Performance_Deviation]] * 50 / 1000, 0)</f>
        <v>0</v>
      </c>
    </row>
    <row r="1094" spans="1:14" x14ac:dyDescent="0.3">
      <c r="A1094" s="4" t="s">
        <v>7</v>
      </c>
      <c r="B1094" s="3">
        <v>45306.5</v>
      </c>
      <c r="C1094" s="4">
        <v>573.05443435093798</v>
      </c>
      <c r="D1094" s="4">
        <v>560.46361025344402</v>
      </c>
      <c r="E1094" s="4">
        <v>560.46361025344402</v>
      </c>
      <c r="F1094" s="4">
        <v>38.659384155438197</v>
      </c>
      <c r="G1094" s="4" t="str">
        <f t="shared" si="34"/>
        <v>OK</v>
      </c>
      <c r="H1094" s="4" t="str">
        <f t="shared" si="35"/>
        <v>NON-ZERO</v>
      </c>
      <c r="I1094">
        <v>600</v>
      </c>
      <c r="J1094">
        <f>IFERROR(Table4[[#This Row],[energy_kwh]]/Table4[[#This Row],[expected_kwh]],0)</f>
        <v>0.93410601708907337</v>
      </c>
      <c r="K1094" t="str">
        <f>IF(Table4[[#This Row],[Performance_Ratio]] &lt; 0.85, "Underperforming", "Performing")</f>
        <v>Performing</v>
      </c>
      <c r="L1094">
        <f>Table4[[#This Row],[energy_kwh]] - Table4[[#This Row],[expected_kwh]]</f>
        <v>-39.536389746555983</v>
      </c>
      <c r="M1094" t="str">
        <f>IF(Table4[[#This Row],[Performance_Deviation]] &lt; 0, "Underperforming", "Outperforming")</f>
        <v>Underperforming</v>
      </c>
      <c r="N1094">
        <f>IF(Table4[[#This Row],[Performance_Ratio]] &lt; 0.85, Table4[[#This Row],[Performance_Deviation]] * 50 / 1000, 0)</f>
        <v>0</v>
      </c>
    </row>
    <row r="1095" spans="1:14" x14ac:dyDescent="0.3">
      <c r="A1095" s="6" t="s">
        <v>7</v>
      </c>
      <c r="B1095" s="5">
        <v>45306.541666666664</v>
      </c>
      <c r="C1095" s="6">
        <v>558.17609255114496</v>
      </c>
      <c r="D1095" s="6">
        <v>545.91216686545101</v>
      </c>
      <c r="E1095" s="6">
        <v>545.91216686545101</v>
      </c>
      <c r="F1095" s="6">
        <v>78.162897253924896</v>
      </c>
      <c r="G1095" s="6" t="str">
        <f t="shared" si="34"/>
        <v>OK</v>
      </c>
      <c r="H1095" s="6" t="str">
        <f t="shared" si="35"/>
        <v>NON-ZERO</v>
      </c>
      <c r="I1095">
        <v>579.55549577344095</v>
      </c>
      <c r="J1095">
        <f>IFERROR(Table4[[#This Row],[energy_kwh]]/Table4[[#This Row],[expected_kwh]],0)</f>
        <v>0.94194977158642679</v>
      </c>
      <c r="K1095" t="str">
        <f>IF(Table4[[#This Row],[Performance_Ratio]] &lt; 0.85, "Underperforming", "Performing")</f>
        <v>Performing</v>
      </c>
      <c r="L1095">
        <f>Table4[[#This Row],[energy_kwh]] - Table4[[#This Row],[expected_kwh]]</f>
        <v>-33.64332890798994</v>
      </c>
      <c r="M1095" t="str">
        <f>IF(Table4[[#This Row],[Performance_Deviation]] &lt; 0, "Underperforming", "Outperforming")</f>
        <v>Underperforming</v>
      </c>
      <c r="N1095">
        <f>IF(Table4[[#This Row],[Performance_Ratio]] &lt; 0.85, Table4[[#This Row],[Performance_Deviation]] * 50 / 1000, 0)</f>
        <v>0</v>
      </c>
    </row>
    <row r="1096" spans="1:14" x14ac:dyDescent="0.3">
      <c r="A1096" s="4" t="s">
        <v>7</v>
      </c>
      <c r="B1096" s="3">
        <v>45306.583333333336</v>
      </c>
      <c r="C1096" s="4">
        <v>456.43991474044498</v>
      </c>
      <c r="D1096" s="4">
        <v>446.41127813442898</v>
      </c>
      <c r="E1096" s="4">
        <v>446.41127813442898</v>
      </c>
      <c r="F1096" s="4">
        <v>93.183411391169898</v>
      </c>
      <c r="G1096" s="4" t="str">
        <f t="shared" si="34"/>
        <v>OK</v>
      </c>
      <c r="H1096" s="4" t="str">
        <f t="shared" si="35"/>
        <v>NON-ZERO</v>
      </c>
      <c r="I1096">
        <v>519.61524227066297</v>
      </c>
      <c r="J1096">
        <f>IFERROR(Table4[[#This Row],[energy_kwh]]/Table4[[#This Row],[expected_kwh]],0)</f>
        <v>0.85911890533399193</v>
      </c>
      <c r="K1096" t="str">
        <f>IF(Table4[[#This Row],[Performance_Ratio]] &lt; 0.85, "Underperforming", "Performing")</f>
        <v>Performing</v>
      </c>
      <c r="L1096">
        <f>Table4[[#This Row],[energy_kwh]] - Table4[[#This Row],[expected_kwh]]</f>
        <v>-73.203964136233992</v>
      </c>
      <c r="M1096" t="str">
        <f>IF(Table4[[#This Row],[Performance_Deviation]] &lt; 0, "Underperforming", "Outperforming")</f>
        <v>Underperforming</v>
      </c>
      <c r="N1096">
        <f>IF(Table4[[#This Row],[Performance_Ratio]] &lt; 0.85, Table4[[#This Row],[Performance_Deviation]] * 50 / 1000, 0)</f>
        <v>0</v>
      </c>
    </row>
    <row r="1097" spans="1:14" x14ac:dyDescent="0.3">
      <c r="A1097" s="6" t="s">
        <v>7</v>
      </c>
      <c r="B1097" s="5">
        <v>45306.625</v>
      </c>
      <c r="C1097" s="6">
        <v>394.05337142726302</v>
      </c>
      <c r="D1097" s="6">
        <v>385.395456249826</v>
      </c>
      <c r="E1097" s="6">
        <v>385.395456249826</v>
      </c>
      <c r="F1097" s="6">
        <v>45.806871338708099</v>
      </c>
      <c r="G1097" s="6" t="str">
        <f t="shared" si="34"/>
        <v>OK</v>
      </c>
      <c r="H1097" s="6" t="str">
        <f t="shared" si="35"/>
        <v>NON-ZERO</v>
      </c>
      <c r="I1097">
        <v>424.26406871192802</v>
      </c>
      <c r="J1097">
        <f>IFERROR(Table4[[#This Row],[energy_kwh]]/Table4[[#This Row],[expected_kwh]],0)</f>
        <v>0.90838580184245221</v>
      </c>
      <c r="K1097" t="str">
        <f>IF(Table4[[#This Row],[Performance_Ratio]] &lt; 0.85, "Underperforming", "Performing")</f>
        <v>Performing</v>
      </c>
      <c r="L1097">
        <f>Table4[[#This Row],[energy_kwh]] - Table4[[#This Row],[expected_kwh]]</f>
        <v>-38.868612462102021</v>
      </c>
      <c r="M1097" t="str">
        <f>IF(Table4[[#This Row],[Performance_Deviation]] &lt; 0, "Underperforming", "Outperforming")</f>
        <v>Underperforming</v>
      </c>
      <c r="N1097">
        <f>IF(Table4[[#This Row],[Performance_Ratio]] &lt; 0.85, Table4[[#This Row],[Performance_Deviation]] * 50 / 1000, 0)</f>
        <v>0</v>
      </c>
    </row>
    <row r="1098" spans="1:14" x14ac:dyDescent="0.3">
      <c r="A1098" s="4" t="s">
        <v>7</v>
      </c>
      <c r="B1098" s="3">
        <v>45306.666666666664</v>
      </c>
      <c r="C1098" s="4">
        <v>227.83216744061301</v>
      </c>
      <c r="D1098" s="4">
        <v>222.82636943602299</v>
      </c>
      <c r="E1098" s="4">
        <v>222.82636943602299</v>
      </c>
      <c r="F1098" s="4">
        <v>58.081837864142599</v>
      </c>
      <c r="G1098" s="4" t="str">
        <f t="shared" si="34"/>
        <v>OK</v>
      </c>
      <c r="H1098" s="4" t="str">
        <f t="shared" si="35"/>
        <v>NON-ZERO</v>
      </c>
      <c r="I1098">
        <v>300</v>
      </c>
      <c r="J1098">
        <f>IFERROR(Table4[[#This Row],[energy_kwh]]/Table4[[#This Row],[expected_kwh]],0)</f>
        <v>0.74275456478674329</v>
      </c>
      <c r="K1098" t="str">
        <f>IF(Table4[[#This Row],[Performance_Ratio]] &lt; 0.85, "Underperforming", "Performing")</f>
        <v>Underperforming</v>
      </c>
      <c r="L1098">
        <f>Table4[[#This Row],[energy_kwh]] - Table4[[#This Row],[expected_kwh]]</f>
        <v>-77.173630563977014</v>
      </c>
      <c r="M1098" t="str">
        <f>IF(Table4[[#This Row],[Performance_Deviation]] &lt; 0, "Underperforming", "Outperforming")</f>
        <v>Underperforming</v>
      </c>
      <c r="N1098">
        <f>IF(Table4[[#This Row],[Performance_Ratio]] &lt; 0.85, Table4[[#This Row],[Performance_Deviation]] * 50 / 1000, 0)</f>
        <v>-3.8586815281988507</v>
      </c>
    </row>
    <row r="1099" spans="1:14" x14ac:dyDescent="0.3">
      <c r="A1099" s="6" t="s">
        <v>7</v>
      </c>
      <c r="B1099" s="5">
        <v>45306.708333333336</v>
      </c>
      <c r="C1099" s="6">
        <v>157.77269926019599</v>
      </c>
      <c r="D1099" s="6">
        <v>154.30620779848701</v>
      </c>
      <c r="E1099" s="6">
        <v>154.30620779848701</v>
      </c>
      <c r="F1099" s="6">
        <v>38.747966815162201</v>
      </c>
      <c r="G1099" s="6" t="str">
        <f t="shared" si="34"/>
        <v>OK</v>
      </c>
      <c r="H1099" s="6" t="str">
        <f t="shared" si="35"/>
        <v>NON-ZERO</v>
      </c>
      <c r="I1099">
        <v>155.291427061512</v>
      </c>
      <c r="J1099">
        <f>IFERROR(Table4[[#This Row],[energy_kwh]]/Table4[[#This Row],[expected_kwh]],0)</f>
        <v>0.99365567512857789</v>
      </c>
      <c r="K1099" t="str">
        <f>IF(Table4[[#This Row],[Performance_Ratio]] &lt; 0.85, "Underperforming", "Performing")</f>
        <v>Performing</v>
      </c>
      <c r="L1099">
        <f>Table4[[#This Row],[energy_kwh]] - Table4[[#This Row],[expected_kwh]]</f>
        <v>-0.98521926302498741</v>
      </c>
      <c r="M1099" t="str">
        <f>IF(Table4[[#This Row],[Performance_Deviation]] &lt; 0, "Underperforming", "Outperforming")</f>
        <v>Underperforming</v>
      </c>
      <c r="N1099">
        <f>IF(Table4[[#This Row],[Performance_Ratio]] &lt; 0.85, Table4[[#This Row],[Performance_Deviation]] * 50 / 1000, 0)</f>
        <v>0</v>
      </c>
    </row>
    <row r="1100" spans="1:14" x14ac:dyDescent="0.3">
      <c r="A1100" s="4" t="s">
        <v>7</v>
      </c>
      <c r="B1100" s="3">
        <v>45306.75</v>
      </c>
      <c r="C1100" s="7">
        <v>7.09098312423674E-14</v>
      </c>
      <c r="D1100" s="7">
        <v>6.9351841008914702E-14</v>
      </c>
      <c r="E1100" s="7">
        <v>6.9351841008914702E-14</v>
      </c>
      <c r="F1100" s="4">
        <v>51.664417541050803</v>
      </c>
      <c r="G1100" s="4" t="str">
        <f t="shared" si="34"/>
        <v>OK</v>
      </c>
      <c r="H1100" s="4" t="str">
        <f t="shared" si="35"/>
        <v>NON-ZERO</v>
      </c>
      <c r="I1100" s="2">
        <v>7.3478807948841102E-14</v>
      </c>
      <c r="J1100">
        <f>IFERROR(Table4[[#This Row],[energy_kwh]]/Table4[[#This Row],[expected_kwh]],0)</f>
        <v>0.9438345959177814</v>
      </c>
      <c r="K1100" t="str">
        <f>IF(Table4[[#This Row],[Performance_Ratio]] &lt; 0.85, "Underperforming", "Performing")</f>
        <v>Performing</v>
      </c>
      <c r="L1100">
        <f>Table4[[#This Row],[energy_kwh]] - Table4[[#This Row],[expected_kwh]]</f>
        <v>-4.1269669399263999E-15</v>
      </c>
      <c r="M1100" t="str">
        <f>IF(Table4[[#This Row],[Performance_Deviation]] &lt; 0, "Underperforming", "Outperforming")</f>
        <v>Underperforming</v>
      </c>
      <c r="N1100">
        <f>IF(Table4[[#This Row],[Performance_Ratio]] &lt; 0.85, Table4[[#This Row],[Performance_Deviation]] * 50 / 1000, 0)</f>
        <v>0</v>
      </c>
    </row>
    <row r="1101" spans="1:14" x14ac:dyDescent="0.3">
      <c r="A1101" s="6" t="s">
        <v>7</v>
      </c>
      <c r="B1101" s="5">
        <v>45306.791666666664</v>
      </c>
      <c r="C1101" s="6">
        <v>0</v>
      </c>
      <c r="D1101" s="6">
        <v>0</v>
      </c>
      <c r="E1101" s="6">
        <v>0</v>
      </c>
      <c r="F1101" s="6">
        <v>81.518998920866693</v>
      </c>
      <c r="G1101" s="6" t="str">
        <f t="shared" si="34"/>
        <v>OK</v>
      </c>
      <c r="H1101" s="6" t="str">
        <f t="shared" si="35"/>
        <v>ZERO</v>
      </c>
      <c r="I1101">
        <v>0</v>
      </c>
      <c r="J1101">
        <f>IFERROR(Table4[[#This Row],[energy_kwh]]/Table4[[#This Row],[expected_kwh]],0)</f>
        <v>0</v>
      </c>
      <c r="K1101" t="str">
        <f>IF(Table4[[#This Row],[Performance_Ratio]] &lt; 0.85, "Underperforming", "Performing")</f>
        <v>Underperforming</v>
      </c>
      <c r="L1101">
        <f>Table4[[#This Row],[energy_kwh]] - Table4[[#This Row],[expected_kwh]]</f>
        <v>0</v>
      </c>
      <c r="M1101" t="str">
        <f>IF(Table4[[#This Row],[Performance_Deviation]] &lt; 0, "Underperforming", "Outperforming")</f>
        <v>Outperforming</v>
      </c>
      <c r="N1101">
        <f>IF(Table4[[#This Row],[Performance_Ratio]] &lt; 0.85, Table4[[#This Row],[Performance_Deviation]] * 50 / 1000, 0)</f>
        <v>0</v>
      </c>
    </row>
    <row r="1102" spans="1:14" x14ac:dyDescent="0.3">
      <c r="A1102" s="4" t="s">
        <v>7</v>
      </c>
      <c r="B1102" s="3">
        <v>45306.833333333336</v>
      </c>
      <c r="C1102" s="4">
        <v>0</v>
      </c>
      <c r="D1102" s="4">
        <v>0</v>
      </c>
      <c r="E1102" s="4">
        <v>0</v>
      </c>
      <c r="F1102" s="4">
        <v>76.408574952273099</v>
      </c>
      <c r="G1102" s="4" t="str">
        <f t="shared" si="34"/>
        <v>OK</v>
      </c>
      <c r="H1102" s="4" t="str">
        <f t="shared" si="35"/>
        <v>ZERO</v>
      </c>
      <c r="I1102">
        <v>0</v>
      </c>
      <c r="J1102">
        <f>IFERROR(Table4[[#This Row],[energy_kwh]]/Table4[[#This Row],[expected_kwh]],0)</f>
        <v>0</v>
      </c>
      <c r="K1102" t="str">
        <f>IF(Table4[[#This Row],[Performance_Ratio]] &lt; 0.85, "Underperforming", "Performing")</f>
        <v>Underperforming</v>
      </c>
      <c r="L1102">
        <f>Table4[[#This Row],[energy_kwh]] - Table4[[#This Row],[expected_kwh]]</f>
        <v>0</v>
      </c>
      <c r="M1102" t="str">
        <f>IF(Table4[[#This Row],[Performance_Deviation]] &lt; 0, "Underperforming", "Outperforming")</f>
        <v>Outperforming</v>
      </c>
      <c r="N1102">
        <f>IF(Table4[[#This Row],[Performance_Ratio]] &lt; 0.85, Table4[[#This Row],[Performance_Deviation]] * 50 / 1000, 0)</f>
        <v>0</v>
      </c>
    </row>
    <row r="1103" spans="1:14" x14ac:dyDescent="0.3">
      <c r="A1103" s="6" t="s">
        <v>7</v>
      </c>
      <c r="B1103" s="5">
        <v>45306.875</v>
      </c>
      <c r="C1103" s="6">
        <v>0</v>
      </c>
      <c r="D1103" s="6">
        <v>0</v>
      </c>
      <c r="E1103" s="6">
        <v>0</v>
      </c>
      <c r="F1103" s="6">
        <v>64.703758682071197</v>
      </c>
      <c r="G1103" s="6" t="str">
        <f t="shared" si="34"/>
        <v>OK</v>
      </c>
      <c r="H1103" s="6" t="str">
        <f t="shared" si="35"/>
        <v>ZERO</v>
      </c>
      <c r="I1103">
        <v>0</v>
      </c>
      <c r="J1103">
        <f>IFERROR(Table4[[#This Row],[energy_kwh]]/Table4[[#This Row],[expected_kwh]],0)</f>
        <v>0</v>
      </c>
      <c r="K1103" t="str">
        <f>IF(Table4[[#This Row],[Performance_Ratio]] &lt; 0.85, "Underperforming", "Performing")</f>
        <v>Underperforming</v>
      </c>
      <c r="L1103">
        <f>Table4[[#This Row],[energy_kwh]] - Table4[[#This Row],[expected_kwh]]</f>
        <v>0</v>
      </c>
      <c r="M1103" t="str">
        <f>IF(Table4[[#This Row],[Performance_Deviation]] &lt; 0, "Underperforming", "Outperforming")</f>
        <v>Outperforming</v>
      </c>
      <c r="N1103">
        <f>IF(Table4[[#This Row],[Performance_Ratio]] &lt; 0.85, Table4[[#This Row],[Performance_Deviation]] * 50 / 1000, 0)</f>
        <v>0</v>
      </c>
    </row>
    <row r="1104" spans="1:14" x14ac:dyDescent="0.3">
      <c r="A1104" s="4" t="s">
        <v>7</v>
      </c>
      <c r="B1104" s="3">
        <v>45306.916666666664</v>
      </c>
      <c r="C1104" s="4">
        <v>0</v>
      </c>
      <c r="D1104" s="4">
        <v>0</v>
      </c>
      <c r="E1104" s="4">
        <v>0</v>
      </c>
      <c r="F1104" s="4">
        <v>24.104953019373902</v>
      </c>
      <c r="G1104" s="4" t="str">
        <f t="shared" si="34"/>
        <v>OK</v>
      </c>
      <c r="H1104" s="4" t="str">
        <f t="shared" si="35"/>
        <v>ZERO</v>
      </c>
      <c r="I1104">
        <v>0</v>
      </c>
      <c r="J1104">
        <f>IFERROR(Table4[[#This Row],[energy_kwh]]/Table4[[#This Row],[expected_kwh]],0)</f>
        <v>0</v>
      </c>
      <c r="K1104" t="str">
        <f>IF(Table4[[#This Row],[Performance_Ratio]] &lt; 0.85, "Underperforming", "Performing")</f>
        <v>Underperforming</v>
      </c>
      <c r="L1104">
        <f>Table4[[#This Row],[energy_kwh]] - Table4[[#This Row],[expected_kwh]]</f>
        <v>0</v>
      </c>
      <c r="M1104" t="str">
        <f>IF(Table4[[#This Row],[Performance_Deviation]] &lt; 0, "Underperforming", "Outperforming")</f>
        <v>Outperforming</v>
      </c>
      <c r="N1104">
        <f>IF(Table4[[#This Row],[Performance_Ratio]] &lt; 0.85, Table4[[#This Row],[Performance_Deviation]] * 50 / 1000, 0)</f>
        <v>0</v>
      </c>
    </row>
    <row r="1105" spans="1:14" x14ac:dyDescent="0.3">
      <c r="A1105" s="6" t="s">
        <v>7</v>
      </c>
      <c r="B1105" s="5">
        <v>45306.958333333336</v>
      </c>
      <c r="C1105" s="6">
        <v>0</v>
      </c>
      <c r="D1105" s="6">
        <v>0</v>
      </c>
      <c r="E1105" s="6">
        <v>0</v>
      </c>
      <c r="F1105" s="6">
        <v>36.472619644592598</v>
      </c>
      <c r="G1105" s="6" t="str">
        <f t="shared" si="34"/>
        <v>OK</v>
      </c>
      <c r="H1105" s="6" t="str">
        <f t="shared" si="35"/>
        <v>ZERO</v>
      </c>
      <c r="I1105">
        <v>0</v>
      </c>
      <c r="J1105">
        <f>IFERROR(Table4[[#This Row],[energy_kwh]]/Table4[[#This Row],[expected_kwh]],0)</f>
        <v>0</v>
      </c>
      <c r="K1105" t="str">
        <f>IF(Table4[[#This Row],[Performance_Ratio]] &lt; 0.85, "Underperforming", "Performing")</f>
        <v>Underperforming</v>
      </c>
      <c r="L1105">
        <f>Table4[[#This Row],[energy_kwh]] - Table4[[#This Row],[expected_kwh]]</f>
        <v>0</v>
      </c>
      <c r="M1105" t="str">
        <f>IF(Table4[[#This Row],[Performance_Deviation]] &lt; 0, "Underperforming", "Outperforming")</f>
        <v>Outperforming</v>
      </c>
      <c r="N1105">
        <f>IF(Table4[[#This Row],[Performance_Ratio]] &lt; 0.85, Table4[[#This Row],[Performance_Deviation]] * 50 / 1000, 0)</f>
        <v>0</v>
      </c>
    </row>
    <row r="1106" spans="1:14" x14ac:dyDescent="0.3">
      <c r="A1106" s="4" t="s">
        <v>7</v>
      </c>
      <c r="B1106" s="3">
        <v>45307</v>
      </c>
      <c r="C1106" s="4">
        <v>0</v>
      </c>
      <c r="D1106" s="4">
        <v>0</v>
      </c>
      <c r="E1106" s="4">
        <v>0</v>
      </c>
      <c r="F1106" s="4">
        <v>25.070356210428699</v>
      </c>
      <c r="G1106" s="4" t="str">
        <f t="shared" si="34"/>
        <v>OK</v>
      </c>
      <c r="H1106" s="4" t="str">
        <f t="shared" si="35"/>
        <v>ZERO</v>
      </c>
      <c r="I1106">
        <v>0</v>
      </c>
      <c r="J1106">
        <f>IFERROR(Table4[[#This Row],[energy_kwh]]/Table4[[#This Row],[expected_kwh]],0)</f>
        <v>0</v>
      </c>
      <c r="K1106" t="str">
        <f>IF(Table4[[#This Row],[Performance_Ratio]] &lt; 0.85, "Underperforming", "Performing")</f>
        <v>Underperforming</v>
      </c>
      <c r="L1106">
        <f>Table4[[#This Row],[energy_kwh]] - Table4[[#This Row],[expected_kwh]]</f>
        <v>0</v>
      </c>
      <c r="M1106" t="str">
        <f>IF(Table4[[#This Row],[Performance_Deviation]] &lt; 0, "Underperforming", "Outperforming")</f>
        <v>Outperforming</v>
      </c>
      <c r="N1106">
        <f>IF(Table4[[#This Row],[Performance_Ratio]] &lt; 0.85, Table4[[#This Row],[Performance_Deviation]] * 50 / 1000, 0)</f>
        <v>0</v>
      </c>
    </row>
    <row r="1107" spans="1:14" x14ac:dyDescent="0.3">
      <c r="A1107" s="6" t="s">
        <v>7</v>
      </c>
      <c r="B1107" s="5">
        <v>45307.041666666664</v>
      </c>
      <c r="C1107" s="6">
        <v>0</v>
      </c>
      <c r="D1107" s="6">
        <v>0</v>
      </c>
      <c r="E1107" s="6">
        <v>0</v>
      </c>
      <c r="F1107" s="6">
        <v>52.290186568477701</v>
      </c>
      <c r="G1107" s="6" t="str">
        <f t="shared" si="34"/>
        <v>OK</v>
      </c>
      <c r="H1107" s="6" t="str">
        <f t="shared" si="35"/>
        <v>ZERO</v>
      </c>
      <c r="I1107">
        <v>0</v>
      </c>
      <c r="J1107">
        <f>IFERROR(Table4[[#This Row],[energy_kwh]]/Table4[[#This Row],[expected_kwh]],0)</f>
        <v>0</v>
      </c>
      <c r="K1107" t="str">
        <f>IF(Table4[[#This Row],[Performance_Ratio]] &lt; 0.85, "Underperforming", "Performing")</f>
        <v>Underperforming</v>
      </c>
      <c r="L1107">
        <f>Table4[[#This Row],[energy_kwh]] - Table4[[#This Row],[expected_kwh]]</f>
        <v>0</v>
      </c>
      <c r="M1107" t="str">
        <f>IF(Table4[[#This Row],[Performance_Deviation]] &lt; 0, "Underperforming", "Outperforming")</f>
        <v>Outperforming</v>
      </c>
      <c r="N1107">
        <f>IF(Table4[[#This Row],[Performance_Ratio]] &lt; 0.85, Table4[[#This Row],[Performance_Deviation]] * 50 / 1000, 0)</f>
        <v>0</v>
      </c>
    </row>
    <row r="1108" spans="1:14" x14ac:dyDescent="0.3">
      <c r="A1108" s="4" t="s">
        <v>7</v>
      </c>
      <c r="B1108" s="3">
        <v>45307.083333333336</v>
      </c>
      <c r="C1108" s="4">
        <v>0</v>
      </c>
      <c r="D1108" s="4">
        <v>0</v>
      </c>
      <c r="E1108" s="4">
        <v>0</v>
      </c>
      <c r="F1108" s="4">
        <v>66.599796811678004</v>
      </c>
      <c r="G1108" s="4" t="str">
        <f t="shared" si="34"/>
        <v>OK</v>
      </c>
      <c r="H1108" s="4" t="str">
        <f t="shared" si="35"/>
        <v>ZERO</v>
      </c>
      <c r="I1108">
        <v>0</v>
      </c>
      <c r="J1108">
        <f>IFERROR(Table4[[#This Row],[energy_kwh]]/Table4[[#This Row],[expected_kwh]],0)</f>
        <v>0</v>
      </c>
      <c r="K1108" t="str">
        <f>IF(Table4[[#This Row],[Performance_Ratio]] &lt; 0.85, "Underperforming", "Performing")</f>
        <v>Underperforming</v>
      </c>
      <c r="L1108">
        <f>Table4[[#This Row],[energy_kwh]] - Table4[[#This Row],[expected_kwh]]</f>
        <v>0</v>
      </c>
      <c r="M1108" t="str">
        <f>IF(Table4[[#This Row],[Performance_Deviation]] &lt; 0, "Underperforming", "Outperforming")</f>
        <v>Outperforming</v>
      </c>
      <c r="N1108">
        <f>IF(Table4[[#This Row],[Performance_Ratio]] &lt; 0.85, Table4[[#This Row],[Performance_Deviation]] * 50 / 1000, 0)</f>
        <v>0</v>
      </c>
    </row>
    <row r="1109" spans="1:14" x14ac:dyDescent="0.3">
      <c r="A1109" s="6" t="s">
        <v>7</v>
      </c>
      <c r="B1109" s="5">
        <v>45307.125</v>
      </c>
      <c r="C1109" s="6">
        <v>0</v>
      </c>
      <c r="D1109" s="6">
        <v>0</v>
      </c>
      <c r="E1109" s="6">
        <v>0</v>
      </c>
      <c r="F1109" s="6">
        <v>22.669267310485701</v>
      </c>
      <c r="G1109" s="6" t="str">
        <f t="shared" si="34"/>
        <v>OK</v>
      </c>
      <c r="H1109" s="6" t="str">
        <f t="shared" si="35"/>
        <v>ZERO</v>
      </c>
      <c r="I1109">
        <v>0</v>
      </c>
      <c r="J1109">
        <f>IFERROR(Table4[[#This Row],[energy_kwh]]/Table4[[#This Row],[expected_kwh]],0)</f>
        <v>0</v>
      </c>
      <c r="K1109" t="str">
        <f>IF(Table4[[#This Row],[Performance_Ratio]] &lt; 0.85, "Underperforming", "Performing")</f>
        <v>Underperforming</v>
      </c>
      <c r="L1109">
        <f>Table4[[#This Row],[energy_kwh]] - Table4[[#This Row],[expected_kwh]]</f>
        <v>0</v>
      </c>
      <c r="M1109" t="str">
        <f>IF(Table4[[#This Row],[Performance_Deviation]] &lt; 0, "Underperforming", "Outperforming")</f>
        <v>Outperforming</v>
      </c>
      <c r="N1109">
        <f>IF(Table4[[#This Row],[Performance_Ratio]] &lt; 0.85, Table4[[#This Row],[Performance_Deviation]] * 50 / 1000, 0)</f>
        <v>0</v>
      </c>
    </row>
    <row r="1110" spans="1:14" x14ac:dyDescent="0.3">
      <c r="A1110" s="4" t="s">
        <v>7</v>
      </c>
      <c r="B1110" s="3">
        <v>45307.166666666664</v>
      </c>
      <c r="C1110" s="4">
        <v>0</v>
      </c>
      <c r="D1110" s="4">
        <v>0</v>
      </c>
      <c r="E1110" s="4">
        <v>0</v>
      </c>
      <c r="F1110" s="4">
        <v>53.313755515877403</v>
      </c>
      <c r="G1110" s="4" t="str">
        <f t="shared" si="34"/>
        <v>OK</v>
      </c>
      <c r="H1110" s="4" t="str">
        <f t="shared" si="35"/>
        <v>ZERO</v>
      </c>
      <c r="I1110">
        <v>0</v>
      </c>
      <c r="J1110">
        <f>IFERROR(Table4[[#This Row],[energy_kwh]]/Table4[[#This Row],[expected_kwh]],0)</f>
        <v>0</v>
      </c>
      <c r="K1110" t="str">
        <f>IF(Table4[[#This Row],[Performance_Ratio]] &lt; 0.85, "Underperforming", "Performing")</f>
        <v>Underperforming</v>
      </c>
      <c r="L1110">
        <f>Table4[[#This Row],[energy_kwh]] - Table4[[#This Row],[expected_kwh]]</f>
        <v>0</v>
      </c>
      <c r="M1110" t="str">
        <f>IF(Table4[[#This Row],[Performance_Deviation]] &lt; 0, "Underperforming", "Outperforming")</f>
        <v>Outperforming</v>
      </c>
      <c r="N1110">
        <f>IF(Table4[[#This Row],[Performance_Ratio]] &lt; 0.85, Table4[[#This Row],[Performance_Deviation]] * 50 / 1000, 0)</f>
        <v>0</v>
      </c>
    </row>
    <row r="1111" spans="1:14" x14ac:dyDescent="0.3">
      <c r="A1111" s="6" t="s">
        <v>7</v>
      </c>
      <c r="B1111" s="5">
        <v>45307.208333333336</v>
      </c>
      <c r="C1111" s="6">
        <v>0</v>
      </c>
      <c r="D1111" s="6">
        <v>0</v>
      </c>
      <c r="E1111" s="6">
        <v>0</v>
      </c>
      <c r="F1111" s="6">
        <v>84.6084264515993</v>
      </c>
      <c r="G1111" s="6" t="str">
        <f t="shared" si="34"/>
        <v>OK</v>
      </c>
      <c r="H1111" s="6" t="str">
        <f t="shared" si="35"/>
        <v>ZERO</v>
      </c>
      <c r="I1111">
        <v>0</v>
      </c>
      <c r="J1111">
        <f>IFERROR(Table4[[#This Row],[energy_kwh]]/Table4[[#This Row],[expected_kwh]],0)</f>
        <v>0</v>
      </c>
      <c r="K1111" t="str">
        <f>IF(Table4[[#This Row],[Performance_Ratio]] &lt; 0.85, "Underperforming", "Performing")</f>
        <v>Underperforming</v>
      </c>
      <c r="L1111">
        <f>Table4[[#This Row],[energy_kwh]] - Table4[[#This Row],[expected_kwh]]</f>
        <v>0</v>
      </c>
      <c r="M1111" t="str">
        <f>IF(Table4[[#This Row],[Performance_Deviation]] &lt; 0, "Underperforming", "Outperforming")</f>
        <v>Outperforming</v>
      </c>
      <c r="N1111">
        <f>IF(Table4[[#This Row],[Performance_Ratio]] &lt; 0.85, Table4[[#This Row],[Performance_Deviation]] * 50 / 1000, 0)</f>
        <v>0</v>
      </c>
    </row>
    <row r="1112" spans="1:14" x14ac:dyDescent="0.3">
      <c r="A1112" s="4" t="s">
        <v>7</v>
      </c>
      <c r="B1112" s="3">
        <v>45307.25</v>
      </c>
      <c r="C1112" s="4">
        <v>0</v>
      </c>
      <c r="D1112" s="4">
        <v>0</v>
      </c>
      <c r="E1112" s="4">
        <v>0</v>
      </c>
      <c r="F1112" s="4">
        <v>94.017195904122303</v>
      </c>
      <c r="G1112" s="4" t="str">
        <f t="shared" si="34"/>
        <v>OK</v>
      </c>
      <c r="H1112" s="4" t="str">
        <f t="shared" si="35"/>
        <v>ZERO</v>
      </c>
      <c r="I1112">
        <v>0</v>
      </c>
      <c r="J1112">
        <f>IFERROR(Table4[[#This Row],[energy_kwh]]/Table4[[#This Row],[expected_kwh]],0)</f>
        <v>0</v>
      </c>
      <c r="K1112" t="str">
        <f>IF(Table4[[#This Row],[Performance_Ratio]] &lt; 0.85, "Underperforming", "Performing")</f>
        <v>Underperforming</v>
      </c>
      <c r="L1112">
        <f>Table4[[#This Row],[energy_kwh]] - Table4[[#This Row],[expected_kwh]]</f>
        <v>0</v>
      </c>
      <c r="M1112" t="str">
        <f>IF(Table4[[#This Row],[Performance_Deviation]] &lt; 0, "Underperforming", "Outperforming")</f>
        <v>Outperforming</v>
      </c>
      <c r="N1112">
        <f>IF(Table4[[#This Row],[Performance_Ratio]] &lt; 0.85, Table4[[#This Row],[Performance_Deviation]] * 50 / 1000, 0)</f>
        <v>0</v>
      </c>
    </row>
    <row r="1113" spans="1:14" x14ac:dyDescent="0.3">
      <c r="A1113" s="6" t="s">
        <v>7</v>
      </c>
      <c r="B1113" s="5">
        <v>45307.291666666664</v>
      </c>
      <c r="C1113" s="6">
        <v>163.87826648952401</v>
      </c>
      <c r="D1113" s="6">
        <v>160.27762699860301</v>
      </c>
      <c r="E1113" s="6">
        <v>160.27762699860301</v>
      </c>
      <c r="F1113" s="6">
        <v>60.379623446521798</v>
      </c>
      <c r="G1113" s="6" t="str">
        <f t="shared" si="34"/>
        <v>OK</v>
      </c>
      <c r="H1113" s="6" t="str">
        <f t="shared" si="35"/>
        <v>NON-ZERO</v>
      </c>
      <c r="I1113">
        <v>155.291427061512</v>
      </c>
      <c r="J1113">
        <f>IFERROR(Table4[[#This Row],[energy_kwh]]/Table4[[#This Row],[expected_kwh]],0)</f>
        <v>1.0321086619618476</v>
      </c>
      <c r="K1113" t="str">
        <f>IF(Table4[[#This Row],[Performance_Ratio]] &lt; 0.85, "Underperforming", "Performing")</f>
        <v>Performing</v>
      </c>
      <c r="L1113">
        <f>Table4[[#This Row],[energy_kwh]] - Table4[[#This Row],[expected_kwh]]</f>
        <v>4.9861999370910155</v>
      </c>
      <c r="M1113" t="str">
        <f>IF(Table4[[#This Row],[Performance_Deviation]] &lt; 0, "Underperforming", "Outperforming")</f>
        <v>Outperforming</v>
      </c>
      <c r="N1113">
        <f>IF(Table4[[#This Row],[Performance_Ratio]] &lt; 0.85, Table4[[#This Row],[Performance_Deviation]] * 50 / 1000, 0)</f>
        <v>0</v>
      </c>
    </row>
    <row r="1114" spans="1:14" x14ac:dyDescent="0.3">
      <c r="A1114" s="4" t="s">
        <v>7</v>
      </c>
      <c r="B1114" s="3">
        <v>45307.333333333336</v>
      </c>
      <c r="C1114" s="4">
        <v>291.05663412303699</v>
      </c>
      <c r="D1114" s="4">
        <v>284.661704317106</v>
      </c>
      <c r="E1114" s="4">
        <v>284.661704317106</v>
      </c>
      <c r="F1114" s="4">
        <v>50.261072677024899</v>
      </c>
      <c r="G1114" s="4" t="str">
        <f t="shared" si="34"/>
        <v>OK</v>
      </c>
      <c r="H1114" s="4" t="str">
        <f t="shared" si="35"/>
        <v>NON-ZERO</v>
      </c>
      <c r="I1114">
        <v>300</v>
      </c>
      <c r="J1114">
        <f>IFERROR(Table4[[#This Row],[energy_kwh]]/Table4[[#This Row],[expected_kwh]],0)</f>
        <v>0.94887234772368667</v>
      </c>
      <c r="K1114" t="str">
        <f>IF(Table4[[#This Row],[Performance_Ratio]] &lt; 0.85, "Underperforming", "Performing")</f>
        <v>Performing</v>
      </c>
      <c r="L1114">
        <f>Table4[[#This Row],[energy_kwh]] - Table4[[#This Row],[expected_kwh]]</f>
        <v>-15.338295682894</v>
      </c>
      <c r="M1114" t="str">
        <f>IF(Table4[[#This Row],[Performance_Deviation]] &lt; 0, "Underperforming", "Outperforming")</f>
        <v>Underperforming</v>
      </c>
      <c r="N1114">
        <f>IF(Table4[[#This Row],[Performance_Ratio]] &lt; 0.85, Table4[[#This Row],[Performance_Deviation]] * 50 / 1000, 0)</f>
        <v>0</v>
      </c>
    </row>
    <row r="1115" spans="1:14" x14ac:dyDescent="0.3">
      <c r="A1115" s="6" t="s">
        <v>7</v>
      </c>
      <c r="B1115" s="5">
        <v>45307.375</v>
      </c>
      <c r="C1115" s="6">
        <v>386.33976473587802</v>
      </c>
      <c r="D1115" s="6">
        <v>377.85132851050298</v>
      </c>
      <c r="E1115" s="6">
        <v>377.85132851050298</v>
      </c>
      <c r="F1115" s="6">
        <v>45.299795663432398</v>
      </c>
      <c r="G1115" s="6" t="str">
        <f t="shared" si="34"/>
        <v>OK</v>
      </c>
      <c r="H1115" s="6" t="str">
        <f t="shared" si="35"/>
        <v>NON-ZERO</v>
      </c>
      <c r="I1115">
        <v>424.26406871192802</v>
      </c>
      <c r="J1115">
        <f>IFERROR(Table4[[#This Row],[energy_kwh]]/Table4[[#This Row],[expected_kwh]],0)</f>
        <v>0.89060412223374275</v>
      </c>
      <c r="K1115" t="str">
        <f>IF(Table4[[#This Row],[Performance_Ratio]] &lt; 0.85, "Underperforming", "Performing")</f>
        <v>Performing</v>
      </c>
      <c r="L1115">
        <f>Table4[[#This Row],[energy_kwh]] - Table4[[#This Row],[expected_kwh]]</f>
        <v>-46.412740201425038</v>
      </c>
      <c r="M1115" t="str">
        <f>IF(Table4[[#This Row],[Performance_Deviation]] &lt; 0, "Underperforming", "Outperforming")</f>
        <v>Underperforming</v>
      </c>
      <c r="N1115">
        <f>IF(Table4[[#This Row],[Performance_Ratio]] &lt; 0.85, Table4[[#This Row],[Performance_Deviation]] * 50 / 1000, 0)</f>
        <v>0</v>
      </c>
    </row>
    <row r="1116" spans="1:14" x14ac:dyDescent="0.3">
      <c r="A1116" s="4" t="s">
        <v>7</v>
      </c>
      <c r="B1116" s="3">
        <v>45307.416666666664</v>
      </c>
      <c r="C1116" s="4">
        <v>454.94118922041798</v>
      </c>
      <c r="D1116" s="4">
        <v>444.94548175387303</v>
      </c>
      <c r="E1116" s="4">
        <v>444.94548175387303</v>
      </c>
      <c r="F1116" s="4">
        <v>34.034320280787597</v>
      </c>
      <c r="G1116" s="4" t="str">
        <f t="shared" si="34"/>
        <v>OK</v>
      </c>
      <c r="H1116" s="4" t="str">
        <f t="shared" si="35"/>
        <v>NON-ZERO</v>
      </c>
      <c r="I1116">
        <v>519.61524227066297</v>
      </c>
      <c r="J1116">
        <f>IFERROR(Table4[[#This Row],[energy_kwh]]/Table4[[#This Row],[expected_kwh]],0)</f>
        <v>0.85629797888435477</v>
      </c>
      <c r="K1116" t="str">
        <f>IF(Table4[[#This Row],[Performance_Ratio]] &lt; 0.85, "Underperforming", "Performing")</f>
        <v>Performing</v>
      </c>
      <c r="L1116">
        <f>Table4[[#This Row],[energy_kwh]] - Table4[[#This Row],[expected_kwh]]</f>
        <v>-74.66976051678995</v>
      </c>
      <c r="M1116" t="str">
        <f>IF(Table4[[#This Row],[Performance_Deviation]] &lt; 0, "Underperforming", "Outperforming")</f>
        <v>Underperforming</v>
      </c>
      <c r="N1116">
        <f>IF(Table4[[#This Row],[Performance_Ratio]] &lt; 0.85, Table4[[#This Row],[Performance_Deviation]] * 50 / 1000, 0)</f>
        <v>0</v>
      </c>
    </row>
    <row r="1117" spans="1:14" x14ac:dyDescent="0.3">
      <c r="A1117" s="6" t="s">
        <v>7</v>
      </c>
      <c r="B1117" s="5">
        <v>45307.458333333336</v>
      </c>
      <c r="C1117" s="6">
        <v>518.53449129611795</v>
      </c>
      <c r="D1117" s="6">
        <v>507.141548188039</v>
      </c>
      <c r="E1117" s="6">
        <v>507.141548188039</v>
      </c>
      <c r="F1117" s="6">
        <v>51.304608674686001</v>
      </c>
      <c r="G1117" s="6" t="str">
        <f t="shared" si="34"/>
        <v>OK</v>
      </c>
      <c r="H1117" s="6" t="str">
        <f t="shared" si="35"/>
        <v>NON-ZERO</v>
      </c>
      <c r="I1117">
        <v>579.55549577344095</v>
      </c>
      <c r="J1117">
        <f>IFERROR(Table4[[#This Row],[energy_kwh]]/Table4[[#This Row],[expected_kwh]],0)</f>
        <v>0.87505260822561515</v>
      </c>
      <c r="K1117" t="str">
        <f>IF(Table4[[#This Row],[Performance_Ratio]] &lt; 0.85, "Underperforming", "Performing")</f>
        <v>Performing</v>
      </c>
      <c r="L1117">
        <f>Table4[[#This Row],[energy_kwh]] - Table4[[#This Row],[expected_kwh]]</f>
        <v>-72.413947585401957</v>
      </c>
      <c r="M1117" t="str">
        <f>IF(Table4[[#This Row],[Performance_Deviation]] &lt; 0, "Underperforming", "Outperforming")</f>
        <v>Underperforming</v>
      </c>
      <c r="N1117">
        <f>IF(Table4[[#This Row],[Performance_Ratio]] &lt; 0.85, Table4[[#This Row],[Performance_Deviation]] * 50 / 1000, 0)</f>
        <v>0</v>
      </c>
    </row>
    <row r="1118" spans="1:14" x14ac:dyDescent="0.3">
      <c r="A1118" s="4" t="s">
        <v>7</v>
      </c>
      <c r="B1118" s="3">
        <v>45307.5</v>
      </c>
      <c r="C1118" s="4">
        <v>608.64048132022594</v>
      </c>
      <c r="D1118" s="4">
        <v>595.26778096306703</v>
      </c>
      <c r="E1118" s="4">
        <v>595.26778096306703</v>
      </c>
      <c r="F1118" s="4">
        <v>44.761696273670303</v>
      </c>
      <c r="G1118" s="4" t="str">
        <f t="shared" si="34"/>
        <v>OK</v>
      </c>
      <c r="H1118" s="4" t="str">
        <f t="shared" si="35"/>
        <v>NON-ZERO</v>
      </c>
      <c r="I1118">
        <v>600</v>
      </c>
      <c r="J1118">
        <f>IFERROR(Table4[[#This Row],[energy_kwh]]/Table4[[#This Row],[expected_kwh]],0)</f>
        <v>0.99211296827177842</v>
      </c>
      <c r="K1118" t="str">
        <f>IF(Table4[[#This Row],[Performance_Ratio]] &lt; 0.85, "Underperforming", "Performing")</f>
        <v>Performing</v>
      </c>
      <c r="L1118">
        <f>Table4[[#This Row],[energy_kwh]] - Table4[[#This Row],[expected_kwh]]</f>
        <v>-4.7322190369329746</v>
      </c>
      <c r="M1118" t="str">
        <f>IF(Table4[[#This Row],[Performance_Deviation]] &lt; 0, "Underperforming", "Outperforming")</f>
        <v>Underperforming</v>
      </c>
      <c r="N1118">
        <f>IF(Table4[[#This Row],[Performance_Ratio]] &lt; 0.85, Table4[[#This Row],[Performance_Deviation]] * 50 / 1000, 0)</f>
        <v>0</v>
      </c>
    </row>
    <row r="1119" spans="1:14" x14ac:dyDescent="0.3">
      <c r="A1119" s="6" t="s">
        <v>7</v>
      </c>
      <c r="B1119" s="5">
        <v>45307.541666666664</v>
      </c>
      <c r="C1119" s="6">
        <v>538.35175529754997</v>
      </c>
      <c r="D1119" s="6">
        <v>526.52339860538802</v>
      </c>
      <c r="E1119" s="6">
        <v>526.52339860538802</v>
      </c>
      <c r="F1119" s="6">
        <v>24.517020867522302</v>
      </c>
      <c r="G1119" s="6" t="str">
        <f t="shared" si="34"/>
        <v>OK</v>
      </c>
      <c r="H1119" s="6" t="str">
        <f t="shared" si="35"/>
        <v>NON-ZERO</v>
      </c>
      <c r="I1119">
        <v>579.55549577344095</v>
      </c>
      <c r="J1119">
        <f>IFERROR(Table4[[#This Row],[energy_kwh]]/Table4[[#This Row],[expected_kwh]],0)</f>
        <v>0.90849522167453634</v>
      </c>
      <c r="K1119" t="str">
        <f>IF(Table4[[#This Row],[Performance_Ratio]] &lt; 0.85, "Underperforming", "Performing")</f>
        <v>Performing</v>
      </c>
      <c r="L1119">
        <f>Table4[[#This Row],[energy_kwh]] - Table4[[#This Row],[expected_kwh]]</f>
        <v>-53.032097168052928</v>
      </c>
      <c r="M1119" t="str">
        <f>IF(Table4[[#This Row],[Performance_Deviation]] &lt; 0, "Underperforming", "Outperforming")</f>
        <v>Underperforming</v>
      </c>
      <c r="N1119">
        <f>IF(Table4[[#This Row],[Performance_Ratio]] &lt; 0.85, Table4[[#This Row],[Performance_Deviation]] * 50 / 1000, 0)</f>
        <v>0</v>
      </c>
    </row>
    <row r="1120" spans="1:14" x14ac:dyDescent="0.3">
      <c r="A1120" s="4" t="s">
        <v>7</v>
      </c>
      <c r="B1120" s="3">
        <v>45307.583333333336</v>
      </c>
      <c r="C1120" s="4">
        <v>455.21259110777203</v>
      </c>
      <c r="D1120" s="4">
        <v>445.21092055426902</v>
      </c>
      <c r="E1120" s="4">
        <v>445.21092055426902</v>
      </c>
      <c r="F1120" s="4">
        <v>78.7371073192772</v>
      </c>
      <c r="G1120" s="4" t="str">
        <f t="shared" si="34"/>
        <v>OK</v>
      </c>
      <c r="H1120" s="4" t="str">
        <f t="shared" si="35"/>
        <v>NON-ZERO</v>
      </c>
      <c r="I1120">
        <v>519.61524227066297</v>
      </c>
      <c r="J1120">
        <f>IFERROR(Table4[[#This Row],[energy_kwh]]/Table4[[#This Row],[expected_kwh]],0)</f>
        <v>0.8568088160938947</v>
      </c>
      <c r="K1120" t="str">
        <f>IF(Table4[[#This Row],[Performance_Ratio]] &lt; 0.85, "Underperforming", "Performing")</f>
        <v>Performing</v>
      </c>
      <c r="L1120">
        <f>Table4[[#This Row],[energy_kwh]] - Table4[[#This Row],[expected_kwh]]</f>
        <v>-74.404321716393952</v>
      </c>
      <c r="M1120" t="str">
        <f>IF(Table4[[#This Row],[Performance_Deviation]] &lt; 0, "Underperforming", "Outperforming")</f>
        <v>Underperforming</v>
      </c>
      <c r="N1120">
        <f>IF(Table4[[#This Row],[Performance_Ratio]] &lt; 0.85, Table4[[#This Row],[Performance_Deviation]] * 50 / 1000, 0)</f>
        <v>0</v>
      </c>
    </row>
    <row r="1121" spans="1:14" x14ac:dyDescent="0.3">
      <c r="A1121" s="6" t="s">
        <v>7</v>
      </c>
      <c r="B1121" s="5">
        <v>45307.625</v>
      </c>
      <c r="C1121" s="6">
        <v>371.61490859718401</v>
      </c>
      <c r="D1121" s="6">
        <v>363.44999848449498</v>
      </c>
      <c r="E1121" s="6">
        <v>363.44999848449498</v>
      </c>
      <c r="F1121" s="6">
        <v>29.2884520029363</v>
      </c>
      <c r="G1121" s="6" t="str">
        <f t="shared" si="34"/>
        <v>OK</v>
      </c>
      <c r="H1121" s="6" t="str">
        <f t="shared" si="35"/>
        <v>NON-ZERO</v>
      </c>
      <c r="I1121">
        <v>424.26406871192802</v>
      </c>
      <c r="J1121">
        <f>IFERROR(Table4[[#This Row],[energy_kwh]]/Table4[[#This Row],[expected_kwh]],0)</f>
        <v>0.85665986183542375</v>
      </c>
      <c r="K1121" t="str">
        <f>IF(Table4[[#This Row],[Performance_Ratio]] &lt; 0.85, "Underperforming", "Performing")</f>
        <v>Performing</v>
      </c>
      <c r="L1121">
        <f>Table4[[#This Row],[energy_kwh]] - Table4[[#This Row],[expected_kwh]]</f>
        <v>-60.814070227433035</v>
      </c>
      <c r="M1121" t="str">
        <f>IF(Table4[[#This Row],[Performance_Deviation]] &lt; 0, "Underperforming", "Outperforming")</f>
        <v>Underperforming</v>
      </c>
      <c r="N1121">
        <f>IF(Table4[[#This Row],[Performance_Ratio]] &lt; 0.85, Table4[[#This Row],[Performance_Deviation]] * 50 / 1000, 0)</f>
        <v>0</v>
      </c>
    </row>
    <row r="1122" spans="1:14" x14ac:dyDescent="0.3">
      <c r="A1122" s="4" t="s">
        <v>7</v>
      </c>
      <c r="B1122" s="3">
        <v>45307.666666666664</v>
      </c>
      <c r="C1122" s="4">
        <v>295.18502712198699</v>
      </c>
      <c r="D1122" s="4">
        <v>288.699390627583</v>
      </c>
      <c r="E1122" s="4">
        <v>288.699390627583</v>
      </c>
      <c r="F1122" s="4">
        <v>91.658614357855001</v>
      </c>
      <c r="G1122" s="4" t="str">
        <f t="shared" si="34"/>
        <v>OK</v>
      </c>
      <c r="H1122" s="4" t="str">
        <f t="shared" si="35"/>
        <v>NON-ZERO</v>
      </c>
      <c r="I1122">
        <v>300</v>
      </c>
      <c r="J1122">
        <f>IFERROR(Table4[[#This Row],[energy_kwh]]/Table4[[#This Row],[expected_kwh]],0)</f>
        <v>0.96233130209194329</v>
      </c>
      <c r="K1122" t="str">
        <f>IF(Table4[[#This Row],[Performance_Ratio]] &lt; 0.85, "Underperforming", "Performing")</f>
        <v>Performing</v>
      </c>
      <c r="L1122">
        <f>Table4[[#This Row],[energy_kwh]] - Table4[[#This Row],[expected_kwh]]</f>
        <v>-11.300609372417</v>
      </c>
      <c r="M1122" t="str">
        <f>IF(Table4[[#This Row],[Performance_Deviation]] &lt; 0, "Underperforming", "Outperforming")</f>
        <v>Underperforming</v>
      </c>
      <c r="N1122">
        <f>IF(Table4[[#This Row],[Performance_Ratio]] &lt; 0.85, Table4[[#This Row],[Performance_Deviation]] * 50 / 1000, 0)</f>
        <v>0</v>
      </c>
    </row>
    <row r="1123" spans="1:14" x14ac:dyDescent="0.3">
      <c r="A1123" s="6" t="s">
        <v>7</v>
      </c>
      <c r="B1123" s="5">
        <v>45307.708333333336</v>
      </c>
      <c r="C1123" s="6">
        <v>142.44144150162299</v>
      </c>
      <c r="D1123" s="6">
        <v>139.31179966197499</v>
      </c>
      <c r="E1123" s="6">
        <v>139.31179966197499</v>
      </c>
      <c r="F1123" s="6">
        <v>32.660750433842303</v>
      </c>
      <c r="G1123" s="6" t="str">
        <f t="shared" si="34"/>
        <v>OK</v>
      </c>
      <c r="H1123" s="6" t="str">
        <f t="shared" si="35"/>
        <v>NON-ZERO</v>
      </c>
      <c r="I1123">
        <v>155.291427061512</v>
      </c>
      <c r="J1123">
        <f>IFERROR(Table4[[#This Row],[energy_kwh]]/Table4[[#This Row],[expected_kwh]],0)</f>
        <v>0.89709910133540494</v>
      </c>
      <c r="K1123" t="str">
        <f>IF(Table4[[#This Row],[Performance_Ratio]] &lt; 0.85, "Underperforming", "Performing")</f>
        <v>Performing</v>
      </c>
      <c r="L1123">
        <f>Table4[[#This Row],[energy_kwh]] - Table4[[#This Row],[expected_kwh]]</f>
        <v>-15.979627399537009</v>
      </c>
      <c r="M1123" t="str">
        <f>IF(Table4[[#This Row],[Performance_Deviation]] &lt; 0, "Underperforming", "Outperforming")</f>
        <v>Underperforming</v>
      </c>
      <c r="N1123">
        <f>IF(Table4[[#This Row],[Performance_Ratio]] &lt; 0.85, Table4[[#This Row],[Performance_Deviation]] * 50 / 1000, 0)</f>
        <v>0</v>
      </c>
    </row>
    <row r="1124" spans="1:14" x14ac:dyDescent="0.3">
      <c r="A1124" s="4" t="s">
        <v>7</v>
      </c>
      <c r="B1124" s="3">
        <v>45307.75</v>
      </c>
      <c r="C1124" s="7">
        <v>7.7879501557668506E-14</v>
      </c>
      <c r="D1124" s="7">
        <v>7.6168377716486401E-14</v>
      </c>
      <c r="E1124" s="7">
        <v>7.6168377716486401E-14</v>
      </c>
      <c r="F1124" s="4">
        <v>81.471865216073297</v>
      </c>
      <c r="G1124" s="4" t="str">
        <f t="shared" si="34"/>
        <v>OK</v>
      </c>
      <c r="H1124" s="4" t="str">
        <f t="shared" si="35"/>
        <v>NON-ZERO</v>
      </c>
      <c r="I1124" s="2">
        <v>7.3478807948841102E-14</v>
      </c>
      <c r="J1124">
        <f>IFERROR(Table4[[#This Row],[energy_kwh]]/Table4[[#This Row],[expected_kwh]],0)</f>
        <v>1.0366033396937779</v>
      </c>
      <c r="K1124" t="str">
        <f>IF(Table4[[#This Row],[Performance_Ratio]] &lt; 0.85, "Underperforming", "Performing")</f>
        <v>Performing</v>
      </c>
      <c r="L1124">
        <f>Table4[[#This Row],[energy_kwh]] - Table4[[#This Row],[expected_kwh]]</f>
        <v>2.6895697676453E-15</v>
      </c>
      <c r="M1124" t="str">
        <f>IF(Table4[[#This Row],[Performance_Deviation]] &lt; 0, "Underperforming", "Outperforming")</f>
        <v>Outperforming</v>
      </c>
      <c r="N1124">
        <f>IF(Table4[[#This Row],[Performance_Ratio]] &lt; 0.85, Table4[[#This Row],[Performance_Deviation]] * 50 / 1000, 0)</f>
        <v>0</v>
      </c>
    </row>
    <row r="1125" spans="1:14" x14ac:dyDescent="0.3">
      <c r="A1125" s="6" t="s">
        <v>7</v>
      </c>
      <c r="B1125" s="5">
        <v>45307.791666666664</v>
      </c>
      <c r="C1125" s="6">
        <v>0</v>
      </c>
      <c r="D1125" s="6">
        <v>0</v>
      </c>
      <c r="E1125" s="6">
        <v>0</v>
      </c>
      <c r="F1125" s="6">
        <v>41.313822178379603</v>
      </c>
      <c r="G1125" s="6" t="str">
        <f t="shared" si="34"/>
        <v>OK</v>
      </c>
      <c r="H1125" s="6" t="str">
        <f t="shared" si="35"/>
        <v>ZERO</v>
      </c>
      <c r="I1125">
        <v>0</v>
      </c>
      <c r="J1125">
        <f>IFERROR(Table4[[#This Row],[energy_kwh]]/Table4[[#This Row],[expected_kwh]],0)</f>
        <v>0</v>
      </c>
      <c r="K1125" t="str">
        <f>IF(Table4[[#This Row],[Performance_Ratio]] &lt; 0.85, "Underperforming", "Performing")</f>
        <v>Underperforming</v>
      </c>
      <c r="L1125">
        <f>Table4[[#This Row],[energy_kwh]] - Table4[[#This Row],[expected_kwh]]</f>
        <v>0</v>
      </c>
      <c r="M1125" t="str">
        <f>IF(Table4[[#This Row],[Performance_Deviation]] &lt; 0, "Underperforming", "Outperforming")</f>
        <v>Outperforming</v>
      </c>
      <c r="N1125">
        <f>IF(Table4[[#This Row],[Performance_Ratio]] &lt; 0.85, Table4[[#This Row],[Performance_Deviation]] * 50 / 1000, 0)</f>
        <v>0</v>
      </c>
    </row>
    <row r="1126" spans="1:14" x14ac:dyDescent="0.3">
      <c r="A1126" s="4" t="s">
        <v>7</v>
      </c>
      <c r="B1126" s="3">
        <v>45307.833333333336</v>
      </c>
      <c r="C1126" s="4">
        <v>0</v>
      </c>
      <c r="D1126" s="4">
        <v>0</v>
      </c>
      <c r="E1126" s="4">
        <v>0</v>
      </c>
      <c r="F1126" s="4">
        <v>31.9909822524831</v>
      </c>
      <c r="G1126" s="4" t="str">
        <f t="shared" si="34"/>
        <v>OK</v>
      </c>
      <c r="H1126" s="4" t="str">
        <f t="shared" si="35"/>
        <v>ZERO</v>
      </c>
      <c r="I1126">
        <v>0</v>
      </c>
      <c r="J1126">
        <f>IFERROR(Table4[[#This Row],[energy_kwh]]/Table4[[#This Row],[expected_kwh]],0)</f>
        <v>0</v>
      </c>
      <c r="K1126" t="str">
        <f>IF(Table4[[#This Row],[Performance_Ratio]] &lt; 0.85, "Underperforming", "Performing")</f>
        <v>Underperforming</v>
      </c>
      <c r="L1126">
        <f>Table4[[#This Row],[energy_kwh]] - Table4[[#This Row],[expected_kwh]]</f>
        <v>0</v>
      </c>
      <c r="M1126" t="str">
        <f>IF(Table4[[#This Row],[Performance_Deviation]] &lt; 0, "Underperforming", "Outperforming")</f>
        <v>Outperforming</v>
      </c>
      <c r="N1126">
        <f>IF(Table4[[#This Row],[Performance_Ratio]] &lt; 0.85, Table4[[#This Row],[Performance_Deviation]] * 50 / 1000, 0)</f>
        <v>0</v>
      </c>
    </row>
    <row r="1127" spans="1:14" x14ac:dyDescent="0.3">
      <c r="A1127" s="6" t="s">
        <v>7</v>
      </c>
      <c r="B1127" s="5">
        <v>45307.875</v>
      </c>
      <c r="C1127" s="6">
        <v>0</v>
      </c>
      <c r="D1127" s="6">
        <v>0</v>
      </c>
      <c r="E1127" s="6">
        <v>0</v>
      </c>
      <c r="F1127" s="6">
        <v>43.273136157841002</v>
      </c>
      <c r="G1127" s="6" t="str">
        <f t="shared" si="34"/>
        <v>OK</v>
      </c>
      <c r="H1127" s="6" t="str">
        <f t="shared" si="35"/>
        <v>ZERO</v>
      </c>
      <c r="I1127">
        <v>0</v>
      </c>
      <c r="J1127">
        <f>IFERROR(Table4[[#This Row],[energy_kwh]]/Table4[[#This Row],[expected_kwh]],0)</f>
        <v>0</v>
      </c>
      <c r="K1127" t="str">
        <f>IF(Table4[[#This Row],[Performance_Ratio]] &lt; 0.85, "Underperforming", "Performing")</f>
        <v>Underperforming</v>
      </c>
      <c r="L1127">
        <f>Table4[[#This Row],[energy_kwh]] - Table4[[#This Row],[expected_kwh]]</f>
        <v>0</v>
      </c>
      <c r="M1127" t="str">
        <f>IF(Table4[[#This Row],[Performance_Deviation]] &lt; 0, "Underperforming", "Outperforming")</f>
        <v>Outperforming</v>
      </c>
      <c r="N1127">
        <f>IF(Table4[[#This Row],[Performance_Ratio]] &lt; 0.85, Table4[[#This Row],[Performance_Deviation]] * 50 / 1000, 0)</f>
        <v>0</v>
      </c>
    </row>
    <row r="1128" spans="1:14" x14ac:dyDescent="0.3">
      <c r="A1128" s="4" t="s">
        <v>7</v>
      </c>
      <c r="B1128" s="3">
        <v>45307.916666666664</v>
      </c>
      <c r="C1128" s="4">
        <v>0</v>
      </c>
      <c r="D1128" s="4">
        <v>0</v>
      </c>
      <c r="E1128" s="4">
        <v>0</v>
      </c>
      <c r="F1128" s="4">
        <v>31.682994543512699</v>
      </c>
      <c r="G1128" s="4" t="str">
        <f t="shared" si="34"/>
        <v>OK</v>
      </c>
      <c r="H1128" s="4" t="str">
        <f t="shared" si="35"/>
        <v>ZERO</v>
      </c>
      <c r="I1128">
        <v>0</v>
      </c>
      <c r="J1128">
        <f>IFERROR(Table4[[#This Row],[energy_kwh]]/Table4[[#This Row],[expected_kwh]],0)</f>
        <v>0</v>
      </c>
      <c r="K1128" t="str">
        <f>IF(Table4[[#This Row],[Performance_Ratio]] &lt; 0.85, "Underperforming", "Performing")</f>
        <v>Underperforming</v>
      </c>
      <c r="L1128">
        <f>Table4[[#This Row],[energy_kwh]] - Table4[[#This Row],[expected_kwh]]</f>
        <v>0</v>
      </c>
      <c r="M1128" t="str">
        <f>IF(Table4[[#This Row],[Performance_Deviation]] &lt; 0, "Underperforming", "Outperforming")</f>
        <v>Outperforming</v>
      </c>
      <c r="N1128">
        <f>IF(Table4[[#This Row],[Performance_Ratio]] &lt; 0.85, Table4[[#This Row],[Performance_Deviation]] * 50 / 1000, 0)</f>
        <v>0</v>
      </c>
    </row>
    <row r="1129" spans="1:14" x14ac:dyDescent="0.3">
      <c r="A1129" s="6" t="s">
        <v>7</v>
      </c>
      <c r="B1129" s="5">
        <v>45307.958333333336</v>
      </c>
      <c r="C1129" s="6">
        <v>0</v>
      </c>
      <c r="D1129" s="6">
        <v>0</v>
      </c>
      <c r="E1129" s="6">
        <v>0</v>
      </c>
      <c r="F1129" s="6">
        <v>48.302238259748798</v>
      </c>
      <c r="G1129" s="6" t="str">
        <f t="shared" si="34"/>
        <v>OK</v>
      </c>
      <c r="H1129" s="6" t="str">
        <f t="shared" si="35"/>
        <v>ZERO</v>
      </c>
      <c r="I1129">
        <v>0</v>
      </c>
      <c r="J1129">
        <f>IFERROR(Table4[[#This Row],[energy_kwh]]/Table4[[#This Row],[expected_kwh]],0)</f>
        <v>0</v>
      </c>
      <c r="K1129" t="str">
        <f>IF(Table4[[#This Row],[Performance_Ratio]] &lt; 0.85, "Underperforming", "Performing")</f>
        <v>Underperforming</v>
      </c>
      <c r="L1129">
        <f>Table4[[#This Row],[energy_kwh]] - Table4[[#This Row],[expected_kwh]]</f>
        <v>0</v>
      </c>
      <c r="M1129" t="str">
        <f>IF(Table4[[#This Row],[Performance_Deviation]] &lt; 0, "Underperforming", "Outperforming")</f>
        <v>Outperforming</v>
      </c>
      <c r="N1129">
        <f>IF(Table4[[#This Row],[Performance_Ratio]] &lt; 0.85, Table4[[#This Row],[Performance_Deviation]] * 50 / 1000, 0)</f>
        <v>0</v>
      </c>
    </row>
    <row r="1130" spans="1:14" x14ac:dyDescent="0.3">
      <c r="A1130" s="4" t="s">
        <v>7</v>
      </c>
      <c r="B1130" s="3">
        <v>45308</v>
      </c>
      <c r="C1130" s="4">
        <v>0</v>
      </c>
      <c r="D1130" s="4">
        <v>0</v>
      </c>
      <c r="E1130" s="4">
        <v>0</v>
      </c>
      <c r="F1130" s="4">
        <v>91.522445587226699</v>
      </c>
      <c r="G1130" s="4" t="str">
        <f t="shared" si="34"/>
        <v>OK</v>
      </c>
      <c r="H1130" s="4" t="str">
        <f t="shared" si="35"/>
        <v>ZERO</v>
      </c>
      <c r="I1130">
        <v>0</v>
      </c>
      <c r="J1130">
        <f>IFERROR(Table4[[#This Row],[energy_kwh]]/Table4[[#This Row],[expected_kwh]],0)</f>
        <v>0</v>
      </c>
      <c r="K1130" t="str">
        <f>IF(Table4[[#This Row],[Performance_Ratio]] &lt; 0.85, "Underperforming", "Performing")</f>
        <v>Underperforming</v>
      </c>
      <c r="L1130">
        <f>Table4[[#This Row],[energy_kwh]] - Table4[[#This Row],[expected_kwh]]</f>
        <v>0</v>
      </c>
      <c r="M1130" t="str">
        <f>IF(Table4[[#This Row],[Performance_Deviation]] &lt; 0, "Underperforming", "Outperforming")</f>
        <v>Outperforming</v>
      </c>
      <c r="N1130">
        <f>IF(Table4[[#This Row],[Performance_Ratio]] &lt; 0.85, Table4[[#This Row],[Performance_Deviation]] * 50 / 1000, 0)</f>
        <v>0</v>
      </c>
    </row>
    <row r="1131" spans="1:14" x14ac:dyDescent="0.3">
      <c r="A1131" s="6" t="s">
        <v>7</v>
      </c>
      <c r="B1131" s="5">
        <v>45308.041666666664</v>
      </c>
      <c r="C1131" s="6">
        <v>0</v>
      </c>
      <c r="D1131" s="6">
        <v>0</v>
      </c>
      <c r="E1131" s="6">
        <v>0</v>
      </c>
      <c r="F1131" s="6">
        <v>33.432120449613599</v>
      </c>
      <c r="G1131" s="6" t="str">
        <f t="shared" si="34"/>
        <v>OK</v>
      </c>
      <c r="H1131" s="6" t="str">
        <f t="shared" si="35"/>
        <v>ZERO</v>
      </c>
      <c r="I1131">
        <v>0</v>
      </c>
      <c r="J1131">
        <f>IFERROR(Table4[[#This Row],[energy_kwh]]/Table4[[#This Row],[expected_kwh]],0)</f>
        <v>0</v>
      </c>
      <c r="K1131" t="str">
        <f>IF(Table4[[#This Row],[Performance_Ratio]] &lt; 0.85, "Underperforming", "Performing")</f>
        <v>Underperforming</v>
      </c>
      <c r="L1131">
        <f>Table4[[#This Row],[energy_kwh]] - Table4[[#This Row],[expected_kwh]]</f>
        <v>0</v>
      </c>
      <c r="M1131" t="str">
        <f>IF(Table4[[#This Row],[Performance_Deviation]] &lt; 0, "Underperforming", "Outperforming")</f>
        <v>Outperforming</v>
      </c>
      <c r="N1131">
        <f>IF(Table4[[#This Row],[Performance_Ratio]] &lt; 0.85, Table4[[#This Row],[Performance_Deviation]] * 50 / 1000, 0)</f>
        <v>0</v>
      </c>
    </row>
    <row r="1132" spans="1:14" x14ac:dyDescent="0.3">
      <c r="A1132" s="4" t="s">
        <v>7</v>
      </c>
      <c r="B1132" s="3">
        <v>45308.083333333336</v>
      </c>
      <c r="C1132" s="4">
        <v>0</v>
      </c>
      <c r="D1132" s="4">
        <v>0</v>
      </c>
      <c r="E1132" s="4">
        <v>0</v>
      </c>
      <c r="F1132" s="4">
        <v>28.151190453101901</v>
      </c>
      <c r="G1132" s="4" t="str">
        <f t="shared" si="34"/>
        <v>OK</v>
      </c>
      <c r="H1132" s="4" t="str">
        <f t="shared" si="35"/>
        <v>ZERO</v>
      </c>
      <c r="I1132">
        <v>0</v>
      </c>
      <c r="J1132">
        <f>IFERROR(Table4[[#This Row],[energy_kwh]]/Table4[[#This Row],[expected_kwh]],0)</f>
        <v>0</v>
      </c>
      <c r="K1132" t="str">
        <f>IF(Table4[[#This Row],[Performance_Ratio]] &lt; 0.85, "Underperforming", "Performing")</f>
        <v>Underperforming</v>
      </c>
      <c r="L1132">
        <f>Table4[[#This Row],[energy_kwh]] - Table4[[#This Row],[expected_kwh]]</f>
        <v>0</v>
      </c>
      <c r="M1132" t="str">
        <f>IF(Table4[[#This Row],[Performance_Deviation]] &lt; 0, "Underperforming", "Outperforming")</f>
        <v>Outperforming</v>
      </c>
      <c r="N1132">
        <f>IF(Table4[[#This Row],[Performance_Ratio]] &lt; 0.85, Table4[[#This Row],[Performance_Deviation]] * 50 / 1000, 0)</f>
        <v>0</v>
      </c>
    </row>
    <row r="1133" spans="1:14" x14ac:dyDescent="0.3">
      <c r="A1133" s="6" t="s">
        <v>7</v>
      </c>
      <c r="B1133" s="5">
        <v>45308.125</v>
      </c>
      <c r="C1133" s="6">
        <v>0</v>
      </c>
      <c r="D1133" s="6">
        <v>0</v>
      </c>
      <c r="E1133" s="6">
        <v>0</v>
      </c>
      <c r="F1133" s="6">
        <v>78.142590417429204</v>
      </c>
      <c r="G1133" s="6" t="str">
        <f t="shared" si="34"/>
        <v>OK</v>
      </c>
      <c r="H1133" s="6" t="str">
        <f t="shared" si="35"/>
        <v>ZERO</v>
      </c>
      <c r="I1133">
        <v>0</v>
      </c>
      <c r="J1133">
        <f>IFERROR(Table4[[#This Row],[energy_kwh]]/Table4[[#This Row],[expected_kwh]],0)</f>
        <v>0</v>
      </c>
      <c r="K1133" t="str">
        <f>IF(Table4[[#This Row],[Performance_Ratio]] &lt; 0.85, "Underperforming", "Performing")</f>
        <v>Underperforming</v>
      </c>
      <c r="L1133">
        <f>Table4[[#This Row],[energy_kwh]] - Table4[[#This Row],[expected_kwh]]</f>
        <v>0</v>
      </c>
      <c r="M1133" t="str">
        <f>IF(Table4[[#This Row],[Performance_Deviation]] &lt; 0, "Underperforming", "Outperforming")</f>
        <v>Outperforming</v>
      </c>
      <c r="N1133">
        <f>IF(Table4[[#This Row],[Performance_Ratio]] &lt; 0.85, Table4[[#This Row],[Performance_Deviation]] * 50 / 1000, 0)</f>
        <v>0</v>
      </c>
    </row>
    <row r="1134" spans="1:14" x14ac:dyDescent="0.3">
      <c r="A1134" s="4" t="s">
        <v>7</v>
      </c>
      <c r="B1134" s="3">
        <v>45308.166666666664</v>
      </c>
      <c r="C1134" s="4">
        <v>0</v>
      </c>
      <c r="D1134" s="4">
        <v>0</v>
      </c>
      <c r="E1134" s="4">
        <v>0</v>
      </c>
      <c r="F1134" s="4">
        <v>90.354810467609795</v>
      </c>
      <c r="G1134" s="4" t="str">
        <f t="shared" si="34"/>
        <v>OK</v>
      </c>
      <c r="H1134" s="4" t="str">
        <f t="shared" si="35"/>
        <v>ZERO</v>
      </c>
      <c r="I1134">
        <v>0</v>
      </c>
      <c r="J1134">
        <f>IFERROR(Table4[[#This Row],[energy_kwh]]/Table4[[#This Row],[expected_kwh]],0)</f>
        <v>0</v>
      </c>
      <c r="K1134" t="str">
        <f>IF(Table4[[#This Row],[Performance_Ratio]] &lt; 0.85, "Underperforming", "Performing")</f>
        <v>Underperforming</v>
      </c>
      <c r="L1134">
        <f>Table4[[#This Row],[energy_kwh]] - Table4[[#This Row],[expected_kwh]]</f>
        <v>0</v>
      </c>
      <c r="M1134" t="str">
        <f>IF(Table4[[#This Row],[Performance_Deviation]] &lt; 0, "Underperforming", "Outperforming")</f>
        <v>Outperforming</v>
      </c>
      <c r="N1134">
        <f>IF(Table4[[#This Row],[Performance_Ratio]] &lt; 0.85, Table4[[#This Row],[Performance_Deviation]] * 50 / 1000, 0)</f>
        <v>0</v>
      </c>
    </row>
    <row r="1135" spans="1:14" x14ac:dyDescent="0.3">
      <c r="A1135" s="6" t="s">
        <v>7</v>
      </c>
      <c r="B1135" s="5">
        <v>45308.208333333336</v>
      </c>
      <c r="C1135" s="6">
        <v>0</v>
      </c>
      <c r="D1135" s="6">
        <v>0</v>
      </c>
      <c r="E1135" s="6">
        <v>0</v>
      </c>
      <c r="F1135" s="6">
        <v>66.907508762494501</v>
      </c>
      <c r="G1135" s="6" t="str">
        <f t="shared" si="34"/>
        <v>OK</v>
      </c>
      <c r="H1135" s="6" t="str">
        <f t="shared" si="35"/>
        <v>ZERO</v>
      </c>
      <c r="I1135">
        <v>0</v>
      </c>
      <c r="J1135">
        <f>IFERROR(Table4[[#This Row],[energy_kwh]]/Table4[[#This Row],[expected_kwh]],0)</f>
        <v>0</v>
      </c>
      <c r="K1135" t="str">
        <f>IF(Table4[[#This Row],[Performance_Ratio]] &lt; 0.85, "Underperforming", "Performing")</f>
        <v>Underperforming</v>
      </c>
      <c r="L1135">
        <f>Table4[[#This Row],[energy_kwh]] - Table4[[#This Row],[expected_kwh]]</f>
        <v>0</v>
      </c>
      <c r="M1135" t="str">
        <f>IF(Table4[[#This Row],[Performance_Deviation]] &lt; 0, "Underperforming", "Outperforming")</f>
        <v>Outperforming</v>
      </c>
      <c r="N1135">
        <f>IF(Table4[[#This Row],[Performance_Ratio]] &lt; 0.85, Table4[[#This Row],[Performance_Deviation]] * 50 / 1000, 0)</f>
        <v>0</v>
      </c>
    </row>
    <row r="1136" spans="1:14" x14ac:dyDescent="0.3">
      <c r="A1136" s="4" t="s">
        <v>7</v>
      </c>
      <c r="B1136" s="3">
        <v>45308.25</v>
      </c>
      <c r="C1136" s="4">
        <v>0</v>
      </c>
      <c r="D1136" s="4">
        <v>0</v>
      </c>
      <c r="E1136" s="4">
        <v>0</v>
      </c>
      <c r="F1136" s="4">
        <v>31.138008623276001</v>
      </c>
      <c r="G1136" s="4" t="str">
        <f t="shared" si="34"/>
        <v>OK</v>
      </c>
      <c r="H1136" s="4" t="str">
        <f t="shared" si="35"/>
        <v>ZERO</v>
      </c>
      <c r="I1136">
        <v>0</v>
      </c>
      <c r="J1136">
        <f>IFERROR(Table4[[#This Row],[energy_kwh]]/Table4[[#This Row],[expected_kwh]],0)</f>
        <v>0</v>
      </c>
      <c r="K1136" t="str">
        <f>IF(Table4[[#This Row],[Performance_Ratio]] &lt; 0.85, "Underperforming", "Performing")</f>
        <v>Underperforming</v>
      </c>
      <c r="L1136">
        <f>Table4[[#This Row],[energy_kwh]] - Table4[[#This Row],[expected_kwh]]</f>
        <v>0</v>
      </c>
      <c r="M1136" t="str">
        <f>IF(Table4[[#This Row],[Performance_Deviation]] &lt; 0, "Underperforming", "Outperforming")</f>
        <v>Outperforming</v>
      </c>
      <c r="N1136">
        <f>IF(Table4[[#This Row],[Performance_Ratio]] &lt; 0.85, Table4[[#This Row],[Performance_Deviation]] * 50 / 1000, 0)</f>
        <v>0</v>
      </c>
    </row>
    <row r="1137" spans="1:14" x14ac:dyDescent="0.3">
      <c r="A1137" s="6" t="s">
        <v>7</v>
      </c>
      <c r="B1137" s="5">
        <v>45308.291666666664</v>
      </c>
      <c r="C1137" s="6">
        <v>135.48263696532001</v>
      </c>
      <c r="D1137" s="6">
        <v>132.50588999672399</v>
      </c>
      <c r="E1137" s="6">
        <v>132.50588999672399</v>
      </c>
      <c r="F1137" s="6">
        <v>48.659262084497897</v>
      </c>
      <c r="G1137" s="6" t="str">
        <f t="shared" si="34"/>
        <v>OK</v>
      </c>
      <c r="H1137" s="6" t="str">
        <f t="shared" si="35"/>
        <v>NON-ZERO</v>
      </c>
      <c r="I1137">
        <v>155.291427061512</v>
      </c>
      <c r="J1137">
        <f>IFERROR(Table4[[#This Row],[energy_kwh]]/Table4[[#This Row],[expected_kwh]],0)</f>
        <v>0.85327240855502928</v>
      </c>
      <c r="K1137" t="str">
        <f>IF(Table4[[#This Row],[Performance_Ratio]] &lt; 0.85, "Underperforming", "Performing")</f>
        <v>Performing</v>
      </c>
      <c r="L1137">
        <f>Table4[[#This Row],[energy_kwh]] - Table4[[#This Row],[expected_kwh]]</f>
        <v>-22.785537064788002</v>
      </c>
      <c r="M1137" t="str">
        <f>IF(Table4[[#This Row],[Performance_Deviation]] &lt; 0, "Underperforming", "Outperforming")</f>
        <v>Underperforming</v>
      </c>
      <c r="N1137">
        <f>IF(Table4[[#This Row],[Performance_Ratio]] &lt; 0.85, Table4[[#This Row],[Performance_Deviation]] * 50 / 1000, 0)</f>
        <v>0</v>
      </c>
    </row>
    <row r="1138" spans="1:14" x14ac:dyDescent="0.3">
      <c r="A1138" s="4" t="s">
        <v>7</v>
      </c>
      <c r="B1138" s="3">
        <v>45308.333333333336</v>
      </c>
      <c r="C1138" s="4">
        <v>279.15949616346398</v>
      </c>
      <c r="D1138" s="4">
        <v>273.02596346456698</v>
      </c>
      <c r="E1138" s="4">
        <v>273.02596346456698</v>
      </c>
      <c r="F1138" s="4">
        <v>68.209630287973098</v>
      </c>
      <c r="G1138" s="4" t="str">
        <f t="shared" si="34"/>
        <v>OK</v>
      </c>
      <c r="H1138" s="4" t="str">
        <f t="shared" si="35"/>
        <v>NON-ZERO</v>
      </c>
      <c r="I1138">
        <v>300</v>
      </c>
      <c r="J1138">
        <f>IFERROR(Table4[[#This Row],[energy_kwh]]/Table4[[#This Row],[expected_kwh]],0)</f>
        <v>0.91008654488189</v>
      </c>
      <c r="K1138" t="str">
        <f>IF(Table4[[#This Row],[Performance_Ratio]] &lt; 0.85, "Underperforming", "Performing")</f>
        <v>Performing</v>
      </c>
      <c r="L1138">
        <f>Table4[[#This Row],[energy_kwh]] - Table4[[#This Row],[expected_kwh]]</f>
        <v>-26.974036535433015</v>
      </c>
      <c r="M1138" t="str">
        <f>IF(Table4[[#This Row],[Performance_Deviation]] &lt; 0, "Underperforming", "Outperforming")</f>
        <v>Underperforming</v>
      </c>
      <c r="N1138">
        <f>IF(Table4[[#This Row],[Performance_Ratio]] &lt; 0.85, Table4[[#This Row],[Performance_Deviation]] * 50 / 1000, 0)</f>
        <v>0</v>
      </c>
    </row>
    <row r="1139" spans="1:14" x14ac:dyDescent="0.3">
      <c r="A1139" s="6" t="s">
        <v>7</v>
      </c>
      <c r="B1139" s="5">
        <v>45308.375</v>
      </c>
      <c r="C1139" s="6">
        <v>393.036888488084</v>
      </c>
      <c r="D1139" s="6">
        <v>384.40130689209701</v>
      </c>
      <c r="E1139" s="6">
        <v>384.40130689209701</v>
      </c>
      <c r="F1139" s="6">
        <v>47.1876488398634</v>
      </c>
      <c r="G1139" s="6" t="str">
        <f t="shared" si="34"/>
        <v>OK</v>
      </c>
      <c r="H1139" s="6" t="str">
        <f t="shared" si="35"/>
        <v>NON-ZERO</v>
      </c>
      <c r="I1139">
        <v>424.26406871192802</v>
      </c>
      <c r="J1139">
        <f>IFERROR(Table4[[#This Row],[energy_kwh]]/Table4[[#This Row],[expected_kwh]],0)</f>
        <v>0.9060425693345775</v>
      </c>
      <c r="K1139" t="str">
        <f>IF(Table4[[#This Row],[Performance_Ratio]] &lt; 0.85, "Underperforming", "Performing")</f>
        <v>Performing</v>
      </c>
      <c r="L1139">
        <f>Table4[[#This Row],[energy_kwh]] - Table4[[#This Row],[expected_kwh]]</f>
        <v>-39.862761819831007</v>
      </c>
      <c r="M1139" t="str">
        <f>IF(Table4[[#This Row],[Performance_Deviation]] &lt; 0, "Underperforming", "Outperforming")</f>
        <v>Underperforming</v>
      </c>
      <c r="N1139">
        <f>IF(Table4[[#This Row],[Performance_Ratio]] &lt; 0.85, Table4[[#This Row],[Performance_Deviation]] * 50 / 1000, 0)</f>
        <v>0</v>
      </c>
    </row>
    <row r="1140" spans="1:14" x14ac:dyDescent="0.3">
      <c r="A1140" s="4" t="s">
        <v>7</v>
      </c>
      <c r="B1140" s="3">
        <v>45308.416666666664</v>
      </c>
      <c r="C1140" s="4">
        <v>475.90663228332801</v>
      </c>
      <c r="D1140" s="4">
        <v>465.45028409941301</v>
      </c>
      <c r="E1140" s="4">
        <v>465.45028409941301</v>
      </c>
      <c r="F1140" s="4">
        <v>33.511898579946397</v>
      </c>
      <c r="G1140" s="4" t="str">
        <f t="shared" si="34"/>
        <v>OK</v>
      </c>
      <c r="H1140" s="4" t="str">
        <f t="shared" si="35"/>
        <v>NON-ZERO</v>
      </c>
      <c r="I1140">
        <v>519.61524227066297</v>
      </c>
      <c r="J1140">
        <f>IFERROR(Table4[[#This Row],[energy_kwh]]/Table4[[#This Row],[expected_kwh]],0)</f>
        <v>0.89575948939728001</v>
      </c>
      <c r="K1140" t="str">
        <f>IF(Table4[[#This Row],[Performance_Ratio]] &lt; 0.85, "Underperforming", "Performing")</f>
        <v>Performing</v>
      </c>
      <c r="L1140">
        <f>Table4[[#This Row],[energy_kwh]] - Table4[[#This Row],[expected_kwh]]</f>
        <v>-54.164958171249964</v>
      </c>
      <c r="M1140" t="str">
        <f>IF(Table4[[#This Row],[Performance_Deviation]] &lt; 0, "Underperforming", "Outperforming")</f>
        <v>Underperforming</v>
      </c>
      <c r="N1140">
        <f>IF(Table4[[#This Row],[Performance_Ratio]] &lt; 0.85, Table4[[#This Row],[Performance_Deviation]] * 50 / 1000, 0)</f>
        <v>0</v>
      </c>
    </row>
    <row r="1141" spans="1:14" x14ac:dyDescent="0.3">
      <c r="A1141" s="6" t="s">
        <v>7</v>
      </c>
      <c r="B1141" s="5">
        <v>45308.458333333336</v>
      </c>
      <c r="C1141" s="6">
        <v>572.22722498148505</v>
      </c>
      <c r="D1141" s="6">
        <v>559.65457585488105</v>
      </c>
      <c r="E1141" s="6">
        <v>559.65457585488105</v>
      </c>
      <c r="F1141" s="6">
        <v>45.719724706939601</v>
      </c>
      <c r="G1141" s="6" t="str">
        <f t="shared" si="34"/>
        <v>OK</v>
      </c>
      <c r="H1141" s="6" t="str">
        <f t="shared" si="35"/>
        <v>NON-ZERO</v>
      </c>
      <c r="I1141">
        <v>579.55549577344095</v>
      </c>
      <c r="J1141">
        <f>IFERROR(Table4[[#This Row],[energy_kwh]]/Table4[[#This Row],[expected_kwh]],0)</f>
        <v>0.9656617527334439</v>
      </c>
      <c r="K1141" t="str">
        <f>IF(Table4[[#This Row],[Performance_Ratio]] &lt; 0.85, "Underperforming", "Performing")</f>
        <v>Performing</v>
      </c>
      <c r="L1141">
        <f>Table4[[#This Row],[energy_kwh]] - Table4[[#This Row],[expected_kwh]]</f>
        <v>-19.900919918559907</v>
      </c>
      <c r="M1141" t="str">
        <f>IF(Table4[[#This Row],[Performance_Deviation]] &lt; 0, "Underperforming", "Outperforming")</f>
        <v>Underperforming</v>
      </c>
      <c r="N1141">
        <f>IF(Table4[[#This Row],[Performance_Ratio]] &lt; 0.85, Table4[[#This Row],[Performance_Deviation]] * 50 / 1000, 0)</f>
        <v>0</v>
      </c>
    </row>
    <row r="1142" spans="1:14" x14ac:dyDescent="0.3">
      <c r="A1142" s="4" t="s">
        <v>7</v>
      </c>
      <c r="B1142" s="3">
        <v>45308.5</v>
      </c>
      <c r="C1142" s="4">
        <v>523.38198084447697</v>
      </c>
      <c r="D1142" s="4">
        <v>511.882531470049</v>
      </c>
      <c r="E1142" s="4">
        <v>511.882531470049</v>
      </c>
      <c r="F1142" s="4">
        <v>38.060286205487998</v>
      </c>
      <c r="G1142" s="4" t="str">
        <f t="shared" si="34"/>
        <v>OK</v>
      </c>
      <c r="H1142" s="4" t="str">
        <f t="shared" si="35"/>
        <v>NON-ZERO</v>
      </c>
      <c r="I1142">
        <v>600</v>
      </c>
      <c r="J1142">
        <f>IFERROR(Table4[[#This Row],[energy_kwh]]/Table4[[#This Row],[expected_kwh]],0)</f>
        <v>0.85313755245008172</v>
      </c>
      <c r="K1142" t="str">
        <f>IF(Table4[[#This Row],[Performance_Ratio]] &lt; 0.85, "Underperforming", "Performing")</f>
        <v>Performing</v>
      </c>
      <c r="L1142">
        <f>Table4[[#This Row],[energy_kwh]] - Table4[[#This Row],[expected_kwh]]</f>
        <v>-88.117468529950997</v>
      </c>
      <c r="M1142" t="str">
        <f>IF(Table4[[#This Row],[Performance_Deviation]] &lt; 0, "Underperforming", "Outperforming")</f>
        <v>Underperforming</v>
      </c>
      <c r="N1142">
        <f>IF(Table4[[#This Row],[Performance_Ratio]] &lt; 0.85, Table4[[#This Row],[Performance_Deviation]] * 50 / 1000, 0)</f>
        <v>0</v>
      </c>
    </row>
    <row r="1143" spans="1:14" x14ac:dyDescent="0.3">
      <c r="A1143" s="6" t="s">
        <v>7</v>
      </c>
      <c r="B1143" s="5">
        <v>45308.541666666664</v>
      </c>
      <c r="C1143" s="6">
        <v>597.11272177094997</v>
      </c>
      <c r="D1143" s="6">
        <v>583.99330274977297</v>
      </c>
      <c r="E1143" s="6">
        <v>583.99330274977297</v>
      </c>
      <c r="F1143" s="6">
        <v>31.0372438321209</v>
      </c>
      <c r="G1143" s="6" t="str">
        <f t="shared" si="34"/>
        <v>OK</v>
      </c>
      <c r="H1143" s="6" t="str">
        <f t="shared" si="35"/>
        <v>NON-ZERO</v>
      </c>
      <c r="I1143">
        <v>579.55549577344095</v>
      </c>
      <c r="J1143">
        <f>IFERROR(Table4[[#This Row],[energy_kwh]]/Table4[[#This Row],[expected_kwh]],0)</f>
        <v>1.0076572597597571</v>
      </c>
      <c r="K1143" t="str">
        <f>IF(Table4[[#This Row],[Performance_Ratio]] &lt; 0.85, "Underperforming", "Performing")</f>
        <v>Performing</v>
      </c>
      <c r="L1143">
        <f>Table4[[#This Row],[energy_kwh]] - Table4[[#This Row],[expected_kwh]]</f>
        <v>4.4378069763320127</v>
      </c>
      <c r="M1143" t="str">
        <f>IF(Table4[[#This Row],[Performance_Deviation]] &lt; 0, "Underperforming", "Outperforming")</f>
        <v>Outperforming</v>
      </c>
      <c r="N1143">
        <f>IF(Table4[[#This Row],[Performance_Ratio]] &lt; 0.85, Table4[[#This Row],[Performance_Deviation]] * 50 / 1000, 0)</f>
        <v>0</v>
      </c>
    </row>
    <row r="1144" spans="1:14" x14ac:dyDescent="0.3">
      <c r="A1144" s="4" t="s">
        <v>7</v>
      </c>
      <c r="B1144" s="3">
        <v>45308.583333333336</v>
      </c>
      <c r="C1144" s="4">
        <v>474.13225403899202</v>
      </c>
      <c r="D1144" s="4">
        <v>463.71489147846199</v>
      </c>
      <c r="E1144" s="4">
        <v>463.71489147846199</v>
      </c>
      <c r="F1144" s="4">
        <v>56.289516414823296</v>
      </c>
      <c r="G1144" s="4" t="str">
        <f t="shared" si="34"/>
        <v>OK</v>
      </c>
      <c r="H1144" s="4" t="str">
        <f t="shared" si="35"/>
        <v>NON-ZERO</v>
      </c>
      <c r="I1144">
        <v>519.61524227066297</v>
      </c>
      <c r="J1144">
        <f>IFERROR(Table4[[#This Row],[energy_kwh]]/Table4[[#This Row],[expected_kwh]],0)</f>
        <v>0.8924197247410941</v>
      </c>
      <c r="K1144" t="str">
        <f>IF(Table4[[#This Row],[Performance_Ratio]] &lt; 0.85, "Underperforming", "Performing")</f>
        <v>Performing</v>
      </c>
      <c r="L1144">
        <f>Table4[[#This Row],[energy_kwh]] - Table4[[#This Row],[expected_kwh]]</f>
        <v>-55.900350792200982</v>
      </c>
      <c r="M1144" t="str">
        <f>IF(Table4[[#This Row],[Performance_Deviation]] &lt; 0, "Underperforming", "Outperforming")</f>
        <v>Underperforming</v>
      </c>
      <c r="N1144">
        <f>IF(Table4[[#This Row],[Performance_Ratio]] &lt; 0.85, Table4[[#This Row],[Performance_Deviation]] * 50 / 1000, 0)</f>
        <v>0</v>
      </c>
    </row>
    <row r="1145" spans="1:14" x14ac:dyDescent="0.3">
      <c r="A1145" s="6" t="s">
        <v>7</v>
      </c>
      <c r="B1145" s="5">
        <v>45308.625</v>
      </c>
      <c r="C1145" s="6">
        <v>395.209343812518</v>
      </c>
      <c r="D1145" s="6">
        <v>386.52603027134398</v>
      </c>
      <c r="E1145" s="6">
        <v>386.52603027134398</v>
      </c>
      <c r="F1145" s="6">
        <v>89.454466986369894</v>
      </c>
      <c r="G1145" s="6" t="str">
        <f t="shared" si="34"/>
        <v>OK</v>
      </c>
      <c r="H1145" s="6" t="str">
        <f t="shared" si="35"/>
        <v>NON-ZERO</v>
      </c>
      <c r="I1145">
        <v>424.26406871192802</v>
      </c>
      <c r="J1145">
        <f>IFERROR(Table4[[#This Row],[energy_kwh]]/Table4[[#This Row],[expected_kwh]],0)</f>
        <v>0.91105059036661462</v>
      </c>
      <c r="K1145" t="str">
        <f>IF(Table4[[#This Row],[Performance_Ratio]] &lt; 0.85, "Underperforming", "Performing")</f>
        <v>Performing</v>
      </c>
      <c r="L1145">
        <f>Table4[[#This Row],[energy_kwh]] - Table4[[#This Row],[expected_kwh]]</f>
        <v>-37.738038440584035</v>
      </c>
      <c r="M1145" t="str">
        <f>IF(Table4[[#This Row],[Performance_Deviation]] &lt; 0, "Underperforming", "Outperforming")</f>
        <v>Underperforming</v>
      </c>
      <c r="N1145">
        <f>IF(Table4[[#This Row],[Performance_Ratio]] &lt; 0.85, Table4[[#This Row],[Performance_Deviation]] * 50 / 1000, 0)</f>
        <v>0</v>
      </c>
    </row>
    <row r="1146" spans="1:14" x14ac:dyDescent="0.3">
      <c r="A1146" s="4" t="s">
        <v>7</v>
      </c>
      <c r="B1146" s="3">
        <v>45308.666666666664</v>
      </c>
      <c r="C1146" s="4">
        <v>298.91724235690401</v>
      </c>
      <c r="D1146" s="4">
        <v>292.34960376514198</v>
      </c>
      <c r="E1146" s="4">
        <v>292.34960376514198</v>
      </c>
      <c r="F1146" s="4">
        <v>61.549494162734803</v>
      </c>
      <c r="G1146" s="4" t="str">
        <f t="shared" si="34"/>
        <v>OK</v>
      </c>
      <c r="H1146" s="4" t="str">
        <f t="shared" si="35"/>
        <v>NON-ZERO</v>
      </c>
      <c r="I1146">
        <v>300</v>
      </c>
      <c r="J1146">
        <f>IFERROR(Table4[[#This Row],[energy_kwh]]/Table4[[#This Row],[expected_kwh]],0)</f>
        <v>0.97449867921713995</v>
      </c>
      <c r="K1146" t="str">
        <f>IF(Table4[[#This Row],[Performance_Ratio]] &lt; 0.85, "Underperforming", "Performing")</f>
        <v>Performing</v>
      </c>
      <c r="L1146">
        <f>Table4[[#This Row],[energy_kwh]] - Table4[[#This Row],[expected_kwh]]</f>
        <v>-7.6503962348580217</v>
      </c>
      <c r="M1146" t="str">
        <f>IF(Table4[[#This Row],[Performance_Deviation]] &lt; 0, "Underperforming", "Outperforming")</f>
        <v>Underperforming</v>
      </c>
      <c r="N1146">
        <f>IF(Table4[[#This Row],[Performance_Ratio]] &lt; 0.85, Table4[[#This Row],[Performance_Deviation]] * 50 / 1000, 0)</f>
        <v>0</v>
      </c>
    </row>
    <row r="1147" spans="1:14" x14ac:dyDescent="0.3">
      <c r="A1147" s="6" t="s">
        <v>7</v>
      </c>
      <c r="B1147" s="5">
        <v>45308.708333333336</v>
      </c>
      <c r="C1147" s="6">
        <v>138.752921322768</v>
      </c>
      <c r="D1147" s="6">
        <v>135.704321537711</v>
      </c>
      <c r="E1147" s="6">
        <v>135.704321537711</v>
      </c>
      <c r="F1147" s="6">
        <v>32.467202153874403</v>
      </c>
      <c r="G1147" s="6" t="str">
        <f t="shared" si="34"/>
        <v>OK</v>
      </c>
      <c r="H1147" s="6" t="str">
        <f t="shared" si="35"/>
        <v>NON-ZERO</v>
      </c>
      <c r="I1147">
        <v>155.291427061512</v>
      </c>
      <c r="J1147">
        <f>IFERROR(Table4[[#This Row],[energy_kwh]]/Table4[[#This Row],[expected_kwh]],0)</f>
        <v>0.87386872608207522</v>
      </c>
      <c r="K1147" t="str">
        <f>IF(Table4[[#This Row],[Performance_Ratio]] &lt; 0.85, "Underperforming", "Performing")</f>
        <v>Performing</v>
      </c>
      <c r="L1147">
        <f>Table4[[#This Row],[energy_kwh]] - Table4[[#This Row],[expected_kwh]]</f>
        <v>-19.587105523801</v>
      </c>
      <c r="M1147" t="str">
        <f>IF(Table4[[#This Row],[Performance_Deviation]] &lt; 0, "Underperforming", "Outperforming")</f>
        <v>Underperforming</v>
      </c>
      <c r="N1147">
        <f>IF(Table4[[#This Row],[Performance_Ratio]] &lt; 0.85, Table4[[#This Row],[Performance_Deviation]] * 50 / 1000, 0)</f>
        <v>0</v>
      </c>
    </row>
    <row r="1148" spans="1:14" x14ac:dyDescent="0.3">
      <c r="A1148" s="4" t="s">
        <v>7</v>
      </c>
      <c r="B1148" s="3">
        <v>45308.75</v>
      </c>
      <c r="C1148" s="7">
        <v>6.8538317120268103E-14</v>
      </c>
      <c r="D1148" s="7">
        <v>6.7032432437992005E-14</v>
      </c>
      <c r="E1148" s="7">
        <v>6.7032432437992005E-14</v>
      </c>
      <c r="F1148" s="4">
        <v>45.411761181710503</v>
      </c>
      <c r="G1148" s="4" t="str">
        <f t="shared" si="34"/>
        <v>OK</v>
      </c>
      <c r="H1148" s="4" t="str">
        <f t="shared" si="35"/>
        <v>NON-ZERO</v>
      </c>
      <c r="I1148" s="2">
        <v>7.3478807948841102E-14</v>
      </c>
      <c r="J1148">
        <f>IFERROR(Table4[[#This Row],[energy_kwh]]/Table4[[#This Row],[expected_kwh]],0)</f>
        <v>0.91226891547645517</v>
      </c>
      <c r="K1148" t="str">
        <f>IF(Table4[[#This Row],[Performance_Ratio]] &lt; 0.85, "Underperforming", "Performing")</f>
        <v>Performing</v>
      </c>
      <c r="L1148">
        <f>Table4[[#This Row],[energy_kwh]] - Table4[[#This Row],[expected_kwh]]</f>
        <v>-6.4463755108490964E-15</v>
      </c>
      <c r="M1148" t="str">
        <f>IF(Table4[[#This Row],[Performance_Deviation]] &lt; 0, "Underperforming", "Outperforming")</f>
        <v>Underperforming</v>
      </c>
      <c r="N1148">
        <f>IF(Table4[[#This Row],[Performance_Ratio]] &lt; 0.85, Table4[[#This Row],[Performance_Deviation]] * 50 / 1000, 0)</f>
        <v>0</v>
      </c>
    </row>
    <row r="1149" spans="1:14" x14ac:dyDescent="0.3">
      <c r="A1149" s="6" t="s">
        <v>7</v>
      </c>
      <c r="B1149" s="5">
        <v>45308.791666666664</v>
      </c>
      <c r="C1149" s="6">
        <v>0</v>
      </c>
      <c r="D1149" s="6">
        <v>0</v>
      </c>
      <c r="E1149" s="6">
        <v>0</v>
      </c>
      <c r="F1149" s="6">
        <v>64.807193193006498</v>
      </c>
      <c r="G1149" s="6" t="str">
        <f t="shared" si="34"/>
        <v>OK</v>
      </c>
      <c r="H1149" s="6" t="str">
        <f t="shared" si="35"/>
        <v>ZERO</v>
      </c>
      <c r="I1149">
        <v>0</v>
      </c>
      <c r="J1149">
        <f>IFERROR(Table4[[#This Row],[energy_kwh]]/Table4[[#This Row],[expected_kwh]],0)</f>
        <v>0</v>
      </c>
      <c r="K1149" t="str">
        <f>IF(Table4[[#This Row],[Performance_Ratio]] &lt; 0.85, "Underperforming", "Performing")</f>
        <v>Underperforming</v>
      </c>
      <c r="L1149">
        <f>Table4[[#This Row],[energy_kwh]] - Table4[[#This Row],[expected_kwh]]</f>
        <v>0</v>
      </c>
      <c r="M1149" t="str">
        <f>IF(Table4[[#This Row],[Performance_Deviation]] &lt; 0, "Underperforming", "Outperforming")</f>
        <v>Outperforming</v>
      </c>
      <c r="N1149">
        <f>IF(Table4[[#This Row],[Performance_Ratio]] &lt; 0.85, Table4[[#This Row],[Performance_Deviation]] * 50 / 1000, 0)</f>
        <v>0</v>
      </c>
    </row>
    <row r="1150" spans="1:14" x14ac:dyDescent="0.3">
      <c r="A1150" s="4" t="s">
        <v>7</v>
      </c>
      <c r="B1150" s="3">
        <v>45308.833333333336</v>
      </c>
      <c r="C1150" s="4">
        <v>0</v>
      </c>
      <c r="D1150" s="4">
        <v>0</v>
      </c>
      <c r="E1150" s="4">
        <v>0</v>
      </c>
      <c r="F1150" s="4">
        <v>88.940602329029304</v>
      </c>
      <c r="G1150" s="4" t="str">
        <f t="shared" si="34"/>
        <v>OK</v>
      </c>
      <c r="H1150" s="4" t="str">
        <f t="shared" si="35"/>
        <v>ZERO</v>
      </c>
      <c r="I1150">
        <v>0</v>
      </c>
      <c r="J1150">
        <f>IFERROR(Table4[[#This Row],[energy_kwh]]/Table4[[#This Row],[expected_kwh]],0)</f>
        <v>0</v>
      </c>
      <c r="K1150" t="str">
        <f>IF(Table4[[#This Row],[Performance_Ratio]] &lt; 0.85, "Underperforming", "Performing")</f>
        <v>Underperforming</v>
      </c>
      <c r="L1150">
        <f>Table4[[#This Row],[energy_kwh]] - Table4[[#This Row],[expected_kwh]]</f>
        <v>0</v>
      </c>
      <c r="M1150" t="str">
        <f>IF(Table4[[#This Row],[Performance_Deviation]] &lt; 0, "Underperforming", "Outperforming")</f>
        <v>Outperforming</v>
      </c>
      <c r="N1150">
        <f>IF(Table4[[#This Row],[Performance_Ratio]] &lt; 0.85, Table4[[#This Row],[Performance_Deviation]] * 50 / 1000, 0)</f>
        <v>0</v>
      </c>
    </row>
    <row r="1151" spans="1:14" x14ac:dyDescent="0.3">
      <c r="A1151" s="6" t="s">
        <v>7</v>
      </c>
      <c r="B1151" s="5">
        <v>45308.875</v>
      </c>
      <c r="C1151" s="6">
        <v>0</v>
      </c>
      <c r="D1151" s="6">
        <v>0</v>
      </c>
      <c r="E1151" s="6">
        <v>0</v>
      </c>
      <c r="F1151" s="6">
        <v>92.116304910317396</v>
      </c>
      <c r="G1151" s="6" t="str">
        <f t="shared" si="34"/>
        <v>OK</v>
      </c>
      <c r="H1151" s="6" t="str">
        <f t="shared" si="35"/>
        <v>ZERO</v>
      </c>
      <c r="I1151">
        <v>0</v>
      </c>
      <c r="J1151">
        <f>IFERROR(Table4[[#This Row],[energy_kwh]]/Table4[[#This Row],[expected_kwh]],0)</f>
        <v>0</v>
      </c>
      <c r="K1151" t="str">
        <f>IF(Table4[[#This Row],[Performance_Ratio]] &lt; 0.85, "Underperforming", "Performing")</f>
        <v>Underperforming</v>
      </c>
      <c r="L1151">
        <f>Table4[[#This Row],[energy_kwh]] - Table4[[#This Row],[expected_kwh]]</f>
        <v>0</v>
      </c>
      <c r="M1151" t="str">
        <f>IF(Table4[[#This Row],[Performance_Deviation]] &lt; 0, "Underperforming", "Outperforming")</f>
        <v>Outperforming</v>
      </c>
      <c r="N1151">
        <f>IF(Table4[[#This Row],[Performance_Ratio]] &lt; 0.85, Table4[[#This Row],[Performance_Deviation]] * 50 / 1000, 0)</f>
        <v>0</v>
      </c>
    </row>
    <row r="1152" spans="1:14" x14ac:dyDescent="0.3">
      <c r="A1152" s="4" t="s">
        <v>7</v>
      </c>
      <c r="B1152" s="3">
        <v>45308.916666666664</v>
      </c>
      <c r="C1152" s="4">
        <v>0</v>
      </c>
      <c r="D1152" s="4">
        <v>0</v>
      </c>
      <c r="E1152" s="4">
        <v>0</v>
      </c>
      <c r="F1152" s="4">
        <v>62.671661246138797</v>
      </c>
      <c r="G1152" s="4" t="str">
        <f t="shared" si="34"/>
        <v>OK</v>
      </c>
      <c r="H1152" s="4" t="str">
        <f t="shared" si="35"/>
        <v>ZERO</v>
      </c>
      <c r="I1152">
        <v>0</v>
      </c>
      <c r="J1152">
        <f>IFERROR(Table4[[#This Row],[energy_kwh]]/Table4[[#This Row],[expected_kwh]],0)</f>
        <v>0</v>
      </c>
      <c r="K1152" t="str">
        <f>IF(Table4[[#This Row],[Performance_Ratio]] &lt; 0.85, "Underperforming", "Performing")</f>
        <v>Underperforming</v>
      </c>
      <c r="L1152">
        <f>Table4[[#This Row],[energy_kwh]] - Table4[[#This Row],[expected_kwh]]</f>
        <v>0</v>
      </c>
      <c r="M1152" t="str">
        <f>IF(Table4[[#This Row],[Performance_Deviation]] &lt; 0, "Underperforming", "Outperforming")</f>
        <v>Outperforming</v>
      </c>
      <c r="N1152">
        <f>IF(Table4[[#This Row],[Performance_Ratio]] &lt; 0.85, Table4[[#This Row],[Performance_Deviation]] * 50 / 1000, 0)</f>
        <v>0</v>
      </c>
    </row>
    <row r="1153" spans="1:14" x14ac:dyDescent="0.3">
      <c r="A1153" s="6" t="s">
        <v>7</v>
      </c>
      <c r="B1153" s="5">
        <v>45308.958333333336</v>
      </c>
      <c r="C1153" s="6">
        <v>0</v>
      </c>
      <c r="D1153" s="6">
        <v>0</v>
      </c>
      <c r="E1153" s="6">
        <v>0</v>
      </c>
      <c r="F1153" s="6">
        <v>45.638678143794301</v>
      </c>
      <c r="G1153" s="6" t="str">
        <f t="shared" si="34"/>
        <v>OK</v>
      </c>
      <c r="H1153" s="6" t="str">
        <f t="shared" si="35"/>
        <v>ZERO</v>
      </c>
      <c r="I1153">
        <v>0</v>
      </c>
      <c r="J1153">
        <f>IFERROR(Table4[[#This Row],[energy_kwh]]/Table4[[#This Row],[expected_kwh]],0)</f>
        <v>0</v>
      </c>
      <c r="K1153" t="str">
        <f>IF(Table4[[#This Row],[Performance_Ratio]] &lt; 0.85, "Underperforming", "Performing")</f>
        <v>Underperforming</v>
      </c>
      <c r="L1153">
        <f>Table4[[#This Row],[energy_kwh]] - Table4[[#This Row],[expected_kwh]]</f>
        <v>0</v>
      </c>
      <c r="M1153" t="str">
        <f>IF(Table4[[#This Row],[Performance_Deviation]] &lt; 0, "Underperforming", "Outperforming")</f>
        <v>Outperforming</v>
      </c>
      <c r="N1153">
        <f>IF(Table4[[#This Row],[Performance_Ratio]] &lt; 0.85, Table4[[#This Row],[Performance_Deviation]] * 50 / 1000, 0)</f>
        <v>0</v>
      </c>
    </row>
    <row r="1154" spans="1:14" x14ac:dyDescent="0.3">
      <c r="A1154" s="4" t="s">
        <v>7</v>
      </c>
      <c r="B1154" s="3">
        <v>45309</v>
      </c>
      <c r="C1154" s="4">
        <v>0</v>
      </c>
      <c r="D1154" s="4">
        <v>0</v>
      </c>
      <c r="E1154" s="4">
        <v>0</v>
      </c>
      <c r="F1154" s="4">
        <v>90.574424193082706</v>
      </c>
      <c r="G1154" s="4" t="str">
        <f t="shared" ref="G1154:G1217" si="36">IF(D1154 &gt; C1154, "ERROR", "OK")</f>
        <v>OK</v>
      </c>
      <c r="H1154" s="4" t="str">
        <f t="shared" ref="H1154:H1217" si="37">IF(E1154=0,"ZERO","NON-ZERO")</f>
        <v>ZERO</v>
      </c>
      <c r="I1154">
        <v>0</v>
      </c>
      <c r="J1154">
        <f>IFERROR(Table4[[#This Row],[energy_kwh]]/Table4[[#This Row],[expected_kwh]],0)</f>
        <v>0</v>
      </c>
      <c r="K1154" t="str">
        <f>IF(Table4[[#This Row],[Performance_Ratio]] &lt; 0.85, "Underperforming", "Performing")</f>
        <v>Underperforming</v>
      </c>
      <c r="L1154">
        <f>Table4[[#This Row],[energy_kwh]] - Table4[[#This Row],[expected_kwh]]</f>
        <v>0</v>
      </c>
      <c r="M1154" t="str">
        <f>IF(Table4[[#This Row],[Performance_Deviation]] &lt; 0, "Underperforming", "Outperforming")</f>
        <v>Outperforming</v>
      </c>
      <c r="N1154">
        <f>IF(Table4[[#This Row],[Performance_Ratio]] &lt; 0.85, Table4[[#This Row],[Performance_Deviation]] * 50 / 1000, 0)</f>
        <v>0</v>
      </c>
    </row>
    <row r="1155" spans="1:14" x14ac:dyDescent="0.3">
      <c r="A1155" s="6" t="s">
        <v>7</v>
      </c>
      <c r="B1155" s="5">
        <v>45309.041666666664</v>
      </c>
      <c r="C1155" s="6">
        <v>0</v>
      </c>
      <c r="D1155" s="6">
        <v>0</v>
      </c>
      <c r="E1155" s="6">
        <v>0</v>
      </c>
      <c r="F1155" s="6">
        <v>80.382298403085102</v>
      </c>
      <c r="G1155" s="6" t="str">
        <f t="shared" si="36"/>
        <v>OK</v>
      </c>
      <c r="H1155" s="6" t="str">
        <f t="shared" si="37"/>
        <v>ZERO</v>
      </c>
      <c r="I1155">
        <v>0</v>
      </c>
      <c r="J1155">
        <f>IFERROR(Table4[[#This Row],[energy_kwh]]/Table4[[#This Row],[expected_kwh]],0)</f>
        <v>0</v>
      </c>
      <c r="K1155" t="str">
        <f>IF(Table4[[#This Row],[Performance_Ratio]] &lt; 0.85, "Underperforming", "Performing")</f>
        <v>Underperforming</v>
      </c>
      <c r="L1155">
        <f>Table4[[#This Row],[energy_kwh]] - Table4[[#This Row],[expected_kwh]]</f>
        <v>0</v>
      </c>
      <c r="M1155" t="str">
        <f>IF(Table4[[#This Row],[Performance_Deviation]] &lt; 0, "Underperforming", "Outperforming")</f>
        <v>Outperforming</v>
      </c>
      <c r="N1155">
        <f>IF(Table4[[#This Row],[Performance_Ratio]] &lt; 0.85, Table4[[#This Row],[Performance_Deviation]] * 50 / 1000, 0)</f>
        <v>0</v>
      </c>
    </row>
    <row r="1156" spans="1:14" x14ac:dyDescent="0.3">
      <c r="A1156" s="4" t="s">
        <v>7</v>
      </c>
      <c r="B1156" s="3">
        <v>45309.083333333336</v>
      </c>
      <c r="C1156" s="4">
        <v>0</v>
      </c>
      <c r="D1156" s="4">
        <v>0</v>
      </c>
      <c r="E1156" s="4">
        <v>0</v>
      </c>
      <c r="F1156" s="4">
        <v>70.531717233806702</v>
      </c>
      <c r="G1156" s="4" t="str">
        <f t="shared" si="36"/>
        <v>OK</v>
      </c>
      <c r="H1156" s="4" t="str">
        <f t="shared" si="37"/>
        <v>ZERO</v>
      </c>
      <c r="I1156">
        <v>0</v>
      </c>
      <c r="J1156">
        <f>IFERROR(Table4[[#This Row],[energy_kwh]]/Table4[[#This Row],[expected_kwh]],0)</f>
        <v>0</v>
      </c>
      <c r="K1156" t="str">
        <f>IF(Table4[[#This Row],[Performance_Ratio]] &lt; 0.85, "Underperforming", "Performing")</f>
        <v>Underperforming</v>
      </c>
      <c r="L1156">
        <f>Table4[[#This Row],[energy_kwh]] - Table4[[#This Row],[expected_kwh]]</f>
        <v>0</v>
      </c>
      <c r="M1156" t="str">
        <f>IF(Table4[[#This Row],[Performance_Deviation]] &lt; 0, "Underperforming", "Outperforming")</f>
        <v>Outperforming</v>
      </c>
      <c r="N1156">
        <f>IF(Table4[[#This Row],[Performance_Ratio]] &lt; 0.85, Table4[[#This Row],[Performance_Deviation]] * 50 / 1000, 0)</f>
        <v>0</v>
      </c>
    </row>
    <row r="1157" spans="1:14" x14ac:dyDescent="0.3">
      <c r="A1157" s="6" t="s">
        <v>7</v>
      </c>
      <c r="B1157" s="5">
        <v>45309.125</v>
      </c>
      <c r="C1157" s="6">
        <v>0</v>
      </c>
      <c r="D1157" s="6">
        <v>0</v>
      </c>
      <c r="E1157" s="6">
        <v>0</v>
      </c>
      <c r="F1157" s="6">
        <v>46.773682210149701</v>
      </c>
      <c r="G1157" s="6" t="str">
        <f t="shared" si="36"/>
        <v>OK</v>
      </c>
      <c r="H1157" s="6" t="str">
        <f t="shared" si="37"/>
        <v>ZERO</v>
      </c>
      <c r="I1157">
        <v>0</v>
      </c>
      <c r="J1157">
        <f>IFERROR(Table4[[#This Row],[energy_kwh]]/Table4[[#This Row],[expected_kwh]],0)</f>
        <v>0</v>
      </c>
      <c r="K1157" t="str">
        <f>IF(Table4[[#This Row],[Performance_Ratio]] &lt; 0.85, "Underperforming", "Performing")</f>
        <v>Underperforming</v>
      </c>
      <c r="L1157">
        <f>Table4[[#This Row],[energy_kwh]] - Table4[[#This Row],[expected_kwh]]</f>
        <v>0</v>
      </c>
      <c r="M1157" t="str">
        <f>IF(Table4[[#This Row],[Performance_Deviation]] &lt; 0, "Underperforming", "Outperforming")</f>
        <v>Outperforming</v>
      </c>
      <c r="N1157">
        <f>IF(Table4[[#This Row],[Performance_Ratio]] &lt; 0.85, Table4[[#This Row],[Performance_Deviation]] * 50 / 1000, 0)</f>
        <v>0</v>
      </c>
    </row>
    <row r="1158" spans="1:14" x14ac:dyDescent="0.3">
      <c r="A1158" s="4" t="s">
        <v>7</v>
      </c>
      <c r="B1158" s="3">
        <v>45309.166666666664</v>
      </c>
      <c r="C1158" s="4">
        <v>0</v>
      </c>
      <c r="D1158" s="4">
        <v>0</v>
      </c>
      <c r="E1158" s="4">
        <v>0</v>
      </c>
      <c r="F1158" s="4">
        <v>35.304829140994997</v>
      </c>
      <c r="G1158" s="4" t="str">
        <f t="shared" si="36"/>
        <v>OK</v>
      </c>
      <c r="H1158" s="4" t="str">
        <f t="shared" si="37"/>
        <v>ZERO</v>
      </c>
      <c r="I1158">
        <v>0</v>
      </c>
      <c r="J1158">
        <f>IFERROR(Table4[[#This Row],[energy_kwh]]/Table4[[#This Row],[expected_kwh]],0)</f>
        <v>0</v>
      </c>
      <c r="K1158" t="str">
        <f>IF(Table4[[#This Row],[Performance_Ratio]] &lt; 0.85, "Underperforming", "Performing")</f>
        <v>Underperforming</v>
      </c>
      <c r="L1158">
        <f>Table4[[#This Row],[energy_kwh]] - Table4[[#This Row],[expected_kwh]]</f>
        <v>0</v>
      </c>
      <c r="M1158" t="str">
        <f>IF(Table4[[#This Row],[Performance_Deviation]] &lt; 0, "Underperforming", "Outperforming")</f>
        <v>Outperforming</v>
      </c>
      <c r="N1158">
        <f>IF(Table4[[#This Row],[Performance_Ratio]] &lt; 0.85, Table4[[#This Row],[Performance_Deviation]] * 50 / 1000, 0)</f>
        <v>0</v>
      </c>
    </row>
    <row r="1159" spans="1:14" x14ac:dyDescent="0.3">
      <c r="A1159" s="6" t="s">
        <v>7</v>
      </c>
      <c r="B1159" s="5">
        <v>45309.208333333336</v>
      </c>
      <c r="C1159" s="6">
        <v>0</v>
      </c>
      <c r="D1159" s="6">
        <v>0</v>
      </c>
      <c r="E1159" s="6">
        <v>0</v>
      </c>
      <c r="F1159" s="6">
        <v>56.195092674614003</v>
      </c>
      <c r="G1159" s="6" t="str">
        <f t="shared" si="36"/>
        <v>OK</v>
      </c>
      <c r="H1159" s="6" t="str">
        <f t="shared" si="37"/>
        <v>ZERO</v>
      </c>
      <c r="I1159">
        <v>0</v>
      </c>
      <c r="J1159">
        <f>IFERROR(Table4[[#This Row],[energy_kwh]]/Table4[[#This Row],[expected_kwh]],0)</f>
        <v>0</v>
      </c>
      <c r="K1159" t="str">
        <f>IF(Table4[[#This Row],[Performance_Ratio]] &lt; 0.85, "Underperforming", "Performing")</f>
        <v>Underperforming</v>
      </c>
      <c r="L1159">
        <f>Table4[[#This Row],[energy_kwh]] - Table4[[#This Row],[expected_kwh]]</f>
        <v>0</v>
      </c>
      <c r="M1159" t="str">
        <f>IF(Table4[[#This Row],[Performance_Deviation]] &lt; 0, "Underperforming", "Outperforming")</f>
        <v>Outperforming</v>
      </c>
      <c r="N1159">
        <f>IF(Table4[[#This Row],[Performance_Ratio]] &lt; 0.85, Table4[[#This Row],[Performance_Deviation]] * 50 / 1000, 0)</f>
        <v>0</v>
      </c>
    </row>
    <row r="1160" spans="1:14" x14ac:dyDescent="0.3">
      <c r="A1160" s="4" t="s">
        <v>7</v>
      </c>
      <c r="B1160" s="3">
        <v>45309.25</v>
      </c>
      <c r="C1160" s="4">
        <v>0</v>
      </c>
      <c r="D1160" s="4">
        <v>0</v>
      </c>
      <c r="E1160" s="4">
        <v>0</v>
      </c>
      <c r="F1160" s="4">
        <v>73.045918392925003</v>
      </c>
      <c r="G1160" s="4" t="str">
        <f t="shared" si="36"/>
        <v>OK</v>
      </c>
      <c r="H1160" s="4" t="str">
        <f t="shared" si="37"/>
        <v>ZERO</v>
      </c>
      <c r="I1160">
        <v>0</v>
      </c>
      <c r="J1160">
        <f>IFERROR(Table4[[#This Row],[energy_kwh]]/Table4[[#This Row],[expected_kwh]],0)</f>
        <v>0</v>
      </c>
      <c r="K1160" t="str">
        <f>IF(Table4[[#This Row],[Performance_Ratio]] &lt; 0.85, "Underperforming", "Performing")</f>
        <v>Underperforming</v>
      </c>
      <c r="L1160">
        <f>Table4[[#This Row],[energy_kwh]] - Table4[[#This Row],[expected_kwh]]</f>
        <v>0</v>
      </c>
      <c r="M1160" t="str">
        <f>IF(Table4[[#This Row],[Performance_Deviation]] &lt; 0, "Underperforming", "Outperforming")</f>
        <v>Outperforming</v>
      </c>
      <c r="N1160">
        <f>IF(Table4[[#This Row],[Performance_Ratio]] &lt; 0.85, Table4[[#This Row],[Performance_Deviation]] * 50 / 1000, 0)</f>
        <v>0</v>
      </c>
    </row>
    <row r="1161" spans="1:14" x14ac:dyDescent="0.3">
      <c r="A1161" s="6" t="s">
        <v>7</v>
      </c>
      <c r="B1161" s="5">
        <v>45309.291666666664</v>
      </c>
      <c r="C1161" s="6">
        <v>119.389731823304</v>
      </c>
      <c r="D1161" s="6">
        <v>116.76656895722</v>
      </c>
      <c r="E1161" s="6">
        <v>116.76656895722</v>
      </c>
      <c r="F1161" s="6">
        <v>29.2587399357766</v>
      </c>
      <c r="G1161" s="6" t="str">
        <f t="shared" si="36"/>
        <v>OK</v>
      </c>
      <c r="H1161" s="6" t="str">
        <f t="shared" si="37"/>
        <v>NON-ZERO</v>
      </c>
      <c r="I1161">
        <v>155.291427061512</v>
      </c>
      <c r="J1161">
        <f>IFERROR(Table4[[#This Row],[energy_kwh]]/Table4[[#This Row],[expected_kwh]],0)</f>
        <v>0.75191896401961689</v>
      </c>
      <c r="K1161" t="str">
        <f>IF(Table4[[#This Row],[Performance_Ratio]] &lt; 0.85, "Underperforming", "Performing")</f>
        <v>Underperforming</v>
      </c>
      <c r="L1161">
        <f>Table4[[#This Row],[energy_kwh]] - Table4[[#This Row],[expected_kwh]]</f>
        <v>-38.524858104291994</v>
      </c>
      <c r="M1161" t="str">
        <f>IF(Table4[[#This Row],[Performance_Deviation]] &lt; 0, "Underperforming", "Outperforming")</f>
        <v>Underperforming</v>
      </c>
      <c r="N1161">
        <f>IF(Table4[[#This Row],[Performance_Ratio]] &lt; 0.85, Table4[[#This Row],[Performance_Deviation]] * 50 / 1000, 0)</f>
        <v>-1.9262429052145997</v>
      </c>
    </row>
    <row r="1162" spans="1:14" x14ac:dyDescent="0.3">
      <c r="A1162" s="4" t="s">
        <v>7</v>
      </c>
      <c r="B1162" s="3">
        <v>45309.333333333336</v>
      </c>
      <c r="C1162" s="4">
        <v>300.80632862100703</v>
      </c>
      <c r="D1162" s="4">
        <v>294.197184106892</v>
      </c>
      <c r="E1162" s="4">
        <v>294.197184106892</v>
      </c>
      <c r="F1162" s="4">
        <v>31.485837506296701</v>
      </c>
      <c r="G1162" s="4" t="str">
        <f t="shared" si="36"/>
        <v>OK</v>
      </c>
      <c r="H1162" s="4" t="str">
        <f t="shared" si="37"/>
        <v>NON-ZERO</v>
      </c>
      <c r="I1162">
        <v>300</v>
      </c>
      <c r="J1162">
        <f>IFERROR(Table4[[#This Row],[energy_kwh]]/Table4[[#This Row],[expected_kwh]],0)</f>
        <v>0.98065728035630662</v>
      </c>
      <c r="K1162" t="str">
        <f>IF(Table4[[#This Row],[Performance_Ratio]] &lt; 0.85, "Underperforming", "Performing")</f>
        <v>Performing</v>
      </c>
      <c r="L1162">
        <f>Table4[[#This Row],[energy_kwh]] - Table4[[#This Row],[expected_kwh]]</f>
        <v>-5.8028158931080043</v>
      </c>
      <c r="M1162" t="str">
        <f>IF(Table4[[#This Row],[Performance_Deviation]] &lt; 0, "Underperforming", "Outperforming")</f>
        <v>Underperforming</v>
      </c>
      <c r="N1162">
        <f>IF(Table4[[#This Row],[Performance_Ratio]] &lt; 0.85, Table4[[#This Row],[Performance_Deviation]] * 50 / 1000, 0)</f>
        <v>0</v>
      </c>
    </row>
    <row r="1163" spans="1:14" x14ac:dyDescent="0.3">
      <c r="A1163" s="6" t="s">
        <v>7</v>
      </c>
      <c r="B1163" s="5">
        <v>45309.375</v>
      </c>
      <c r="C1163" s="6">
        <v>367.784942080598</v>
      </c>
      <c r="D1163" s="6">
        <v>359.70418180048898</v>
      </c>
      <c r="E1163" s="6">
        <v>359.70418180048898</v>
      </c>
      <c r="F1163" s="6">
        <v>74.8437942010531</v>
      </c>
      <c r="G1163" s="6" t="str">
        <f t="shared" si="36"/>
        <v>OK</v>
      </c>
      <c r="H1163" s="6" t="str">
        <f t="shared" si="37"/>
        <v>NON-ZERO</v>
      </c>
      <c r="I1163">
        <v>424.26406871192802</v>
      </c>
      <c r="J1163">
        <f>IFERROR(Table4[[#This Row],[energy_kwh]]/Table4[[#This Row],[expected_kwh]],0)</f>
        <v>0.84783088724094924</v>
      </c>
      <c r="K1163" t="str">
        <f>IF(Table4[[#This Row],[Performance_Ratio]] &lt; 0.85, "Underperforming", "Performing")</f>
        <v>Underperforming</v>
      </c>
      <c r="L1163">
        <f>Table4[[#This Row],[energy_kwh]] - Table4[[#This Row],[expected_kwh]]</f>
        <v>-64.559886911439037</v>
      </c>
      <c r="M1163" t="str">
        <f>IF(Table4[[#This Row],[Performance_Deviation]] &lt; 0, "Underperforming", "Outperforming")</f>
        <v>Underperforming</v>
      </c>
      <c r="N1163">
        <f>IF(Table4[[#This Row],[Performance_Ratio]] &lt; 0.85, Table4[[#This Row],[Performance_Deviation]] * 50 / 1000, 0)</f>
        <v>-3.2279943455719518</v>
      </c>
    </row>
    <row r="1164" spans="1:14" x14ac:dyDescent="0.3">
      <c r="A1164" s="4" t="s">
        <v>7</v>
      </c>
      <c r="B1164" s="3">
        <v>45309.416666666664</v>
      </c>
      <c r="C1164" s="4">
        <v>425.96428048224499</v>
      </c>
      <c r="D1164" s="4">
        <v>416.60523707227298</v>
      </c>
      <c r="E1164" s="4">
        <v>416.60523707227298</v>
      </c>
      <c r="F1164" s="4">
        <v>87.304798874118902</v>
      </c>
      <c r="G1164" s="4" t="str">
        <f t="shared" si="36"/>
        <v>OK</v>
      </c>
      <c r="H1164" s="4" t="str">
        <f t="shared" si="37"/>
        <v>NON-ZERO</v>
      </c>
      <c r="I1164">
        <v>519.61524227066297</v>
      </c>
      <c r="J1164">
        <f>IFERROR(Table4[[#This Row],[energy_kwh]]/Table4[[#This Row],[expected_kwh]],0)</f>
        <v>0.80175715256494917</v>
      </c>
      <c r="K1164" t="str">
        <f>IF(Table4[[#This Row],[Performance_Ratio]] &lt; 0.85, "Underperforming", "Performing")</f>
        <v>Underperforming</v>
      </c>
      <c r="L1164">
        <f>Table4[[#This Row],[energy_kwh]] - Table4[[#This Row],[expected_kwh]]</f>
        <v>-103.01000519838999</v>
      </c>
      <c r="M1164" t="str">
        <f>IF(Table4[[#This Row],[Performance_Deviation]] &lt; 0, "Underperforming", "Outperforming")</f>
        <v>Underperforming</v>
      </c>
      <c r="N1164">
        <f>IF(Table4[[#This Row],[Performance_Ratio]] &lt; 0.85, Table4[[#This Row],[Performance_Deviation]] * 50 / 1000, 0)</f>
        <v>-5.1505002599194993</v>
      </c>
    </row>
    <row r="1165" spans="1:14" x14ac:dyDescent="0.3">
      <c r="A1165" s="6" t="s">
        <v>7</v>
      </c>
      <c r="B1165" s="5">
        <v>45309.458333333336</v>
      </c>
      <c r="C1165" s="6">
        <v>585.63912054721095</v>
      </c>
      <c r="D1165" s="6">
        <v>572.77179292628102</v>
      </c>
      <c r="E1165" s="6">
        <v>572.77179292628102</v>
      </c>
      <c r="F1165" s="6">
        <v>81.180903546959001</v>
      </c>
      <c r="G1165" s="6" t="str">
        <f t="shared" si="36"/>
        <v>OK</v>
      </c>
      <c r="H1165" s="6" t="str">
        <f t="shared" si="37"/>
        <v>NON-ZERO</v>
      </c>
      <c r="I1165">
        <v>579.55549577344095</v>
      </c>
      <c r="J1165">
        <f>IFERROR(Table4[[#This Row],[energy_kwh]]/Table4[[#This Row],[expected_kwh]],0)</f>
        <v>0.98829499004559207</v>
      </c>
      <c r="K1165" t="str">
        <f>IF(Table4[[#This Row],[Performance_Ratio]] &lt; 0.85, "Underperforming", "Performing")</f>
        <v>Performing</v>
      </c>
      <c r="L1165">
        <f>Table4[[#This Row],[energy_kwh]] - Table4[[#This Row],[expected_kwh]]</f>
        <v>-6.7837028471599297</v>
      </c>
      <c r="M1165" t="str">
        <f>IF(Table4[[#This Row],[Performance_Deviation]] &lt; 0, "Underperforming", "Outperforming")</f>
        <v>Underperforming</v>
      </c>
      <c r="N1165">
        <f>IF(Table4[[#This Row],[Performance_Ratio]] &lt; 0.85, Table4[[#This Row],[Performance_Deviation]] * 50 / 1000, 0)</f>
        <v>0</v>
      </c>
    </row>
    <row r="1166" spans="1:14" x14ac:dyDescent="0.3">
      <c r="A1166" s="4" t="s">
        <v>7</v>
      </c>
      <c r="B1166" s="3">
        <v>45309.5</v>
      </c>
      <c r="C1166" s="4">
        <v>500.885110210243</v>
      </c>
      <c r="D1166" s="4">
        <v>489.87994920341202</v>
      </c>
      <c r="E1166" s="4">
        <v>489.87994920341202</v>
      </c>
      <c r="F1166" s="4">
        <v>45.500328954491899</v>
      </c>
      <c r="G1166" s="4" t="str">
        <f t="shared" si="36"/>
        <v>OK</v>
      </c>
      <c r="H1166" s="4" t="str">
        <f t="shared" si="37"/>
        <v>NON-ZERO</v>
      </c>
      <c r="I1166">
        <v>600</v>
      </c>
      <c r="J1166">
        <f>IFERROR(Table4[[#This Row],[energy_kwh]]/Table4[[#This Row],[expected_kwh]],0)</f>
        <v>0.81646658200568667</v>
      </c>
      <c r="K1166" t="str">
        <f>IF(Table4[[#This Row],[Performance_Ratio]] &lt; 0.85, "Underperforming", "Performing")</f>
        <v>Underperforming</v>
      </c>
      <c r="L1166">
        <f>Table4[[#This Row],[energy_kwh]] - Table4[[#This Row],[expected_kwh]]</f>
        <v>-110.12005079658798</v>
      </c>
      <c r="M1166" t="str">
        <f>IF(Table4[[#This Row],[Performance_Deviation]] &lt; 0, "Underperforming", "Outperforming")</f>
        <v>Underperforming</v>
      </c>
      <c r="N1166">
        <f>IF(Table4[[#This Row],[Performance_Ratio]] &lt; 0.85, Table4[[#This Row],[Performance_Deviation]] * 50 / 1000, 0)</f>
        <v>-5.5060025398293986</v>
      </c>
    </row>
    <row r="1167" spans="1:14" x14ac:dyDescent="0.3">
      <c r="A1167" s="6" t="s">
        <v>7</v>
      </c>
      <c r="B1167" s="5">
        <v>45309.541666666664</v>
      </c>
      <c r="C1167" s="6">
        <v>611.65601029207005</v>
      </c>
      <c r="D1167" s="6">
        <v>598.21705445799705</v>
      </c>
      <c r="E1167" s="6">
        <v>598.21705445799705</v>
      </c>
      <c r="F1167" s="6">
        <v>78.259882790647296</v>
      </c>
      <c r="G1167" s="6" t="str">
        <f t="shared" si="36"/>
        <v>OK</v>
      </c>
      <c r="H1167" s="6" t="str">
        <f t="shared" si="37"/>
        <v>NON-ZERO</v>
      </c>
      <c r="I1167">
        <v>579.55549577344095</v>
      </c>
      <c r="J1167">
        <f>IFERROR(Table4[[#This Row],[energy_kwh]]/Table4[[#This Row],[expected_kwh]],0)</f>
        <v>1.0321997786590764</v>
      </c>
      <c r="K1167" t="str">
        <f>IF(Table4[[#This Row],[Performance_Ratio]] &lt; 0.85, "Underperforming", "Performing")</f>
        <v>Performing</v>
      </c>
      <c r="L1167">
        <f>Table4[[#This Row],[energy_kwh]] - Table4[[#This Row],[expected_kwh]]</f>
        <v>18.661558684556098</v>
      </c>
      <c r="M1167" t="str">
        <f>IF(Table4[[#This Row],[Performance_Deviation]] &lt; 0, "Underperforming", "Outperforming")</f>
        <v>Outperforming</v>
      </c>
      <c r="N1167">
        <f>IF(Table4[[#This Row],[Performance_Ratio]] &lt; 0.85, Table4[[#This Row],[Performance_Deviation]] * 50 / 1000, 0)</f>
        <v>0</v>
      </c>
    </row>
    <row r="1168" spans="1:14" x14ac:dyDescent="0.3">
      <c r="A1168" s="4" t="s">
        <v>7</v>
      </c>
      <c r="B1168" s="3">
        <v>45309.583333333336</v>
      </c>
      <c r="C1168" s="4">
        <v>481.66977491467901</v>
      </c>
      <c r="D1168" s="4">
        <v>471.086802258864</v>
      </c>
      <c r="E1168" s="4">
        <v>471.086802258864</v>
      </c>
      <c r="F1168" s="4">
        <v>72.9953096745663</v>
      </c>
      <c r="G1168" s="4" t="str">
        <f t="shared" si="36"/>
        <v>OK</v>
      </c>
      <c r="H1168" s="4" t="str">
        <f t="shared" si="37"/>
        <v>NON-ZERO</v>
      </c>
      <c r="I1168">
        <v>519.61524227066297</v>
      </c>
      <c r="J1168">
        <f>IFERROR(Table4[[#This Row],[energy_kwh]]/Table4[[#This Row],[expected_kwh]],0)</f>
        <v>0.9066069736527842</v>
      </c>
      <c r="K1168" t="str">
        <f>IF(Table4[[#This Row],[Performance_Ratio]] &lt; 0.85, "Underperforming", "Performing")</f>
        <v>Performing</v>
      </c>
      <c r="L1168">
        <f>Table4[[#This Row],[energy_kwh]] - Table4[[#This Row],[expected_kwh]]</f>
        <v>-48.528440011798978</v>
      </c>
      <c r="M1168" t="str">
        <f>IF(Table4[[#This Row],[Performance_Deviation]] &lt; 0, "Underperforming", "Outperforming")</f>
        <v>Underperforming</v>
      </c>
      <c r="N1168">
        <f>IF(Table4[[#This Row],[Performance_Ratio]] &lt; 0.85, Table4[[#This Row],[Performance_Deviation]] * 50 / 1000, 0)</f>
        <v>0</v>
      </c>
    </row>
    <row r="1169" spans="1:14" x14ac:dyDescent="0.3">
      <c r="A1169" s="6" t="s">
        <v>7</v>
      </c>
      <c r="B1169" s="5">
        <v>45309.625</v>
      </c>
      <c r="C1169" s="6">
        <v>413.72160749314298</v>
      </c>
      <c r="D1169" s="6">
        <v>404.63155308813998</v>
      </c>
      <c r="E1169" s="6">
        <v>404.63155308813998</v>
      </c>
      <c r="F1169" s="6">
        <v>34.736522521715798</v>
      </c>
      <c r="G1169" s="6" t="str">
        <f t="shared" si="36"/>
        <v>OK</v>
      </c>
      <c r="H1169" s="6" t="str">
        <f t="shared" si="37"/>
        <v>NON-ZERO</v>
      </c>
      <c r="I1169">
        <v>424.26406871192802</v>
      </c>
      <c r="J1169">
        <f>IFERROR(Table4[[#This Row],[energy_kwh]]/Table4[[#This Row],[expected_kwh]],0)</f>
        <v>0.95372571690222874</v>
      </c>
      <c r="K1169" t="str">
        <f>IF(Table4[[#This Row],[Performance_Ratio]] &lt; 0.85, "Underperforming", "Performing")</f>
        <v>Performing</v>
      </c>
      <c r="L1169">
        <f>Table4[[#This Row],[energy_kwh]] - Table4[[#This Row],[expected_kwh]]</f>
        <v>-19.632515623788038</v>
      </c>
      <c r="M1169" t="str">
        <f>IF(Table4[[#This Row],[Performance_Deviation]] &lt; 0, "Underperforming", "Outperforming")</f>
        <v>Underperforming</v>
      </c>
      <c r="N1169">
        <f>IF(Table4[[#This Row],[Performance_Ratio]] &lt; 0.85, Table4[[#This Row],[Performance_Deviation]] * 50 / 1000, 0)</f>
        <v>0</v>
      </c>
    </row>
    <row r="1170" spans="1:14" x14ac:dyDescent="0.3">
      <c r="A1170" s="4" t="s">
        <v>7</v>
      </c>
      <c r="B1170" s="3">
        <v>45309.666666666664</v>
      </c>
      <c r="C1170" s="4">
        <v>298.23312430498498</v>
      </c>
      <c r="D1170" s="4">
        <v>291.68051676356902</v>
      </c>
      <c r="E1170" s="4">
        <v>291.68051676356902</v>
      </c>
      <c r="F1170" s="4">
        <v>52.654724254981303</v>
      </c>
      <c r="G1170" s="4" t="str">
        <f t="shared" si="36"/>
        <v>OK</v>
      </c>
      <c r="H1170" s="4" t="str">
        <f t="shared" si="37"/>
        <v>NON-ZERO</v>
      </c>
      <c r="I1170">
        <v>300</v>
      </c>
      <c r="J1170">
        <f>IFERROR(Table4[[#This Row],[energy_kwh]]/Table4[[#This Row],[expected_kwh]],0)</f>
        <v>0.97226838921189673</v>
      </c>
      <c r="K1170" t="str">
        <f>IF(Table4[[#This Row],[Performance_Ratio]] &lt; 0.85, "Underperforming", "Performing")</f>
        <v>Performing</v>
      </c>
      <c r="L1170">
        <f>Table4[[#This Row],[energy_kwh]] - Table4[[#This Row],[expected_kwh]]</f>
        <v>-8.3194832364309832</v>
      </c>
      <c r="M1170" t="str">
        <f>IF(Table4[[#This Row],[Performance_Deviation]] &lt; 0, "Underperforming", "Outperforming")</f>
        <v>Underperforming</v>
      </c>
      <c r="N1170">
        <f>IF(Table4[[#This Row],[Performance_Ratio]] &lt; 0.85, Table4[[#This Row],[Performance_Deviation]] * 50 / 1000, 0)</f>
        <v>0</v>
      </c>
    </row>
    <row r="1171" spans="1:14" x14ac:dyDescent="0.3">
      <c r="A1171" s="6" t="s">
        <v>7</v>
      </c>
      <c r="B1171" s="5">
        <v>45309.708333333336</v>
      </c>
      <c r="C1171" s="6">
        <v>127.12617261678101</v>
      </c>
      <c r="D1171" s="6">
        <v>124.333029100811</v>
      </c>
      <c r="E1171" s="6">
        <v>124.333029100811</v>
      </c>
      <c r="F1171" s="6">
        <v>89.762390214691195</v>
      </c>
      <c r="G1171" s="6" t="str">
        <f t="shared" si="36"/>
        <v>OK</v>
      </c>
      <c r="H1171" s="6" t="str">
        <f t="shared" si="37"/>
        <v>NON-ZERO</v>
      </c>
      <c r="I1171">
        <v>155.291427061512</v>
      </c>
      <c r="J1171">
        <f>IFERROR(Table4[[#This Row],[energy_kwh]]/Table4[[#This Row],[expected_kwh]],0)</f>
        <v>0.80064322579482661</v>
      </c>
      <c r="K1171" t="str">
        <f>IF(Table4[[#This Row],[Performance_Ratio]] &lt; 0.85, "Underperforming", "Performing")</f>
        <v>Underperforming</v>
      </c>
      <c r="L1171">
        <f>Table4[[#This Row],[energy_kwh]] - Table4[[#This Row],[expected_kwh]]</f>
        <v>-30.958397960700992</v>
      </c>
      <c r="M1171" t="str">
        <f>IF(Table4[[#This Row],[Performance_Deviation]] &lt; 0, "Underperforming", "Outperforming")</f>
        <v>Underperforming</v>
      </c>
      <c r="N1171">
        <f>IF(Table4[[#This Row],[Performance_Ratio]] &lt; 0.85, Table4[[#This Row],[Performance_Deviation]] * 50 / 1000, 0)</f>
        <v>-1.5479198980350495</v>
      </c>
    </row>
    <row r="1172" spans="1:14" x14ac:dyDescent="0.3">
      <c r="A1172" s="4" t="s">
        <v>7</v>
      </c>
      <c r="B1172" s="3">
        <v>45309.75</v>
      </c>
      <c r="C1172" s="7">
        <v>6.11151157604115E-14</v>
      </c>
      <c r="D1172" s="7">
        <v>5.9772329410439695E-14</v>
      </c>
      <c r="E1172" s="7">
        <v>5.9772329410439695E-14</v>
      </c>
      <c r="F1172" s="4">
        <v>29.097724850414998</v>
      </c>
      <c r="G1172" s="4" t="str">
        <f t="shared" si="36"/>
        <v>OK</v>
      </c>
      <c r="H1172" s="4" t="str">
        <f t="shared" si="37"/>
        <v>NON-ZERO</v>
      </c>
      <c r="I1172" s="2">
        <v>7.3478807948841102E-14</v>
      </c>
      <c r="J1172">
        <f>IFERROR(Table4[[#This Row],[energy_kwh]]/Table4[[#This Row],[expected_kwh]],0)</f>
        <v>0.81346351524994243</v>
      </c>
      <c r="K1172" t="str">
        <f>IF(Table4[[#This Row],[Performance_Ratio]] &lt; 0.85, "Underperforming", "Performing")</f>
        <v>Underperforming</v>
      </c>
      <c r="L1172">
        <f>Table4[[#This Row],[energy_kwh]] - Table4[[#This Row],[expected_kwh]]</f>
        <v>-1.3706478538401407E-14</v>
      </c>
      <c r="M1172" t="str">
        <f>IF(Table4[[#This Row],[Performance_Deviation]] &lt; 0, "Underperforming", "Outperforming")</f>
        <v>Underperforming</v>
      </c>
      <c r="N1172">
        <f>IF(Table4[[#This Row],[Performance_Ratio]] &lt; 0.85, Table4[[#This Row],[Performance_Deviation]] * 50 / 1000, 0)</f>
        <v>-6.8532392692007033E-16</v>
      </c>
    </row>
    <row r="1173" spans="1:14" x14ac:dyDescent="0.3">
      <c r="A1173" s="6" t="s">
        <v>7</v>
      </c>
      <c r="B1173" s="5">
        <v>45309.791666666664</v>
      </c>
      <c r="C1173" s="6">
        <v>0</v>
      </c>
      <c r="D1173" s="6">
        <v>0</v>
      </c>
      <c r="E1173" s="6">
        <v>0</v>
      </c>
      <c r="F1173" s="6">
        <v>62.331244083481003</v>
      </c>
      <c r="G1173" s="6" t="str">
        <f t="shared" si="36"/>
        <v>OK</v>
      </c>
      <c r="H1173" s="6" t="str">
        <f t="shared" si="37"/>
        <v>ZERO</v>
      </c>
      <c r="I1173">
        <v>0</v>
      </c>
      <c r="J1173">
        <f>IFERROR(Table4[[#This Row],[energy_kwh]]/Table4[[#This Row],[expected_kwh]],0)</f>
        <v>0</v>
      </c>
      <c r="K1173" t="str">
        <f>IF(Table4[[#This Row],[Performance_Ratio]] &lt; 0.85, "Underperforming", "Performing")</f>
        <v>Underperforming</v>
      </c>
      <c r="L1173">
        <f>Table4[[#This Row],[energy_kwh]] - Table4[[#This Row],[expected_kwh]]</f>
        <v>0</v>
      </c>
      <c r="M1173" t="str">
        <f>IF(Table4[[#This Row],[Performance_Deviation]] &lt; 0, "Underperforming", "Outperforming")</f>
        <v>Outperforming</v>
      </c>
      <c r="N1173">
        <f>IF(Table4[[#This Row],[Performance_Ratio]] &lt; 0.85, Table4[[#This Row],[Performance_Deviation]] * 50 / 1000, 0)</f>
        <v>0</v>
      </c>
    </row>
    <row r="1174" spans="1:14" x14ac:dyDescent="0.3">
      <c r="A1174" s="4" t="s">
        <v>7</v>
      </c>
      <c r="B1174" s="3">
        <v>45309.833333333336</v>
      </c>
      <c r="C1174" s="4">
        <v>0</v>
      </c>
      <c r="D1174" s="4">
        <v>0</v>
      </c>
      <c r="E1174" s="4">
        <v>0</v>
      </c>
      <c r="F1174" s="4">
        <v>92.736414847533794</v>
      </c>
      <c r="G1174" s="4" t="str">
        <f t="shared" si="36"/>
        <v>OK</v>
      </c>
      <c r="H1174" s="4" t="str">
        <f t="shared" si="37"/>
        <v>ZERO</v>
      </c>
      <c r="I1174">
        <v>0</v>
      </c>
      <c r="J1174">
        <f>IFERROR(Table4[[#This Row],[energy_kwh]]/Table4[[#This Row],[expected_kwh]],0)</f>
        <v>0</v>
      </c>
      <c r="K1174" t="str">
        <f>IF(Table4[[#This Row],[Performance_Ratio]] &lt; 0.85, "Underperforming", "Performing")</f>
        <v>Underperforming</v>
      </c>
      <c r="L1174">
        <f>Table4[[#This Row],[energy_kwh]] - Table4[[#This Row],[expected_kwh]]</f>
        <v>0</v>
      </c>
      <c r="M1174" t="str">
        <f>IF(Table4[[#This Row],[Performance_Deviation]] &lt; 0, "Underperforming", "Outperforming")</f>
        <v>Outperforming</v>
      </c>
      <c r="N1174">
        <f>IF(Table4[[#This Row],[Performance_Ratio]] &lt; 0.85, Table4[[#This Row],[Performance_Deviation]] * 50 / 1000, 0)</f>
        <v>0</v>
      </c>
    </row>
    <row r="1175" spans="1:14" x14ac:dyDescent="0.3">
      <c r="A1175" s="6" t="s">
        <v>7</v>
      </c>
      <c r="B1175" s="5">
        <v>45309.875</v>
      </c>
      <c r="C1175" s="6">
        <v>0</v>
      </c>
      <c r="D1175" s="6">
        <v>0</v>
      </c>
      <c r="E1175" s="6">
        <v>0</v>
      </c>
      <c r="F1175" s="6">
        <v>77.165904373563194</v>
      </c>
      <c r="G1175" s="6" t="str">
        <f t="shared" si="36"/>
        <v>OK</v>
      </c>
      <c r="H1175" s="6" t="str">
        <f t="shared" si="37"/>
        <v>ZERO</v>
      </c>
      <c r="I1175">
        <v>0</v>
      </c>
      <c r="J1175">
        <f>IFERROR(Table4[[#This Row],[energy_kwh]]/Table4[[#This Row],[expected_kwh]],0)</f>
        <v>0</v>
      </c>
      <c r="K1175" t="str">
        <f>IF(Table4[[#This Row],[Performance_Ratio]] &lt; 0.85, "Underperforming", "Performing")</f>
        <v>Underperforming</v>
      </c>
      <c r="L1175">
        <f>Table4[[#This Row],[energy_kwh]] - Table4[[#This Row],[expected_kwh]]</f>
        <v>0</v>
      </c>
      <c r="M1175" t="str">
        <f>IF(Table4[[#This Row],[Performance_Deviation]] &lt; 0, "Underperforming", "Outperforming")</f>
        <v>Outperforming</v>
      </c>
      <c r="N1175">
        <f>IF(Table4[[#This Row],[Performance_Ratio]] &lt; 0.85, Table4[[#This Row],[Performance_Deviation]] * 50 / 1000, 0)</f>
        <v>0</v>
      </c>
    </row>
    <row r="1176" spans="1:14" x14ac:dyDescent="0.3">
      <c r="A1176" s="4" t="s">
        <v>7</v>
      </c>
      <c r="B1176" s="3">
        <v>45309.916666666664</v>
      </c>
      <c r="C1176" s="4">
        <v>0</v>
      </c>
      <c r="D1176" s="4">
        <v>0</v>
      </c>
      <c r="E1176" s="4">
        <v>0</v>
      </c>
      <c r="F1176" s="4">
        <v>65.185187784294897</v>
      </c>
      <c r="G1176" s="4" t="str">
        <f t="shared" si="36"/>
        <v>OK</v>
      </c>
      <c r="H1176" s="4" t="str">
        <f t="shared" si="37"/>
        <v>ZERO</v>
      </c>
      <c r="I1176">
        <v>0</v>
      </c>
      <c r="J1176">
        <f>IFERROR(Table4[[#This Row],[energy_kwh]]/Table4[[#This Row],[expected_kwh]],0)</f>
        <v>0</v>
      </c>
      <c r="K1176" t="str">
        <f>IF(Table4[[#This Row],[Performance_Ratio]] &lt; 0.85, "Underperforming", "Performing")</f>
        <v>Underperforming</v>
      </c>
      <c r="L1176">
        <f>Table4[[#This Row],[energy_kwh]] - Table4[[#This Row],[expected_kwh]]</f>
        <v>0</v>
      </c>
      <c r="M1176" t="str">
        <f>IF(Table4[[#This Row],[Performance_Deviation]] &lt; 0, "Underperforming", "Outperforming")</f>
        <v>Outperforming</v>
      </c>
      <c r="N1176">
        <f>IF(Table4[[#This Row],[Performance_Ratio]] &lt; 0.85, Table4[[#This Row],[Performance_Deviation]] * 50 / 1000, 0)</f>
        <v>0</v>
      </c>
    </row>
    <row r="1177" spans="1:14" x14ac:dyDescent="0.3">
      <c r="A1177" s="6" t="s">
        <v>7</v>
      </c>
      <c r="B1177" s="5">
        <v>45309.958333333336</v>
      </c>
      <c r="C1177" s="6">
        <v>0</v>
      </c>
      <c r="D1177" s="6">
        <v>0</v>
      </c>
      <c r="E1177" s="6">
        <v>0</v>
      </c>
      <c r="F1177" s="6">
        <v>45.083189533857798</v>
      </c>
      <c r="G1177" s="6" t="str">
        <f t="shared" si="36"/>
        <v>OK</v>
      </c>
      <c r="H1177" s="6" t="str">
        <f t="shared" si="37"/>
        <v>ZERO</v>
      </c>
      <c r="I1177">
        <v>0</v>
      </c>
      <c r="J1177">
        <f>IFERROR(Table4[[#This Row],[energy_kwh]]/Table4[[#This Row],[expected_kwh]],0)</f>
        <v>0</v>
      </c>
      <c r="K1177" t="str">
        <f>IF(Table4[[#This Row],[Performance_Ratio]] &lt; 0.85, "Underperforming", "Performing")</f>
        <v>Underperforming</v>
      </c>
      <c r="L1177">
        <f>Table4[[#This Row],[energy_kwh]] - Table4[[#This Row],[expected_kwh]]</f>
        <v>0</v>
      </c>
      <c r="M1177" t="str">
        <f>IF(Table4[[#This Row],[Performance_Deviation]] &lt; 0, "Underperforming", "Outperforming")</f>
        <v>Outperforming</v>
      </c>
      <c r="N1177">
        <f>IF(Table4[[#This Row],[Performance_Ratio]] &lt; 0.85, Table4[[#This Row],[Performance_Deviation]] * 50 / 1000, 0)</f>
        <v>0</v>
      </c>
    </row>
    <row r="1178" spans="1:14" x14ac:dyDescent="0.3">
      <c r="A1178" s="4" t="s">
        <v>7</v>
      </c>
      <c r="B1178" s="3">
        <v>45310</v>
      </c>
      <c r="C1178" s="4">
        <v>0</v>
      </c>
      <c r="D1178" s="4">
        <v>0</v>
      </c>
      <c r="E1178" s="4">
        <v>0</v>
      </c>
      <c r="F1178" s="4">
        <v>26.372471741709901</v>
      </c>
      <c r="G1178" s="4" t="str">
        <f t="shared" si="36"/>
        <v>OK</v>
      </c>
      <c r="H1178" s="4" t="str">
        <f t="shared" si="37"/>
        <v>ZERO</v>
      </c>
      <c r="I1178">
        <v>0</v>
      </c>
      <c r="J1178">
        <f>IFERROR(Table4[[#This Row],[energy_kwh]]/Table4[[#This Row],[expected_kwh]],0)</f>
        <v>0</v>
      </c>
      <c r="K1178" t="str">
        <f>IF(Table4[[#This Row],[Performance_Ratio]] &lt; 0.85, "Underperforming", "Performing")</f>
        <v>Underperforming</v>
      </c>
      <c r="L1178">
        <f>Table4[[#This Row],[energy_kwh]] - Table4[[#This Row],[expected_kwh]]</f>
        <v>0</v>
      </c>
      <c r="M1178" t="str">
        <f>IF(Table4[[#This Row],[Performance_Deviation]] &lt; 0, "Underperforming", "Outperforming")</f>
        <v>Outperforming</v>
      </c>
      <c r="N1178">
        <f>IF(Table4[[#This Row],[Performance_Ratio]] &lt; 0.85, Table4[[#This Row],[Performance_Deviation]] * 50 / 1000, 0)</f>
        <v>0</v>
      </c>
    </row>
    <row r="1179" spans="1:14" x14ac:dyDescent="0.3">
      <c r="A1179" s="6" t="s">
        <v>7</v>
      </c>
      <c r="B1179" s="5">
        <v>45310.041666666664</v>
      </c>
      <c r="C1179" s="6">
        <v>0</v>
      </c>
      <c r="D1179" s="6">
        <v>0</v>
      </c>
      <c r="E1179" s="6">
        <v>0</v>
      </c>
      <c r="F1179" s="6">
        <v>52.828761870015597</v>
      </c>
      <c r="G1179" s="6" t="str">
        <f t="shared" si="36"/>
        <v>OK</v>
      </c>
      <c r="H1179" s="6" t="str">
        <f t="shared" si="37"/>
        <v>ZERO</v>
      </c>
      <c r="I1179">
        <v>0</v>
      </c>
      <c r="J1179">
        <f>IFERROR(Table4[[#This Row],[energy_kwh]]/Table4[[#This Row],[expected_kwh]],0)</f>
        <v>0</v>
      </c>
      <c r="K1179" t="str">
        <f>IF(Table4[[#This Row],[Performance_Ratio]] &lt; 0.85, "Underperforming", "Performing")</f>
        <v>Underperforming</v>
      </c>
      <c r="L1179">
        <f>Table4[[#This Row],[energy_kwh]] - Table4[[#This Row],[expected_kwh]]</f>
        <v>0</v>
      </c>
      <c r="M1179" t="str">
        <f>IF(Table4[[#This Row],[Performance_Deviation]] &lt; 0, "Underperforming", "Outperforming")</f>
        <v>Outperforming</v>
      </c>
      <c r="N1179">
        <f>IF(Table4[[#This Row],[Performance_Ratio]] &lt; 0.85, Table4[[#This Row],[Performance_Deviation]] * 50 / 1000, 0)</f>
        <v>0</v>
      </c>
    </row>
    <row r="1180" spans="1:14" x14ac:dyDescent="0.3">
      <c r="A1180" s="4" t="s">
        <v>7</v>
      </c>
      <c r="B1180" s="3">
        <v>45310.083333333336</v>
      </c>
      <c r="C1180" s="4">
        <v>0</v>
      </c>
      <c r="D1180" s="4">
        <v>0</v>
      </c>
      <c r="E1180" s="4">
        <v>0</v>
      </c>
      <c r="F1180" s="4">
        <v>89.198385470267894</v>
      </c>
      <c r="G1180" s="4" t="str">
        <f t="shared" si="36"/>
        <v>OK</v>
      </c>
      <c r="H1180" s="4" t="str">
        <f t="shared" si="37"/>
        <v>ZERO</v>
      </c>
      <c r="I1180">
        <v>0</v>
      </c>
      <c r="J1180">
        <f>IFERROR(Table4[[#This Row],[energy_kwh]]/Table4[[#This Row],[expected_kwh]],0)</f>
        <v>0</v>
      </c>
      <c r="K1180" t="str">
        <f>IF(Table4[[#This Row],[Performance_Ratio]] &lt; 0.85, "Underperforming", "Performing")</f>
        <v>Underperforming</v>
      </c>
      <c r="L1180">
        <f>Table4[[#This Row],[energy_kwh]] - Table4[[#This Row],[expected_kwh]]</f>
        <v>0</v>
      </c>
      <c r="M1180" t="str">
        <f>IF(Table4[[#This Row],[Performance_Deviation]] &lt; 0, "Underperforming", "Outperforming")</f>
        <v>Outperforming</v>
      </c>
      <c r="N1180">
        <f>IF(Table4[[#This Row],[Performance_Ratio]] &lt; 0.85, Table4[[#This Row],[Performance_Deviation]] * 50 / 1000, 0)</f>
        <v>0</v>
      </c>
    </row>
    <row r="1181" spans="1:14" x14ac:dyDescent="0.3">
      <c r="A1181" s="6" t="s">
        <v>7</v>
      </c>
      <c r="B1181" s="5">
        <v>45310.125</v>
      </c>
      <c r="C1181" s="6">
        <v>0</v>
      </c>
      <c r="D1181" s="6">
        <v>0</v>
      </c>
      <c r="E1181" s="6">
        <v>0</v>
      </c>
      <c r="F1181" s="6">
        <v>75.2849310467479</v>
      </c>
      <c r="G1181" s="6" t="str">
        <f t="shared" si="36"/>
        <v>OK</v>
      </c>
      <c r="H1181" s="6" t="str">
        <f t="shared" si="37"/>
        <v>ZERO</v>
      </c>
      <c r="I1181">
        <v>0</v>
      </c>
      <c r="J1181">
        <f>IFERROR(Table4[[#This Row],[energy_kwh]]/Table4[[#This Row],[expected_kwh]],0)</f>
        <v>0</v>
      </c>
      <c r="K1181" t="str">
        <f>IF(Table4[[#This Row],[Performance_Ratio]] &lt; 0.85, "Underperforming", "Performing")</f>
        <v>Underperforming</v>
      </c>
      <c r="L1181">
        <f>Table4[[#This Row],[energy_kwh]] - Table4[[#This Row],[expected_kwh]]</f>
        <v>0</v>
      </c>
      <c r="M1181" t="str">
        <f>IF(Table4[[#This Row],[Performance_Deviation]] &lt; 0, "Underperforming", "Outperforming")</f>
        <v>Outperforming</v>
      </c>
      <c r="N1181">
        <f>IF(Table4[[#This Row],[Performance_Ratio]] &lt; 0.85, Table4[[#This Row],[Performance_Deviation]] * 50 / 1000, 0)</f>
        <v>0</v>
      </c>
    </row>
    <row r="1182" spans="1:14" x14ac:dyDescent="0.3">
      <c r="A1182" s="4" t="s">
        <v>7</v>
      </c>
      <c r="B1182" s="3">
        <v>45310.166666666664</v>
      </c>
      <c r="C1182" s="4">
        <v>0</v>
      </c>
      <c r="D1182" s="4">
        <v>0</v>
      </c>
      <c r="E1182" s="4">
        <v>0</v>
      </c>
      <c r="F1182" s="4">
        <v>20.9002270454511</v>
      </c>
      <c r="G1182" s="4" t="str">
        <f t="shared" si="36"/>
        <v>OK</v>
      </c>
      <c r="H1182" s="4" t="str">
        <f t="shared" si="37"/>
        <v>ZERO</v>
      </c>
      <c r="I1182">
        <v>0</v>
      </c>
      <c r="J1182">
        <f>IFERROR(Table4[[#This Row],[energy_kwh]]/Table4[[#This Row],[expected_kwh]],0)</f>
        <v>0</v>
      </c>
      <c r="K1182" t="str">
        <f>IF(Table4[[#This Row],[Performance_Ratio]] &lt; 0.85, "Underperforming", "Performing")</f>
        <v>Underperforming</v>
      </c>
      <c r="L1182">
        <f>Table4[[#This Row],[energy_kwh]] - Table4[[#This Row],[expected_kwh]]</f>
        <v>0</v>
      </c>
      <c r="M1182" t="str">
        <f>IF(Table4[[#This Row],[Performance_Deviation]] &lt; 0, "Underperforming", "Outperforming")</f>
        <v>Outperforming</v>
      </c>
      <c r="N1182">
        <f>IF(Table4[[#This Row],[Performance_Ratio]] &lt; 0.85, Table4[[#This Row],[Performance_Deviation]] * 50 / 1000, 0)</f>
        <v>0</v>
      </c>
    </row>
    <row r="1183" spans="1:14" x14ac:dyDescent="0.3">
      <c r="A1183" s="6" t="s">
        <v>7</v>
      </c>
      <c r="B1183" s="5">
        <v>45310.208333333336</v>
      </c>
      <c r="C1183" s="6">
        <v>0</v>
      </c>
      <c r="D1183" s="6">
        <v>0</v>
      </c>
      <c r="E1183" s="6">
        <v>0</v>
      </c>
      <c r="F1183" s="6">
        <v>56.376349064303</v>
      </c>
      <c r="G1183" s="6" t="str">
        <f t="shared" si="36"/>
        <v>OK</v>
      </c>
      <c r="H1183" s="6" t="str">
        <f t="shared" si="37"/>
        <v>ZERO</v>
      </c>
      <c r="I1183">
        <v>0</v>
      </c>
      <c r="J1183">
        <f>IFERROR(Table4[[#This Row],[energy_kwh]]/Table4[[#This Row],[expected_kwh]],0)</f>
        <v>0</v>
      </c>
      <c r="K1183" t="str">
        <f>IF(Table4[[#This Row],[Performance_Ratio]] &lt; 0.85, "Underperforming", "Performing")</f>
        <v>Underperforming</v>
      </c>
      <c r="L1183">
        <f>Table4[[#This Row],[energy_kwh]] - Table4[[#This Row],[expected_kwh]]</f>
        <v>0</v>
      </c>
      <c r="M1183" t="str">
        <f>IF(Table4[[#This Row],[Performance_Deviation]] &lt; 0, "Underperforming", "Outperforming")</f>
        <v>Outperforming</v>
      </c>
      <c r="N1183">
        <f>IF(Table4[[#This Row],[Performance_Ratio]] &lt; 0.85, Table4[[#This Row],[Performance_Deviation]] * 50 / 1000, 0)</f>
        <v>0</v>
      </c>
    </row>
    <row r="1184" spans="1:14" x14ac:dyDescent="0.3">
      <c r="A1184" s="4" t="s">
        <v>7</v>
      </c>
      <c r="B1184" s="3">
        <v>45310.25</v>
      </c>
      <c r="C1184" s="4">
        <v>0</v>
      </c>
      <c r="D1184" s="4">
        <v>0</v>
      </c>
      <c r="E1184" s="4">
        <v>0</v>
      </c>
      <c r="F1184" s="4">
        <v>52.186211896874099</v>
      </c>
      <c r="G1184" s="4" t="str">
        <f t="shared" si="36"/>
        <v>OK</v>
      </c>
      <c r="H1184" s="4" t="str">
        <f t="shared" si="37"/>
        <v>ZERO</v>
      </c>
      <c r="I1184">
        <v>0</v>
      </c>
      <c r="J1184">
        <f>IFERROR(Table4[[#This Row],[energy_kwh]]/Table4[[#This Row],[expected_kwh]],0)</f>
        <v>0</v>
      </c>
      <c r="K1184" t="str">
        <f>IF(Table4[[#This Row],[Performance_Ratio]] &lt; 0.85, "Underperforming", "Performing")</f>
        <v>Underperforming</v>
      </c>
      <c r="L1184">
        <f>Table4[[#This Row],[energy_kwh]] - Table4[[#This Row],[expected_kwh]]</f>
        <v>0</v>
      </c>
      <c r="M1184" t="str">
        <f>IF(Table4[[#This Row],[Performance_Deviation]] &lt; 0, "Underperforming", "Outperforming")</f>
        <v>Outperforming</v>
      </c>
      <c r="N1184">
        <f>IF(Table4[[#This Row],[Performance_Ratio]] &lt; 0.85, Table4[[#This Row],[Performance_Deviation]] * 50 / 1000, 0)</f>
        <v>0</v>
      </c>
    </row>
    <row r="1185" spans="1:14" x14ac:dyDescent="0.3">
      <c r="A1185" s="6" t="s">
        <v>7</v>
      </c>
      <c r="B1185" s="5">
        <v>45310.291666666664</v>
      </c>
      <c r="C1185" s="6">
        <v>151.62599756439801</v>
      </c>
      <c r="D1185" s="6">
        <v>148.29455791486001</v>
      </c>
      <c r="E1185" s="6">
        <v>148.29455791486001</v>
      </c>
      <c r="F1185" s="6">
        <v>82.810438971408004</v>
      </c>
      <c r="G1185" s="6" t="str">
        <f t="shared" si="36"/>
        <v>OK</v>
      </c>
      <c r="H1185" s="6" t="str">
        <f t="shared" si="37"/>
        <v>NON-ZERO</v>
      </c>
      <c r="I1185">
        <v>155.291427061512</v>
      </c>
      <c r="J1185">
        <f>IFERROR(Table4[[#This Row],[energy_kwh]]/Table4[[#This Row],[expected_kwh]],0)</f>
        <v>0.95494362258722443</v>
      </c>
      <c r="K1185" t="str">
        <f>IF(Table4[[#This Row],[Performance_Ratio]] &lt; 0.85, "Underperforming", "Performing")</f>
        <v>Performing</v>
      </c>
      <c r="L1185">
        <f>Table4[[#This Row],[energy_kwh]] - Table4[[#This Row],[expected_kwh]]</f>
        <v>-6.9968691466519886</v>
      </c>
      <c r="M1185" t="str">
        <f>IF(Table4[[#This Row],[Performance_Deviation]] &lt; 0, "Underperforming", "Outperforming")</f>
        <v>Underperforming</v>
      </c>
      <c r="N1185">
        <f>IF(Table4[[#This Row],[Performance_Ratio]] &lt; 0.85, Table4[[#This Row],[Performance_Deviation]] * 50 / 1000, 0)</f>
        <v>0</v>
      </c>
    </row>
    <row r="1186" spans="1:14" x14ac:dyDescent="0.3">
      <c r="A1186" s="4" t="s">
        <v>7</v>
      </c>
      <c r="B1186" s="3">
        <v>45310.333333333336</v>
      </c>
      <c r="C1186" s="4">
        <v>269.98367236661397</v>
      </c>
      <c r="D1186" s="4">
        <v>264.05174561725801</v>
      </c>
      <c r="E1186" s="4">
        <v>264.05174561725801</v>
      </c>
      <c r="F1186" s="4">
        <v>24.645988893424001</v>
      </c>
      <c r="G1186" s="4" t="str">
        <f t="shared" si="36"/>
        <v>OK</v>
      </c>
      <c r="H1186" s="4" t="str">
        <f t="shared" si="37"/>
        <v>NON-ZERO</v>
      </c>
      <c r="I1186">
        <v>300</v>
      </c>
      <c r="J1186">
        <f>IFERROR(Table4[[#This Row],[energy_kwh]]/Table4[[#This Row],[expected_kwh]],0)</f>
        <v>0.88017248539086002</v>
      </c>
      <c r="K1186" t="str">
        <f>IF(Table4[[#This Row],[Performance_Ratio]] &lt; 0.85, "Underperforming", "Performing")</f>
        <v>Performing</v>
      </c>
      <c r="L1186">
        <f>Table4[[#This Row],[energy_kwh]] - Table4[[#This Row],[expected_kwh]]</f>
        <v>-35.948254382741993</v>
      </c>
      <c r="M1186" t="str">
        <f>IF(Table4[[#This Row],[Performance_Deviation]] &lt; 0, "Underperforming", "Outperforming")</f>
        <v>Underperforming</v>
      </c>
      <c r="N1186">
        <f>IF(Table4[[#This Row],[Performance_Ratio]] &lt; 0.85, Table4[[#This Row],[Performance_Deviation]] * 50 / 1000, 0)</f>
        <v>0</v>
      </c>
    </row>
    <row r="1187" spans="1:14" x14ac:dyDescent="0.3">
      <c r="A1187" s="6" t="s">
        <v>7</v>
      </c>
      <c r="B1187" s="5">
        <v>45310.375</v>
      </c>
      <c r="C1187" s="6">
        <v>384.93773673467302</v>
      </c>
      <c r="D1187" s="6">
        <v>376.48010506622097</v>
      </c>
      <c r="E1187" s="6">
        <v>376.48010506622097</v>
      </c>
      <c r="F1187" s="6">
        <v>22.734578811921299</v>
      </c>
      <c r="G1187" s="6" t="str">
        <f t="shared" si="36"/>
        <v>OK</v>
      </c>
      <c r="H1187" s="6" t="str">
        <f t="shared" si="37"/>
        <v>NON-ZERO</v>
      </c>
      <c r="I1187">
        <v>424.26406871192802</v>
      </c>
      <c r="J1187">
        <f>IFERROR(Table4[[#This Row],[energy_kwh]]/Table4[[#This Row],[expected_kwh]],0)</f>
        <v>0.88737211758049683</v>
      </c>
      <c r="K1187" t="str">
        <f>IF(Table4[[#This Row],[Performance_Ratio]] &lt; 0.85, "Underperforming", "Performing")</f>
        <v>Performing</v>
      </c>
      <c r="L1187">
        <f>Table4[[#This Row],[energy_kwh]] - Table4[[#This Row],[expected_kwh]]</f>
        <v>-47.783963645707047</v>
      </c>
      <c r="M1187" t="str">
        <f>IF(Table4[[#This Row],[Performance_Deviation]] &lt; 0, "Underperforming", "Outperforming")</f>
        <v>Underperforming</v>
      </c>
      <c r="N1187">
        <f>IF(Table4[[#This Row],[Performance_Ratio]] &lt; 0.85, Table4[[#This Row],[Performance_Deviation]] * 50 / 1000, 0)</f>
        <v>0</v>
      </c>
    </row>
    <row r="1188" spans="1:14" x14ac:dyDescent="0.3">
      <c r="A1188" s="4" t="s">
        <v>7</v>
      </c>
      <c r="B1188" s="3">
        <v>45310.416666666664</v>
      </c>
      <c r="C1188" s="4">
        <v>536.46539327832795</v>
      </c>
      <c r="D1188" s="4">
        <v>524.67848265296902</v>
      </c>
      <c r="E1188" s="4">
        <v>524.67848265296902</v>
      </c>
      <c r="F1188" s="4">
        <v>22.994189942281299</v>
      </c>
      <c r="G1188" s="4" t="str">
        <f t="shared" si="36"/>
        <v>OK</v>
      </c>
      <c r="H1188" s="4" t="str">
        <f t="shared" si="37"/>
        <v>NON-ZERO</v>
      </c>
      <c r="I1188">
        <v>519.61524227066297</v>
      </c>
      <c r="J1188">
        <f>IFERROR(Table4[[#This Row],[energy_kwh]]/Table4[[#This Row],[expected_kwh]],0)</f>
        <v>1.0097442106589873</v>
      </c>
      <c r="K1188" t="str">
        <f>IF(Table4[[#This Row],[Performance_Ratio]] &lt; 0.85, "Underperforming", "Performing")</f>
        <v>Performing</v>
      </c>
      <c r="L1188">
        <f>Table4[[#This Row],[energy_kwh]] - Table4[[#This Row],[expected_kwh]]</f>
        <v>5.0632403823060486</v>
      </c>
      <c r="M1188" t="str">
        <f>IF(Table4[[#This Row],[Performance_Deviation]] &lt; 0, "Underperforming", "Outperforming")</f>
        <v>Outperforming</v>
      </c>
      <c r="N1188">
        <f>IF(Table4[[#This Row],[Performance_Ratio]] &lt; 0.85, Table4[[#This Row],[Performance_Deviation]] * 50 / 1000, 0)</f>
        <v>0</v>
      </c>
    </row>
    <row r="1189" spans="1:14" x14ac:dyDescent="0.3">
      <c r="A1189" s="6" t="s">
        <v>7</v>
      </c>
      <c r="B1189" s="5">
        <v>45310.458333333336</v>
      </c>
      <c r="C1189" s="6">
        <v>541.95364313533605</v>
      </c>
      <c r="D1189" s="6">
        <v>530.04614782480496</v>
      </c>
      <c r="E1189" s="6">
        <v>530.04614782480496</v>
      </c>
      <c r="F1189" s="6">
        <v>62.818029031410802</v>
      </c>
      <c r="G1189" s="6" t="str">
        <f t="shared" si="36"/>
        <v>OK</v>
      </c>
      <c r="H1189" s="6" t="str">
        <f t="shared" si="37"/>
        <v>NON-ZERO</v>
      </c>
      <c r="I1189">
        <v>579.55549577344095</v>
      </c>
      <c r="J1189">
        <f>IFERROR(Table4[[#This Row],[energy_kwh]]/Table4[[#This Row],[expected_kwh]],0)</f>
        <v>0.91457358560190394</v>
      </c>
      <c r="K1189" t="str">
        <f>IF(Table4[[#This Row],[Performance_Ratio]] &lt; 0.85, "Underperforming", "Performing")</f>
        <v>Performing</v>
      </c>
      <c r="L1189">
        <f>Table4[[#This Row],[energy_kwh]] - Table4[[#This Row],[expected_kwh]]</f>
        <v>-49.509347948635991</v>
      </c>
      <c r="M1189" t="str">
        <f>IF(Table4[[#This Row],[Performance_Deviation]] &lt; 0, "Underperforming", "Outperforming")</f>
        <v>Underperforming</v>
      </c>
      <c r="N1189">
        <f>IF(Table4[[#This Row],[Performance_Ratio]] &lt; 0.85, Table4[[#This Row],[Performance_Deviation]] * 50 / 1000, 0)</f>
        <v>0</v>
      </c>
    </row>
    <row r="1190" spans="1:14" x14ac:dyDescent="0.3">
      <c r="A1190" s="4" t="s">
        <v>7</v>
      </c>
      <c r="B1190" s="3">
        <v>45310.5</v>
      </c>
      <c r="C1190" s="4">
        <v>518.11821921981596</v>
      </c>
      <c r="D1190" s="4">
        <v>506.73442220358299</v>
      </c>
      <c r="E1190" s="4">
        <v>506.73442220358299</v>
      </c>
      <c r="F1190" s="4">
        <v>27.4621001654723</v>
      </c>
      <c r="G1190" s="4" t="str">
        <f t="shared" si="36"/>
        <v>OK</v>
      </c>
      <c r="H1190" s="4" t="str">
        <f t="shared" si="37"/>
        <v>NON-ZERO</v>
      </c>
      <c r="I1190">
        <v>600</v>
      </c>
      <c r="J1190">
        <f>IFERROR(Table4[[#This Row],[energy_kwh]]/Table4[[#This Row],[expected_kwh]],0)</f>
        <v>0.844557370339305</v>
      </c>
      <c r="K1190" t="str">
        <f>IF(Table4[[#This Row],[Performance_Ratio]] &lt; 0.85, "Underperforming", "Performing")</f>
        <v>Underperforming</v>
      </c>
      <c r="L1190">
        <f>Table4[[#This Row],[energy_kwh]] - Table4[[#This Row],[expected_kwh]]</f>
        <v>-93.265577796417006</v>
      </c>
      <c r="M1190" t="str">
        <f>IF(Table4[[#This Row],[Performance_Deviation]] &lt; 0, "Underperforming", "Outperforming")</f>
        <v>Underperforming</v>
      </c>
      <c r="N1190">
        <f>IF(Table4[[#This Row],[Performance_Ratio]] &lt; 0.85, Table4[[#This Row],[Performance_Deviation]] * 50 / 1000, 0)</f>
        <v>-4.6632788898208499</v>
      </c>
    </row>
    <row r="1191" spans="1:14" x14ac:dyDescent="0.3">
      <c r="A1191" s="6" t="s">
        <v>7</v>
      </c>
      <c r="B1191" s="5">
        <v>45310.541666666664</v>
      </c>
      <c r="C1191" s="6">
        <v>505.053215656796</v>
      </c>
      <c r="D1191" s="6">
        <v>493.95647542231802</v>
      </c>
      <c r="E1191" s="6">
        <v>493.95647542231802</v>
      </c>
      <c r="F1191" s="6">
        <v>92.755584250002997</v>
      </c>
      <c r="G1191" s="6" t="str">
        <f t="shared" si="36"/>
        <v>OK</v>
      </c>
      <c r="H1191" s="6" t="str">
        <f t="shared" si="37"/>
        <v>NON-ZERO</v>
      </c>
      <c r="I1191">
        <v>579.55549577344095</v>
      </c>
      <c r="J1191">
        <f>IFERROR(Table4[[#This Row],[energy_kwh]]/Table4[[#This Row],[expected_kwh]],0)</f>
        <v>0.85230228860674084</v>
      </c>
      <c r="K1191" t="str">
        <f>IF(Table4[[#This Row],[Performance_Ratio]] &lt; 0.85, "Underperforming", "Performing")</f>
        <v>Performing</v>
      </c>
      <c r="L1191">
        <f>Table4[[#This Row],[energy_kwh]] - Table4[[#This Row],[expected_kwh]]</f>
        <v>-85.599020351122931</v>
      </c>
      <c r="M1191" t="str">
        <f>IF(Table4[[#This Row],[Performance_Deviation]] &lt; 0, "Underperforming", "Outperforming")</f>
        <v>Underperforming</v>
      </c>
      <c r="N1191">
        <f>IF(Table4[[#This Row],[Performance_Ratio]] &lt; 0.85, Table4[[#This Row],[Performance_Deviation]] * 50 / 1000, 0)</f>
        <v>0</v>
      </c>
    </row>
    <row r="1192" spans="1:14" x14ac:dyDescent="0.3">
      <c r="A1192" s="4" t="s">
        <v>7</v>
      </c>
      <c r="B1192" s="3">
        <v>45310.583333333336</v>
      </c>
      <c r="C1192" s="4">
        <v>503.83830176429598</v>
      </c>
      <c r="D1192" s="4">
        <v>492.76825492262202</v>
      </c>
      <c r="E1192" s="4">
        <v>492.76825492262202</v>
      </c>
      <c r="F1192" s="4">
        <v>67.307781512946505</v>
      </c>
      <c r="G1192" s="4" t="str">
        <f t="shared" si="36"/>
        <v>OK</v>
      </c>
      <c r="H1192" s="4" t="str">
        <f t="shared" si="37"/>
        <v>NON-ZERO</v>
      </c>
      <c r="I1192">
        <v>519.61524227066297</v>
      </c>
      <c r="J1192">
        <f>IFERROR(Table4[[#This Row],[energy_kwh]]/Table4[[#This Row],[expected_kwh]],0)</f>
        <v>0.94833294875892693</v>
      </c>
      <c r="K1192" t="str">
        <f>IF(Table4[[#This Row],[Performance_Ratio]] &lt; 0.85, "Underperforming", "Performing")</f>
        <v>Performing</v>
      </c>
      <c r="L1192">
        <f>Table4[[#This Row],[energy_kwh]] - Table4[[#This Row],[expected_kwh]]</f>
        <v>-26.846987348040955</v>
      </c>
      <c r="M1192" t="str">
        <f>IF(Table4[[#This Row],[Performance_Deviation]] &lt; 0, "Underperforming", "Outperforming")</f>
        <v>Underperforming</v>
      </c>
      <c r="N1192">
        <f>IF(Table4[[#This Row],[Performance_Ratio]] &lt; 0.85, Table4[[#This Row],[Performance_Deviation]] * 50 / 1000, 0)</f>
        <v>0</v>
      </c>
    </row>
    <row r="1193" spans="1:14" x14ac:dyDescent="0.3">
      <c r="A1193" s="6" t="s">
        <v>7</v>
      </c>
      <c r="B1193" s="5">
        <v>45310.625</v>
      </c>
      <c r="C1193" s="6">
        <v>433.22730329433602</v>
      </c>
      <c r="D1193" s="6">
        <v>423.708680903448</v>
      </c>
      <c r="E1193" s="6">
        <v>423.708680903448</v>
      </c>
      <c r="F1193" s="6">
        <v>76.833242028136794</v>
      </c>
      <c r="G1193" s="6" t="str">
        <f t="shared" si="36"/>
        <v>OK</v>
      </c>
      <c r="H1193" s="6" t="str">
        <f t="shared" si="37"/>
        <v>NON-ZERO</v>
      </c>
      <c r="I1193">
        <v>424.26406871192802</v>
      </c>
      <c r="J1193">
        <f>IFERROR(Table4[[#This Row],[energy_kwh]]/Table4[[#This Row],[expected_kwh]],0)</f>
        <v>0.99869093838145151</v>
      </c>
      <c r="K1193" t="str">
        <f>IF(Table4[[#This Row],[Performance_Ratio]] &lt; 0.85, "Underperforming", "Performing")</f>
        <v>Performing</v>
      </c>
      <c r="L1193">
        <f>Table4[[#This Row],[energy_kwh]] - Table4[[#This Row],[expected_kwh]]</f>
        <v>-0.55538780848002034</v>
      </c>
      <c r="M1193" t="str">
        <f>IF(Table4[[#This Row],[Performance_Deviation]] &lt; 0, "Underperforming", "Outperforming")</f>
        <v>Underperforming</v>
      </c>
      <c r="N1193">
        <f>IF(Table4[[#This Row],[Performance_Ratio]] &lt; 0.85, Table4[[#This Row],[Performance_Deviation]] * 50 / 1000, 0)</f>
        <v>0</v>
      </c>
    </row>
    <row r="1194" spans="1:14" x14ac:dyDescent="0.3">
      <c r="A1194" s="4" t="s">
        <v>7</v>
      </c>
      <c r="B1194" s="3">
        <v>45310.666666666664</v>
      </c>
      <c r="C1194" s="4">
        <v>264.76474766486899</v>
      </c>
      <c r="D1194" s="4">
        <v>258.94748814249698</v>
      </c>
      <c r="E1194" s="4">
        <v>258.94748814249698</v>
      </c>
      <c r="F1194" s="4">
        <v>56.422572381000499</v>
      </c>
      <c r="G1194" s="4" t="str">
        <f t="shared" si="36"/>
        <v>OK</v>
      </c>
      <c r="H1194" s="4" t="str">
        <f t="shared" si="37"/>
        <v>NON-ZERO</v>
      </c>
      <c r="I1194">
        <v>300</v>
      </c>
      <c r="J1194">
        <f>IFERROR(Table4[[#This Row],[energy_kwh]]/Table4[[#This Row],[expected_kwh]],0)</f>
        <v>0.86315829380832332</v>
      </c>
      <c r="K1194" t="str">
        <f>IF(Table4[[#This Row],[Performance_Ratio]] &lt; 0.85, "Underperforming", "Performing")</f>
        <v>Performing</v>
      </c>
      <c r="L1194">
        <f>Table4[[#This Row],[energy_kwh]] - Table4[[#This Row],[expected_kwh]]</f>
        <v>-41.052511857503021</v>
      </c>
      <c r="M1194" t="str">
        <f>IF(Table4[[#This Row],[Performance_Deviation]] &lt; 0, "Underperforming", "Outperforming")</f>
        <v>Underperforming</v>
      </c>
      <c r="N1194">
        <f>IF(Table4[[#This Row],[Performance_Ratio]] &lt; 0.85, Table4[[#This Row],[Performance_Deviation]] * 50 / 1000, 0)</f>
        <v>0</v>
      </c>
    </row>
    <row r="1195" spans="1:14" x14ac:dyDescent="0.3">
      <c r="A1195" s="6" t="s">
        <v>7</v>
      </c>
      <c r="B1195" s="5">
        <v>45310.708333333336</v>
      </c>
      <c r="C1195" s="6">
        <v>134.97300068504401</v>
      </c>
      <c r="D1195" s="6">
        <v>132.00745115315601</v>
      </c>
      <c r="E1195" s="6">
        <v>132.00745115315601</v>
      </c>
      <c r="F1195" s="6">
        <v>60.980530565909902</v>
      </c>
      <c r="G1195" s="6" t="str">
        <f t="shared" si="36"/>
        <v>OK</v>
      </c>
      <c r="H1195" s="6" t="str">
        <f t="shared" si="37"/>
        <v>NON-ZERO</v>
      </c>
      <c r="I1195">
        <v>155.291427061512</v>
      </c>
      <c r="J1195">
        <f>IFERROR(Table4[[#This Row],[energy_kwh]]/Table4[[#This Row],[expected_kwh]],0)</f>
        <v>0.85006270887617619</v>
      </c>
      <c r="K1195" t="str">
        <f>IF(Table4[[#This Row],[Performance_Ratio]] &lt; 0.85, "Underperforming", "Performing")</f>
        <v>Performing</v>
      </c>
      <c r="L1195">
        <f>Table4[[#This Row],[energy_kwh]] - Table4[[#This Row],[expected_kwh]]</f>
        <v>-23.283975908355984</v>
      </c>
      <c r="M1195" t="str">
        <f>IF(Table4[[#This Row],[Performance_Deviation]] &lt; 0, "Underperforming", "Outperforming")</f>
        <v>Underperforming</v>
      </c>
      <c r="N1195">
        <f>IF(Table4[[#This Row],[Performance_Ratio]] &lt; 0.85, Table4[[#This Row],[Performance_Deviation]] * 50 / 1000, 0)</f>
        <v>0</v>
      </c>
    </row>
    <row r="1196" spans="1:14" x14ac:dyDescent="0.3">
      <c r="A1196" s="4" t="s">
        <v>7</v>
      </c>
      <c r="B1196" s="3">
        <v>45310.75</v>
      </c>
      <c r="C1196" s="7">
        <v>6.5842390151330102E-14</v>
      </c>
      <c r="D1196" s="7">
        <v>6.4395738833653998E-14</v>
      </c>
      <c r="E1196" s="7">
        <v>6.4395738833653998E-14</v>
      </c>
      <c r="F1196" s="4">
        <v>58.6056645317584</v>
      </c>
      <c r="G1196" s="4" t="str">
        <f t="shared" si="36"/>
        <v>OK</v>
      </c>
      <c r="H1196" s="4" t="str">
        <f t="shared" si="37"/>
        <v>NON-ZERO</v>
      </c>
      <c r="I1196" s="2">
        <v>7.3478807948841102E-14</v>
      </c>
      <c r="J1196">
        <f>IFERROR(Table4[[#This Row],[energy_kwh]]/Table4[[#This Row],[expected_kwh]],0)</f>
        <v>0.87638518684855227</v>
      </c>
      <c r="K1196" t="str">
        <f>IF(Table4[[#This Row],[Performance_Ratio]] &lt; 0.85, "Underperforming", "Performing")</f>
        <v>Performing</v>
      </c>
      <c r="L1196">
        <f>Table4[[#This Row],[energy_kwh]] - Table4[[#This Row],[expected_kwh]]</f>
        <v>-9.0830691151871033E-15</v>
      </c>
      <c r="M1196" t="str">
        <f>IF(Table4[[#This Row],[Performance_Deviation]] &lt; 0, "Underperforming", "Outperforming")</f>
        <v>Underperforming</v>
      </c>
      <c r="N1196">
        <f>IF(Table4[[#This Row],[Performance_Ratio]] &lt; 0.85, Table4[[#This Row],[Performance_Deviation]] * 50 / 1000, 0)</f>
        <v>0</v>
      </c>
    </row>
    <row r="1197" spans="1:14" x14ac:dyDescent="0.3">
      <c r="A1197" s="6" t="s">
        <v>7</v>
      </c>
      <c r="B1197" s="5">
        <v>45310.791666666664</v>
      </c>
      <c r="C1197" s="6">
        <v>0</v>
      </c>
      <c r="D1197" s="6">
        <v>0</v>
      </c>
      <c r="E1197" s="6">
        <v>0</v>
      </c>
      <c r="F1197" s="6">
        <v>92.276389151528605</v>
      </c>
      <c r="G1197" s="6" t="str">
        <f t="shared" si="36"/>
        <v>OK</v>
      </c>
      <c r="H1197" s="6" t="str">
        <f t="shared" si="37"/>
        <v>ZERO</v>
      </c>
      <c r="I1197">
        <v>0</v>
      </c>
      <c r="J1197">
        <f>IFERROR(Table4[[#This Row],[energy_kwh]]/Table4[[#This Row],[expected_kwh]],0)</f>
        <v>0</v>
      </c>
      <c r="K1197" t="str">
        <f>IF(Table4[[#This Row],[Performance_Ratio]] &lt; 0.85, "Underperforming", "Performing")</f>
        <v>Underperforming</v>
      </c>
      <c r="L1197">
        <f>Table4[[#This Row],[energy_kwh]] - Table4[[#This Row],[expected_kwh]]</f>
        <v>0</v>
      </c>
      <c r="M1197" t="str">
        <f>IF(Table4[[#This Row],[Performance_Deviation]] &lt; 0, "Underperforming", "Outperforming")</f>
        <v>Outperforming</v>
      </c>
      <c r="N1197">
        <f>IF(Table4[[#This Row],[Performance_Ratio]] &lt; 0.85, Table4[[#This Row],[Performance_Deviation]] * 50 / 1000, 0)</f>
        <v>0</v>
      </c>
    </row>
    <row r="1198" spans="1:14" x14ac:dyDescent="0.3">
      <c r="A1198" s="4" t="s">
        <v>7</v>
      </c>
      <c r="B1198" s="3">
        <v>45310.833333333336</v>
      </c>
      <c r="C1198" s="4">
        <v>0</v>
      </c>
      <c r="D1198" s="4">
        <v>0</v>
      </c>
      <c r="E1198" s="4">
        <v>0</v>
      </c>
      <c r="F1198" s="4">
        <v>89.942503152946998</v>
      </c>
      <c r="G1198" s="4" t="str">
        <f t="shared" si="36"/>
        <v>OK</v>
      </c>
      <c r="H1198" s="4" t="str">
        <f t="shared" si="37"/>
        <v>ZERO</v>
      </c>
      <c r="I1198">
        <v>0</v>
      </c>
      <c r="J1198">
        <f>IFERROR(Table4[[#This Row],[energy_kwh]]/Table4[[#This Row],[expected_kwh]],0)</f>
        <v>0</v>
      </c>
      <c r="K1198" t="str">
        <f>IF(Table4[[#This Row],[Performance_Ratio]] &lt; 0.85, "Underperforming", "Performing")</f>
        <v>Underperforming</v>
      </c>
      <c r="L1198">
        <f>Table4[[#This Row],[energy_kwh]] - Table4[[#This Row],[expected_kwh]]</f>
        <v>0</v>
      </c>
      <c r="M1198" t="str">
        <f>IF(Table4[[#This Row],[Performance_Deviation]] &lt; 0, "Underperforming", "Outperforming")</f>
        <v>Outperforming</v>
      </c>
      <c r="N1198">
        <f>IF(Table4[[#This Row],[Performance_Ratio]] &lt; 0.85, Table4[[#This Row],[Performance_Deviation]] * 50 / 1000, 0)</f>
        <v>0</v>
      </c>
    </row>
    <row r="1199" spans="1:14" x14ac:dyDescent="0.3">
      <c r="A1199" s="6" t="s">
        <v>7</v>
      </c>
      <c r="B1199" s="5">
        <v>45310.875</v>
      </c>
      <c r="C1199" s="6">
        <v>0</v>
      </c>
      <c r="D1199" s="6">
        <v>0</v>
      </c>
      <c r="E1199" s="6">
        <v>0</v>
      </c>
      <c r="F1199" s="6">
        <v>63.6291145605107</v>
      </c>
      <c r="G1199" s="6" t="str">
        <f t="shared" si="36"/>
        <v>OK</v>
      </c>
      <c r="H1199" s="6" t="str">
        <f t="shared" si="37"/>
        <v>ZERO</v>
      </c>
      <c r="I1199">
        <v>0</v>
      </c>
      <c r="J1199">
        <f>IFERROR(Table4[[#This Row],[energy_kwh]]/Table4[[#This Row],[expected_kwh]],0)</f>
        <v>0</v>
      </c>
      <c r="K1199" t="str">
        <f>IF(Table4[[#This Row],[Performance_Ratio]] &lt; 0.85, "Underperforming", "Performing")</f>
        <v>Underperforming</v>
      </c>
      <c r="L1199">
        <f>Table4[[#This Row],[energy_kwh]] - Table4[[#This Row],[expected_kwh]]</f>
        <v>0</v>
      </c>
      <c r="M1199" t="str">
        <f>IF(Table4[[#This Row],[Performance_Deviation]] &lt; 0, "Underperforming", "Outperforming")</f>
        <v>Outperforming</v>
      </c>
      <c r="N1199">
        <f>IF(Table4[[#This Row],[Performance_Ratio]] &lt; 0.85, Table4[[#This Row],[Performance_Deviation]] * 50 / 1000, 0)</f>
        <v>0</v>
      </c>
    </row>
    <row r="1200" spans="1:14" x14ac:dyDescent="0.3">
      <c r="A1200" s="4" t="s">
        <v>7</v>
      </c>
      <c r="B1200" s="3">
        <v>45310.916666666664</v>
      </c>
      <c r="C1200" s="4">
        <v>0</v>
      </c>
      <c r="D1200" s="4">
        <v>0</v>
      </c>
      <c r="E1200" s="4">
        <v>0</v>
      </c>
      <c r="F1200" s="4">
        <v>87.443668871690093</v>
      </c>
      <c r="G1200" s="4" t="str">
        <f t="shared" si="36"/>
        <v>OK</v>
      </c>
      <c r="H1200" s="4" t="str">
        <f t="shared" si="37"/>
        <v>ZERO</v>
      </c>
      <c r="I1200">
        <v>0</v>
      </c>
      <c r="J1200">
        <f>IFERROR(Table4[[#This Row],[energy_kwh]]/Table4[[#This Row],[expected_kwh]],0)</f>
        <v>0</v>
      </c>
      <c r="K1200" t="str">
        <f>IF(Table4[[#This Row],[Performance_Ratio]] &lt; 0.85, "Underperforming", "Performing")</f>
        <v>Underperforming</v>
      </c>
      <c r="L1200">
        <f>Table4[[#This Row],[energy_kwh]] - Table4[[#This Row],[expected_kwh]]</f>
        <v>0</v>
      </c>
      <c r="M1200" t="str">
        <f>IF(Table4[[#This Row],[Performance_Deviation]] &lt; 0, "Underperforming", "Outperforming")</f>
        <v>Outperforming</v>
      </c>
      <c r="N1200">
        <f>IF(Table4[[#This Row],[Performance_Ratio]] &lt; 0.85, Table4[[#This Row],[Performance_Deviation]] * 50 / 1000, 0)</f>
        <v>0</v>
      </c>
    </row>
    <row r="1201" spans="1:14" x14ac:dyDescent="0.3">
      <c r="A1201" s="6" t="s">
        <v>7</v>
      </c>
      <c r="B1201" s="5">
        <v>45310.958333333336</v>
      </c>
      <c r="C1201" s="6">
        <v>0</v>
      </c>
      <c r="D1201" s="6">
        <v>0</v>
      </c>
      <c r="E1201" s="6">
        <v>0</v>
      </c>
      <c r="F1201" s="6">
        <v>43.2268783328891</v>
      </c>
      <c r="G1201" s="6" t="str">
        <f t="shared" si="36"/>
        <v>OK</v>
      </c>
      <c r="H1201" s="6" t="str">
        <f t="shared" si="37"/>
        <v>ZERO</v>
      </c>
      <c r="I1201">
        <v>0</v>
      </c>
      <c r="J1201">
        <f>IFERROR(Table4[[#This Row],[energy_kwh]]/Table4[[#This Row],[expected_kwh]],0)</f>
        <v>0</v>
      </c>
      <c r="K1201" t="str">
        <f>IF(Table4[[#This Row],[Performance_Ratio]] &lt; 0.85, "Underperforming", "Performing")</f>
        <v>Underperforming</v>
      </c>
      <c r="L1201">
        <f>Table4[[#This Row],[energy_kwh]] - Table4[[#This Row],[expected_kwh]]</f>
        <v>0</v>
      </c>
      <c r="M1201" t="str">
        <f>IF(Table4[[#This Row],[Performance_Deviation]] &lt; 0, "Underperforming", "Outperforming")</f>
        <v>Outperforming</v>
      </c>
      <c r="N1201">
        <f>IF(Table4[[#This Row],[Performance_Ratio]] &lt; 0.85, Table4[[#This Row],[Performance_Deviation]] * 50 / 1000, 0)</f>
        <v>0</v>
      </c>
    </row>
    <row r="1202" spans="1:14" x14ac:dyDescent="0.3">
      <c r="A1202" s="4" t="s">
        <v>7</v>
      </c>
      <c r="B1202" s="3">
        <v>45311</v>
      </c>
      <c r="C1202" s="4">
        <v>0</v>
      </c>
      <c r="D1202" s="4">
        <v>0</v>
      </c>
      <c r="E1202" s="4">
        <v>0</v>
      </c>
      <c r="F1202" s="4">
        <v>76.733831599168298</v>
      </c>
      <c r="G1202" s="4" t="str">
        <f t="shared" si="36"/>
        <v>OK</v>
      </c>
      <c r="H1202" s="4" t="str">
        <f t="shared" si="37"/>
        <v>ZERO</v>
      </c>
      <c r="I1202">
        <v>0</v>
      </c>
      <c r="J1202">
        <f>IFERROR(Table4[[#This Row],[energy_kwh]]/Table4[[#This Row],[expected_kwh]],0)</f>
        <v>0</v>
      </c>
      <c r="K1202" t="str">
        <f>IF(Table4[[#This Row],[Performance_Ratio]] &lt; 0.85, "Underperforming", "Performing")</f>
        <v>Underperforming</v>
      </c>
      <c r="L1202">
        <f>Table4[[#This Row],[energy_kwh]] - Table4[[#This Row],[expected_kwh]]</f>
        <v>0</v>
      </c>
      <c r="M1202" t="str">
        <f>IF(Table4[[#This Row],[Performance_Deviation]] &lt; 0, "Underperforming", "Outperforming")</f>
        <v>Outperforming</v>
      </c>
      <c r="N1202">
        <f>IF(Table4[[#This Row],[Performance_Ratio]] &lt; 0.85, Table4[[#This Row],[Performance_Deviation]] * 50 / 1000, 0)</f>
        <v>0</v>
      </c>
    </row>
    <row r="1203" spans="1:14" x14ac:dyDescent="0.3">
      <c r="A1203" s="6" t="s">
        <v>7</v>
      </c>
      <c r="B1203" s="5">
        <v>45311.041666666664</v>
      </c>
      <c r="C1203" s="6">
        <v>0</v>
      </c>
      <c r="D1203" s="6">
        <v>0</v>
      </c>
      <c r="E1203" s="6">
        <v>0</v>
      </c>
      <c r="F1203" s="6">
        <v>66.246648362395604</v>
      </c>
      <c r="G1203" s="6" t="str">
        <f t="shared" si="36"/>
        <v>OK</v>
      </c>
      <c r="H1203" s="6" t="str">
        <f t="shared" si="37"/>
        <v>ZERO</v>
      </c>
      <c r="I1203">
        <v>0</v>
      </c>
      <c r="J1203">
        <f>IFERROR(Table4[[#This Row],[energy_kwh]]/Table4[[#This Row],[expected_kwh]],0)</f>
        <v>0</v>
      </c>
      <c r="K1203" t="str">
        <f>IF(Table4[[#This Row],[Performance_Ratio]] &lt; 0.85, "Underperforming", "Performing")</f>
        <v>Underperforming</v>
      </c>
      <c r="L1203">
        <f>Table4[[#This Row],[energy_kwh]] - Table4[[#This Row],[expected_kwh]]</f>
        <v>0</v>
      </c>
      <c r="M1203" t="str">
        <f>IF(Table4[[#This Row],[Performance_Deviation]] &lt; 0, "Underperforming", "Outperforming")</f>
        <v>Outperforming</v>
      </c>
      <c r="N1203">
        <f>IF(Table4[[#This Row],[Performance_Ratio]] &lt; 0.85, Table4[[#This Row],[Performance_Deviation]] * 50 / 1000, 0)</f>
        <v>0</v>
      </c>
    </row>
    <row r="1204" spans="1:14" x14ac:dyDescent="0.3">
      <c r="A1204" s="4" t="s">
        <v>7</v>
      </c>
      <c r="B1204" s="3">
        <v>45311.083333333336</v>
      </c>
      <c r="C1204" s="4">
        <v>0</v>
      </c>
      <c r="D1204" s="4">
        <v>0</v>
      </c>
      <c r="E1204" s="4">
        <v>0</v>
      </c>
      <c r="F1204" s="4">
        <v>93.849085819312904</v>
      </c>
      <c r="G1204" s="4" t="str">
        <f t="shared" si="36"/>
        <v>OK</v>
      </c>
      <c r="H1204" s="4" t="str">
        <f t="shared" si="37"/>
        <v>ZERO</v>
      </c>
      <c r="I1204">
        <v>0</v>
      </c>
      <c r="J1204">
        <f>IFERROR(Table4[[#This Row],[energy_kwh]]/Table4[[#This Row],[expected_kwh]],0)</f>
        <v>0</v>
      </c>
      <c r="K1204" t="str">
        <f>IF(Table4[[#This Row],[Performance_Ratio]] &lt; 0.85, "Underperforming", "Performing")</f>
        <v>Underperforming</v>
      </c>
      <c r="L1204">
        <f>Table4[[#This Row],[energy_kwh]] - Table4[[#This Row],[expected_kwh]]</f>
        <v>0</v>
      </c>
      <c r="M1204" t="str">
        <f>IF(Table4[[#This Row],[Performance_Deviation]] &lt; 0, "Underperforming", "Outperforming")</f>
        <v>Outperforming</v>
      </c>
      <c r="N1204">
        <f>IF(Table4[[#This Row],[Performance_Ratio]] &lt; 0.85, Table4[[#This Row],[Performance_Deviation]] * 50 / 1000, 0)</f>
        <v>0</v>
      </c>
    </row>
    <row r="1205" spans="1:14" x14ac:dyDescent="0.3">
      <c r="A1205" s="6" t="s">
        <v>7</v>
      </c>
      <c r="B1205" s="5">
        <v>45311.125</v>
      </c>
      <c r="C1205" s="6">
        <v>0</v>
      </c>
      <c r="D1205" s="6">
        <v>0</v>
      </c>
      <c r="E1205" s="6">
        <v>0</v>
      </c>
      <c r="F1205" s="6">
        <v>35.265115541517197</v>
      </c>
      <c r="G1205" s="6" t="str">
        <f t="shared" si="36"/>
        <v>OK</v>
      </c>
      <c r="H1205" s="6" t="str">
        <f t="shared" si="37"/>
        <v>ZERO</v>
      </c>
      <c r="I1205">
        <v>0</v>
      </c>
      <c r="J1205">
        <f>IFERROR(Table4[[#This Row],[energy_kwh]]/Table4[[#This Row],[expected_kwh]],0)</f>
        <v>0</v>
      </c>
      <c r="K1205" t="str">
        <f>IF(Table4[[#This Row],[Performance_Ratio]] &lt; 0.85, "Underperforming", "Performing")</f>
        <v>Underperforming</v>
      </c>
      <c r="L1205">
        <f>Table4[[#This Row],[energy_kwh]] - Table4[[#This Row],[expected_kwh]]</f>
        <v>0</v>
      </c>
      <c r="M1205" t="str">
        <f>IF(Table4[[#This Row],[Performance_Deviation]] &lt; 0, "Underperforming", "Outperforming")</f>
        <v>Outperforming</v>
      </c>
      <c r="N1205">
        <f>IF(Table4[[#This Row],[Performance_Ratio]] &lt; 0.85, Table4[[#This Row],[Performance_Deviation]] * 50 / 1000, 0)</f>
        <v>0</v>
      </c>
    </row>
    <row r="1206" spans="1:14" x14ac:dyDescent="0.3">
      <c r="A1206" s="4" t="s">
        <v>7</v>
      </c>
      <c r="B1206" s="3">
        <v>45311.166666666664</v>
      </c>
      <c r="C1206" s="4">
        <v>0</v>
      </c>
      <c r="D1206" s="4">
        <v>0</v>
      </c>
      <c r="E1206" s="4">
        <v>0</v>
      </c>
      <c r="F1206" s="4">
        <v>22.582348142998502</v>
      </c>
      <c r="G1206" s="4" t="str">
        <f t="shared" si="36"/>
        <v>OK</v>
      </c>
      <c r="H1206" s="4" t="str">
        <f t="shared" si="37"/>
        <v>ZERO</v>
      </c>
      <c r="I1206">
        <v>0</v>
      </c>
      <c r="J1206">
        <f>IFERROR(Table4[[#This Row],[energy_kwh]]/Table4[[#This Row],[expected_kwh]],0)</f>
        <v>0</v>
      </c>
      <c r="K1206" t="str">
        <f>IF(Table4[[#This Row],[Performance_Ratio]] &lt; 0.85, "Underperforming", "Performing")</f>
        <v>Underperforming</v>
      </c>
      <c r="L1206">
        <f>Table4[[#This Row],[energy_kwh]] - Table4[[#This Row],[expected_kwh]]</f>
        <v>0</v>
      </c>
      <c r="M1206" t="str">
        <f>IF(Table4[[#This Row],[Performance_Deviation]] &lt; 0, "Underperforming", "Outperforming")</f>
        <v>Outperforming</v>
      </c>
      <c r="N1206">
        <f>IF(Table4[[#This Row],[Performance_Ratio]] &lt; 0.85, Table4[[#This Row],[Performance_Deviation]] * 50 / 1000, 0)</f>
        <v>0</v>
      </c>
    </row>
    <row r="1207" spans="1:14" x14ac:dyDescent="0.3">
      <c r="A1207" s="6" t="s">
        <v>7</v>
      </c>
      <c r="B1207" s="5">
        <v>45311.208333333336</v>
      </c>
      <c r="C1207" s="6">
        <v>0</v>
      </c>
      <c r="D1207" s="6">
        <v>0</v>
      </c>
      <c r="E1207" s="6">
        <v>0</v>
      </c>
      <c r="F1207" s="6">
        <v>86.392915903067305</v>
      </c>
      <c r="G1207" s="6" t="str">
        <f t="shared" si="36"/>
        <v>OK</v>
      </c>
      <c r="H1207" s="6" t="str">
        <f t="shared" si="37"/>
        <v>ZERO</v>
      </c>
      <c r="I1207">
        <v>0</v>
      </c>
      <c r="J1207">
        <f>IFERROR(Table4[[#This Row],[energy_kwh]]/Table4[[#This Row],[expected_kwh]],0)</f>
        <v>0</v>
      </c>
      <c r="K1207" t="str">
        <f>IF(Table4[[#This Row],[Performance_Ratio]] &lt; 0.85, "Underperforming", "Performing")</f>
        <v>Underperforming</v>
      </c>
      <c r="L1207">
        <f>Table4[[#This Row],[energy_kwh]] - Table4[[#This Row],[expected_kwh]]</f>
        <v>0</v>
      </c>
      <c r="M1207" t="str">
        <f>IF(Table4[[#This Row],[Performance_Deviation]] &lt; 0, "Underperforming", "Outperforming")</f>
        <v>Outperforming</v>
      </c>
      <c r="N1207">
        <f>IF(Table4[[#This Row],[Performance_Ratio]] &lt; 0.85, Table4[[#This Row],[Performance_Deviation]] * 50 / 1000, 0)</f>
        <v>0</v>
      </c>
    </row>
    <row r="1208" spans="1:14" x14ac:dyDescent="0.3">
      <c r="A1208" s="4" t="s">
        <v>7</v>
      </c>
      <c r="B1208" s="3">
        <v>45311.25</v>
      </c>
      <c r="C1208" s="4">
        <v>0</v>
      </c>
      <c r="D1208" s="4">
        <v>0</v>
      </c>
      <c r="E1208" s="4">
        <v>0</v>
      </c>
      <c r="F1208" s="4">
        <v>82.217437357127594</v>
      </c>
      <c r="G1208" s="4" t="str">
        <f t="shared" si="36"/>
        <v>OK</v>
      </c>
      <c r="H1208" s="4" t="str">
        <f t="shared" si="37"/>
        <v>ZERO</v>
      </c>
      <c r="I1208">
        <v>0</v>
      </c>
      <c r="J1208">
        <f>IFERROR(Table4[[#This Row],[energy_kwh]]/Table4[[#This Row],[expected_kwh]],0)</f>
        <v>0</v>
      </c>
      <c r="K1208" t="str">
        <f>IF(Table4[[#This Row],[Performance_Ratio]] &lt; 0.85, "Underperforming", "Performing")</f>
        <v>Underperforming</v>
      </c>
      <c r="L1208">
        <f>Table4[[#This Row],[energy_kwh]] - Table4[[#This Row],[expected_kwh]]</f>
        <v>0</v>
      </c>
      <c r="M1208" t="str">
        <f>IF(Table4[[#This Row],[Performance_Deviation]] &lt; 0, "Underperforming", "Outperforming")</f>
        <v>Outperforming</v>
      </c>
      <c r="N1208">
        <f>IF(Table4[[#This Row],[Performance_Ratio]] &lt; 0.85, Table4[[#This Row],[Performance_Deviation]] * 50 / 1000, 0)</f>
        <v>0</v>
      </c>
    </row>
    <row r="1209" spans="1:14" x14ac:dyDescent="0.3">
      <c r="A1209" s="6" t="s">
        <v>7</v>
      </c>
      <c r="B1209" s="5">
        <v>45311.291666666664</v>
      </c>
      <c r="C1209" s="6">
        <v>138.186647851407</v>
      </c>
      <c r="D1209" s="6">
        <v>135.150489903009</v>
      </c>
      <c r="E1209" s="6">
        <v>135.150489903009</v>
      </c>
      <c r="F1209" s="6">
        <v>76.356748814847606</v>
      </c>
      <c r="G1209" s="6" t="str">
        <f t="shared" si="36"/>
        <v>OK</v>
      </c>
      <c r="H1209" s="6" t="str">
        <f t="shared" si="37"/>
        <v>NON-ZERO</v>
      </c>
      <c r="I1209">
        <v>155.291427061512</v>
      </c>
      <c r="J1209">
        <f>IFERROR(Table4[[#This Row],[energy_kwh]]/Table4[[#This Row],[expected_kwh]],0)</f>
        <v>0.87030232421957832</v>
      </c>
      <c r="K1209" t="str">
        <f>IF(Table4[[#This Row],[Performance_Ratio]] &lt; 0.85, "Underperforming", "Performing")</f>
        <v>Performing</v>
      </c>
      <c r="L1209">
        <f>Table4[[#This Row],[energy_kwh]] - Table4[[#This Row],[expected_kwh]]</f>
        <v>-20.140937158502993</v>
      </c>
      <c r="M1209" t="str">
        <f>IF(Table4[[#This Row],[Performance_Deviation]] &lt; 0, "Underperforming", "Outperforming")</f>
        <v>Underperforming</v>
      </c>
      <c r="N1209">
        <f>IF(Table4[[#This Row],[Performance_Ratio]] &lt; 0.85, Table4[[#This Row],[Performance_Deviation]] * 50 / 1000, 0)</f>
        <v>0</v>
      </c>
    </row>
    <row r="1210" spans="1:14" x14ac:dyDescent="0.3">
      <c r="A1210" s="4" t="s">
        <v>7</v>
      </c>
      <c r="B1210" s="3">
        <v>45311.333333333336</v>
      </c>
      <c r="C1210" s="4">
        <v>288.507777015253</v>
      </c>
      <c r="D1210" s="4">
        <v>282.16884923909498</v>
      </c>
      <c r="E1210" s="4">
        <v>282.16884923909498</v>
      </c>
      <c r="F1210" s="4">
        <v>40.6675082231883</v>
      </c>
      <c r="G1210" s="4" t="str">
        <f t="shared" si="36"/>
        <v>OK</v>
      </c>
      <c r="H1210" s="4" t="str">
        <f t="shared" si="37"/>
        <v>NON-ZERO</v>
      </c>
      <c r="I1210">
        <v>300</v>
      </c>
      <c r="J1210">
        <f>IFERROR(Table4[[#This Row],[energy_kwh]]/Table4[[#This Row],[expected_kwh]],0)</f>
        <v>0.94056283079698322</v>
      </c>
      <c r="K1210" t="str">
        <f>IF(Table4[[#This Row],[Performance_Ratio]] &lt; 0.85, "Underperforming", "Performing")</f>
        <v>Performing</v>
      </c>
      <c r="L1210">
        <f>Table4[[#This Row],[energy_kwh]] - Table4[[#This Row],[expected_kwh]]</f>
        <v>-17.831150760905018</v>
      </c>
      <c r="M1210" t="str">
        <f>IF(Table4[[#This Row],[Performance_Deviation]] &lt; 0, "Underperforming", "Outperforming")</f>
        <v>Underperforming</v>
      </c>
      <c r="N1210">
        <f>IF(Table4[[#This Row],[Performance_Ratio]] &lt; 0.85, Table4[[#This Row],[Performance_Deviation]] * 50 / 1000, 0)</f>
        <v>0</v>
      </c>
    </row>
    <row r="1211" spans="1:14" x14ac:dyDescent="0.3">
      <c r="A1211" s="6" t="s">
        <v>7</v>
      </c>
      <c r="B1211" s="5">
        <v>45311.375</v>
      </c>
      <c r="C1211" s="6">
        <v>415.44686822613198</v>
      </c>
      <c r="D1211" s="6">
        <v>406.31890737959498</v>
      </c>
      <c r="E1211" s="6">
        <v>406.31890737959498</v>
      </c>
      <c r="F1211" s="6">
        <v>77.398722464403903</v>
      </c>
      <c r="G1211" s="6" t="str">
        <f t="shared" si="36"/>
        <v>OK</v>
      </c>
      <c r="H1211" s="6" t="str">
        <f t="shared" si="37"/>
        <v>NON-ZERO</v>
      </c>
      <c r="I1211">
        <v>424.26406871192802</v>
      </c>
      <c r="J1211">
        <f>IFERROR(Table4[[#This Row],[energy_kwh]]/Table4[[#This Row],[expected_kwh]],0)</f>
        <v>0.95770284910806891</v>
      </c>
      <c r="K1211" t="str">
        <f>IF(Table4[[#This Row],[Performance_Ratio]] &lt; 0.85, "Underperforming", "Performing")</f>
        <v>Performing</v>
      </c>
      <c r="L1211">
        <f>Table4[[#This Row],[energy_kwh]] - Table4[[#This Row],[expected_kwh]]</f>
        <v>-17.945161332333043</v>
      </c>
      <c r="M1211" t="str">
        <f>IF(Table4[[#This Row],[Performance_Deviation]] &lt; 0, "Underperforming", "Outperforming")</f>
        <v>Underperforming</v>
      </c>
      <c r="N1211">
        <f>IF(Table4[[#This Row],[Performance_Ratio]] &lt; 0.85, Table4[[#This Row],[Performance_Deviation]] * 50 / 1000, 0)</f>
        <v>0</v>
      </c>
    </row>
    <row r="1212" spans="1:14" x14ac:dyDescent="0.3">
      <c r="A1212" s="4" t="s">
        <v>7</v>
      </c>
      <c r="B1212" s="3">
        <v>45311.416666666664</v>
      </c>
      <c r="C1212" s="4">
        <v>517.25386530131402</v>
      </c>
      <c r="D1212" s="4">
        <v>505.88905937474601</v>
      </c>
      <c r="E1212" s="4">
        <v>505.88905937474601</v>
      </c>
      <c r="F1212" s="4">
        <v>41.207409279507303</v>
      </c>
      <c r="G1212" s="4" t="str">
        <f t="shared" si="36"/>
        <v>OK</v>
      </c>
      <c r="H1212" s="4" t="str">
        <f t="shared" si="37"/>
        <v>NON-ZERO</v>
      </c>
      <c r="I1212">
        <v>519.61524227066297</v>
      </c>
      <c r="J1212">
        <f>IFERROR(Table4[[#This Row],[energy_kwh]]/Table4[[#This Row],[expected_kwh]],0)</f>
        <v>0.97358394870032106</v>
      </c>
      <c r="K1212" t="str">
        <f>IF(Table4[[#This Row],[Performance_Ratio]] &lt; 0.85, "Underperforming", "Performing")</f>
        <v>Performing</v>
      </c>
      <c r="L1212">
        <f>Table4[[#This Row],[energy_kwh]] - Table4[[#This Row],[expected_kwh]]</f>
        <v>-13.726182895916963</v>
      </c>
      <c r="M1212" t="str">
        <f>IF(Table4[[#This Row],[Performance_Deviation]] &lt; 0, "Underperforming", "Outperforming")</f>
        <v>Underperforming</v>
      </c>
      <c r="N1212">
        <f>IF(Table4[[#This Row],[Performance_Ratio]] &lt; 0.85, Table4[[#This Row],[Performance_Deviation]] * 50 / 1000, 0)</f>
        <v>0</v>
      </c>
    </row>
    <row r="1213" spans="1:14" x14ac:dyDescent="0.3">
      <c r="A1213" s="6" t="s">
        <v>7</v>
      </c>
      <c r="B1213" s="5">
        <v>45311.458333333336</v>
      </c>
      <c r="C1213" s="6">
        <v>583.48734337822202</v>
      </c>
      <c r="D1213" s="6">
        <v>570.66729337388006</v>
      </c>
      <c r="E1213" s="6">
        <v>570.66729337388006</v>
      </c>
      <c r="F1213" s="6">
        <v>68.208306010994505</v>
      </c>
      <c r="G1213" s="6" t="str">
        <f t="shared" si="36"/>
        <v>OK</v>
      </c>
      <c r="H1213" s="6" t="str">
        <f t="shared" si="37"/>
        <v>NON-ZERO</v>
      </c>
      <c r="I1213">
        <v>579.55549577344095</v>
      </c>
      <c r="J1213">
        <f>IFERROR(Table4[[#This Row],[energy_kwh]]/Table4[[#This Row],[expected_kwh]],0)</f>
        <v>0.98466375961511809</v>
      </c>
      <c r="K1213" t="str">
        <f>IF(Table4[[#This Row],[Performance_Ratio]] &lt; 0.85, "Underperforming", "Performing")</f>
        <v>Performing</v>
      </c>
      <c r="L1213">
        <f>Table4[[#This Row],[energy_kwh]] - Table4[[#This Row],[expected_kwh]]</f>
        <v>-8.8882023995608961</v>
      </c>
      <c r="M1213" t="str">
        <f>IF(Table4[[#This Row],[Performance_Deviation]] &lt; 0, "Underperforming", "Outperforming")</f>
        <v>Underperforming</v>
      </c>
      <c r="N1213">
        <f>IF(Table4[[#This Row],[Performance_Ratio]] &lt; 0.85, Table4[[#This Row],[Performance_Deviation]] * 50 / 1000, 0)</f>
        <v>0</v>
      </c>
    </row>
    <row r="1214" spans="1:14" x14ac:dyDescent="0.3">
      <c r="A1214" s="4" t="s">
        <v>7</v>
      </c>
      <c r="B1214" s="3">
        <v>45311.5</v>
      </c>
      <c r="C1214" s="4">
        <v>620.91066491911397</v>
      </c>
      <c r="D1214" s="4">
        <v>607.26837110961003</v>
      </c>
      <c r="E1214" s="4">
        <v>607.26837110961003</v>
      </c>
      <c r="F1214" s="4">
        <v>33.549315598347697</v>
      </c>
      <c r="G1214" s="4" t="str">
        <f t="shared" si="36"/>
        <v>OK</v>
      </c>
      <c r="H1214" s="4" t="str">
        <f t="shared" si="37"/>
        <v>NON-ZERO</v>
      </c>
      <c r="I1214">
        <v>600</v>
      </c>
      <c r="J1214">
        <f>IFERROR(Table4[[#This Row],[energy_kwh]]/Table4[[#This Row],[expected_kwh]],0)</f>
        <v>1.01211395184935</v>
      </c>
      <c r="K1214" t="str">
        <f>IF(Table4[[#This Row],[Performance_Ratio]] &lt; 0.85, "Underperforming", "Performing")</f>
        <v>Performing</v>
      </c>
      <c r="L1214">
        <f>Table4[[#This Row],[energy_kwh]] - Table4[[#This Row],[expected_kwh]]</f>
        <v>7.2683711096100296</v>
      </c>
      <c r="M1214" t="str">
        <f>IF(Table4[[#This Row],[Performance_Deviation]] &lt; 0, "Underperforming", "Outperforming")</f>
        <v>Outperforming</v>
      </c>
      <c r="N1214">
        <f>IF(Table4[[#This Row],[Performance_Ratio]] &lt; 0.85, Table4[[#This Row],[Performance_Deviation]] * 50 / 1000, 0)</f>
        <v>0</v>
      </c>
    </row>
    <row r="1215" spans="1:14" x14ac:dyDescent="0.3">
      <c r="A1215" s="6" t="s">
        <v>7</v>
      </c>
      <c r="B1215" s="5">
        <v>45311.541666666664</v>
      </c>
      <c r="C1215" s="6">
        <v>530.57138418923796</v>
      </c>
      <c r="D1215" s="6">
        <v>518.91397335870101</v>
      </c>
      <c r="E1215" s="6">
        <v>518.91397335870101</v>
      </c>
      <c r="F1215" s="6">
        <v>44.466538023569797</v>
      </c>
      <c r="G1215" s="6" t="str">
        <f t="shared" si="36"/>
        <v>OK</v>
      </c>
      <c r="H1215" s="6" t="str">
        <f t="shared" si="37"/>
        <v>NON-ZERO</v>
      </c>
      <c r="I1215">
        <v>579.55549577344095</v>
      </c>
      <c r="J1215">
        <f>IFERROR(Table4[[#This Row],[energy_kwh]]/Table4[[#This Row],[expected_kwh]],0)</f>
        <v>0.89536546050035937</v>
      </c>
      <c r="K1215" t="str">
        <f>IF(Table4[[#This Row],[Performance_Ratio]] &lt; 0.85, "Underperforming", "Performing")</f>
        <v>Performing</v>
      </c>
      <c r="L1215">
        <f>Table4[[#This Row],[energy_kwh]] - Table4[[#This Row],[expected_kwh]]</f>
        <v>-60.641522414739939</v>
      </c>
      <c r="M1215" t="str">
        <f>IF(Table4[[#This Row],[Performance_Deviation]] &lt; 0, "Underperforming", "Outperforming")</f>
        <v>Underperforming</v>
      </c>
      <c r="N1215">
        <f>IF(Table4[[#This Row],[Performance_Ratio]] &lt; 0.85, Table4[[#This Row],[Performance_Deviation]] * 50 / 1000, 0)</f>
        <v>0</v>
      </c>
    </row>
    <row r="1216" spans="1:14" x14ac:dyDescent="0.3">
      <c r="A1216" s="4" t="s">
        <v>7</v>
      </c>
      <c r="B1216" s="3">
        <v>45311.583333333336</v>
      </c>
      <c r="C1216" s="4">
        <v>472.24150234821798</v>
      </c>
      <c r="D1216" s="4">
        <v>461.865682301844</v>
      </c>
      <c r="E1216" s="4">
        <v>461.865682301844</v>
      </c>
      <c r="F1216" s="4">
        <v>75.677745281733607</v>
      </c>
      <c r="G1216" s="4" t="str">
        <f t="shared" si="36"/>
        <v>OK</v>
      </c>
      <c r="H1216" s="4" t="str">
        <f t="shared" si="37"/>
        <v>NON-ZERO</v>
      </c>
      <c r="I1216">
        <v>519.61524227066297</v>
      </c>
      <c r="J1216">
        <f>IFERROR(Table4[[#This Row],[energy_kwh]]/Table4[[#This Row],[expected_kwh]],0)</f>
        <v>0.88886092002139971</v>
      </c>
      <c r="K1216" t="str">
        <f>IF(Table4[[#This Row],[Performance_Ratio]] &lt; 0.85, "Underperforming", "Performing")</f>
        <v>Performing</v>
      </c>
      <c r="L1216">
        <f>Table4[[#This Row],[energy_kwh]] - Table4[[#This Row],[expected_kwh]]</f>
        <v>-57.749559968818971</v>
      </c>
      <c r="M1216" t="str">
        <f>IF(Table4[[#This Row],[Performance_Deviation]] &lt; 0, "Underperforming", "Outperforming")</f>
        <v>Underperforming</v>
      </c>
      <c r="N1216">
        <f>IF(Table4[[#This Row],[Performance_Ratio]] &lt; 0.85, Table4[[#This Row],[Performance_Deviation]] * 50 / 1000, 0)</f>
        <v>0</v>
      </c>
    </row>
    <row r="1217" spans="1:14" x14ac:dyDescent="0.3">
      <c r="A1217" s="6" t="s">
        <v>7</v>
      </c>
      <c r="B1217" s="5">
        <v>45311.625</v>
      </c>
      <c r="C1217" s="6">
        <v>445.17040822719298</v>
      </c>
      <c r="D1217" s="6">
        <v>435.38937876923899</v>
      </c>
      <c r="E1217" s="6">
        <v>435.38937876923899</v>
      </c>
      <c r="F1217" s="6">
        <v>42.494704810479902</v>
      </c>
      <c r="G1217" s="6" t="str">
        <f t="shared" si="36"/>
        <v>OK</v>
      </c>
      <c r="H1217" s="6" t="str">
        <f t="shared" si="37"/>
        <v>NON-ZERO</v>
      </c>
      <c r="I1217">
        <v>424.26406871192802</v>
      </c>
      <c r="J1217">
        <f>IFERROR(Table4[[#This Row],[energy_kwh]]/Table4[[#This Row],[expected_kwh]],0)</f>
        <v>1.0262226072810916</v>
      </c>
      <c r="K1217" t="str">
        <f>IF(Table4[[#This Row],[Performance_Ratio]] &lt; 0.85, "Underperforming", "Performing")</f>
        <v>Performing</v>
      </c>
      <c r="L1217">
        <f>Table4[[#This Row],[energy_kwh]] - Table4[[#This Row],[expected_kwh]]</f>
        <v>11.125310057310969</v>
      </c>
      <c r="M1217" t="str">
        <f>IF(Table4[[#This Row],[Performance_Deviation]] &lt; 0, "Underperforming", "Outperforming")</f>
        <v>Outperforming</v>
      </c>
      <c r="N1217">
        <f>IF(Table4[[#This Row],[Performance_Ratio]] &lt; 0.85, Table4[[#This Row],[Performance_Deviation]] * 50 / 1000, 0)</f>
        <v>0</v>
      </c>
    </row>
    <row r="1218" spans="1:14" x14ac:dyDescent="0.3">
      <c r="A1218" s="4" t="s">
        <v>7</v>
      </c>
      <c r="B1218" s="3">
        <v>45311.666666666664</v>
      </c>
      <c r="C1218" s="4">
        <v>258.30016368037201</v>
      </c>
      <c r="D1218" s="4">
        <v>252.62494029790699</v>
      </c>
      <c r="E1218" s="4">
        <v>252.62494029790699</v>
      </c>
      <c r="F1218" s="4">
        <v>24.3043882766205</v>
      </c>
      <c r="G1218" s="4" t="str">
        <f t="shared" ref="G1218:G1281" si="38">IF(D1218 &gt; C1218, "ERROR", "OK")</f>
        <v>OK</v>
      </c>
      <c r="H1218" s="4" t="str">
        <f t="shared" ref="H1218:H1281" si="39">IF(E1218=0,"ZERO","NON-ZERO")</f>
        <v>NON-ZERO</v>
      </c>
      <c r="I1218">
        <v>300</v>
      </c>
      <c r="J1218">
        <f>IFERROR(Table4[[#This Row],[energy_kwh]]/Table4[[#This Row],[expected_kwh]],0)</f>
        <v>0.84208313432635662</v>
      </c>
      <c r="K1218" t="str">
        <f>IF(Table4[[#This Row],[Performance_Ratio]] &lt; 0.85, "Underperforming", "Performing")</f>
        <v>Underperforming</v>
      </c>
      <c r="L1218">
        <f>Table4[[#This Row],[energy_kwh]] - Table4[[#This Row],[expected_kwh]]</f>
        <v>-47.375059702093012</v>
      </c>
      <c r="M1218" t="str">
        <f>IF(Table4[[#This Row],[Performance_Deviation]] &lt; 0, "Underperforming", "Outperforming")</f>
        <v>Underperforming</v>
      </c>
      <c r="N1218">
        <f>IF(Table4[[#This Row],[Performance_Ratio]] &lt; 0.85, Table4[[#This Row],[Performance_Deviation]] * 50 / 1000, 0)</f>
        <v>-2.3687529851046505</v>
      </c>
    </row>
    <row r="1219" spans="1:14" x14ac:dyDescent="0.3">
      <c r="A1219" s="6" t="s">
        <v>7</v>
      </c>
      <c r="B1219" s="5">
        <v>45311.708333333336</v>
      </c>
      <c r="C1219" s="6">
        <v>146.45728463913699</v>
      </c>
      <c r="D1219" s="6">
        <v>143.23940899216399</v>
      </c>
      <c r="E1219" s="6">
        <v>143.23940899216399</v>
      </c>
      <c r="F1219" s="6">
        <v>31.3807184714789</v>
      </c>
      <c r="G1219" s="6" t="str">
        <f t="shared" si="38"/>
        <v>OK</v>
      </c>
      <c r="H1219" s="6" t="str">
        <f t="shared" si="39"/>
        <v>NON-ZERO</v>
      </c>
      <c r="I1219">
        <v>155.291427061512</v>
      </c>
      <c r="J1219">
        <f>IFERROR(Table4[[#This Row],[energy_kwh]]/Table4[[#This Row],[expected_kwh]],0)</f>
        <v>0.92239096325276138</v>
      </c>
      <c r="K1219" t="str">
        <f>IF(Table4[[#This Row],[Performance_Ratio]] &lt; 0.85, "Underperforming", "Performing")</f>
        <v>Performing</v>
      </c>
      <c r="L1219">
        <f>Table4[[#This Row],[energy_kwh]] - Table4[[#This Row],[expected_kwh]]</f>
        <v>-12.052018069348009</v>
      </c>
      <c r="M1219" t="str">
        <f>IF(Table4[[#This Row],[Performance_Deviation]] &lt; 0, "Underperforming", "Outperforming")</f>
        <v>Underperforming</v>
      </c>
      <c r="N1219">
        <f>IF(Table4[[#This Row],[Performance_Ratio]] &lt; 0.85, Table4[[#This Row],[Performance_Deviation]] * 50 / 1000, 0)</f>
        <v>0</v>
      </c>
    </row>
    <row r="1220" spans="1:14" x14ac:dyDescent="0.3">
      <c r="A1220" s="4" t="s">
        <v>7</v>
      </c>
      <c r="B1220" s="3">
        <v>45311.75</v>
      </c>
      <c r="C1220" s="7">
        <v>7.8468342030867497E-14</v>
      </c>
      <c r="D1220" s="7">
        <v>7.6744280523775894E-14</v>
      </c>
      <c r="E1220" s="7">
        <v>7.6744280523775894E-14</v>
      </c>
      <c r="F1220" s="4">
        <v>50.804865761825901</v>
      </c>
      <c r="G1220" s="4" t="str">
        <f t="shared" si="38"/>
        <v>OK</v>
      </c>
      <c r="H1220" s="4" t="str">
        <f t="shared" si="39"/>
        <v>NON-ZERO</v>
      </c>
      <c r="I1220" s="2">
        <v>7.3478807948841102E-14</v>
      </c>
      <c r="J1220">
        <f>IFERROR(Table4[[#This Row],[energy_kwh]]/Table4[[#This Row],[expected_kwh]],0)</f>
        <v>1.0444410118521295</v>
      </c>
      <c r="K1220" t="str">
        <f>IF(Table4[[#This Row],[Performance_Ratio]] &lt; 0.85, "Underperforming", "Performing")</f>
        <v>Performing</v>
      </c>
      <c r="L1220">
        <f>Table4[[#This Row],[energy_kwh]] - Table4[[#This Row],[expected_kwh]]</f>
        <v>3.2654725749347929E-15</v>
      </c>
      <c r="M1220" t="str">
        <f>IF(Table4[[#This Row],[Performance_Deviation]] &lt; 0, "Underperforming", "Outperforming")</f>
        <v>Outperforming</v>
      </c>
      <c r="N1220">
        <f>IF(Table4[[#This Row],[Performance_Ratio]] &lt; 0.85, Table4[[#This Row],[Performance_Deviation]] * 50 / 1000, 0)</f>
        <v>0</v>
      </c>
    </row>
    <row r="1221" spans="1:14" x14ac:dyDescent="0.3">
      <c r="A1221" s="6" t="s">
        <v>7</v>
      </c>
      <c r="B1221" s="5">
        <v>45311.791666666664</v>
      </c>
      <c r="C1221" s="6">
        <v>0</v>
      </c>
      <c r="D1221" s="6">
        <v>0</v>
      </c>
      <c r="E1221" s="6">
        <v>0</v>
      </c>
      <c r="F1221" s="6">
        <v>71.879008560101596</v>
      </c>
      <c r="G1221" s="6" t="str">
        <f t="shared" si="38"/>
        <v>OK</v>
      </c>
      <c r="H1221" s="6" t="str">
        <f t="shared" si="39"/>
        <v>ZERO</v>
      </c>
      <c r="I1221">
        <v>0</v>
      </c>
      <c r="J1221">
        <f>IFERROR(Table4[[#This Row],[energy_kwh]]/Table4[[#This Row],[expected_kwh]],0)</f>
        <v>0</v>
      </c>
      <c r="K1221" t="str">
        <f>IF(Table4[[#This Row],[Performance_Ratio]] &lt; 0.85, "Underperforming", "Performing")</f>
        <v>Underperforming</v>
      </c>
      <c r="L1221">
        <f>Table4[[#This Row],[energy_kwh]] - Table4[[#This Row],[expected_kwh]]</f>
        <v>0</v>
      </c>
      <c r="M1221" t="str">
        <f>IF(Table4[[#This Row],[Performance_Deviation]] &lt; 0, "Underperforming", "Outperforming")</f>
        <v>Outperforming</v>
      </c>
      <c r="N1221">
        <f>IF(Table4[[#This Row],[Performance_Ratio]] &lt; 0.85, Table4[[#This Row],[Performance_Deviation]] * 50 / 1000, 0)</f>
        <v>0</v>
      </c>
    </row>
    <row r="1222" spans="1:14" x14ac:dyDescent="0.3">
      <c r="A1222" s="4" t="s">
        <v>7</v>
      </c>
      <c r="B1222" s="3">
        <v>45311.833333333336</v>
      </c>
      <c r="C1222" s="4">
        <v>0</v>
      </c>
      <c r="D1222" s="4">
        <v>0</v>
      </c>
      <c r="E1222" s="4">
        <v>0</v>
      </c>
      <c r="F1222" s="4">
        <v>51.555242192646197</v>
      </c>
      <c r="G1222" s="4" t="str">
        <f t="shared" si="38"/>
        <v>OK</v>
      </c>
      <c r="H1222" s="4" t="str">
        <f t="shared" si="39"/>
        <v>ZERO</v>
      </c>
      <c r="I1222">
        <v>0</v>
      </c>
      <c r="J1222">
        <f>IFERROR(Table4[[#This Row],[energy_kwh]]/Table4[[#This Row],[expected_kwh]],0)</f>
        <v>0</v>
      </c>
      <c r="K1222" t="str">
        <f>IF(Table4[[#This Row],[Performance_Ratio]] &lt; 0.85, "Underperforming", "Performing")</f>
        <v>Underperforming</v>
      </c>
      <c r="L1222">
        <f>Table4[[#This Row],[energy_kwh]] - Table4[[#This Row],[expected_kwh]]</f>
        <v>0</v>
      </c>
      <c r="M1222" t="str">
        <f>IF(Table4[[#This Row],[Performance_Deviation]] &lt; 0, "Underperforming", "Outperforming")</f>
        <v>Outperforming</v>
      </c>
      <c r="N1222">
        <f>IF(Table4[[#This Row],[Performance_Ratio]] &lt; 0.85, Table4[[#This Row],[Performance_Deviation]] * 50 / 1000, 0)</f>
        <v>0</v>
      </c>
    </row>
    <row r="1223" spans="1:14" x14ac:dyDescent="0.3">
      <c r="A1223" s="6" t="s">
        <v>7</v>
      </c>
      <c r="B1223" s="5">
        <v>45311.875</v>
      </c>
      <c r="C1223" s="6">
        <v>0</v>
      </c>
      <c r="D1223" s="6">
        <v>0</v>
      </c>
      <c r="E1223" s="6">
        <v>0</v>
      </c>
      <c r="F1223" s="6">
        <v>73.794640689931697</v>
      </c>
      <c r="G1223" s="6" t="str">
        <f t="shared" si="38"/>
        <v>OK</v>
      </c>
      <c r="H1223" s="6" t="str">
        <f t="shared" si="39"/>
        <v>ZERO</v>
      </c>
      <c r="I1223">
        <v>0</v>
      </c>
      <c r="J1223">
        <f>IFERROR(Table4[[#This Row],[energy_kwh]]/Table4[[#This Row],[expected_kwh]],0)</f>
        <v>0</v>
      </c>
      <c r="K1223" t="str">
        <f>IF(Table4[[#This Row],[Performance_Ratio]] &lt; 0.85, "Underperforming", "Performing")</f>
        <v>Underperforming</v>
      </c>
      <c r="L1223">
        <f>Table4[[#This Row],[energy_kwh]] - Table4[[#This Row],[expected_kwh]]</f>
        <v>0</v>
      </c>
      <c r="M1223" t="str">
        <f>IF(Table4[[#This Row],[Performance_Deviation]] &lt; 0, "Underperforming", "Outperforming")</f>
        <v>Outperforming</v>
      </c>
      <c r="N1223">
        <f>IF(Table4[[#This Row],[Performance_Ratio]] &lt; 0.85, Table4[[#This Row],[Performance_Deviation]] * 50 / 1000, 0)</f>
        <v>0</v>
      </c>
    </row>
    <row r="1224" spans="1:14" x14ac:dyDescent="0.3">
      <c r="A1224" s="4" t="s">
        <v>7</v>
      </c>
      <c r="B1224" s="3">
        <v>45311.916666666664</v>
      </c>
      <c r="C1224" s="4">
        <v>0</v>
      </c>
      <c r="D1224" s="4">
        <v>0</v>
      </c>
      <c r="E1224" s="4">
        <v>0</v>
      </c>
      <c r="F1224" s="4">
        <v>55.633127369887603</v>
      </c>
      <c r="G1224" s="4" t="str">
        <f t="shared" si="38"/>
        <v>OK</v>
      </c>
      <c r="H1224" s="4" t="str">
        <f t="shared" si="39"/>
        <v>ZERO</v>
      </c>
      <c r="I1224">
        <v>0</v>
      </c>
      <c r="J1224">
        <f>IFERROR(Table4[[#This Row],[energy_kwh]]/Table4[[#This Row],[expected_kwh]],0)</f>
        <v>0</v>
      </c>
      <c r="K1224" t="str">
        <f>IF(Table4[[#This Row],[Performance_Ratio]] &lt; 0.85, "Underperforming", "Performing")</f>
        <v>Underperforming</v>
      </c>
      <c r="L1224">
        <f>Table4[[#This Row],[energy_kwh]] - Table4[[#This Row],[expected_kwh]]</f>
        <v>0</v>
      </c>
      <c r="M1224" t="str">
        <f>IF(Table4[[#This Row],[Performance_Deviation]] &lt; 0, "Underperforming", "Outperforming")</f>
        <v>Outperforming</v>
      </c>
      <c r="N1224">
        <f>IF(Table4[[#This Row],[Performance_Ratio]] &lt; 0.85, Table4[[#This Row],[Performance_Deviation]] * 50 / 1000, 0)</f>
        <v>0</v>
      </c>
    </row>
    <row r="1225" spans="1:14" x14ac:dyDescent="0.3">
      <c r="A1225" s="6" t="s">
        <v>7</v>
      </c>
      <c r="B1225" s="5">
        <v>45311.958333333336</v>
      </c>
      <c r="C1225" s="6">
        <v>0</v>
      </c>
      <c r="D1225" s="6">
        <v>0</v>
      </c>
      <c r="E1225" s="6">
        <v>0</v>
      </c>
      <c r="F1225" s="6">
        <v>72.287469071776201</v>
      </c>
      <c r="G1225" s="6" t="str">
        <f t="shared" si="38"/>
        <v>OK</v>
      </c>
      <c r="H1225" s="6" t="str">
        <f t="shared" si="39"/>
        <v>ZERO</v>
      </c>
      <c r="I1225">
        <v>0</v>
      </c>
      <c r="J1225">
        <f>IFERROR(Table4[[#This Row],[energy_kwh]]/Table4[[#This Row],[expected_kwh]],0)</f>
        <v>0</v>
      </c>
      <c r="K1225" t="str">
        <f>IF(Table4[[#This Row],[Performance_Ratio]] &lt; 0.85, "Underperforming", "Performing")</f>
        <v>Underperforming</v>
      </c>
      <c r="L1225">
        <f>Table4[[#This Row],[energy_kwh]] - Table4[[#This Row],[expected_kwh]]</f>
        <v>0</v>
      </c>
      <c r="M1225" t="str">
        <f>IF(Table4[[#This Row],[Performance_Deviation]] &lt; 0, "Underperforming", "Outperforming")</f>
        <v>Outperforming</v>
      </c>
      <c r="N1225">
        <f>IF(Table4[[#This Row],[Performance_Ratio]] &lt; 0.85, Table4[[#This Row],[Performance_Deviation]] * 50 / 1000, 0)</f>
        <v>0</v>
      </c>
    </row>
    <row r="1226" spans="1:14" x14ac:dyDescent="0.3">
      <c r="A1226" s="4" t="s">
        <v>7</v>
      </c>
      <c r="B1226" s="3">
        <v>45312</v>
      </c>
      <c r="C1226" s="4">
        <v>0</v>
      </c>
      <c r="D1226" s="4">
        <v>0</v>
      </c>
      <c r="E1226" s="4">
        <v>0</v>
      </c>
      <c r="F1226" s="4">
        <v>85.8312053646968</v>
      </c>
      <c r="G1226" s="4" t="str">
        <f t="shared" si="38"/>
        <v>OK</v>
      </c>
      <c r="H1226" s="4" t="str">
        <f t="shared" si="39"/>
        <v>ZERO</v>
      </c>
      <c r="I1226">
        <v>0</v>
      </c>
      <c r="J1226">
        <f>IFERROR(Table4[[#This Row],[energy_kwh]]/Table4[[#This Row],[expected_kwh]],0)</f>
        <v>0</v>
      </c>
      <c r="K1226" t="str">
        <f>IF(Table4[[#This Row],[Performance_Ratio]] &lt; 0.85, "Underperforming", "Performing")</f>
        <v>Underperforming</v>
      </c>
      <c r="L1226">
        <f>Table4[[#This Row],[energy_kwh]] - Table4[[#This Row],[expected_kwh]]</f>
        <v>0</v>
      </c>
      <c r="M1226" t="str">
        <f>IF(Table4[[#This Row],[Performance_Deviation]] &lt; 0, "Underperforming", "Outperforming")</f>
        <v>Outperforming</v>
      </c>
      <c r="N1226">
        <f>IF(Table4[[#This Row],[Performance_Ratio]] &lt; 0.85, Table4[[#This Row],[Performance_Deviation]] * 50 / 1000, 0)</f>
        <v>0</v>
      </c>
    </row>
    <row r="1227" spans="1:14" x14ac:dyDescent="0.3">
      <c r="A1227" s="6" t="s">
        <v>7</v>
      </c>
      <c r="B1227" s="5">
        <v>45312.041666666664</v>
      </c>
      <c r="C1227" s="6">
        <v>0</v>
      </c>
      <c r="D1227" s="6">
        <v>0</v>
      </c>
      <c r="E1227" s="6">
        <v>0</v>
      </c>
      <c r="F1227" s="6">
        <v>61.826651838908901</v>
      </c>
      <c r="G1227" s="6" t="str">
        <f t="shared" si="38"/>
        <v>OK</v>
      </c>
      <c r="H1227" s="6" t="str">
        <f t="shared" si="39"/>
        <v>ZERO</v>
      </c>
      <c r="I1227">
        <v>0</v>
      </c>
      <c r="J1227">
        <f>IFERROR(Table4[[#This Row],[energy_kwh]]/Table4[[#This Row],[expected_kwh]],0)</f>
        <v>0</v>
      </c>
      <c r="K1227" t="str">
        <f>IF(Table4[[#This Row],[Performance_Ratio]] &lt; 0.85, "Underperforming", "Performing")</f>
        <v>Underperforming</v>
      </c>
      <c r="L1227">
        <f>Table4[[#This Row],[energy_kwh]] - Table4[[#This Row],[expected_kwh]]</f>
        <v>0</v>
      </c>
      <c r="M1227" t="str">
        <f>IF(Table4[[#This Row],[Performance_Deviation]] &lt; 0, "Underperforming", "Outperforming")</f>
        <v>Outperforming</v>
      </c>
      <c r="N1227">
        <f>IF(Table4[[#This Row],[Performance_Ratio]] &lt; 0.85, Table4[[#This Row],[Performance_Deviation]] * 50 / 1000, 0)</f>
        <v>0</v>
      </c>
    </row>
    <row r="1228" spans="1:14" x14ac:dyDescent="0.3">
      <c r="A1228" s="4" t="s">
        <v>7</v>
      </c>
      <c r="B1228" s="3">
        <v>45312.083333333336</v>
      </c>
      <c r="C1228" s="4">
        <v>0</v>
      </c>
      <c r="D1228" s="4">
        <v>0</v>
      </c>
      <c r="E1228" s="4">
        <v>0</v>
      </c>
      <c r="F1228" s="4">
        <v>42.867734328879699</v>
      </c>
      <c r="G1228" s="4" t="str">
        <f t="shared" si="38"/>
        <v>OK</v>
      </c>
      <c r="H1228" s="4" t="str">
        <f t="shared" si="39"/>
        <v>ZERO</v>
      </c>
      <c r="I1228">
        <v>0</v>
      </c>
      <c r="J1228">
        <f>IFERROR(Table4[[#This Row],[energy_kwh]]/Table4[[#This Row],[expected_kwh]],0)</f>
        <v>0</v>
      </c>
      <c r="K1228" t="str">
        <f>IF(Table4[[#This Row],[Performance_Ratio]] &lt; 0.85, "Underperforming", "Performing")</f>
        <v>Underperforming</v>
      </c>
      <c r="L1228">
        <f>Table4[[#This Row],[energy_kwh]] - Table4[[#This Row],[expected_kwh]]</f>
        <v>0</v>
      </c>
      <c r="M1228" t="str">
        <f>IF(Table4[[#This Row],[Performance_Deviation]] &lt; 0, "Underperforming", "Outperforming")</f>
        <v>Outperforming</v>
      </c>
      <c r="N1228">
        <f>IF(Table4[[#This Row],[Performance_Ratio]] &lt; 0.85, Table4[[#This Row],[Performance_Deviation]] * 50 / 1000, 0)</f>
        <v>0</v>
      </c>
    </row>
    <row r="1229" spans="1:14" x14ac:dyDescent="0.3">
      <c r="A1229" s="6" t="s">
        <v>7</v>
      </c>
      <c r="B1229" s="5">
        <v>45312.125</v>
      </c>
      <c r="C1229" s="6">
        <v>0</v>
      </c>
      <c r="D1229" s="6">
        <v>0</v>
      </c>
      <c r="E1229" s="6">
        <v>0</v>
      </c>
      <c r="F1229" s="6">
        <v>42.339454879265801</v>
      </c>
      <c r="G1229" s="6" t="str">
        <f t="shared" si="38"/>
        <v>OK</v>
      </c>
      <c r="H1229" s="6" t="str">
        <f t="shared" si="39"/>
        <v>ZERO</v>
      </c>
      <c r="I1229">
        <v>0</v>
      </c>
      <c r="J1229">
        <f>IFERROR(Table4[[#This Row],[energy_kwh]]/Table4[[#This Row],[expected_kwh]],0)</f>
        <v>0</v>
      </c>
      <c r="K1229" t="str">
        <f>IF(Table4[[#This Row],[Performance_Ratio]] &lt; 0.85, "Underperforming", "Performing")</f>
        <v>Underperforming</v>
      </c>
      <c r="L1229">
        <f>Table4[[#This Row],[energy_kwh]] - Table4[[#This Row],[expected_kwh]]</f>
        <v>0</v>
      </c>
      <c r="M1229" t="str">
        <f>IF(Table4[[#This Row],[Performance_Deviation]] &lt; 0, "Underperforming", "Outperforming")</f>
        <v>Outperforming</v>
      </c>
      <c r="N1229">
        <f>IF(Table4[[#This Row],[Performance_Ratio]] &lt; 0.85, Table4[[#This Row],[Performance_Deviation]] * 50 / 1000, 0)</f>
        <v>0</v>
      </c>
    </row>
    <row r="1230" spans="1:14" x14ac:dyDescent="0.3">
      <c r="A1230" s="4" t="s">
        <v>7</v>
      </c>
      <c r="B1230" s="3">
        <v>45312.166666666664</v>
      </c>
      <c r="C1230" s="4">
        <v>0</v>
      </c>
      <c r="D1230" s="4">
        <v>0</v>
      </c>
      <c r="E1230" s="4">
        <v>0</v>
      </c>
      <c r="F1230" s="4">
        <v>44.954710738278401</v>
      </c>
      <c r="G1230" s="4" t="str">
        <f t="shared" si="38"/>
        <v>OK</v>
      </c>
      <c r="H1230" s="4" t="str">
        <f t="shared" si="39"/>
        <v>ZERO</v>
      </c>
      <c r="I1230">
        <v>0</v>
      </c>
      <c r="J1230">
        <f>IFERROR(Table4[[#This Row],[energy_kwh]]/Table4[[#This Row],[expected_kwh]],0)</f>
        <v>0</v>
      </c>
      <c r="K1230" t="str">
        <f>IF(Table4[[#This Row],[Performance_Ratio]] &lt; 0.85, "Underperforming", "Performing")</f>
        <v>Underperforming</v>
      </c>
      <c r="L1230">
        <f>Table4[[#This Row],[energy_kwh]] - Table4[[#This Row],[expected_kwh]]</f>
        <v>0</v>
      </c>
      <c r="M1230" t="str">
        <f>IF(Table4[[#This Row],[Performance_Deviation]] &lt; 0, "Underperforming", "Outperforming")</f>
        <v>Outperforming</v>
      </c>
      <c r="N1230">
        <f>IF(Table4[[#This Row],[Performance_Ratio]] &lt; 0.85, Table4[[#This Row],[Performance_Deviation]] * 50 / 1000, 0)</f>
        <v>0</v>
      </c>
    </row>
    <row r="1231" spans="1:14" x14ac:dyDescent="0.3">
      <c r="A1231" s="6" t="s">
        <v>7</v>
      </c>
      <c r="B1231" s="5">
        <v>45312.208333333336</v>
      </c>
      <c r="C1231" s="6">
        <v>0</v>
      </c>
      <c r="D1231" s="6">
        <v>0</v>
      </c>
      <c r="E1231" s="6">
        <v>0</v>
      </c>
      <c r="F1231" s="6">
        <v>94.109305696597602</v>
      </c>
      <c r="G1231" s="6" t="str">
        <f t="shared" si="38"/>
        <v>OK</v>
      </c>
      <c r="H1231" s="6" t="str">
        <f t="shared" si="39"/>
        <v>ZERO</v>
      </c>
      <c r="I1231">
        <v>0</v>
      </c>
      <c r="J1231">
        <f>IFERROR(Table4[[#This Row],[energy_kwh]]/Table4[[#This Row],[expected_kwh]],0)</f>
        <v>0</v>
      </c>
      <c r="K1231" t="str">
        <f>IF(Table4[[#This Row],[Performance_Ratio]] &lt; 0.85, "Underperforming", "Performing")</f>
        <v>Underperforming</v>
      </c>
      <c r="L1231">
        <f>Table4[[#This Row],[energy_kwh]] - Table4[[#This Row],[expected_kwh]]</f>
        <v>0</v>
      </c>
      <c r="M1231" t="str">
        <f>IF(Table4[[#This Row],[Performance_Deviation]] &lt; 0, "Underperforming", "Outperforming")</f>
        <v>Outperforming</v>
      </c>
      <c r="N1231">
        <f>IF(Table4[[#This Row],[Performance_Ratio]] &lt; 0.85, Table4[[#This Row],[Performance_Deviation]] * 50 / 1000, 0)</f>
        <v>0</v>
      </c>
    </row>
    <row r="1232" spans="1:14" x14ac:dyDescent="0.3">
      <c r="A1232" s="4" t="s">
        <v>7</v>
      </c>
      <c r="B1232" s="3">
        <v>45312.25</v>
      </c>
      <c r="C1232" s="4">
        <v>0</v>
      </c>
      <c r="D1232" s="4">
        <v>0</v>
      </c>
      <c r="E1232" s="4">
        <v>0</v>
      </c>
      <c r="F1232" s="4">
        <v>73.225350762839298</v>
      </c>
      <c r="G1232" s="4" t="str">
        <f t="shared" si="38"/>
        <v>OK</v>
      </c>
      <c r="H1232" s="4" t="str">
        <f t="shared" si="39"/>
        <v>ZERO</v>
      </c>
      <c r="I1232">
        <v>0</v>
      </c>
      <c r="J1232">
        <f>IFERROR(Table4[[#This Row],[energy_kwh]]/Table4[[#This Row],[expected_kwh]],0)</f>
        <v>0</v>
      </c>
      <c r="K1232" t="str">
        <f>IF(Table4[[#This Row],[Performance_Ratio]] &lt; 0.85, "Underperforming", "Performing")</f>
        <v>Underperforming</v>
      </c>
      <c r="L1232">
        <f>Table4[[#This Row],[energy_kwh]] - Table4[[#This Row],[expected_kwh]]</f>
        <v>0</v>
      </c>
      <c r="M1232" t="str">
        <f>IF(Table4[[#This Row],[Performance_Deviation]] &lt; 0, "Underperforming", "Outperforming")</f>
        <v>Outperforming</v>
      </c>
      <c r="N1232">
        <f>IF(Table4[[#This Row],[Performance_Ratio]] &lt; 0.85, Table4[[#This Row],[Performance_Deviation]] * 50 / 1000, 0)</f>
        <v>0</v>
      </c>
    </row>
    <row r="1233" spans="1:14" x14ac:dyDescent="0.3">
      <c r="A1233" s="6" t="s">
        <v>7</v>
      </c>
      <c r="B1233" s="5">
        <v>45312.291666666664</v>
      </c>
      <c r="C1233" s="6">
        <v>146.86171292087101</v>
      </c>
      <c r="D1233" s="6">
        <v>143.634951407128</v>
      </c>
      <c r="E1233" s="6">
        <v>143.634951407128</v>
      </c>
      <c r="F1233" s="6">
        <v>27.252091984067501</v>
      </c>
      <c r="G1233" s="6" t="str">
        <f t="shared" si="38"/>
        <v>OK</v>
      </c>
      <c r="H1233" s="6" t="str">
        <f t="shared" si="39"/>
        <v>NON-ZERO</v>
      </c>
      <c r="I1233">
        <v>155.291427061512</v>
      </c>
      <c r="J1233">
        <f>IFERROR(Table4[[#This Row],[energy_kwh]]/Table4[[#This Row],[expected_kwh]],0)</f>
        <v>0.92493806081280461</v>
      </c>
      <c r="K1233" t="str">
        <f>IF(Table4[[#This Row],[Performance_Ratio]] &lt; 0.85, "Underperforming", "Performing")</f>
        <v>Performing</v>
      </c>
      <c r="L1233">
        <f>Table4[[#This Row],[energy_kwh]] - Table4[[#This Row],[expected_kwh]]</f>
        <v>-11.656475654383996</v>
      </c>
      <c r="M1233" t="str">
        <f>IF(Table4[[#This Row],[Performance_Deviation]] &lt; 0, "Underperforming", "Outperforming")</f>
        <v>Underperforming</v>
      </c>
      <c r="N1233">
        <f>IF(Table4[[#This Row],[Performance_Ratio]] &lt; 0.85, Table4[[#This Row],[Performance_Deviation]] * 50 / 1000, 0)</f>
        <v>0</v>
      </c>
    </row>
    <row r="1234" spans="1:14" x14ac:dyDescent="0.3">
      <c r="A1234" s="4" t="s">
        <v>7</v>
      </c>
      <c r="B1234" s="3">
        <v>45312.333333333336</v>
      </c>
      <c r="C1234" s="4">
        <v>264.58479963774403</v>
      </c>
      <c r="D1234" s="4">
        <v>258.77149383044701</v>
      </c>
      <c r="E1234" s="4">
        <v>258.77149383044701</v>
      </c>
      <c r="F1234" s="4">
        <v>21.638503398965099</v>
      </c>
      <c r="G1234" s="4" t="str">
        <f t="shared" si="38"/>
        <v>OK</v>
      </c>
      <c r="H1234" s="4" t="str">
        <f t="shared" si="39"/>
        <v>NON-ZERO</v>
      </c>
      <c r="I1234">
        <v>300</v>
      </c>
      <c r="J1234">
        <f>IFERROR(Table4[[#This Row],[energy_kwh]]/Table4[[#This Row],[expected_kwh]],0)</f>
        <v>0.86257164610149006</v>
      </c>
      <c r="K1234" t="str">
        <f>IF(Table4[[#This Row],[Performance_Ratio]] &lt; 0.85, "Underperforming", "Performing")</f>
        <v>Performing</v>
      </c>
      <c r="L1234">
        <f>Table4[[#This Row],[energy_kwh]] - Table4[[#This Row],[expected_kwh]]</f>
        <v>-41.228506169552986</v>
      </c>
      <c r="M1234" t="str">
        <f>IF(Table4[[#This Row],[Performance_Deviation]] &lt; 0, "Underperforming", "Outperforming")</f>
        <v>Underperforming</v>
      </c>
      <c r="N1234">
        <f>IF(Table4[[#This Row],[Performance_Ratio]] &lt; 0.85, Table4[[#This Row],[Performance_Deviation]] * 50 / 1000, 0)</f>
        <v>0</v>
      </c>
    </row>
    <row r="1235" spans="1:14" x14ac:dyDescent="0.3">
      <c r="A1235" s="6" t="s">
        <v>7</v>
      </c>
      <c r="B1235" s="5">
        <v>45312.375</v>
      </c>
      <c r="C1235" s="6">
        <v>432.224265513349</v>
      </c>
      <c r="D1235" s="6">
        <v>422.72768129459098</v>
      </c>
      <c r="E1235" s="6">
        <v>422.72768129459098</v>
      </c>
      <c r="F1235" s="6">
        <v>55.079046197836298</v>
      </c>
      <c r="G1235" s="6" t="str">
        <f t="shared" si="38"/>
        <v>OK</v>
      </c>
      <c r="H1235" s="6" t="str">
        <f t="shared" si="39"/>
        <v>NON-ZERO</v>
      </c>
      <c r="I1235">
        <v>424.26406871192802</v>
      </c>
      <c r="J1235">
        <f>IFERROR(Table4[[#This Row],[energy_kwh]]/Table4[[#This Row],[expected_kwh]],0)</f>
        <v>0.99637870012890428</v>
      </c>
      <c r="K1235" t="str">
        <f>IF(Table4[[#This Row],[Performance_Ratio]] &lt; 0.85, "Underperforming", "Performing")</f>
        <v>Performing</v>
      </c>
      <c r="L1235">
        <f>Table4[[#This Row],[energy_kwh]] - Table4[[#This Row],[expected_kwh]]</f>
        <v>-1.5363874173370391</v>
      </c>
      <c r="M1235" t="str">
        <f>IF(Table4[[#This Row],[Performance_Deviation]] &lt; 0, "Underperforming", "Outperforming")</f>
        <v>Underperforming</v>
      </c>
      <c r="N1235">
        <f>IF(Table4[[#This Row],[Performance_Ratio]] &lt; 0.85, Table4[[#This Row],[Performance_Deviation]] * 50 / 1000, 0)</f>
        <v>0</v>
      </c>
    </row>
    <row r="1236" spans="1:14" x14ac:dyDescent="0.3">
      <c r="A1236" s="4" t="s">
        <v>7</v>
      </c>
      <c r="B1236" s="3">
        <v>45312.416666666664</v>
      </c>
      <c r="C1236" s="4">
        <v>446.03019897753899</v>
      </c>
      <c r="D1236" s="4">
        <v>436.23027868923799</v>
      </c>
      <c r="E1236" s="4">
        <v>436.23027868923799</v>
      </c>
      <c r="F1236" s="4">
        <v>20.788491840624001</v>
      </c>
      <c r="G1236" s="4" t="str">
        <f t="shared" si="38"/>
        <v>OK</v>
      </c>
      <c r="H1236" s="4" t="str">
        <f t="shared" si="39"/>
        <v>NON-ZERO</v>
      </c>
      <c r="I1236">
        <v>519.61524227066297</v>
      </c>
      <c r="J1236">
        <f>IFERROR(Table4[[#This Row],[energy_kwh]]/Table4[[#This Row],[expected_kwh]],0)</f>
        <v>0.83952556276632373</v>
      </c>
      <c r="K1236" t="str">
        <f>IF(Table4[[#This Row],[Performance_Ratio]] &lt; 0.85, "Underperforming", "Performing")</f>
        <v>Underperforming</v>
      </c>
      <c r="L1236">
        <f>Table4[[#This Row],[energy_kwh]] - Table4[[#This Row],[expected_kwh]]</f>
        <v>-83.384963581424984</v>
      </c>
      <c r="M1236" t="str">
        <f>IF(Table4[[#This Row],[Performance_Deviation]] &lt; 0, "Underperforming", "Outperforming")</f>
        <v>Underperforming</v>
      </c>
      <c r="N1236">
        <f>IF(Table4[[#This Row],[Performance_Ratio]] &lt; 0.85, Table4[[#This Row],[Performance_Deviation]] * 50 / 1000, 0)</f>
        <v>-4.169248179071249</v>
      </c>
    </row>
    <row r="1237" spans="1:14" x14ac:dyDescent="0.3">
      <c r="A1237" s="6" t="s">
        <v>7</v>
      </c>
      <c r="B1237" s="5">
        <v>45312.458333333336</v>
      </c>
      <c r="C1237" s="6">
        <v>629.05370614650201</v>
      </c>
      <c r="D1237" s="6">
        <v>615.23249809505899</v>
      </c>
      <c r="E1237" s="6">
        <v>615.23249809505899</v>
      </c>
      <c r="F1237" s="6">
        <v>52.462994079287903</v>
      </c>
      <c r="G1237" s="6" t="str">
        <f t="shared" si="38"/>
        <v>OK</v>
      </c>
      <c r="H1237" s="6" t="str">
        <f t="shared" si="39"/>
        <v>NON-ZERO</v>
      </c>
      <c r="I1237">
        <v>579.55549577344095</v>
      </c>
      <c r="J1237">
        <f>IFERROR(Table4[[#This Row],[energy_kwh]]/Table4[[#This Row],[expected_kwh]],0)</f>
        <v>1.061559251153344</v>
      </c>
      <c r="K1237" t="str">
        <f>IF(Table4[[#This Row],[Performance_Ratio]] &lt; 0.85, "Underperforming", "Performing")</f>
        <v>Performing</v>
      </c>
      <c r="L1237">
        <f>Table4[[#This Row],[energy_kwh]] - Table4[[#This Row],[expected_kwh]]</f>
        <v>35.677002321618033</v>
      </c>
      <c r="M1237" t="str">
        <f>IF(Table4[[#This Row],[Performance_Deviation]] &lt; 0, "Underperforming", "Outperforming")</f>
        <v>Outperforming</v>
      </c>
      <c r="N1237">
        <f>IF(Table4[[#This Row],[Performance_Ratio]] &lt; 0.85, Table4[[#This Row],[Performance_Deviation]] * 50 / 1000, 0)</f>
        <v>0</v>
      </c>
    </row>
    <row r="1238" spans="1:14" x14ac:dyDescent="0.3">
      <c r="A1238" s="4" t="s">
        <v>7</v>
      </c>
      <c r="B1238" s="3">
        <v>45312.5</v>
      </c>
      <c r="C1238" s="4">
        <v>498.25898542645803</v>
      </c>
      <c r="D1238" s="4">
        <v>487.31152413055901</v>
      </c>
      <c r="E1238" s="4">
        <v>487.31152413055901</v>
      </c>
      <c r="F1238" s="4">
        <v>87.045013300249195</v>
      </c>
      <c r="G1238" s="4" t="str">
        <f t="shared" si="38"/>
        <v>OK</v>
      </c>
      <c r="H1238" s="4" t="str">
        <f t="shared" si="39"/>
        <v>NON-ZERO</v>
      </c>
      <c r="I1238">
        <v>600</v>
      </c>
      <c r="J1238">
        <f>IFERROR(Table4[[#This Row],[energy_kwh]]/Table4[[#This Row],[expected_kwh]],0)</f>
        <v>0.81218587355093164</v>
      </c>
      <c r="K1238" t="str">
        <f>IF(Table4[[#This Row],[Performance_Ratio]] &lt; 0.85, "Underperforming", "Performing")</f>
        <v>Underperforming</v>
      </c>
      <c r="L1238">
        <f>Table4[[#This Row],[energy_kwh]] - Table4[[#This Row],[expected_kwh]]</f>
        <v>-112.68847586944099</v>
      </c>
      <c r="M1238" t="str">
        <f>IF(Table4[[#This Row],[Performance_Deviation]] &lt; 0, "Underperforming", "Outperforming")</f>
        <v>Underperforming</v>
      </c>
      <c r="N1238">
        <f>IF(Table4[[#This Row],[Performance_Ratio]] &lt; 0.85, Table4[[#This Row],[Performance_Deviation]] * 50 / 1000, 0)</f>
        <v>-5.6344237934720498</v>
      </c>
    </row>
    <row r="1239" spans="1:14" x14ac:dyDescent="0.3">
      <c r="A1239" s="6" t="s">
        <v>7</v>
      </c>
      <c r="B1239" s="5">
        <v>45312.541666666664</v>
      </c>
      <c r="C1239" s="6">
        <v>657.586060779278</v>
      </c>
      <c r="D1239" s="6">
        <v>643.13795615966501</v>
      </c>
      <c r="E1239" s="6">
        <v>643.13795615966501</v>
      </c>
      <c r="F1239" s="6">
        <v>89.518067160939793</v>
      </c>
      <c r="G1239" s="6" t="str">
        <f t="shared" si="38"/>
        <v>OK</v>
      </c>
      <c r="H1239" s="6" t="str">
        <f t="shared" si="39"/>
        <v>NON-ZERO</v>
      </c>
      <c r="I1239">
        <v>579.55549577344095</v>
      </c>
      <c r="J1239">
        <f>IFERROR(Table4[[#This Row],[energy_kwh]]/Table4[[#This Row],[expected_kwh]],0)</f>
        <v>1.1097090112162091</v>
      </c>
      <c r="K1239" t="str">
        <f>IF(Table4[[#This Row],[Performance_Ratio]] &lt; 0.85, "Underperforming", "Performing")</f>
        <v>Performing</v>
      </c>
      <c r="L1239">
        <f>Table4[[#This Row],[energy_kwh]] - Table4[[#This Row],[expected_kwh]]</f>
        <v>63.582460386224056</v>
      </c>
      <c r="M1239" t="str">
        <f>IF(Table4[[#This Row],[Performance_Deviation]] &lt; 0, "Underperforming", "Outperforming")</f>
        <v>Outperforming</v>
      </c>
      <c r="N1239">
        <f>IF(Table4[[#This Row],[Performance_Ratio]] &lt; 0.85, Table4[[#This Row],[Performance_Deviation]] * 50 / 1000, 0)</f>
        <v>0</v>
      </c>
    </row>
    <row r="1240" spans="1:14" x14ac:dyDescent="0.3">
      <c r="A1240" s="4" t="s">
        <v>7</v>
      </c>
      <c r="B1240" s="3">
        <v>45312.583333333336</v>
      </c>
      <c r="C1240" s="4">
        <v>494.03017395764999</v>
      </c>
      <c r="D1240" s="4">
        <v>483.17562568737901</v>
      </c>
      <c r="E1240" s="4">
        <v>483.17562568737901</v>
      </c>
      <c r="F1240" s="4">
        <v>91.915390489280696</v>
      </c>
      <c r="G1240" s="4" t="str">
        <f t="shared" si="38"/>
        <v>OK</v>
      </c>
      <c r="H1240" s="4" t="str">
        <f t="shared" si="39"/>
        <v>NON-ZERO</v>
      </c>
      <c r="I1240">
        <v>519.61524227066297</v>
      </c>
      <c r="J1240">
        <f>IFERROR(Table4[[#This Row],[energy_kwh]]/Table4[[#This Row],[expected_kwh]],0)</f>
        <v>0.92987192518824746</v>
      </c>
      <c r="K1240" t="str">
        <f>IF(Table4[[#This Row],[Performance_Ratio]] &lt; 0.85, "Underperforming", "Performing")</f>
        <v>Performing</v>
      </c>
      <c r="L1240">
        <f>Table4[[#This Row],[energy_kwh]] - Table4[[#This Row],[expected_kwh]]</f>
        <v>-36.439616583283964</v>
      </c>
      <c r="M1240" t="str">
        <f>IF(Table4[[#This Row],[Performance_Deviation]] &lt; 0, "Underperforming", "Outperforming")</f>
        <v>Underperforming</v>
      </c>
      <c r="N1240">
        <f>IF(Table4[[#This Row],[Performance_Ratio]] &lt; 0.85, Table4[[#This Row],[Performance_Deviation]] * 50 / 1000, 0)</f>
        <v>0</v>
      </c>
    </row>
    <row r="1241" spans="1:14" x14ac:dyDescent="0.3">
      <c r="A1241" s="6" t="s">
        <v>7</v>
      </c>
      <c r="B1241" s="5">
        <v>45312.625</v>
      </c>
      <c r="C1241" s="6">
        <v>419.71370754857401</v>
      </c>
      <c r="D1241" s="6">
        <v>410.49199815016999</v>
      </c>
      <c r="E1241" s="6">
        <v>410.49199815016999</v>
      </c>
      <c r="F1241" s="6">
        <v>41.191270063897903</v>
      </c>
      <c r="G1241" s="6" t="str">
        <f t="shared" si="38"/>
        <v>OK</v>
      </c>
      <c r="H1241" s="6" t="str">
        <f t="shared" si="39"/>
        <v>NON-ZERO</v>
      </c>
      <c r="I1241">
        <v>424.26406871192802</v>
      </c>
      <c r="J1241">
        <f>IFERROR(Table4[[#This Row],[energy_kwh]]/Table4[[#This Row],[expected_kwh]],0)</f>
        <v>0.96753891838267092</v>
      </c>
      <c r="K1241" t="str">
        <f>IF(Table4[[#This Row],[Performance_Ratio]] &lt; 0.85, "Underperforming", "Performing")</f>
        <v>Performing</v>
      </c>
      <c r="L1241">
        <f>Table4[[#This Row],[energy_kwh]] - Table4[[#This Row],[expected_kwh]]</f>
        <v>-13.772070561758028</v>
      </c>
      <c r="M1241" t="str">
        <f>IF(Table4[[#This Row],[Performance_Deviation]] &lt; 0, "Underperforming", "Outperforming")</f>
        <v>Underperforming</v>
      </c>
      <c r="N1241">
        <f>IF(Table4[[#This Row],[Performance_Ratio]] &lt; 0.85, Table4[[#This Row],[Performance_Deviation]] * 50 / 1000, 0)</f>
        <v>0</v>
      </c>
    </row>
    <row r="1242" spans="1:14" x14ac:dyDescent="0.3">
      <c r="A1242" s="4" t="s">
        <v>7</v>
      </c>
      <c r="B1242" s="3">
        <v>45312.666666666664</v>
      </c>
      <c r="C1242" s="4">
        <v>270.80790660830002</v>
      </c>
      <c r="D1242" s="4">
        <v>264.85787025585898</v>
      </c>
      <c r="E1242" s="4">
        <v>264.85787025585898</v>
      </c>
      <c r="F1242" s="4">
        <v>63.390636365264797</v>
      </c>
      <c r="G1242" s="4" t="str">
        <f t="shared" si="38"/>
        <v>OK</v>
      </c>
      <c r="H1242" s="4" t="str">
        <f t="shared" si="39"/>
        <v>NON-ZERO</v>
      </c>
      <c r="I1242">
        <v>300</v>
      </c>
      <c r="J1242">
        <f>IFERROR(Table4[[#This Row],[energy_kwh]]/Table4[[#This Row],[expected_kwh]],0)</f>
        <v>0.88285956751952999</v>
      </c>
      <c r="K1242" t="str">
        <f>IF(Table4[[#This Row],[Performance_Ratio]] &lt; 0.85, "Underperforming", "Performing")</f>
        <v>Performing</v>
      </c>
      <c r="L1242">
        <f>Table4[[#This Row],[energy_kwh]] - Table4[[#This Row],[expected_kwh]]</f>
        <v>-35.142129744141016</v>
      </c>
      <c r="M1242" t="str">
        <f>IF(Table4[[#This Row],[Performance_Deviation]] &lt; 0, "Underperforming", "Outperforming")</f>
        <v>Underperforming</v>
      </c>
      <c r="N1242">
        <f>IF(Table4[[#This Row],[Performance_Ratio]] &lt; 0.85, Table4[[#This Row],[Performance_Deviation]] * 50 / 1000, 0)</f>
        <v>0</v>
      </c>
    </row>
    <row r="1243" spans="1:14" x14ac:dyDescent="0.3">
      <c r="A1243" s="6" t="s">
        <v>7</v>
      </c>
      <c r="B1243" s="5">
        <v>45312.708333333336</v>
      </c>
      <c r="C1243" s="6">
        <v>130.443173528069</v>
      </c>
      <c r="D1243" s="6">
        <v>127.57715076625099</v>
      </c>
      <c r="E1243" s="6">
        <v>127.57715076625099</v>
      </c>
      <c r="F1243" s="6">
        <v>52.967220632967397</v>
      </c>
      <c r="G1243" s="6" t="str">
        <f t="shared" si="38"/>
        <v>OK</v>
      </c>
      <c r="H1243" s="6" t="str">
        <f t="shared" si="39"/>
        <v>NON-ZERO</v>
      </c>
      <c r="I1243">
        <v>155.291427061512</v>
      </c>
      <c r="J1243">
        <f>IFERROR(Table4[[#This Row],[energy_kwh]]/Table4[[#This Row],[expected_kwh]],0)</f>
        <v>0.821533765129976</v>
      </c>
      <c r="K1243" t="str">
        <f>IF(Table4[[#This Row],[Performance_Ratio]] &lt; 0.85, "Underperforming", "Performing")</f>
        <v>Underperforming</v>
      </c>
      <c r="L1243">
        <f>Table4[[#This Row],[energy_kwh]] - Table4[[#This Row],[expected_kwh]]</f>
        <v>-27.714276295261001</v>
      </c>
      <c r="M1243" t="str">
        <f>IF(Table4[[#This Row],[Performance_Deviation]] &lt; 0, "Underperforming", "Outperforming")</f>
        <v>Underperforming</v>
      </c>
      <c r="N1243">
        <f>IF(Table4[[#This Row],[Performance_Ratio]] &lt; 0.85, Table4[[#This Row],[Performance_Deviation]] * 50 / 1000, 0)</f>
        <v>-1.3857138147630501</v>
      </c>
    </row>
    <row r="1244" spans="1:14" x14ac:dyDescent="0.3">
      <c r="A1244" s="4" t="s">
        <v>7</v>
      </c>
      <c r="B1244" s="3">
        <v>45312.75</v>
      </c>
      <c r="C1244" s="7">
        <v>6.1035847671878899E-14</v>
      </c>
      <c r="D1244" s="7">
        <v>5.9694802954986697E-14</v>
      </c>
      <c r="E1244" s="7">
        <v>5.9694802954986697E-14</v>
      </c>
      <c r="F1244" s="4">
        <v>42.741483788318703</v>
      </c>
      <c r="G1244" s="4" t="str">
        <f t="shared" si="38"/>
        <v>OK</v>
      </c>
      <c r="H1244" s="4" t="str">
        <f t="shared" si="39"/>
        <v>NON-ZERO</v>
      </c>
      <c r="I1244" s="2">
        <v>7.3478807948841102E-14</v>
      </c>
      <c r="J1244">
        <f>IFERROR(Table4[[#This Row],[energy_kwh]]/Table4[[#This Row],[expected_kwh]],0)</f>
        <v>0.81240842933310264</v>
      </c>
      <c r="K1244" t="str">
        <f>IF(Table4[[#This Row],[Performance_Ratio]] &lt; 0.85, "Underperforming", "Performing")</f>
        <v>Underperforming</v>
      </c>
      <c r="L1244">
        <f>Table4[[#This Row],[energy_kwh]] - Table4[[#This Row],[expected_kwh]]</f>
        <v>-1.3784004993854405E-14</v>
      </c>
      <c r="M1244" t="str">
        <f>IF(Table4[[#This Row],[Performance_Deviation]] &lt; 0, "Underperforming", "Outperforming")</f>
        <v>Underperforming</v>
      </c>
      <c r="N1244">
        <f>IF(Table4[[#This Row],[Performance_Ratio]] &lt; 0.85, Table4[[#This Row],[Performance_Deviation]] * 50 / 1000, 0)</f>
        <v>-6.8920024969272023E-16</v>
      </c>
    </row>
    <row r="1245" spans="1:14" x14ac:dyDescent="0.3">
      <c r="A1245" s="6" t="s">
        <v>7</v>
      </c>
      <c r="B1245" s="5">
        <v>45312.791666666664</v>
      </c>
      <c r="C1245" s="6">
        <v>0</v>
      </c>
      <c r="D1245" s="6">
        <v>0</v>
      </c>
      <c r="E1245" s="6">
        <v>0</v>
      </c>
      <c r="F1245" s="6">
        <v>45.115871760273798</v>
      </c>
      <c r="G1245" s="6" t="str">
        <f t="shared" si="38"/>
        <v>OK</v>
      </c>
      <c r="H1245" s="6" t="str">
        <f t="shared" si="39"/>
        <v>ZERO</v>
      </c>
      <c r="I1245">
        <v>0</v>
      </c>
      <c r="J1245">
        <f>IFERROR(Table4[[#This Row],[energy_kwh]]/Table4[[#This Row],[expected_kwh]],0)</f>
        <v>0</v>
      </c>
      <c r="K1245" t="str">
        <f>IF(Table4[[#This Row],[Performance_Ratio]] &lt; 0.85, "Underperforming", "Performing")</f>
        <v>Underperforming</v>
      </c>
      <c r="L1245">
        <f>Table4[[#This Row],[energy_kwh]] - Table4[[#This Row],[expected_kwh]]</f>
        <v>0</v>
      </c>
      <c r="M1245" t="str">
        <f>IF(Table4[[#This Row],[Performance_Deviation]] &lt; 0, "Underperforming", "Outperforming")</f>
        <v>Outperforming</v>
      </c>
      <c r="N1245">
        <f>IF(Table4[[#This Row],[Performance_Ratio]] &lt; 0.85, Table4[[#This Row],[Performance_Deviation]] * 50 / 1000, 0)</f>
        <v>0</v>
      </c>
    </row>
    <row r="1246" spans="1:14" x14ac:dyDescent="0.3">
      <c r="A1246" s="4" t="s">
        <v>7</v>
      </c>
      <c r="B1246" s="3">
        <v>45312.833333333336</v>
      </c>
      <c r="C1246" s="4">
        <v>0</v>
      </c>
      <c r="D1246" s="4">
        <v>0</v>
      </c>
      <c r="E1246" s="4">
        <v>0</v>
      </c>
      <c r="F1246" s="4">
        <v>91.127716459168894</v>
      </c>
      <c r="G1246" s="4" t="str">
        <f t="shared" si="38"/>
        <v>OK</v>
      </c>
      <c r="H1246" s="4" t="str">
        <f t="shared" si="39"/>
        <v>ZERO</v>
      </c>
      <c r="I1246">
        <v>0</v>
      </c>
      <c r="J1246">
        <f>IFERROR(Table4[[#This Row],[energy_kwh]]/Table4[[#This Row],[expected_kwh]],0)</f>
        <v>0</v>
      </c>
      <c r="K1246" t="str">
        <f>IF(Table4[[#This Row],[Performance_Ratio]] &lt; 0.85, "Underperforming", "Performing")</f>
        <v>Underperforming</v>
      </c>
      <c r="L1246">
        <f>Table4[[#This Row],[energy_kwh]] - Table4[[#This Row],[expected_kwh]]</f>
        <v>0</v>
      </c>
      <c r="M1246" t="str">
        <f>IF(Table4[[#This Row],[Performance_Deviation]] &lt; 0, "Underperforming", "Outperforming")</f>
        <v>Outperforming</v>
      </c>
      <c r="N1246">
        <f>IF(Table4[[#This Row],[Performance_Ratio]] &lt; 0.85, Table4[[#This Row],[Performance_Deviation]] * 50 / 1000, 0)</f>
        <v>0</v>
      </c>
    </row>
    <row r="1247" spans="1:14" x14ac:dyDescent="0.3">
      <c r="A1247" s="6" t="s">
        <v>7</v>
      </c>
      <c r="B1247" s="5">
        <v>45312.875</v>
      </c>
      <c r="C1247" s="6">
        <v>0</v>
      </c>
      <c r="D1247" s="6">
        <v>0</v>
      </c>
      <c r="E1247" s="6">
        <v>0</v>
      </c>
      <c r="F1247" s="6">
        <v>92.055972707851595</v>
      </c>
      <c r="G1247" s="6" t="str">
        <f t="shared" si="38"/>
        <v>OK</v>
      </c>
      <c r="H1247" s="6" t="str">
        <f t="shared" si="39"/>
        <v>ZERO</v>
      </c>
      <c r="I1247">
        <v>0</v>
      </c>
      <c r="J1247">
        <f>IFERROR(Table4[[#This Row],[energy_kwh]]/Table4[[#This Row],[expected_kwh]],0)</f>
        <v>0</v>
      </c>
      <c r="K1247" t="str">
        <f>IF(Table4[[#This Row],[Performance_Ratio]] &lt; 0.85, "Underperforming", "Performing")</f>
        <v>Underperforming</v>
      </c>
      <c r="L1247">
        <f>Table4[[#This Row],[energy_kwh]] - Table4[[#This Row],[expected_kwh]]</f>
        <v>0</v>
      </c>
      <c r="M1247" t="str">
        <f>IF(Table4[[#This Row],[Performance_Deviation]] &lt; 0, "Underperforming", "Outperforming")</f>
        <v>Outperforming</v>
      </c>
      <c r="N1247">
        <f>IF(Table4[[#This Row],[Performance_Ratio]] &lt; 0.85, Table4[[#This Row],[Performance_Deviation]] * 50 / 1000, 0)</f>
        <v>0</v>
      </c>
    </row>
    <row r="1248" spans="1:14" x14ac:dyDescent="0.3">
      <c r="A1248" s="4" t="s">
        <v>7</v>
      </c>
      <c r="B1248" s="3">
        <v>45312.916666666664</v>
      </c>
      <c r="C1248" s="4">
        <v>0</v>
      </c>
      <c r="D1248" s="4">
        <v>0</v>
      </c>
      <c r="E1248" s="4">
        <v>0</v>
      </c>
      <c r="F1248" s="4">
        <v>71.968168326857494</v>
      </c>
      <c r="G1248" s="4" t="str">
        <f t="shared" si="38"/>
        <v>OK</v>
      </c>
      <c r="H1248" s="4" t="str">
        <f t="shared" si="39"/>
        <v>ZERO</v>
      </c>
      <c r="I1248">
        <v>0</v>
      </c>
      <c r="J1248">
        <f>IFERROR(Table4[[#This Row],[energy_kwh]]/Table4[[#This Row],[expected_kwh]],0)</f>
        <v>0</v>
      </c>
      <c r="K1248" t="str">
        <f>IF(Table4[[#This Row],[Performance_Ratio]] &lt; 0.85, "Underperforming", "Performing")</f>
        <v>Underperforming</v>
      </c>
      <c r="L1248">
        <f>Table4[[#This Row],[energy_kwh]] - Table4[[#This Row],[expected_kwh]]</f>
        <v>0</v>
      </c>
      <c r="M1248" t="str">
        <f>IF(Table4[[#This Row],[Performance_Deviation]] &lt; 0, "Underperforming", "Outperforming")</f>
        <v>Outperforming</v>
      </c>
      <c r="N1248">
        <f>IF(Table4[[#This Row],[Performance_Ratio]] &lt; 0.85, Table4[[#This Row],[Performance_Deviation]] * 50 / 1000, 0)</f>
        <v>0</v>
      </c>
    </row>
    <row r="1249" spans="1:14" x14ac:dyDescent="0.3">
      <c r="A1249" s="6" t="s">
        <v>7</v>
      </c>
      <c r="B1249" s="5">
        <v>45312.958333333336</v>
      </c>
      <c r="C1249" s="6">
        <v>0</v>
      </c>
      <c r="D1249" s="6">
        <v>0</v>
      </c>
      <c r="E1249" s="6">
        <v>0</v>
      </c>
      <c r="F1249" s="6">
        <v>41.563339953781899</v>
      </c>
      <c r="G1249" s="6" t="str">
        <f t="shared" si="38"/>
        <v>OK</v>
      </c>
      <c r="H1249" s="6" t="str">
        <f t="shared" si="39"/>
        <v>ZERO</v>
      </c>
      <c r="I1249">
        <v>0</v>
      </c>
      <c r="J1249">
        <f>IFERROR(Table4[[#This Row],[energy_kwh]]/Table4[[#This Row],[expected_kwh]],0)</f>
        <v>0</v>
      </c>
      <c r="K1249" t="str">
        <f>IF(Table4[[#This Row],[Performance_Ratio]] &lt; 0.85, "Underperforming", "Performing")</f>
        <v>Underperforming</v>
      </c>
      <c r="L1249">
        <f>Table4[[#This Row],[energy_kwh]] - Table4[[#This Row],[expected_kwh]]</f>
        <v>0</v>
      </c>
      <c r="M1249" t="str">
        <f>IF(Table4[[#This Row],[Performance_Deviation]] &lt; 0, "Underperforming", "Outperforming")</f>
        <v>Outperforming</v>
      </c>
      <c r="N1249">
        <f>IF(Table4[[#This Row],[Performance_Ratio]] &lt; 0.85, Table4[[#This Row],[Performance_Deviation]] * 50 / 1000, 0)</f>
        <v>0</v>
      </c>
    </row>
    <row r="1250" spans="1:14" x14ac:dyDescent="0.3">
      <c r="A1250" s="4" t="s">
        <v>7</v>
      </c>
      <c r="B1250" s="3">
        <v>45313</v>
      </c>
      <c r="C1250" s="4">
        <v>0</v>
      </c>
      <c r="D1250" s="4">
        <v>0</v>
      </c>
      <c r="E1250" s="4">
        <v>0</v>
      </c>
      <c r="F1250" s="4">
        <v>93.309242238788102</v>
      </c>
      <c r="G1250" s="4" t="str">
        <f t="shared" si="38"/>
        <v>OK</v>
      </c>
      <c r="H1250" s="4" t="str">
        <f t="shared" si="39"/>
        <v>ZERO</v>
      </c>
      <c r="I1250">
        <v>0</v>
      </c>
      <c r="J1250">
        <f>IFERROR(Table4[[#This Row],[energy_kwh]]/Table4[[#This Row],[expected_kwh]],0)</f>
        <v>0</v>
      </c>
      <c r="K1250" t="str">
        <f>IF(Table4[[#This Row],[Performance_Ratio]] &lt; 0.85, "Underperforming", "Performing")</f>
        <v>Underperforming</v>
      </c>
      <c r="L1250">
        <f>Table4[[#This Row],[energy_kwh]] - Table4[[#This Row],[expected_kwh]]</f>
        <v>0</v>
      </c>
      <c r="M1250" t="str">
        <f>IF(Table4[[#This Row],[Performance_Deviation]] &lt; 0, "Underperforming", "Outperforming")</f>
        <v>Outperforming</v>
      </c>
      <c r="N1250">
        <f>IF(Table4[[#This Row],[Performance_Ratio]] &lt; 0.85, Table4[[#This Row],[Performance_Deviation]] * 50 / 1000, 0)</f>
        <v>0</v>
      </c>
    </row>
    <row r="1251" spans="1:14" x14ac:dyDescent="0.3">
      <c r="A1251" s="6" t="s">
        <v>7</v>
      </c>
      <c r="B1251" s="5">
        <v>45313.041666666664</v>
      </c>
      <c r="C1251" s="6">
        <v>0</v>
      </c>
      <c r="D1251" s="6">
        <v>0</v>
      </c>
      <c r="E1251" s="6">
        <v>0</v>
      </c>
      <c r="F1251" s="6">
        <v>65.243406701302206</v>
      </c>
      <c r="G1251" s="6" t="str">
        <f t="shared" si="38"/>
        <v>OK</v>
      </c>
      <c r="H1251" s="6" t="str">
        <f t="shared" si="39"/>
        <v>ZERO</v>
      </c>
      <c r="I1251">
        <v>0</v>
      </c>
      <c r="J1251">
        <f>IFERROR(Table4[[#This Row],[energy_kwh]]/Table4[[#This Row],[expected_kwh]],0)</f>
        <v>0</v>
      </c>
      <c r="K1251" t="str">
        <f>IF(Table4[[#This Row],[Performance_Ratio]] &lt; 0.85, "Underperforming", "Performing")</f>
        <v>Underperforming</v>
      </c>
      <c r="L1251">
        <f>Table4[[#This Row],[energy_kwh]] - Table4[[#This Row],[expected_kwh]]</f>
        <v>0</v>
      </c>
      <c r="M1251" t="str">
        <f>IF(Table4[[#This Row],[Performance_Deviation]] &lt; 0, "Underperforming", "Outperforming")</f>
        <v>Outperforming</v>
      </c>
      <c r="N1251">
        <f>IF(Table4[[#This Row],[Performance_Ratio]] &lt; 0.85, Table4[[#This Row],[Performance_Deviation]] * 50 / 1000, 0)</f>
        <v>0</v>
      </c>
    </row>
    <row r="1252" spans="1:14" x14ac:dyDescent="0.3">
      <c r="A1252" s="4" t="s">
        <v>7</v>
      </c>
      <c r="B1252" s="3">
        <v>45313.083333333336</v>
      </c>
      <c r="C1252" s="4">
        <v>0</v>
      </c>
      <c r="D1252" s="4">
        <v>0</v>
      </c>
      <c r="E1252" s="4">
        <v>0</v>
      </c>
      <c r="F1252" s="4">
        <v>94.271387793870502</v>
      </c>
      <c r="G1252" s="4" t="str">
        <f t="shared" si="38"/>
        <v>OK</v>
      </c>
      <c r="H1252" s="4" t="str">
        <f t="shared" si="39"/>
        <v>ZERO</v>
      </c>
      <c r="I1252">
        <v>0</v>
      </c>
      <c r="J1252">
        <f>IFERROR(Table4[[#This Row],[energy_kwh]]/Table4[[#This Row],[expected_kwh]],0)</f>
        <v>0</v>
      </c>
      <c r="K1252" t="str">
        <f>IF(Table4[[#This Row],[Performance_Ratio]] &lt; 0.85, "Underperforming", "Performing")</f>
        <v>Underperforming</v>
      </c>
      <c r="L1252">
        <f>Table4[[#This Row],[energy_kwh]] - Table4[[#This Row],[expected_kwh]]</f>
        <v>0</v>
      </c>
      <c r="M1252" t="str">
        <f>IF(Table4[[#This Row],[Performance_Deviation]] &lt; 0, "Underperforming", "Outperforming")</f>
        <v>Outperforming</v>
      </c>
      <c r="N1252">
        <f>IF(Table4[[#This Row],[Performance_Ratio]] &lt; 0.85, Table4[[#This Row],[Performance_Deviation]] * 50 / 1000, 0)</f>
        <v>0</v>
      </c>
    </row>
    <row r="1253" spans="1:14" x14ac:dyDescent="0.3">
      <c r="A1253" s="6" t="s">
        <v>7</v>
      </c>
      <c r="B1253" s="5">
        <v>45313.125</v>
      </c>
      <c r="C1253" s="6">
        <v>0</v>
      </c>
      <c r="D1253" s="6">
        <v>0</v>
      </c>
      <c r="E1253" s="6">
        <v>0</v>
      </c>
      <c r="F1253" s="6">
        <v>77.911402071187794</v>
      </c>
      <c r="G1253" s="6" t="str">
        <f t="shared" si="38"/>
        <v>OK</v>
      </c>
      <c r="H1253" s="6" t="str">
        <f t="shared" si="39"/>
        <v>ZERO</v>
      </c>
      <c r="I1253">
        <v>0</v>
      </c>
      <c r="J1253">
        <f>IFERROR(Table4[[#This Row],[energy_kwh]]/Table4[[#This Row],[expected_kwh]],0)</f>
        <v>0</v>
      </c>
      <c r="K1253" t="str">
        <f>IF(Table4[[#This Row],[Performance_Ratio]] &lt; 0.85, "Underperforming", "Performing")</f>
        <v>Underperforming</v>
      </c>
      <c r="L1253">
        <f>Table4[[#This Row],[energy_kwh]] - Table4[[#This Row],[expected_kwh]]</f>
        <v>0</v>
      </c>
      <c r="M1253" t="str">
        <f>IF(Table4[[#This Row],[Performance_Deviation]] &lt; 0, "Underperforming", "Outperforming")</f>
        <v>Outperforming</v>
      </c>
      <c r="N1253">
        <f>IF(Table4[[#This Row],[Performance_Ratio]] &lt; 0.85, Table4[[#This Row],[Performance_Deviation]] * 50 / 1000, 0)</f>
        <v>0</v>
      </c>
    </row>
    <row r="1254" spans="1:14" x14ac:dyDescent="0.3">
      <c r="A1254" s="4" t="s">
        <v>7</v>
      </c>
      <c r="B1254" s="3">
        <v>45313.166666666664</v>
      </c>
      <c r="C1254" s="4">
        <v>0</v>
      </c>
      <c r="D1254" s="4">
        <v>0</v>
      </c>
      <c r="E1254" s="4">
        <v>0</v>
      </c>
      <c r="F1254" s="4">
        <v>78.633486944654393</v>
      </c>
      <c r="G1254" s="4" t="str">
        <f t="shared" si="38"/>
        <v>OK</v>
      </c>
      <c r="H1254" s="4" t="str">
        <f t="shared" si="39"/>
        <v>ZERO</v>
      </c>
      <c r="I1254">
        <v>0</v>
      </c>
      <c r="J1254">
        <f>IFERROR(Table4[[#This Row],[energy_kwh]]/Table4[[#This Row],[expected_kwh]],0)</f>
        <v>0</v>
      </c>
      <c r="K1254" t="str">
        <f>IF(Table4[[#This Row],[Performance_Ratio]] &lt; 0.85, "Underperforming", "Performing")</f>
        <v>Underperforming</v>
      </c>
      <c r="L1254">
        <f>Table4[[#This Row],[energy_kwh]] - Table4[[#This Row],[expected_kwh]]</f>
        <v>0</v>
      </c>
      <c r="M1254" t="str">
        <f>IF(Table4[[#This Row],[Performance_Deviation]] &lt; 0, "Underperforming", "Outperforming")</f>
        <v>Outperforming</v>
      </c>
      <c r="N1254">
        <f>IF(Table4[[#This Row],[Performance_Ratio]] &lt; 0.85, Table4[[#This Row],[Performance_Deviation]] * 50 / 1000, 0)</f>
        <v>0</v>
      </c>
    </row>
    <row r="1255" spans="1:14" x14ac:dyDescent="0.3">
      <c r="A1255" s="6" t="s">
        <v>7</v>
      </c>
      <c r="B1255" s="5">
        <v>45313.208333333336</v>
      </c>
      <c r="C1255" s="6">
        <v>0</v>
      </c>
      <c r="D1255" s="6">
        <v>0</v>
      </c>
      <c r="E1255" s="6">
        <v>0</v>
      </c>
      <c r="F1255" s="6">
        <v>63.236667735489902</v>
      </c>
      <c r="G1255" s="6" t="str">
        <f t="shared" si="38"/>
        <v>OK</v>
      </c>
      <c r="H1255" s="6" t="str">
        <f t="shared" si="39"/>
        <v>ZERO</v>
      </c>
      <c r="I1255">
        <v>0</v>
      </c>
      <c r="J1255">
        <f>IFERROR(Table4[[#This Row],[energy_kwh]]/Table4[[#This Row],[expected_kwh]],0)</f>
        <v>0</v>
      </c>
      <c r="K1255" t="str">
        <f>IF(Table4[[#This Row],[Performance_Ratio]] &lt; 0.85, "Underperforming", "Performing")</f>
        <v>Underperforming</v>
      </c>
      <c r="L1255">
        <f>Table4[[#This Row],[energy_kwh]] - Table4[[#This Row],[expected_kwh]]</f>
        <v>0</v>
      </c>
      <c r="M1255" t="str">
        <f>IF(Table4[[#This Row],[Performance_Deviation]] &lt; 0, "Underperforming", "Outperforming")</f>
        <v>Outperforming</v>
      </c>
      <c r="N1255">
        <f>IF(Table4[[#This Row],[Performance_Ratio]] &lt; 0.85, Table4[[#This Row],[Performance_Deviation]] * 50 / 1000, 0)</f>
        <v>0</v>
      </c>
    </row>
    <row r="1256" spans="1:14" x14ac:dyDescent="0.3">
      <c r="A1256" s="4" t="s">
        <v>7</v>
      </c>
      <c r="B1256" s="3">
        <v>45313.25</v>
      </c>
      <c r="C1256" s="4">
        <v>0</v>
      </c>
      <c r="D1256" s="4">
        <v>0</v>
      </c>
      <c r="E1256" s="4">
        <v>0</v>
      </c>
      <c r="F1256" s="4">
        <v>57.837719304112603</v>
      </c>
      <c r="G1256" s="4" t="str">
        <f t="shared" si="38"/>
        <v>OK</v>
      </c>
      <c r="H1256" s="4" t="str">
        <f t="shared" si="39"/>
        <v>ZERO</v>
      </c>
      <c r="I1256">
        <v>0</v>
      </c>
      <c r="J1256">
        <f>IFERROR(Table4[[#This Row],[energy_kwh]]/Table4[[#This Row],[expected_kwh]],0)</f>
        <v>0</v>
      </c>
      <c r="K1256" t="str">
        <f>IF(Table4[[#This Row],[Performance_Ratio]] &lt; 0.85, "Underperforming", "Performing")</f>
        <v>Underperforming</v>
      </c>
      <c r="L1256">
        <f>Table4[[#This Row],[energy_kwh]] - Table4[[#This Row],[expected_kwh]]</f>
        <v>0</v>
      </c>
      <c r="M1256" t="str">
        <f>IF(Table4[[#This Row],[Performance_Deviation]] &lt; 0, "Underperforming", "Outperforming")</f>
        <v>Outperforming</v>
      </c>
      <c r="N1256">
        <f>IF(Table4[[#This Row],[Performance_Ratio]] &lt; 0.85, Table4[[#This Row],[Performance_Deviation]] * 50 / 1000, 0)</f>
        <v>0</v>
      </c>
    </row>
    <row r="1257" spans="1:14" x14ac:dyDescent="0.3">
      <c r="A1257" s="6" t="s">
        <v>7</v>
      </c>
      <c r="B1257" s="5">
        <v>45313.291666666664</v>
      </c>
      <c r="C1257" s="6">
        <v>141.58283310933999</v>
      </c>
      <c r="D1257" s="6">
        <v>138.47205612194401</v>
      </c>
      <c r="E1257" s="6">
        <v>138.47205612194401</v>
      </c>
      <c r="F1257" s="6">
        <v>68.622314547410099</v>
      </c>
      <c r="G1257" s="6" t="str">
        <f t="shared" si="38"/>
        <v>OK</v>
      </c>
      <c r="H1257" s="6" t="str">
        <f t="shared" si="39"/>
        <v>NON-ZERO</v>
      </c>
      <c r="I1257">
        <v>155.291427061512</v>
      </c>
      <c r="J1257">
        <f>IFERROR(Table4[[#This Row],[energy_kwh]]/Table4[[#This Row],[expected_kwh]],0)</f>
        <v>0.89169156818356932</v>
      </c>
      <c r="K1257" t="str">
        <f>IF(Table4[[#This Row],[Performance_Ratio]] &lt; 0.85, "Underperforming", "Performing")</f>
        <v>Performing</v>
      </c>
      <c r="L1257">
        <f>Table4[[#This Row],[energy_kwh]] - Table4[[#This Row],[expected_kwh]]</f>
        <v>-16.819370939567989</v>
      </c>
      <c r="M1257" t="str">
        <f>IF(Table4[[#This Row],[Performance_Deviation]] &lt; 0, "Underperforming", "Outperforming")</f>
        <v>Underperforming</v>
      </c>
      <c r="N1257">
        <f>IF(Table4[[#This Row],[Performance_Ratio]] &lt; 0.85, Table4[[#This Row],[Performance_Deviation]] * 50 / 1000, 0)</f>
        <v>0</v>
      </c>
    </row>
    <row r="1258" spans="1:14" x14ac:dyDescent="0.3">
      <c r="A1258" s="4" t="s">
        <v>7</v>
      </c>
      <c r="B1258" s="3">
        <v>45313.333333333336</v>
      </c>
      <c r="C1258" s="4">
        <v>224.006247671881</v>
      </c>
      <c r="D1258" s="4">
        <v>219.08451058704199</v>
      </c>
      <c r="E1258" s="4">
        <v>219.08451058704199</v>
      </c>
      <c r="F1258" s="4">
        <v>84.757368334203804</v>
      </c>
      <c r="G1258" s="4" t="str">
        <f t="shared" si="38"/>
        <v>OK</v>
      </c>
      <c r="H1258" s="4" t="str">
        <f t="shared" si="39"/>
        <v>NON-ZERO</v>
      </c>
      <c r="I1258">
        <v>300</v>
      </c>
      <c r="J1258">
        <f>IFERROR(Table4[[#This Row],[energy_kwh]]/Table4[[#This Row],[expected_kwh]],0)</f>
        <v>0.73028170195680664</v>
      </c>
      <c r="K1258" t="str">
        <f>IF(Table4[[#This Row],[Performance_Ratio]] &lt; 0.85, "Underperforming", "Performing")</f>
        <v>Underperforming</v>
      </c>
      <c r="L1258">
        <f>Table4[[#This Row],[energy_kwh]] - Table4[[#This Row],[expected_kwh]]</f>
        <v>-80.91548941295801</v>
      </c>
      <c r="M1258" t="str">
        <f>IF(Table4[[#This Row],[Performance_Deviation]] &lt; 0, "Underperforming", "Outperforming")</f>
        <v>Underperforming</v>
      </c>
      <c r="N1258">
        <f>IF(Table4[[#This Row],[Performance_Ratio]] &lt; 0.85, Table4[[#This Row],[Performance_Deviation]] * 50 / 1000, 0)</f>
        <v>-4.0457744706479009</v>
      </c>
    </row>
    <row r="1259" spans="1:14" x14ac:dyDescent="0.3">
      <c r="A1259" s="6" t="s">
        <v>7</v>
      </c>
      <c r="B1259" s="5">
        <v>45313.375</v>
      </c>
      <c r="C1259" s="6">
        <v>420.61500979517399</v>
      </c>
      <c r="D1259" s="6">
        <v>411.373497499584</v>
      </c>
      <c r="E1259" s="6">
        <v>411.373497499584</v>
      </c>
      <c r="F1259" s="6">
        <v>85.098472004817694</v>
      </c>
      <c r="G1259" s="6" t="str">
        <f t="shared" si="38"/>
        <v>OK</v>
      </c>
      <c r="H1259" s="6" t="str">
        <f t="shared" si="39"/>
        <v>NON-ZERO</v>
      </c>
      <c r="I1259">
        <v>424.26406871192802</v>
      </c>
      <c r="J1259">
        <f>IFERROR(Table4[[#This Row],[energy_kwh]]/Table4[[#This Row],[expected_kwh]],0)</f>
        <v>0.96961663227461148</v>
      </c>
      <c r="K1259" t="str">
        <f>IF(Table4[[#This Row],[Performance_Ratio]] &lt; 0.85, "Underperforming", "Performing")</f>
        <v>Performing</v>
      </c>
      <c r="L1259">
        <f>Table4[[#This Row],[energy_kwh]] - Table4[[#This Row],[expected_kwh]]</f>
        <v>-12.890571212344014</v>
      </c>
      <c r="M1259" t="str">
        <f>IF(Table4[[#This Row],[Performance_Deviation]] &lt; 0, "Underperforming", "Outperforming")</f>
        <v>Underperforming</v>
      </c>
      <c r="N1259">
        <f>IF(Table4[[#This Row],[Performance_Ratio]] &lt; 0.85, Table4[[#This Row],[Performance_Deviation]] * 50 / 1000, 0)</f>
        <v>0</v>
      </c>
    </row>
    <row r="1260" spans="1:14" x14ac:dyDescent="0.3">
      <c r="A1260" s="4" t="s">
        <v>7</v>
      </c>
      <c r="B1260" s="3">
        <v>45313.416666666664</v>
      </c>
      <c r="C1260" s="4">
        <v>552.97974821917103</v>
      </c>
      <c r="D1260" s="4">
        <v>540.82999363749695</v>
      </c>
      <c r="E1260" s="4">
        <v>540.82999363749695</v>
      </c>
      <c r="F1260" s="4">
        <v>54.342522134530299</v>
      </c>
      <c r="G1260" s="4" t="str">
        <f t="shared" si="38"/>
        <v>OK</v>
      </c>
      <c r="H1260" s="4" t="str">
        <f t="shared" si="39"/>
        <v>NON-ZERO</v>
      </c>
      <c r="I1260">
        <v>519.61524227066297</v>
      </c>
      <c r="J1260">
        <f>IFERROR(Table4[[#This Row],[energy_kwh]]/Table4[[#This Row],[expected_kwh]],0)</f>
        <v>1.0408278080414419</v>
      </c>
      <c r="K1260" t="str">
        <f>IF(Table4[[#This Row],[Performance_Ratio]] &lt; 0.85, "Underperforming", "Performing")</f>
        <v>Performing</v>
      </c>
      <c r="L1260">
        <f>Table4[[#This Row],[energy_kwh]] - Table4[[#This Row],[expected_kwh]]</f>
        <v>21.21475136683398</v>
      </c>
      <c r="M1260" t="str">
        <f>IF(Table4[[#This Row],[Performance_Deviation]] &lt; 0, "Underperforming", "Outperforming")</f>
        <v>Outperforming</v>
      </c>
      <c r="N1260">
        <f>IF(Table4[[#This Row],[Performance_Ratio]] &lt; 0.85, Table4[[#This Row],[Performance_Deviation]] * 50 / 1000, 0)</f>
        <v>0</v>
      </c>
    </row>
    <row r="1261" spans="1:14" x14ac:dyDescent="0.3">
      <c r="A1261" s="6" t="s">
        <v>7</v>
      </c>
      <c r="B1261" s="5">
        <v>45313.458333333336</v>
      </c>
      <c r="C1261" s="6">
        <v>575.809368881512</v>
      </c>
      <c r="D1261" s="6">
        <v>563.158014939042</v>
      </c>
      <c r="E1261" s="6">
        <v>563.158014939042</v>
      </c>
      <c r="F1261" s="6">
        <v>38.299647676435399</v>
      </c>
      <c r="G1261" s="6" t="str">
        <f t="shared" si="38"/>
        <v>OK</v>
      </c>
      <c r="H1261" s="6" t="str">
        <f t="shared" si="39"/>
        <v>NON-ZERO</v>
      </c>
      <c r="I1261">
        <v>579.55549577344095</v>
      </c>
      <c r="J1261">
        <f>IFERROR(Table4[[#This Row],[energy_kwh]]/Table4[[#This Row],[expected_kwh]],0)</f>
        <v>0.97170679778902658</v>
      </c>
      <c r="K1261" t="str">
        <f>IF(Table4[[#This Row],[Performance_Ratio]] &lt; 0.85, "Underperforming", "Performing")</f>
        <v>Performing</v>
      </c>
      <c r="L1261">
        <f>Table4[[#This Row],[energy_kwh]] - Table4[[#This Row],[expected_kwh]]</f>
        <v>-16.397480834398948</v>
      </c>
      <c r="M1261" t="str">
        <f>IF(Table4[[#This Row],[Performance_Deviation]] &lt; 0, "Underperforming", "Outperforming")</f>
        <v>Underperforming</v>
      </c>
      <c r="N1261">
        <f>IF(Table4[[#This Row],[Performance_Ratio]] &lt; 0.85, Table4[[#This Row],[Performance_Deviation]] * 50 / 1000, 0)</f>
        <v>0</v>
      </c>
    </row>
    <row r="1262" spans="1:14" x14ac:dyDescent="0.3">
      <c r="A1262" s="4" t="s">
        <v>7</v>
      </c>
      <c r="B1262" s="3">
        <v>45313.5</v>
      </c>
      <c r="C1262" s="4">
        <v>538.48483680124298</v>
      </c>
      <c r="D1262" s="4">
        <v>526.65355611843904</v>
      </c>
      <c r="E1262" s="4">
        <v>526.65355611843904</v>
      </c>
      <c r="F1262" s="4">
        <v>53.257932712703301</v>
      </c>
      <c r="G1262" s="4" t="str">
        <f t="shared" si="38"/>
        <v>OK</v>
      </c>
      <c r="H1262" s="4" t="str">
        <f t="shared" si="39"/>
        <v>NON-ZERO</v>
      </c>
      <c r="I1262">
        <v>600</v>
      </c>
      <c r="J1262">
        <f>IFERROR(Table4[[#This Row],[energy_kwh]]/Table4[[#This Row],[expected_kwh]],0)</f>
        <v>0.87775592686406512</v>
      </c>
      <c r="K1262" t="str">
        <f>IF(Table4[[#This Row],[Performance_Ratio]] &lt; 0.85, "Underperforming", "Performing")</f>
        <v>Performing</v>
      </c>
      <c r="L1262">
        <f>Table4[[#This Row],[energy_kwh]] - Table4[[#This Row],[expected_kwh]]</f>
        <v>-73.346443881560958</v>
      </c>
      <c r="M1262" t="str">
        <f>IF(Table4[[#This Row],[Performance_Deviation]] &lt; 0, "Underperforming", "Outperforming")</f>
        <v>Underperforming</v>
      </c>
      <c r="N1262">
        <f>IF(Table4[[#This Row],[Performance_Ratio]] &lt; 0.85, Table4[[#This Row],[Performance_Deviation]] * 50 / 1000, 0)</f>
        <v>0</v>
      </c>
    </row>
    <row r="1263" spans="1:14" x14ac:dyDescent="0.3">
      <c r="A1263" s="6" t="s">
        <v>7</v>
      </c>
      <c r="B1263" s="5">
        <v>45313.541666666664</v>
      </c>
      <c r="C1263" s="6">
        <v>500.018179892543</v>
      </c>
      <c r="D1263" s="6">
        <v>489.03206658254601</v>
      </c>
      <c r="E1263" s="6">
        <v>489.03206658254601</v>
      </c>
      <c r="F1263" s="6">
        <v>71.582690477430106</v>
      </c>
      <c r="G1263" s="6" t="str">
        <f t="shared" si="38"/>
        <v>OK</v>
      </c>
      <c r="H1263" s="6" t="str">
        <f t="shared" si="39"/>
        <v>NON-ZERO</v>
      </c>
      <c r="I1263">
        <v>579.55549577344095</v>
      </c>
      <c r="J1263">
        <f>IFERROR(Table4[[#This Row],[energy_kwh]]/Table4[[#This Row],[expected_kwh]],0)</f>
        <v>0.84380541664937947</v>
      </c>
      <c r="K1263" t="str">
        <f>IF(Table4[[#This Row],[Performance_Ratio]] &lt; 0.85, "Underperforming", "Performing")</f>
        <v>Underperforming</v>
      </c>
      <c r="L1263">
        <f>Table4[[#This Row],[energy_kwh]] - Table4[[#This Row],[expected_kwh]]</f>
        <v>-90.523429190894944</v>
      </c>
      <c r="M1263" t="str">
        <f>IF(Table4[[#This Row],[Performance_Deviation]] &lt; 0, "Underperforming", "Outperforming")</f>
        <v>Underperforming</v>
      </c>
      <c r="N1263">
        <f>IF(Table4[[#This Row],[Performance_Ratio]] &lt; 0.85, Table4[[#This Row],[Performance_Deviation]] * 50 / 1000, 0)</f>
        <v>-4.5261714595447478</v>
      </c>
    </row>
    <row r="1264" spans="1:14" x14ac:dyDescent="0.3">
      <c r="A1264" s="4" t="s">
        <v>7</v>
      </c>
      <c r="B1264" s="3">
        <v>45313.583333333336</v>
      </c>
      <c r="C1264" s="4">
        <v>527.80986503597205</v>
      </c>
      <c r="D1264" s="4">
        <v>516.213128723973</v>
      </c>
      <c r="E1264" s="4">
        <v>516.213128723973</v>
      </c>
      <c r="F1264" s="4">
        <v>48.971577885915799</v>
      </c>
      <c r="G1264" s="4" t="str">
        <f t="shared" si="38"/>
        <v>OK</v>
      </c>
      <c r="H1264" s="4" t="str">
        <f t="shared" si="39"/>
        <v>NON-ZERO</v>
      </c>
      <c r="I1264">
        <v>519.61524227066297</v>
      </c>
      <c r="J1264">
        <f>IFERROR(Table4[[#This Row],[energy_kwh]]/Table4[[#This Row],[expected_kwh]],0)</f>
        <v>0.99345262942668289</v>
      </c>
      <c r="K1264" t="str">
        <f>IF(Table4[[#This Row],[Performance_Ratio]] &lt; 0.85, "Underperforming", "Performing")</f>
        <v>Performing</v>
      </c>
      <c r="L1264">
        <f>Table4[[#This Row],[energy_kwh]] - Table4[[#This Row],[expected_kwh]]</f>
        <v>-3.402113546689975</v>
      </c>
      <c r="M1264" t="str">
        <f>IF(Table4[[#This Row],[Performance_Deviation]] &lt; 0, "Underperforming", "Outperforming")</f>
        <v>Underperforming</v>
      </c>
      <c r="N1264">
        <f>IF(Table4[[#This Row],[Performance_Ratio]] &lt; 0.85, Table4[[#This Row],[Performance_Deviation]] * 50 / 1000, 0)</f>
        <v>0</v>
      </c>
    </row>
    <row r="1265" spans="1:14" x14ac:dyDescent="0.3">
      <c r="A1265" s="6" t="s">
        <v>7</v>
      </c>
      <c r="B1265" s="5">
        <v>45313.625</v>
      </c>
      <c r="C1265" s="6">
        <v>376.32061831952501</v>
      </c>
      <c r="D1265" s="6">
        <v>368.05231704568899</v>
      </c>
      <c r="E1265" s="6">
        <v>368.05231704568899</v>
      </c>
      <c r="F1265" s="6">
        <v>56.826482200168201</v>
      </c>
      <c r="G1265" s="6" t="str">
        <f t="shared" si="38"/>
        <v>OK</v>
      </c>
      <c r="H1265" s="6" t="str">
        <f t="shared" si="39"/>
        <v>NON-ZERO</v>
      </c>
      <c r="I1265">
        <v>424.26406871192802</v>
      </c>
      <c r="J1265">
        <f>IFERROR(Table4[[#This Row],[energy_kwh]]/Table4[[#This Row],[expected_kwh]],0)</f>
        <v>0.86750763071476045</v>
      </c>
      <c r="K1265" t="str">
        <f>IF(Table4[[#This Row],[Performance_Ratio]] &lt; 0.85, "Underperforming", "Performing")</f>
        <v>Performing</v>
      </c>
      <c r="L1265">
        <f>Table4[[#This Row],[energy_kwh]] - Table4[[#This Row],[expected_kwh]]</f>
        <v>-56.211751666239024</v>
      </c>
      <c r="M1265" t="str">
        <f>IF(Table4[[#This Row],[Performance_Deviation]] &lt; 0, "Underperforming", "Outperforming")</f>
        <v>Underperforming</v>
      </c>
      <c r="N1265">
        <f>IF(Table4[[#This Row],[Performance_Ratio]] &lt; 0.85, Table4[[#This Row],[Performance_Deviation]] * 50 / 1000, 0)</f>
        <v>0</v>
      </c>
    </row>
    <row r="1266" spans="1:14" x14ac:dyDescent="0.3">
      <c r="A1266" s="4" t="s">
        <v>7</v>
      </c>
      <c r="B1266" s="3">
        <v>45313.666666666664</v>
      </c>
      <c r="C1266" s="4">
        <v>263.86160125539402</v>
      </c>
      <c r="D1266" s="4">
        <v>258.06418514910001</v>
      </c>
      <c r="E1266" s="4">
        <v>258.06418514910001</v>
      </c>
      <c r="F1266" s="4">
        <v>50.833506274613597</v>
      </c>
      <c r="G1266" s="4" t="str">
        <f t="shared" si="38"/>
        <v>OK</v>
      </c>
      <c r="H1266" s="4" t="str">
        <f t="shared" si="39"/>
        <v>NON-ZERO</v>
      </c>
      <c r="I1266">
        <v>300</v>
      </c>
      <c r="J1266">
        <f>IFERROR(Table4[[#This Row],[energy_kwh]]/Table4[[#This Row],[expected_kwh]],0)</f>
        <v>0.860213950497</v>
      </c>
      <c r="K1266" t="str">
        <f>IF(Table4[[#This Row],[Performance_Ratio]] &lt; 0.85, "Underperforming", "Performing")</f>
        <v>Performing</v>
      </c>
      <c r="L1266">
        <f>Table4[[#This Row],[energy_kwh]] - Table4[[#This Row],[expected_kwh]]</f>
        <v>-41.935814850899988</v>
      </c>
      <c r="M1266" t="str">
        <f>IF(Table4[[#This Row],[Performance_Deviation]] &lt; 0, "Underperforming", "Outperforming")</f>
        <v>Underperforming</v>
      </c>
      <c r="N1266">
        <f>IF(Table4[[#This Row],[Performance_Ratio]] &lt; 0.85, Table4[[#This Row],[Performance_Deviation]] * 50 / 1000, 0)</f>
        <v>0</v>
      </c>
    </row>
    <row r="1267" spans="1:14" x14ac:dyDescent="0.3">
      <c r="A1267" s="6" t="s">
        <v>7</v>
      </c>
      <c r="B1267" s="5">
        <v>45313.708333333336</v>
      </c>
      <c r="C1267" s="6">
        <v>141.15288056962899</v>
      </c>
      <c r="D1267" s="6">
        <v>138.05155025339201</v>
      </c>
      <c r="E1267" s="6">
        <v>138.05155025339201</v>
      </c>
      <c r="F1267" s="6">
        <v>93.750557631066997</v>
      </c>
      <c r="G1267" s="6" t="str">
        <f t="shared" si="38"/>
        <v>OK</v>
      </c>
      <c r="H1267" s="6" t="str">
        <f t="shared" si="39"/>
        <v>NON-ZERO</v>
      </c>
      <c r="I1267">
        <v>155.291427061512</v>
      </c>
      <c r="J1267">
        <f>IFERROR(Table4[[#This Row],[energy_kwh]]/Table4[[#This Row],[expected_kwh]],0)</f>
        <v>0.8889837183266327</v>
      </c>
      <c r="K1267" t="str">
        <f>IF(Table4[[#This Row],[Performance_Ratio]] &lt; 0.85, "Underperforming", "Performing")</f>
        <v>Performing</v>
      </c>
      <c r="L1267">
        <f>Table4[[#This Row],[energy_kwh]] - Table4[[#This Row],[expected_kwh]]</f>
        <v>-17.239876808119988</v>
      </c>
      <c r="M1267" t="str">
        <f>IF(Table4[[#This Row],[Performance_Deviation]] &lt; 0, "Underperforming", "Outperforming")</f>
        <v>Underperforming</v>
      </c>
      <c r="N1267">
        <f>IF(Table4[[#This Row],[Performance_Ratio]] &lt; 0.85, Table4[[#This Row],[Performance_Deviation]] * 50 / 1000, 0)</f>
        <v>0</v>
      </c>
    </row>
    <row r="1268" spans="1:14" x14ac:dyDescent="0.3">
      <c r="A1268" s="4" t="s">
        <v>7</v>
      </c>
      <c r="B1268" s="3">
        <v>45313.75</v>
      </c>
      <c r="C1268" s="7">
        <v>7.3811820573499496E-14</v>
      </c>
      <c r="D1268" s="7">
        <v>7.2190069491145001E-14</v>
      </c>
      <c r="E1268" s="7">
        <v>7.2190069491145001E-14</v>
      </c>
      <c r="F1268" s="4">
        <v>26.6433754727483</v>
      </c>
      <c r="G1268" s="4" t="str">
        <f t="shared" si="38"/>
        <v>OK</v>
      </c>
      <c r="H1268" s="4" t="str">
        <f t="shared" si="39"/>
        <v>NON-ZERO</v>
      </c>
      <c r="I1268" s="2">
        <v>7.3478807948841102E-14</v>
      </c>
      <c r="J1268">
        <f>IFERROR(Table4[[#This Row],[energy_kwh]]/Table4[[#This Row],[expected_kwh]],0)</f>
        <v>0.98246108648641428</v>
      </c>
      <c r="K1268" t="str">
        <f>IF(Table4[[#This Row],[Performance_Ratio]] &lt; 0.85, "Underperforming", "Performing")</f>
        <v>Performing</v>
      </c>
      <c r="L1268">
        <f>Table4[[#This Row],[energy_kwh]] - Table4[[#This Row],[expected_kwh]]</f>
        <v>-1.2887384576961002E-15</v>
      </c>
      <c r="M1268" t="str">
        <f>IF(Table4[[#This Row],[Performance_Deviation]] &lt; 0, "Underperforming", "Outperforming")</f>
        <v>Underperforming</v>
      </c>
      <c r="N1268">
        <f>IF(Table4[[#This Row],[Performance_Ratio]] &lt; 0.85, Table4[[#This Row],[Performance_Deviation]] * 50 / 1000, 0)</f>
        <v>0</v>
      </c>
    </row>
    <row r="1269" spans="1:14" x14ac:dyDescent="0.3">
      <c r="A1269" s="6" t="s">
        <v>7</v>
      </c>
      <c r="B1269" s="5">
        <v>45313.791666666664</v>
      </c>
      <c r="C1269" s="6">
        <v>0</v>
      </c>
      <c r="D1269" s="6">
        <v>0</v>
      </c>
      <c r="E1269" s="6">
        <v>0</v>
      </c>
      <c r="F1269" s="6">
        <v>64.710698716242206</v>
      </c>
      <c r="G1269" s="6" t="str">
        <f t="shared" si="38"/>
        <v>OK</v>
      </c>
      <c r="H1269" s="6" t="str">
        <f t="shared" si="39"/>
        <v>ZERO</v>
      </c>
      <c r="I1269">
        <v>0</v>
      </c>
      <c r="J1269">
        <f>IFERROR(Table4[[#This Row],[energy_kwh]]/Table4[[#This Row],[expected_kwh]],0)</f>
        <v>0</v>
      </c>
      <c r="K1269" t="str">
        <f>IF(Table4[[#This Row],[Performance_Ratio]] &lt; 0.85, "Underperforming", "Performing")</f>
        <v>Underperforming</v>
      </c>
      <c r="L1269">
        <f>Table4[[#This Row],[energy_kwh]] - Table4[[#This Row],[expected_kwh]]</f>
        <v>0</v>
      </c>
      <c r="M1269" t="str">
        <f>IF(Table4[[#This Row],[Performance_Deviation]] &lt; 0, "Underperforming", "Outperforming")</f>
        <v>Outperforming</v>
      </c>
      <c r="N1269">
        <f>IF(Table4[[#This Row],[Performance_Ratio]] &lt; 0.85, Table4[[#This Row],[Performance_Deviation]] * 50 / 1000, 0)</f>
        <v>0</v>
      </c>
    </row>
    <row r="1270" spans="1:14" x14ac:dyDescent="0.3">
      <c r="A1270" s="4" t="s">
        <v>7</v>
      </c>
      <c r="B1270" s="3">
        <v>45313.833333333336</v>
      </c>
      <c r="C1270" s="4">
        <v>0</v>
      </c>
      <c r="D1270" s="4">
        <v>0</v>
      </c>
      <c r="E1270" s="4">
        <v>0</v>
      </c>
      <c r="F1270" s="4">
        <v>83.2859647743729</v>
      </c>
      <c r="G1270" s="4" t="str">
        <f t="shared" si="38"/>
        <v>OK</v>
      </c>
      <c r="H1270" s="4" t="str">
        <f t="shared" si="39"/>
        <v>ZERO</v>
      </c>
      <c r="I1270">
        <v>0</v>
      </c>
      <c r="J1270">
        <f>IFERROR(Table4[[#This Row],[energy_kwh]]/Table4[[#This Row],[expected_kwh]],0)</f>
        <v>0</v>
      </c>
      <c r="K1270" t="str">
        <f>IF(Table4[[#This Row],[Performance_Ratio]] &lt; 0.85, "Underperforming", "Performing")</f>
        <v>Underperforming</v>
      </c>
      <c r="L1270">
        <f>Table4[[#This Row],[energy_kwh]] - Table4[[#This Row],[expected_kwh]]</f>
        <v>0</v>
      </c>
      <c r="M1270" t="str">
        <f>IF(Table4[[#This Row],[Performance_Deviation]] &lt; 0, "Underperforming", "Outperforming")</f>
        <v>Outperforming</v>
      </c>
      <c r="N1270">
        <f>IF(Table4[[#This Row],[Performance_Ratio]] &lt; 0.85, Table4[[#This Row],[Performance_Deviation]] * 50 / 1000, 0)</f>
        <v>0</v>
      </c>
    </row>
    <row r="1271" spans="1:14" x14ac:dyDescent="0.3">
      <c r="A1271" s="6" t="s">
        <v>7</v>
      </c>
      <c r="B1271" s="5">
        <v>45313.875</v>
      </c>
      <c r="C1271" s="6">
        <v>0</v>
      </c>
      <c r="D1271" s="6">
        <v>0</v>
      </c>
      <c r="E1271" s="6">
        <v>0</v>
      </c>
      <c r="F1271" s="6">
        <v>30.033360874547601</v>
      </c>
      <c r="G1271" s="6" t="str">
        <f t="shared" si="38"/>
        <v>OK</v>
      </c>
      <c r="H1271" s="6" t="str">
        <f t="shared" si="39"/>
        <v>ZERO</v>
      </c>
      <c r="I1271">
        <v>0</v>
      </c>
      <c r="J1271">
        <f>IFERROR(Table4[[#This Row],[energy_kwh]]/Table4[[#This Row],[expected_kwh]],0)</f>
        <v>0</v>
      </c>
      <c r="K1271" t="str">
        <f>IF(Table4[[#This Row],[Performance_Ratio]] &lt; 0.85, "Underperforming", "Performing")</f>
        <v>Underperforming</v>
      </c>
      <c r="L1271">
        <f>Table4[[#This Row],[energy_kwh]] - Table4[[#This Row],[expected_kwh]]</f>
        <v>0</v>
      </c>
      <c r="M1271" t="str">
        <f>IF(Table4[[#This Row],[Performance_Deviation]] &lt; 0, "Underperforming", "Outperforming")</f>
        <v>Outperforming</v>
      </c>
      <c r="N1271">
        <f>IF(Table4[[#This Row],[Performance_Ratio]] &lt; 0.85, Table4[[#This Row],[Performance_Deviation]] * 50 / 1000, 0)</f>
        <v>0</v>
      </c>
    </row>
    <row r="1272" spans="1:14" x14ac:dyDescent="0.3">
      <c r="A1272" s="4" t="s">
        <v>7</v>
      </c>
      <c r="B1272" s="3">
        <v>45313.916666666664</v>
      </c>
      <c r="C1272" s="4">
        <v>0</v>
      </c>
      <c r="D1272" s="4">
        <v>0</v>
      </c>
      <c r="E1272" s="4">
        <v>0</v>
      </c>
      <c r="F1272" s="4">
        <v>29.423261930923498</v>
      </c>
      <c r="G1272" s="4" t="str">
        <f t="shared" si="38"/>
        <v>OK</v>
      </c>
      <c r="H1272" s="4" t="str">
        <f t="shared" si="39"/>
        <v>ZERO</v>
      </c>
      <c r="I1272">
        <v>0</v>
      </c>
      <c r="J1272">
        <f>IFERROR(Table4[[#This Row],[energy_kwh]]/Table4[[#This Row],[expected_kwh]],0)</f>
        <v>0</v>
      </c>
      <c r="K1272" t="str">
        <f>IF(Table4[[#This Row],[Performance_Ratio]] &lt; 0.85, "Underperforming", "Performing")</f>
        <v>Underperforming</v>
      </c>
      <c r="L1272">
        <f>Table4[[#This Row],[energy_kwh]] - Table4[[#This Row],[expected_kwh]]</f>
        <v>0</v>
      </c>
      <c r="M1272" t="str">
        <f>IF(Table4[[#This Row],[Performance_Deviation]] &lt; 0, "Underperforming", "Outperforming")</f>
        <v>Outperforming</v>
      </c>
      <c r="N1272">
        <f>IF(Table4[[#This Row],[Performance_Ratio]] &lt; 0.85, Table4[[#This Row],[Performance_Deviation]] * 50 / 1000, 0)</f>
        <v>0</v>
      </c>
    </row>
    <row r="1273" spans="1:14" x14ac:dyDescent="0.3">
      <c r="A1273" s="6" t="s">
        <v>7</v>
      </c>
      <c r="B1273" s="5">
        <v>45313.958333333336</v>
      </c>
      <c r="C1273" s="6">
        <v>0</v>
      </c>
      <c r="D1273" s="6">
        <v>0</v>
      </c>
      <c r="E1273" s="6">
        <v>0</v>
      </c>
      <c r="F1273" s="6">
        <v>36.015714086775603</v>
      </c>
      <c r="G1273" s="6" t="str">
        <f t="shared" si="38"/>
        <v>OK</v>
      </c>
      <c r="H1273" s="6" t="str">
        <f t="shared" si="39"/>
        <v>ZERO</v>
      </c>
      <c r="I1273">
        <v>0</v>
      </c>
      <c r="J1273">
        <f>IFERROR(Table4[[#This Row],[energy_kwh]]/Table4[[#This Row],[expected_kwh]],0)</f>
        <v>0</v>
      </c>
      <c r="K1273" t="str">
        <f>IF(Table4[[#This Row],[Performance_Ratio]] &lt; 0.85, "Underperforming", "Performing")</f>
        <v>Underperforming</v>
      </c>
      <c r="L1273">
        <f>Table4[[#This Row],[energy_kwh]] - Table4[[#This Row],[expected_kwh]]</f>
        <v>0</v>
      </c>
      <c r="M1273" t="str">
        <f>IF(Table4[[#This Row],[Performance_Deviation]] &lt; 0, "Underperforming", "Outperforming")</f>
        <v>Outperforming</v>
      </c>
      <c r="N1273">
        <f>IF(Table4[[#This Row],[Performance_Ratio]] &lt; 0.85, Table4[[#This Row],[Performance_Deviation]] * 50 / 1000, 0)</f>
        <v>0</v>
      </c>
    </row>
    <row r="1274" spans="1:14" x14ac:dyDescent="0.3">
      <c r="A1274" s="4" t="s">
        <v>7</v>
      </c>
      <c r="B1274" s="3">
        <v>45314</v>
      </c>
      <c r="C1274" s="4">
        <v>0</v>
      </c>
      <c r="D1274" s="4">
        <v>0</v>
      </c>
      <c r="E1274" s="4">
        <v>0</v>
      </c>
      <c r="F1274" s="4">
        <v>49.318807013087103</v>
      </c>
      <c r="G1274" s="4" t="str">
        <f t="shared" si="38"/>
        <v>OK</v>
      </c>
      <c r="H1274" s="4" t="str">
        <f t="shared" si="39"/>
        <v>ZERO</v>
      </c>
      <c r="I1274">
        <v>0</v>
      </c>
      <c r="J1274">
        <f>IFERROR(Table4[[#This Row],[energy_kwh]]/Table4[[#This Row],[expected_kwh]],0)</f>
        <v>0</v>
      </c>
      <c r="K1274" t="str">
        <f>IF(Table4[[#This Row],[Performance_Ratio]] &lt; 0.85, "Underperforming", "Performing")</f>
        <v>Underperforming</v>
      </c>
      <c r="L1274">
        <f>Table4[[#This Row],[energy_kwh]] - Table4[[#This Row],[expected_kwh]]</f>
        <v>0</v>
      </c>
      <c r="M1274" t="str">
        <f>IF(Table4[[#This Row],[Performance_Deviation]] &lt; 0, "Underperforming", "Outperforming")</f>
        <v>Outperforming</v>
      </c>
      <c r="N1274">
        <f>IF(Table4[[#This Row],[Performance_Ratio]] &lt; 0.85, Table4[[#This Row],[Performance_Deviation]] * 50 / 1000, 0)</f>
        <v>0</v>
      </c>
    </row>
    <row r="1275" spans="1:14" x14ac:dyDescent="0.3">
      <c r="A1275" s="6" t="s">
        <v>7</v>
      </c>
      <c r="B1275" s="5">
        <v>45314.041666666664</v>
      </c>
      <c r="C1275" s="6">
        <v>0</v>
      </c>
      <c r="D1275" s="6">
        <v>0</v>
      </c>
      <c r="E1275" s="6">
        <v>0</v>
      </c>
      <c r="F1275" s="6">
        <v>80.010318706405599</v>
      </c>
      <c r="G1275" s="6" t="str">
        <f t="shared" si="38"/>
        <v>OK</v>
      </c>
      <c r="H1275" s="6" t="str">
        <f t="shared" si="39"/>
        <v>ZERO</v>
      </c>
      <c r="I1275">
        <v>0</v>
      </c>
      <c r="J1275">
        <f>IFERROR(Table4[[#This Row],[energy_kwh]]/Table4[[#This Row],[expected_kwh]],0)</f>
        <v>0</v>
      </c>
      <c r="K1275" t="str">
        <f>IF(Table4[[#This Row],[Performance_Ratio]] &lt; 0.85, "Underperforming", "Performing")</f>
        <v>Underperforming</v>
      </c>
      <c r="L1275">
        <f>Table4[[#This Row],[energy_kwh]] - Table4[[#This Row],[expected_kwh]]</f>
        <v>0</v>
      </c>
      <c r="M1275" t="str">
        <f>IF(Table4[[#This Row],[Performance_Deviation]] &lt; 0, "Underperforming", "Outperforming")</f>
        <v>Outperforming</v>
      </c>
      <c r="N1275">
        <f>IF(Table4[[#This Row],[Performance_Ratio]] &lt; 0.85, Table4[[#This Row],[Performance_Deviation]] * 50 / 1000, 0)</f>
        <v>0</v>
      </c>
    </row>
    <row r="1276" spans="1:14" x14ac:dyDescent="0.3">
      <c r="A1276" s="4" t="s">
        <v>7</v>
      </c>
      <c r="B1276" s="3">
        <v>45314.083333333336</v>
      </c>
      <c r="C1276" s="4">
        <v>0</v>
      </c>
      <c r="D1276" s="4">
        <v>0</v>
      </c>
      <c r="E1276" s="4">
        <v>0</v>
      </c>
      <c r="F1276" s="4">
        <v>84.374220415914294</v>
      </c>
      <c r="G1276" s="4" t="str">
        <f t="shared" si="38"/>
        <v>OK</v>
      </c>
      <c r="H1276" s="4" t="str">
        <f t="shared" si="39"/>
        <v>ZERO</v>
      </c>
      <c r="I1276">
        <v>0</v>
      </c>
      <c r="J1276">
        <f>IFERROR(Table4[[#This Row],[energy_kwh]]/Table4[[#This Row],[expected_kwh]],0)</f>
        <v>0</v>
      </c>
      <c r="K1276" t="str">
        <f>IF(Table4[[#This Row],[Performance_Ratio]] &lt; 0.85, "Underperforming", "Performing")</f>
        <v>Underperforming</v>
      </c>
      <c r="L1276">
        <f>Table4[[#This Row],[energy_kwh]] - Table4[[#This Row],[expected_kwh]]</f>
        <v>0</v>
      </c>
      <c r="M1276" t="str">
        <f>IF(Table4[[#This Row],[Performance_Deviation]] &lt; 0, "Underperforming", "Outperforming")</f>
        <v>Outperforming</v>
      </c>
      <c r="N1276">
        <f>IF(Table4[[#This Row],[Performance_Ratio]] &lt; 0.85, Table4[[#This Row],[Performance_Deviation]] * 50 / 1000, 0)</f>
        <v>0</v>
      </c>
    </row>
    <row r="1277" spans="1:14" x14ac:dyDescent="0.3">
      <c r="A1277" s="6" t="s">
        <v>7</v>
      </c>
      <c r="B1277" s="5">
        <v>45314.125</v>
      </c>
      <c r="C1277" s="6">
        <v>0</v>
      </c>
      <c r="D1277" s="6">
        <v>0</v>
      </c>
      <c r="E1277" s="6">
        <v>0</v>
      </c>
      <c r="F1277" s="6">
        <v>71.542575759551198</v>
      </c>
      <c r="G1277" s="6" t="str">
        <f t="shared" si="38"/>
        <v>OK</v>
      </c>
      <c r="H1277" s="6" t="str">
        <f t="shared" si="39"/>
        <v>ZERO</v>
      </c>
      <c r="I1277">
        <v>0</v>
      </c>
      <c r="J1277">
        <f>IFERROR(Table4[[#This Row],[energy_kwh]]/Table4[[#This Row],[expected_kwh]],0)</f>
        <v>0</v>
      </c>
      <c r="K1277" t="str">
        <f>IF(Table4[[#This Row],[Performance_Ratio]] &lt; 0.85, "Underperforming", "Performing")</f>
        <v>Underperforming</v>
      </c>
      <c r="L1277">
        <f>Table4[[#This Row],[energy_kwh]] - Table4[[#This Row],[expected_kwh]]</f>
        <v>0</v>
      </c>
      <c r="M1277" t="str">
        <f>IF(Table4[[#This Row],[Performance_Deviation]] &lt; 0, "Underperforming", "Outperforming")</f>
        <v>Outperforming</v>
      </c>
      <c r="N1277">
        <f>IF(Table4[[#This Row],[Performance_Ratio]] &lt; 0.85, Table4[[#This Row],[Performance_Deviation]] * 50 / 1000, 0)</f>
        <v>0</v>
      </c>
    </row>
    <row r="1278" spans="1:14" x14ac:dyDescent="0.3">
      <c r="A1278" s="4" t="s">
        <v>7</v>
      </c>
      <c r="B1278" s="3">
        <v>45314.166666666664</v>
      </c>
      <c r="C1278" s="4">
        <v>0</v>
      </c>
      <c r="D1278" s="4">
        <v>0</v>
      </c>
      <c r="E1278" s="4">
        <v>0</v>
      </c>
      <c r="F1278" s="4">
        <v>50.688694059386599</v>
      </c>
      <c r="G1278" s="4" t="str">
        <f t="shared" si="38"/>
        <v>OK</v>
      </c>
      <c r="H1278" s="4" t="str">
        <f t="shared" si="39"/>
        <v>ZERO</v>
      </c>
      <c r="I1278">
        <v>0</v>
      </c>
      <c r="J1278">
        <f>IFERROR(Table4[[#This Row],[energy_kwh]]/Table4[[#This Row],[expected_kwh]],0)</f>
        <v>0</v>
      </c>
      <c r="K1278" t="str">
        <f>IF(Table4[[#This Row],[Performance_Ratio]] &lt; 0.85, "Underperforming", "Performing")</f>
        <v>Underperforming</v>
      </c>
      <c r="L1278">
        <f>Table4[[#This Row],[energy_kwh]] - Table4[[#This Row],[expected_kwh]]</f>
        <v>0</v>
      </c>
      <c r="M1278" t="str">
        <f>IF(Table4[[#This Row],[Performance_Deviation]] &lt; 0, "Underperforming", "Outperforming")</f>
        <v>Outperforming</v>
      </c>
      <c r="N1278">
        <f>IF(Table4[[#This Row],[Performance_Ratio]] &lt; 0.85, Table4[[#This Row],[Performance_Deviation]] * 50 / 1000, 0)</f>
        <v>0</v>
      </c>
    </row>
    <row r="1279" spans="1:14" x14ac:dyDescent="0.3">
      <c r="A1279" s="6" t="s">
        <v>7</v>
      </c>
      <c r="B1279" s="5">
        <v>45314.208333333336</v>
      </c>
      <c r="C1279" s="6">
        <v>0</v>
      </c>
      <c r="D1279" s="6">
        <v>0</v>
      </c>
      <c r="E1279" s="6">
        <v>0</v>
      </c>
      <c r="F1279" s="6">
        <v>77.468410457028398</v>
      </c>
      <c r="G1279" s="6" t="str">
        <f t="shared" si="38"/>
        <v>OK</v>
      </c>
      <c r="H1279" s="6" t="str">
        <f t="shared" si="39"/>
        <v>ZERO</v>
      </c>
      <c r="I1279">
        <v>0</v>
      </c>
      <c r="J1279">
        <f>IFERROR(Table4[[#This Row],[energy_kwh]]/Table4[[#This Row],[expected_kwh]],0)</f>
        <v>0</v>
      </c>
      <c r="K1279" t="str">
        <f>IF(Table4[[#This Row],[Performance_Ratio]] &lt; 0.85, "Underperforming", "Performing")</f>
        <v>Underperforming</v>
      </c>
      <c r="L1279">
        <f>Table4[[#This Row],[energy_kwh]] - Table4[[#This Row],[expected_kwh]]</f>
        <v>0</v>
      </c>
      <c r="M1279" t="str">
        <f>IF(Table4[[#This Row],[Performance_Deviation]] &lt; 0, "Underperforming", "Outperforming")</f>
        <v>Outperforming</v>
      </c>
      <c r="N1279">
        <f>IF(Table4[[#This Row],[Performance_Ratio]] &lt; 0.85, Table4[[#This Row],[Performance_Deviation]] * 50 / 1000, 0)</f>
        <v>0</v>
      </c>
    </row>
    <row r="1280" spans="1:14" x14ac:dyDescent="0.3">
      <c r="A1280" s="4" t="s">
        <v>7</v>
      </c>
      <c r="B1280" s="3">
        <v>45314.25</v>
      </c>
      <c r="C1280" s="4">
        <v>0</v>
      </c>
      <c r="D1280" s="4">
        <v>0</v>
      </c>
      <c r="E1280" s="4">
        <v>0</v>
      </c>
      <c r="F1280" s="4">
        <v>74.526389526060001</v>
      </c>
      <c r="G1280" s="4" t="str">
        <f t="shared" si="38"/>
        <v>OK</v>
      </c>
      <c r="H1280" s="4" t="str">
        <f t="shared" si="39"/>
        <v>ZERO</v>
      </c>
      <c r="I1280">
        <v>0</v>
      </c>
      <c r="J1280">
        <f>IFERROR(Table4[[#This Row],[energy_kwh]]/Table4[[#This Row],[expected_kwh]],0)</f>
        <v>0</v>
      </c>
      <c r="K1280" t="str">
        <f>IF(Table4[[#This Row],[Performance_Ratio]] &lt; 0.85, "Underperforming", "Performing")</f>
        <v>Underperforming</v>
      </c>
      <c r="L1280">
        <f>Table4[[#This Row],[energy_kwh]] - Table4[[#This Row],[expected_kwh]]</f>
        <v>0</v>
      </c>
      <c r="M1280" t="str">
        <f>IF(Table4[[#This Row],[Performance_Deviation]] &lt; 0, "Underperforming", "Outperforming")</f>
        <v>Outperforming</v>
      </c>
      <c r="N1280">
        <f>IF(Table4[[#This Row],[Performance_Ratio]] &lt; 0.85, Table4[[#This Row],[Performance_Deviation]] * 50 / 1000, 0)</f>
        <v>0</v>
      </c>
    </row>
    <row r="1281" spans="1:14" x14ac:dyDescent="0.3">
      <c r="A1281" s="6" t="s">
        <v>7</v>
      </c>
      <c r="B1281" s="5">
        <v>45314.291666666664</v>
      </c>
      <c r="C1281" s="6">
        <v>141.12320941569399</v>
      </c>
      <c r="D1281" s="6">
        <v>138.022531017072</v>
      </c>
      <c r="E1281" s="6">
        <v>138.022531017072</v>
      </c>
      <c r="F1281" s="6">
        <v>36.887076816194799</v>
      </c>
      <c r="G1281" s="6" t="str">
        <f t="shared" si="38"/>
        <v>OK</v>
      </c>
      <c r="H1281" s="6" t="str">
        <f t="shared" si="39"/>
        <v>NON-ZERO</v>
      </c>
      <c r="I1281">
        <v>155.291427061512</v>
      </c>
      <c r="J1281">
        <f>IFERROR(Table4[[#This Row],[energy_kwh]]/Table4[[#This Row],[expected_kwh]],0)</f>
        <v>0.88879684879449483</v>
      </c>
      <c r="K1281" t="str">
        <f>IF(Table4[[#This Row],[Performance_Ratio]] &lt; 0.85, "Underperforming", "Performing")</f>
        <v>Performing</v>
      </c>
      <c r="L1281">
        <f>Table4[[#This Row],[energy_kwh]] - Table4[[#This Row],[expected_kwh]]</f>
        <v>-17.268896044439998</v>
      </c>
      <c r="M1281" t="str">
        <f>IF(Table4[[#This Row],[Performance_Deviation]] &lt; 0, "Underperforming", "Outperforming")</f>
        <v>Underperforming</v>
      </c>
      <c r="N1281">
        <f>IF(Table4[[#This Row],[Performance_Ratio]] &lt; 0.85, Table4[[#This Row],[Performance_Deviation]] * 50 / 1000, 0)</f>
        <v>0</v>
      </c>
    </row>
    <row r="1282" spans="1:14" x14ac:dyDescent="0.3">
      <c r="A1282" s="4" t="s">
        <v>7</v>
      </c>
      <c r="B1282" s="3">
        <v>45314.333333333336</v>
      </c>
      <c r="C1282" s="4">
        <v>307.76234029724702</v>
      </c>
      <c r="D1282" s="4">
        <v>301.000362275204</v>
      </c>
      <c r="E1282" s="4">
        <v>301.000362275204</v>
      </c>
      <c r="F1282" s="4">
        <v>76.384862269019905</v>
      </c>
      <c r="G1282" s="4" t="str">
        <f t="shared" ref="G1282:G1345" si="40">IF(D1282 &gt; C1282, "ERROR", "OK")</f>
        <v>OK</v>
      </c>
      <c r="H1282" s="4" t="str">
        <f t="shared" ref="H1282:H1345" si="41">IF(E1282=0,"ZERO","NON-ZERO")</f>
        <v>NON-ZERO</v>
      </c>
      <c r="I1282">
        <v>300</v>
      </c>
      <c r="J1282">
        <f>IFERROR(Table4[[#This Row],[energy_kwh]]/Table4[[#This Row],[expected_kwh]],0)</f>
        <v>1.0033345409173466</v>
      </c>
      <c r="K1282" t="str">
        <f>IF(Table4[[#This Row],[Performance_Ratio]] &lt; 0.85, "Underperforming", "Performing")</f>
        <v>Performing</v>
      </c>
      <c r="L1282">
        <f>Table4[[#This Row],[energy_kwh]] - Table4[[#This Row],[expected_kwh]]</f>
        <v>1.0003622752039973</v>
      </c>
      <c r="M1282" t="str">
        <f>IF(Table4[[#This Row],[Performance_Deviation]] &lt; 0, "Underperforming", "Outperforming")</f>
        <v>Outperforming</v>
      </c>
      <c r="N1282">
        <f>IF(Table4[[#This Row],[Performance_Ratio]] &lt; 0.85, Table4[[#This Row],[Performance_Deviation]] * 50 / 1000, 0)</f>
        <v>0</v>
      </c>
    </row>
    <row r="1283" spans="1:14" x14ac:dyDescent="0.3">
      <c r="A1283" s="6" t="s">
        <v>7</v>
      </c>
      <c r="B1283" s="5">
        <v>45314.375</v>
      </c>
      <c r="C1283" s="6">
        <v>450.68994500131498</v>
      </c>
      <c r="D1283" s="6">
        <v>440.78764343994999</v>
      </c>
      <c r="E1283" s="6">
        <v>440.78764343994999</v>
      </c>
      <c r="F1283" s="6">
        <v>55.582618561037997</v>
      </c>
      <c r="G1283" s="6" t="str">
        <f t="shared" si="40"/>
        <v>OK</v>
      </c>
      <c r="H1283" s="6" t="str">
        <f t="shared" si="41"/>
        <v>NON-ZERO</v>
      </c>
      <c r="I1283">
        <v>424.26406871192802</v>
      </c>
      <c r="J1283">
        <f>IFERROR(Table4[[#This Row],[energy_kwh]]/Table4[[#This Row],[expected_kwh]],0)</f>
        <v>1.0389464391320899</v>
      </c>
      <c r="K1283" t="str">
        <f>IF(Table4[[#This Row],[Performance_Ratio]] &lt; 0.85, "Underperforming", "Performing")</f>
        <v>Performing</v>
      </c>
      <c r="L1283">
        <f>Table4[[#This Row],[energy_kwh]] - Table4[[#This Row],[expected_kwh]]</f>
        <v>16.52357472802197</v>
      </c>
      <c r="M1283" t="str">
        <f>IF(Table4[[#This Row],[Performance_Deviation]] &lt; 0, "Underperforming", "Outperforming")</f>
        <v>Outperforming</v>
      </c>
      <c r="N1283">
        <f>IF(Table4[[#This Row],[Performance_Ratio]] &lt; 0.85, Table4[[#This Row],[Performance_Deviation]] * 50 / 1000, 0)</f>
        <v>0</v>
      </c>
    </row>
    <row r="1284" spans="1:14" x14ac:dyDescent="0.3">
      <c r="A1284" s="4" t="s">
        <v>7</v>
      </c>
      <c r="B1284" s="3">
        <v>45314.416666666664</v>
      </c>
      <c r="C1284" s="4">
        <v>524.94167647560198</v>
      </c>
      <c r="D1284" s="4">
        <v>513.40795836131201</v>
      </c>
      <c r="E1284" s="4">
        <v>513.40795836131201</v>
      </c>
      <c r="F1284" s="4">
        <v>67.379181374493797</v>
      </c>
      <c r="G1284" s="4" t="str">
        <f t="shared" si="40"/>
        <v>OK</v>
      </c>
      <c r="H1284" s="4" t="str">
        <f t="shared" si="41"/>
        <v>NON-ZERO</v>
      </c>
      <c r="I1284">
        <v>519.61524227066297</v>
      </c>
      <c r="J1284">
        <f>IFERROR(Table4[[#This Row],[energy_kwh]]/Table4[[#This Row],[expected_kwh]],0)</f>
        <v>0.98805407654666599</v>
      </c>
      <c r="K1284" t="str">
        <f>IF(Table4[[#This Row],[Performance_Ratio]] &lt; 0.85, "Underperforming", "Performing")</f>
        <v>Performing</v>
      </c>
      <c r="L1284">
        <f>Table4[[#This Row],[energy_kwh]] - Table4[[#This Row],[expected_kwh]]</f>
        <v>-6.2072839093509629</v>
      </c>
      <c r="M1284" t="str">
        <f>IF(Table4[[#This Row],[Performance_Deviation]] &lt; 0, "Underperforming", "Outperforming")</f>
        <v>Underperforming</v>
      </c>
      <c r="N1284">
        <f>IF(Table4[[#This Row],[Performance_Ratio]] &lt; 0.85, Table4[[#This Row],[Performance_Deviation]] * 50 / 1000, 0)</f>
        <v>0</v>
      </c>
    </row>
    <row r="1285" spans="1:14" x14ac:dyDescent="0.3">
      <c r="A1285" s="6" t="s">
        <v>7</v>
      </c>
      <c r="B1285" s="5">
        <v>45314.458333333336</v>
      </c>
      <c r="C1285" s="6">
        <v>477.39595101266798</v>
      </c>
      <c r="D1285" s="6">
        <v>466.906880369904</v>
      </c>
      <c r="E1285" s="6">
        <v>466.906880369904</v>
      </c>
      <c r="F1285" s="6">
        <v>37.464391765706999</v>
      </c>
      <c r="G1285" s="6" t="str">
        <f t="shared" si="40"/>
        <v>OK</v>
      </c>
      <c r="H1285" s="6" t="str">
        <f t="shared" si="41"/>
        <v>NON-ZERO</v>
      </c>
      <c r="I1285">
        <v>579.55549577344095</v>
      </c>
      <c r="J1285">
        <f>IFERROR(Table4[[#This Row],[energy_kwh]]/Table4[[#This Row],[expected_kwh]],0)</f>
        <v>0.80562928619423635</v>
      </c>
      <c r="K1285" t="str">
        <f>IF(Table4[[#This Row],[Performance_Ratio]] &lt; 0.85, "Underperforming", "Performing")</f>
        <v>Underperforming</v>
      </c>
      <c r="L1285">
        <f>Table4[[#This Row],[energy_kwh]] - Table4[[#This Row],[expected_kwh]]</f>
        <v>-112.64861540353695</v>
      </c>
      <c r="M1285" t="str">
        <f>IF(Table4[[#This Row],[Performance_Deviation]] &lt; 0, "Underperforming", "Outperforming")</f>
        <v>Underperforming</v>
      </c>
      <c r="N1285">
        <f>IF(Table4[[#This Row],[Performance_Ratio]] &lt; 0.85, Table4[[#This Row],[Performance_Deviation]] * 50 / 1000, 0)</f>
        <v>-5.6324307701768479</v>
      </c>
    </row>
    <row r="1286" spans="1:14" x14ac:dyDescent="0.3">
      <c r="A1286" s="4" t="s">
        <v>7</v>
      </c>
      <c r="B1286" s="3">
        <v>45314.5</v>
      </c>
      <c r="C1286" s="4">
        <v>487.43098224582599</v>
      </c>
      <c r="D1286" s="4">
        <v>476.72142763941901</v>
      </c>
      <c r="E1286" s="4">
        <v>476.72142763941901</v>
      </c>
      <c r="F1286" s="4">
        <v>44.2107345085887</v>
      </c>
      <c r="G1286" s="4" t="str">
        <f t="shared" si="40"/>
        <v>OK</v>
      </c>
      <c r="H1286" s="4" t="str">
        <f t="shared" si="41"/>
        <v>NON-ZERO</v>
      </c>
      <c r="I1286">
        <v>600</v>
      </c>
      <c r="J1286">
        <f>IFERROR(Table4[[#This Row],[energy_kwh]]/Table4[[#This Row],[expected_kwh]],0)</f>
        <v>0.79453571273236501</v>
      </c>
      <c r="K1286" t="str">
        <f>IF(Table4[[#This Row],[Performance_Ratio]] &lt; 0.85, "Underperforming", "Performing")</f>
        <v>Underperforming</v>
      </c>
      <c r="L1286">
        <f>Table4[[#This Row],[energy_kwh]] - Table4[[#This Row],[expected_kwh]]</f>
        <v>-123.27857236058099</v>
      </c>
      <c r="M1286" t="str">
        <f>IF(Table4[[#This Row],[Performance_Deviation]] &lt; 0, "Underperforming", "Outperforming")</f>
        <v>Underperforming</v>
      </c>
      <c r="N1286">
        <f>IF(Table4[[#This Row],[Performance_Ratio]] &lt; 0.85, Table4[[#This Row],[Performance_Deviation]] * 50 / 1000, 0)</f>
        <v>-6.1639286180290505</v>
      </c>
    </row>
    <row r="1287" spans="1:14" x14ac:dyDescent="0.3">
      <c r="A1287" s="6" t="s">
        <v>7</v>
      </c>
      <c r="B1287" s="5">
        <v>45314.541666666664</v>
      </c>
      <c r="C1287" s="6">
        <v>547.21615591415105</v>
      </c>
      <c r="D1287" s="6">
        <v>535.193035684351</v>
      </c>
      <c r="E1287" s="6">
        <v>535.193035684351</v>
      </c>
      <c r="F1287" s="6">
        <v>29.9963193561629</v>
      </c>
      <c r="G1287" s="6" t="str">
        <f t="shared" si="40"/>
        <v>OK</v>
      </c>
      <c r="H1287" s="6" t="str">
        <f t="shared" si="41"/>
        <v>NON-ZERO</v>
      </c>
      <c r="I1287">
        <v>579.55549577344095</v>
      </c>
      <c r="J1287">
        <f>IFERROR(Table4[[#This Row],[energy_kwh]]/Table4[[#This Row],[expected_kwh]],0)</f>
        <v>0.92345433627562035</v>
      </c>
      <c r="K1287" t="str">
        <f>IF(Table4[[#This Row],[Performance_Ratio]] &lt; 0.85, "Underperforming", "Performing")</f>
        <v>Performing</v>
      </c>
      <c r="L1287">
        <f>Table4[[#This Row],[energy_kwh]] - Table4[[#This Row],[expected_kwh]]</f>
        <v>-44.36246008908995</v>
      </c>
      <c r="M1287" t="str">
        <f>IF(Table4[[#This Row],[Performance_Deviation]] &lt; 0, "Underperforming", "Outperforming")</f>
        <v>Underperforming</v>
      </c>
      <c r="N1287">
        <f>IF(Table4[[#This Row],[Performance_Ratio]] &lt; 0.85, Table4[[#This Row],[Performance_Deviation]] * 50 / 1000, 0)</f>
        <v>0</v>
      </c>
    </row>
    <row r="1288" spans="1:14" x14ac:dyDescent="0.3">
      <c r="A1288" s="4" t="s">
        <v>7</v>
      </c>
      <c r="B1288" s="3">
        <v>45314.583333333336</v>
      </c>
      <c r="C1288" s="4">
        <v>471.70279747000097</v>
      </c>
      <c r="D1288" s="4">
        <v>461.33881353893298</v>
      </c>
      <c r="E1288" s="4">
        <v>461.33881353893298</v>
      </c>
      <c r="F1288" s="4">
        <v>77.582346328575298</v>
      </c>
      <c r="G1288" s="4" t="str">
        <f t="shared" si="40"/>
        <v>OK</v>
      </c>
      <c r="H1288" s="4" t="str">
        <f t="shared" si="41"/>
        <v>NON-ZERO</v>
      </c>
      <c r="I1288">
        <v>519.61524227066297</v>
      </c>
      <c r="J1288">
        <f>IFERROR(Table4[[#This Row],[energy_kwh]]/Table4[[#This Row],[expected_kwh]],0)</f>
        <v>0.88784696061441881</v>
      </c>
      <c r="K1288" t="str">
        <f>IF(Table4[[#This Row],[Performance_Ratio]] &lt; 0.85, "Underperforming", "Performing")</f>
        <v>Performing</v>
      </c>
      <c r="L1288">
        <f>Table4[[#This Row],[energy_kwh]] - Table4[[#This Row],[expected_kwh]]</f>
        <v>-58.276428731729993</v>
      </c>
      <c r="M1288" t="str">
        <f>IF(Table4[[#This Row],[Performance_Deviation]] &lt; 0, "Underperforming", "Outperforming")</f>
        <v>Underperforming</v>
      </c>
      <c r="N1288">
        <f>IF(Table4[[#This Row],[Performance_Ratio]] &lt; 0.85, Table4[[#This Row],[Performance_Deviation]] * 50 / 1000, 0)</f>
        <v>0</v>
      </c>
    </row>
    <row r="1289" spans="1:14" x14ac:dyDescent="0.3">
      <c r="A1289" s="6" t="s">
        <v>7</v>
      </c>
      <c r="B1289" s="5">
        <v>45314.625</v>
      </c>
      <c r="C1289" s="6">
        <v>412.49226259231602</v>
      </c>
      <c r="D1289" s="6">
        <v>403.42921864997402</v>
      </c>
      <c r="E1289" s="6">
        <v>403.42921864997402</v>
      </c>
      <c r="F1289" s="6">
        <v>82.574359681204896</v>
      </c>
      <c r="G1289" s="6" t="str">
        <f t="shared" si="40"/>
        <v>OK</v>
      </c>
      <c r="H1289" s="6" t="str">
        <f t="shared" si="41"/>
        <v>NON-ZERO</v>
      </c>
      <c r="I1289">
        <v>424.26406871192802</v>
      </c>
      <c r="J1289">
        <f>IFERROR(Table4[[#This Row],[energy_kwh]]/Table4[[#This Row],[expected_kwh]],0)</f>
        <v>0.95089178745395786</v>
      </c>
      <c r="K1289" t="str">
        <f>IF(Table4[[#This Row],[Performance_Ratio]] &lt; 0.85, "Underperforming", "Performing")</f>
        <v>Performing</v>
      </c>
      <c r="L1289">
        <f>Table4[[#This Row],[energy_kwh]] - Table4[[#This Row],[expected_kwh]]</f>
        <v>-20.834850061954</v>
      </c>
      <c r="M1289" t="str">
        <f>IF(Table4[[#This Row],[Performance_Deviation]] &lt; 0, "Underperforming", "Outperforming")</f>
        <v>Underperforming</v>
      </c>
      <c r="N1289">
        <f>IF(Table4[[#This Row],[Performance_Ratio]] &lt; 0.85, Table4[[#This Row],[Performance_Deviation]] * 50 / 1000, 0)</f>
        <v>0</v>
      </c>
    </row>
    <row r="1290" spans="1:14" x14ac:dyDescent="0.3">
      <c r="A1290" s="4" t="s">
        <v>7</v>
      </c>
      <c r="B1290" s="3">
        <v>45314.666666666664</v>
      </c>
      <c r="C1290" s="4">
        <v>324.038531583311</v>
      </c>
      <c r="D1290" s="4">
        <v>316.91894240048498</v>
      </c>
      <c r="E1290" s="4">
        <v>316.91894240048498</v>
      </c>
      <c r="F1290" s="4">
        <v>22.578264376379298</v>
      </c>
      <c r="G1290" s="4" t="str">
        <f t="shared" si="40"/>
        <v>OK</v>
      </c>
      <c r="H1290" s="4" t="str">
        <f t="shared" si="41"/>
        <v>NON-ZERO</v>
      </c>
      <c r="I1290">
        <v>300</v>
      </c>
      <c r="J1290">
        <f>IFERROR(Table4[[#This Row],[energy_kwh]]/Table4[[#This Row],[expected_kwh]],0)</f>
        <v>1.0563964746682832</v>
      </c>
      <c r="K1290" t="str">
        <f>IF(Table4[[#This Row],[Performance_Ratio]] &lt; 0.85, "Underperforming", "Performing")</f>
        <v>Performing</v>
      </c>
      <c r="L1290">
        <f>Table4[[#This Row],[energy_kwh]] - Table4[[#This Row],[expected_kwh]]</f>
        <v>16.91894240048498</v>
      </c>
      <c r="M1290" t="str">
        <f>IF(Table4[[#This Row],[Performance_Deviation]] &lt; 0, "Underperforming", "Outperforming")</f>
        <v>Outperforming</v>
      </c>
      <c r="N1290">
        <f>IF(Table4[[#This Row],[Performance_Ratio]] &lt; 0.85, Table4[[#This Row],[Performance_Deviation]] * 50 / 1000, 0)</f>
        <v>0</v>
      </c>
    </row>
    <row r="1291" spans="1:14" x14ac:dyDescent="0.3">
      <c r="A1291" s="6" t="s">
        <v>7</v>
      </c>
      <c r="B1291" s="5">
        <v>45314.708333333336</v>
      </c>
      <c r="C1291" s="6">
        <v>158.20353406237501</v>
      </c>
      <c r="D1291" s="6">
        <v>154.72757654494001</v>
      </c>
      <c r="E1291" s="6">
        <v>154.72757654494001</v>
      </c>
      <c r="F1291" s="6">
        <v>52.626094575516703</v>
      </c>
      <c r="G1291" s="6" t="str">
        <f t="shared" si="40"/>
        <v>OK</v>
      </c>
      <c r="H1291" s="6" t="str">
        <f t="shared" si="41"/>
        <v>NON-ZERO</v>
      </c>
      <c r="I1291">
        <v>155.291427061512</v>
      </c>
      <c r="J1291">
        <f>IFERROR(Table4[[#This Row],[energy_kwh]]/Table4[[#This Row],[expected_kwh]],0)</f>
        <v>0.99636908149251124</v>
      </c>
      <c r="K1291" t="str">
        <f>IF(Table4[[#This Row],[Performance_Ratio]] &lt; 0.85, "Underperforming", "Performing")</f>
        <v>Performing</v>
      </c>
      <c r="L1291">
        <f>Table4[[#This Row],[energy_kwh]] - Table4[[#This Row],[expected_kwh]]</f>
        <v>-0.56385051657198915</v>
      </c>
      <c r="M1291" t="str">
        <f>IF(Table4[[#This Row],[Performance_Deviation]] &lt; 0, "Underperforming", "Outperforming")</f>
        <v>Underperforming</v>
      </c>
      <c r="N1291">
        <f>IF(Table4[[#This Row],[Performance_Ratio]] &lt; 0.85, Table4[[#This Row],[Performance_Deviation]] * 50 / 1000, 0)</f>
        <v>0</v>
      </c>
    </row>
    <row r="1292" spans="1:14" x14ac:dyDescent="0.3">
      <c r="A1292" s="4" t="s">
        <v>7</v>
      </c>
      <c r="B1292" s="3">
        <v>45314.75</v>
      </c>
      <c r="C1292" s="7">
        <v>7.1842725726918305E-14</v>
      </c>
      <c r="D1292" s="7">
        <v>7.0264238469705797E-14</v>
      </c>
      <c r="E1292" s="7">
        <v>7.0264238469705797E-14</v>
      </c>
      <c r="F1292" s="4">
        <v>79.625865269635199</v>
      </c>
      <c r="G1292" s="4" t="str">
        <f t="shared" si="40"/>
        <v>OK</v>
      </c>
      <c r="H1292" s="4" t="str">
        <f t="shared" si="41"/>
        <v>NON-ZERO</v>
      </c>
      <c r="I1292" s="2">
        <v>7.3478807948841102E-14</v>
      </c>
      <c r="J1292">
        <f>IFERROR(Table4[[#This Row],[energy_kwh]]/Table4[[#This Row],[expected_kwh]],0)</f>
        <v>0.9562517470156372</v>
      </c>
      <c r="K1292" t="str">
        <f>IF(Table4[[#This Row],[Performance_Ratio]] &lt; 0.85, "Underperforming", "Performing")</f>
        <v>Performing</v>
      </c>
      <c r="L1292">
        <f>Table4[[#This Row],[energy_kwh]] - Table4[[#This Row],[expected_kwh]]</f>
        <v>-3.2145694791353049E-15</v>
      </c>
      <c r="M1292" t="str">
        <f>IF(Table4[[#This Row],[Performance_Deviation]] &lt; 0, "Underperforming", "Outperforming")</f>
        <v>Underperforming</v>
      </c>
      <c r="N1292">
        <f>IF(Table4[[#This Row],[Performance_Ratio]] &lt; 0.85, Table4[[#This Row],[Performance_Deviation]] * 50 / 1000, 0)</f>
        <v>0</v>
      </c>
    </row>
    <row r="1293" spans="1:14" x14ac:dyDescent="0.3">
      <c r="A1293" s="6" t="s">
        <v>7</v>
      </c>
      <c r="B1293" s="5">
        <v>45314.791666666664</v>
      </c>
      <c r="C1293" s="6">
        <v>0</v>
      </c>
      <c r="D1293" s="6">
        <v>0</v>
      </c>
      <c r="E1293" s="6">
        <v>0</v>
      </c>
      <c r="F1293" s="6">
        <v>30.913661209051899</v>
      </c>
      <c r="G1293" s="6" t="str">
        <f t="shared" si="40"/>
        <v>OK</v>
      </c>
      <c r="H1293" s="6" t="str">
        <f t="shared" si="41"/>
        <v>ZERO</v>
      </c>
      <c r="I1293">
        <v>0</v>
      </c>
      <c r="J1293">
        <f>IFERROR(Table4[[#This Row],[energy_kwh]]/Table4[[#This Row],[expected_kwh]],0)</f>
        <v>0</v>
      </c>
      <c r="K1293" t="str">
        <f>IF(Table4[[#This Row],[Performance_Ratio]] &lt; 0.85, "Underperforming", "Performing")</f>
        <v>Underperforming</v>
      </c>
      <c r="L1293">
        <f>Table4[[#This Row],[energy_kwh]] - Table4[[#This Row],[expected_kwh]]</f>
        <v>0</v>
      </c>
      <c r="M1293" t="str">
        <f>IF(Table4[[#This Row],[Performance_Deviation]] &lt; 0, "Underperforming", "Outperforming")</f>
        <v>Outperforming</v>
      </c>
      <c r="N1293">
        <f>IF(Table4[[#This Row],[Performance_Ratio]] &lt; 0.85, Table4[[#This Row],[Performance_Deviation]] * 50 / 1000, 0)</f>
        <v>0</v>
      </c>
    </row>
    <row r="1294" spans="1:14" x14ac:dyDescent="0.3">
      <c r="A1294" s="4" t="s">
        <v>7</v>
      </c>
      <c r="B1294" s="3">
        <v>45314.833333333336</v>
      </c>
      <c r="C1294" s="4">
        <v>0</v>
      </c>
      <c r="D1294" s="4">
        <v>0</v>
      </c>
      <c r="E1294" s="4">
        <v>0</v>
      </c>
      <c r="F1294" s="4">
        <v>68.716700506772099</v>
      </c>
      <c r="G1294" s="4" t="str">
        <f t="shared" si="40"/>
        <v>OK</v>
      </c>
      <c r="H1294" s="4" t="str">
        <f t="shared" si="41"/>
        <v>ZERO</v>
      </c>
      <c r="I1294">
        <v>0</v>
      </c>
      <c r="J1294">
        <f>IFERROR(Table4[[#This Row],[energy_kwh]]/Table4[[#This Row],[expected_kwh]],0)</f>
        <v>0</v>
      </c>
      <c r="K1294" t="str">
        <f>IF(Table4[[#This Row],[Performance_Ratio]] &lt; 0.85, "Underperforming", "Performing")</f>
        <v>Underperforming</v>
      </c>
      <c r="L1294">
        <f>Table4[[#This Row],[energy_kwh]] - Table4[[#This Row],[expected_kwh]]</f>
        <v>0</v>
      </c>
      <c r="M1294" t="str">
        <f>IF(Table4[[#This Row],[Performance_Deviation]] &lt; 0, "Underperforming", "Outperforming")</f>
        <v>Outperforming</v>
      </c>
      <c r="N1294">
        <f>IF(Table4[[#This Row],[Performance_Ratio]] &lt; 0.85, Table4[[#This Row],[Performance_Deviation]] * 50 / 1000, 0)</f>
        <v>0</v>
      </c>
    </row>
    <row r="1295" spans="1:14" x14ac:dyDescent="0.3">
      <c r="A1295" s="6" t="s">
        <v>7</v>
      </c>
      <c r="B1295" s="5">
        <v>45314.875</v>
      </c>
      <c r="C1295" s="6">
        <v>0</v>
      </c>
      <c r="D1295" s="6">
        <v>0</v>
      </c>
      <c r="E1295" s="6">
        <v>0</v>
      </c>
      <c r="F1295" s="6">
        <v>66.9541031735601</v>
      </c>
      <c r="G1295" s="6" t="str">
        <f t="shared" si="40"/>
        <v>OK</v>
      </c>
      <c r="H1295" s="6" t="str">
        <f t="shared" si="41"/>
        <v>ZERO</v>
      </c>
      <c r="I1295">
        <v>0</v>
      </c>
      <c r="J1295">
        <f>IFERROR(Table4[[#This Row],[energy_kwh]]/Table4[[#This Row],[expected_kwh]],0)</f>
        <v>0</v>
      </c>
      <c r="K1295" t="str">
        <f>IF(Table4[[#This Row],[Performance_Ratio]] &lt; 0.85, "Underperforming", "Performing")</f>
        <v>Underperforming</v>
      </c>
      <c r="L1295">
        <f>Table4[[#This Row],[energy_kwh]] - Table4[[#This Row],[expected_kwh]]</f>
        <v>0</v>
      </c>
      <c r="M1295" t="str">
        <f>IF(Table4[[#This Row],[Performance_Deviation]] &lt; 0, "Underperforming", "Outperforming")</f>
        <v>Outperforming</v>
      </c>
      <c r="N1295">
        <f>IF(Table4[[#This Row],[Performance_Ratio]] &lt; 0.85, Table4[[#This Row],[Performance_Deviation]] * 50 / 1000, 0)</f>
        <v>0</v>
      </c>
    </row>
    <row r="1296" spans="1:14" x14ac:dyDescent="0.3">
      <c r="A1296" s="4" t="s">
        <v>7</v>
      </c>
      <c r="B1296" s="3">
        <v>45314.916666666664</v>
      </c>
      <c r="C1296" s="4">
        <v>0</v>
      </c>
      <c r="D1296" s="4">
        <v>0</v>
      </c>
      <c r="E1296" s="4">
        <v>0</v>
      </c>
      <c r="F1296" s="4">
        <v>65.778204483626894</v>
      </c>
      <c r="G1296" s="4" t="str">
        <f t="shared" si="40"/>
        <v>OK</v>
      </c>
      <c r="H1296" s="4" t="str">
        <f t="shared" si="41"/>
        <v>ZERO</v>
      </c>
      <c r="I1296">
        <v>0</v>
      </c>
      <c r="J1296">
        <f>IFERROR(Table4[[#This Row],[energy_kwh]]/Table4[[#This Row],[expected_kwh]],0)</f>
        <v>0</v>
      </c>
      <c r="K1296" t="str">
        <f>IF(Table4[[#This Row],[Performance_Ratio]] &lt; 0.85, "Underperforming", "Performing")</f>
        <v>Underperforming</v>
      </c>
      <c r="L1296">
        <f>Table4[[#This Row],[energy_kwh]] - Table4[[#This Row],[expected_kwh]]</f>
        <v>0</v>
      </c>
      <c r="M1296" t="str">
        <f>IF(Table4[[#This Row],[Performance_Deviation]] &lt; 0, "Underperforming", "Outperforming")</f>
        <v>Outperforming</v>
      </c>
      <c r="N1296">
        <f>IF(Table4[[#This Row],[Performance_Ratio]] &lt; 0.85, Table4[[#This Row],[Performance_Deviation]] * 50 / 1000, 0)</f>
        <v>0</v>
      </c>
    </row>
    <row r="1297" spans="1:14" x14ac:dyDescent="0.3">
      <c r="A1297" s="6" t="s">
        <v>7</v>
      </c>
      <c r="B1297" s="5">
        <v>45314.958333333336</v>
      </c>
      <c r="C1297" s="6">
        <v>0</v>
      </c>
      <c r="D1297" s="6">
        <v>0</v>
      </c>
      <c r="E1297" s="6">
        <v>0</v>
      </c>
      <c r="F1297" s="6">
        <v>28.437734789497298</v>
      </c>
      <c r="G1297" s="6" t="str">
        <f t="shared" si="40"/>
        <v>OK</v>
      </c>
      <c r="H1297" s="6" t="str">
        <f t="shared" si="41"/>
        <v>ZERO</v>
      </c>
      <c r="I1297">
        <v>0</v>
      </c>
      <c r="J1297">
        <f>IFERROR(Table4[[#This Row],[energy_kwh]]/Table4[[#This Row],[expected_kwh]],0)</f>
        <v>0</v>
      </c>
      <c r="K1297" t="str">
        <f>IF(Table4[[#This Row],[Performance_Ratio]] &lt; 0.85, "Underperforming", "Performing")</f>
        <v>Underperforming</v>
      </c>
      <c r="L1297">
        <f>Table4[[#This Row],[energy_kwh]] - Table4[[#This Row],[expected_kwh]]</f>
        <v>0</v>
      </c>
      <c r="M1297" t="str">
        <f>IF(Table4[[#This Row],[Performance_Deviation]] &lt; 0, "Underperforming", "Outperforming")</f>
        <v>Outperforming</v>
      </c>
      <c r="N1297">
        <f>IF(Table4[[#This Row],[Performance_Ratio]] &lt; 0.85, Table4[[#This Row],[Performance_Deviation]] * 50 / 1000, 0)</f>
        <v>0</v>
      </c>
    </row>
    <row r="1298" spans="1:14" x14ac:dyDescent="0.3">
      <c r="A1298" s="4" t="s">
        <v>7</v>
      </c>
      <c r="B1298" s="3">
        <v>45315</v>
      </c>
      <c r="C1298" s="4">
        <v>0</v>
      </c>
      <c r="D1298" s="4">
        <v>0</v>
      </c>
      <c r="E1298" s="4">
        <v>0</v>
      </c>
      <c r="F1298" s="4">
        <v>94.825419744849398</v>
      </c>
      <c r="G1298" s="4" t="str">
        <f t="shared" si="40"/>
        <v>OK</v>
      </c>
      <c r="H1298" s="4" t="str">
        <f t="shared" si="41"/>
        <v>ZERO</v>
      </c>
      <c r="I1298">
        <v>0</v>
      </c>
      <c r="J1298">
        <f>IFERROR(Table4[[#This Row],[energy_kwh]]/Table4[[#This Row],[expected_kwh]],0)</f>
        <v>0</v>
      </c>
      <c r="K1298" t="str">
        <f>IF(Table4[[#This Row],[Performance_Ratio]] &lt; 0.85, "Underperforming", "Performing")</f>
        <v>Underperforming</v>
      </c>
      <c r="L1298">
        <f>Table4[[#This Row],[energy_kwh]] - Table4[[#This Row],[expected_kwh]]</f>
        <v>0</v>
      </c>
      <c r="M1298" t="str">
        <f>IF(Table4[[#This Row],[Performance_Deviation]] &lt; 0, "Underperforming", "Outperforming")</f>
        <v>Outperforming</v>
      </c>
      <c r="N1298">
        <f>IF(Table4[[#This Row],[Performance_Ratio]] &lt; 0.85, Table4[[#This Row],[Performance_Deviation]] * 50 / 1000, 0)</f>
        <v>0</v>
      </c>
    </row>
    <row r="1299" spans="1:14" x14ac:dyDescent="0.3">
      <c r="A1299" s="6" t="s">
        <v>7</v>
      </c>
      <c r="B1299" s="5">
        <v>45315.041666666664</v>
      </c>
      <c r="C1299" s="6">
        <v>0</v>
      </c>
      <c r="D1299" s="6">
        <v>0</v>
      </c>
      <c r="E1299" s="6">
        <v>0</v>
      </c>
      <c r="F1299" s="6">
        <v>89.800419167179797</v>
      </c>
      <c r="G1299" s="6" t="str">
        <f t="shared" si="40"/>
        <v>OK</v>
      </c>
      <c r="H1299" s="6" t="str">
        <f t="shared" si="41"/>
        <v>ZERO</v>
      </c>
      <c r="I1299">
        <v>0</v>
      </c>
      <c r="J1299">
        <f>IFERROR(Table4[[#This Row],[energy_kwh]]/Table4[[#This Row],[expected_kwh]],0)</f>
        <v>0</v>
      </c>
      <c r="K1299" t="str">
        <f>IF(Table4[[#This Row],[Performance_Ratio]] &lt; 0.85, "Underperforming", "Performing")</f>
        <v>Underperforming</v>
      </c>
      <c r="L1299">
        <f>Table4[[#This Row],[energy_kwh]] - Table4[[#This Row],[expected_kwh]]</f>
        <v>0</v>
      </c>
      <c r="M1299" t="str">
        <f>IF(Table4[[#This Row],[Performance_Deviation]] &lt; 0, "Underperforming", "Outperforming")</f>
        <v>Outperforming</v>
      </c>
      <c r="N1299">
        <f>IF(Table4[[#This Row],[Performance_Ratio]] &lt; 0.85, Table4[[#This Row],[Performance_Deviation]] * 50 / 1000, 0)</f>
        <v>0</v>
      </c>
    </row>
    <row r="1300" spans="1:14" x14ac:dyDescent="0.3">
      <c r="A1300" s="4" t="s">
        <v>7</v>
      </c>
      <c r="B1300" s="3">
        <v>45315.083333333336</v>
      </c>
      <c r="C1300" s="4">
        <v>0</v>
      </c>
      <c r="D1300" s="4">
        <v>0</v>
      </c>
      <c r="E1300" s="4">
        <v>0</v>
      </c>
      <c r="F1300" s="4">
        <v>24.895756817484699</v>
      </c>
      <c r="G1300" s="4" t="str">
        <f t="shared" si="40"/>
        <v>OK</v>
      </c>
      <c r="H1300" s="4" t="str">
        <f t="shared" si="41"/>
        <v>ZERO</v>
      </c>
      <c r="I1300">
        <v>0</v>
      </c>
      <c r="J1300">
        <f>IFERROR(Table4[[#This Row],[energy_kwh]]/Table4[[#This Row],[expected_kwh]],0)</f>
        <v>0</v>
      </c>
      <c r="K1300" t="str">
        <f>IF(Table4[[#This Row],[Performance_Ratio]] &lt; 0.85, "Underperforming", "Performing")</f>
        <v>Underperforming</v>
      </c>
      <c r="L1300">
        <f>Table4[[#This Row],[energy_kwh]] - Table4[[#This Row],[expected_kwh]]</f>
        <v>0</v>
      </c>
      <c r="M1300" t="str">
        <f>IF(Table4[[#This Row],[Performance_Deviation]] &lt; 0, "Underperforming", "Outperforming")</f>
        <v>Outperforming</v>
      </c>
      <c r="N1300">
        <f>IF(Table4[[#This Row],[Performance_Ratio]] &lt; 0.85, Table4[[#This Row],[Performance_Deviation]] * 50 / 1000, 0)</f>
        <v>0</v>
      </c>
    </row>
    <row r="1301" spans="1:14" x14ac:dyDescent="0.3">
      <c r="A1301" s="6" t="s">
        <v>7</v>
      </c>
      <c r="B1301" s="5">
        <v>45315.125</v>
      </c>
      <c r="C1301" s="6">
        <v>0</v>
      </c>
      <c r="D1301" s="6">
        <v>0</v>
      </c>
      <c r="E1301" s="6">
        <v>0</v>
      </c>
      <c r="F1301" s="6">
        <v>68.550660077981803</v>
      </c>
      <c r="G1301" s="6" t="str">
        <f t="shared" si="40"/>
        <v>OK</v>
      </c>
      <c r="H1301" s="6" t="str">
        <f t="shared" si="41"/>
        <v>ZERO</v>
      </c>
      <c r="I1301">
        <v>0</v>
      </c>
      <c r="J1301">
        <f>IFERROR(Table4[[#This Row],[energy_kwh]]/Table4[[#This Row],[expected_kwh]],0)</f>
        <v>0</v>
      </c>
      <c r="K1301" t="str">
        <f>IF(Table4[[#This Row],[Performance_Ratio]] &lt; 0.85, "Underperforming", "Performing")</f>
        <v>Underperforming</v>
      </c>
      <c r="L1301">
        <f>Table4[[#This Row],[energy_kwh]] - Table4[[#This Row],[expected_kwh]]</f>
        <v>0</v>
      </c>
      <c r="M1301" t="str">
        <f>IF(Table4[[#This Row],[Performance_Deviation]] &lt; 0, "Underperforming", "Outperforming")</f>
        <v>Outperforming</v>
      </c>
      <c r="N1301">
        <f>IF(Table4[[#This Row],[Performance_Ratio]] &lt; 0.85, Table4[[#This Row],[Performance_Deviation]] * 50 / 1000, 0)</f>
        <v>0</v>
      </c>
    </row>
    <row r="1302" spans="1:14" x14ac:dyDescent="0.3">
      <c r="A1302" s="4" t="s">
        <v>7</v>
      </c>
      <c r="B1302" s="3">
        <v>45315.166666666664</v>
      </c>
      <c r="C1302" s="4">
        <v>0</v>
      </c>
      <c r="D1302" s="4">
        <v>0</v>
      </c>
      <c r="E1302" s="4">
        <v>0</v>
      </c>
      <c r="F1302" s="4">
        <v>52.9347995603637</v>
      </c>
      <c r="G1302" s="4" t="str">
        <f t="shared" si="40"/>
        <v>OK</v>
      </c>
      <c r="H1302" s="4" t="str">
        <f t="shared" si="41"/>
        <v>ZERO</v>
      </c>
      <c r="I1302">
        <v>0</v>
      </c>
      <c r="J1302">
        <f>IFERROR(Table4[[#This Row],[energy_kwh]]/Table4[[#This Row],[expected_kwh]],0)</f>
        <v>0</v>
      </c>
      <c r="K1302" t="str">
        <f>IF(Table4[[#This Row],[Performance_Ratio]] &lt; 0.85, "Underperforming", "Performing")</f>
        <v>Underperforming</v>
      </c>
      <c r="L1302">
        <f>Table4[[#This Row],[energy_kwh]] - Table4[[#This Row],[expected_kwh]]</f>
        <v>0</v>
      </c>
      <c r="M1302" t="str">
        <f>IF(Table4[[#This Row],[Performance_Deviation]] &lt; 0, "Underperforming", "Outperforming")</f>
        <v>Outperforming</v>
      </c>
      <c r="N1302">
        <f>IF(Table4[[#This Row],[Performance_Ratio]] &lt; 0.85, Table4[[#This Row],[Performance_Deviation]] * 50 / 1000, 0)</f>
        <v>0</v>
      </c>
    </row>
    <row r="1303" spans="1:14" x14ac:dyDescent="0.3">
      <c r="A1303" s="6" t="s">
        <v>7</v>
      </c>
      <c r="B1303" s="5">
        <v>45315.208333333336</v>
      </c>
      <c r="C1303" s="6">
        <v>0</v>
      </c>
      <c r="D1303" s="6">
        <v>0</v>
      </c>
      <c r="E1303" s="6">
        <v>0</v>
      </c>
      <c r="F1303" s="6">
        <v>81.979273370041597</v>
      </c>
      <c r="G1303" s="6" t="str">
        <f t="shared" si="40"/>
        <v>OK</v>
      </c>
      <c r="H1303" s="6" t="str">
        <f t="shared" si="41"/>
        <v>ZERO</v>
      </c>
      <c r="I1303">
        <v>0</v>
      </c>
      <c r="J1303">
        <f>IFERROR(Table4[[#This Row],[energy_kwh]]/Table4[[#This Row],[expected_kwh]],0)</f>
        <v>0</v>
      </c>
      <c r="K1303" t="str">
        <f>IF(Table4[[#This Row],[Performance_Ratio]] &lt; 0.85, "Underperforming", "Performing")</f>
        <v>Underperforming</v>
      </c>
      <c r="L1303">
        <f>Table4[[#This Row],[energy_kwh]] - Table4[[#This Row],[expected_kwh]]</f>
        <v>0</v>
      </c>
      <c r="M1303" t="str">
        <f>IF(Table4[[#This Row],[Performance_Deviation]] &lt; 0, "Underperforming", "Outperforming")</f>
        <v>Outperforming</v>
      </c>
      <c r="N1303">
        <f>IF(Table4[[#This Row],[Performance_Ratio]] &lt; 0.85, Table4[[#This Row],[Performance_Deviation]] * 50 / 1000, 0)</f>
        <v>0</v>
      </c>
    </row>
    <row r="1304" spans="1:14" x14ac:dyDescent="0.3">
      <c r="A1304" s="4" t="s">
        <v>7</v>
      </c>
      <c r="B1304" s="3">
        <v>45315.25</v>
      </c>
      <c r="C1304" s="4">
        <v>0</v>
      </c>
      <c r="D1304" s="4">
        <v>0</v>
      </c>
      <c r="E1304" s="4">
        <v>0</v>
      </c>
      <c r="F1304" s="4">
        <v>55.176870478841202</v>
      </c>
      <c r="G1304" s="4" t="str">
        <f t="shared" si="40"/>
        <v>OK</v>
      </c>
      <c r="H1304" s="4" t="str">
        <f t="shared" si="41"/>
        <v>ZERO</v>
      </c>
      <c r="I1304">
        <v>0</v>
      </c>
      <c r="J1304">
        <f>IFERROR(Table4[[#This Row],[energy_kwh]]/Table4[[#This Row],[expected_kwh]],0)</f>
        <v>0</v>
      </c>
      <c r="K1304" t="str">
        <f>IF(Table4[[#This Row],[Performance_Ratio]] &lt; 0.85, "Underperforming", "Performing")</f>
        <v>Underperforming</v>
      </c>
      <c r="L1304">
        <f>Table4[[#This Row],[energy_kwh]] - Table4[[#This Row],[expected_kwh]]</f>
        <v>0</v>
      </c>
      <c r="M1304" t="str">
        <f>IF(Table4[[#This Row],[Performance_Deviation]] &lt; 0, "Underperforming", "Outperforming")</f>
        <v>Outperforming</v>
      </c>
      <c r="N1304">
        <f>IF(Table4[[#This Row],[Performance_Ratio]] &lt; 0.85, Table4[[#This Row],[Performance_Deviation]] * 50 / 1000, 0)</f>
        <v>0</v>
      </c>
    </row>
    <row r="1305" spans="1:14" x14ac:dyDescent="0.3">
      <c r="A1305" s="6" t="s">
        <v>7</v>
      </c>
      <c r="B1305" s="5">
        <v>45315.291666666664</v>
      </c>
      <c r="C1305" s="6">
        <v>167.61916619346499</v>
      </c>
      <c r="D1305" s="6">
        <v>163.93633379500201</v>
      </c>
      <c r="E1305" s="6">
        <v>163.93633379500201</v>
      </c>
      <c r="F1305" s="6">
        <v>43.373968749098601</v>
      </c>
      <c r="G1305" s="6" t="str">
        <f t="shared" si="40"/>
        <v>OK</v>
      </c>
      <c r="H1305" s="6" t="str">
        <f t="shared" si="41"/>
        <v>NON-ZERO</v>
      </c>
      <c r="I1305">
        <v>155.291427061512</v>
      </c>
      <c r="J1305">
        <f>IFERROR(Table4[[#This Row],[energy_kwh]]/Table4[[#This Row],[expected_kwh]],0)</f>
        <v>1.0556689245315887</v>
      </c>
      <c r="K1305" t="str">
        <f>IF(Table4[[#This Row],[Performance_Ratio]] &lt; 0.85, "Underperforming", "Performing")</f>
        <v>Performing</v>
      </c>
      <c r="L1305">
        <f>Table4[[#This Row],[energy_kwh]] - Table4[[#This Row],[expected_kwh]]</f>
        <v>8.6449067334900178</v>
      </c>
      <c r="M1305" t="str">
        <f>IF(Table4[[#This Row],[Performance_Deviation]] &lt; 0, "Underperforming", "Outperforming")</f>
        <v>Outperforming</v>
      </c>
      <c r="N1305">
        <f>IF(Table4[[#This Row],[Performance_Ratio]] &lt; 0.85, Table4[[#This Row],[Performance_Deviation]] * 50 / 1000, 0)</f>
        <v>0</v>
      </c>
    </row>
    <row r="1306" spans="1:14" x14ac:dyDescent="0.3">
      <c r="A1306" s="4" t="s">
        <v>7</v>
      </c>
      <c r="B1306" s="3">
        <v>45315.333333333336</v>
      </c>
      <c r="C1306" s="4">
        <v>269.31217426531498</v>
      </c>
      <c r="D1306" s="4">
        <v>263.39500128797198</v>
      </c>
      <c r="E1306" s="4">
        <v>263.39500128797198</v>
      </c>
      <c r="F1306" s="4">
        <v>55.840051618485099</v>
      </c>
      <c r="G1306" s="4" t="str">
        <f t="shared" si="40"/>
        <v>OK</v>
      </c>
      <c r="H1306" s="4" t="str">
        <f t="shared" si="41"/>
        <v>NON-ZERO</v>
      </c>
      <c r="I1306">
        <v>300</v>
      </c>
      <c r="J1306">
        <f>IFERROR(Table4[[#This Row],[energy_kwh]]/Table4[[#This Row],[expected_kwh]],0)</f>
        <v>0.87798333762657321</v>
      </c>
      <c r="K1306" t="str">
        <f>IF(Table4[[#This Row],[Performance_Ratio]] &lt; 0.85, "Underperforming", "Performing")</f>
        <v>Performing</v>
      </c>
      <c r="L1306">
        <f>Table4[[#This Row],[energy_kwh]] - Table4[[#This Row],[expected_kwh]]</f>
        <v>-36.604998712028021</v>
      </c>
      <c r="M1306" t="str">
        <f>IF(Table4[[#This Row],[Performance_Deviation]] &lt; 0, "Underperforming", "Outperforming")</f>
        <v>Underperforming</v>
      </c>
      <c r="N1306">
        <f>IF(Table4[[#This Row],[Performance_Ratio]] &lt; 0.85, Table4[[#This Row],[Performance_Deviation]] * 50 / 1000, 0)</f>
        <v>0</v>
      </c>
    </row>
    <row r="1307" spans="1:14" x14ac:dyDescent="0.3">
      <c r="A1307" s="6" t="s">
        <v>7</v>
      </c>
      <c r="B1307" s="5">
        <v>45315.375</v>
      </c>
      <c r="C1307" s="6">
        <v>404.34529150803201</v>
      </c>
      <c r="D1307" s="6">
        <v>395.46124815219702</v>
      </c>
      <c r="E1307" s="6">
        <v>395.46124815219702</v>
      </c>
      <c r="F1307" s="6">
        <v>69.667411874719406</v>
      </c>
      <c r="G1307" s="6" t="str">
        <f t="shared" si="40"/>
        <v>OK</v>
      </c>
      <c r="H1307" s="6" t="str">
        <f t="shared" si="41"/>
        <v>NON-ZERO</v>
      </c>
      <c r="I1307">
        <v>424.26406871192802</v>
      </c>
      <c r="J1307">
        <f>IFERROR(Table4[[#This Row],[energy_kwh]]/Table4[[#This Row],[expected_kwh]],0)</f>
        <v>0.9321111008830496</v>
      </c>
      <c r="K1307" t="str">
        <f>IF(Table4[[#This Row],[Performance_Ratio]] &lt; 0.85, "Underperforming", "Performing")</f>
        <v>Performing</v>
      </c>
      <c r="L1307">
        <f>Table4[[#This Row],[energy_kwh]] - Table4[[#This Row],[expected_kwh]]</f>
        <v>-28.802820559731003</v>
      </c>
      <c r="M1307" t="str">
        <f>IF(Table4[[#This Row],[Performance_Deviation]] &lt; 0, "Underperforming", "Outperforming")</f>
        <v>Underperforming</v>
      </c>
      <c r="N1307">
        <f>IF(Table4[[#This Row],[Performance_Ratio]] &lt; 0.85, Table4[[#This Row],[Performance_Deviation]] * 50 / 1000, 0)</f>
        <v>0</v>
      </c>
    </row>
    <row r="1308" spans="1:14" x14ac:dyDescent="0.3">
      <c r="A1308" s="4" t="s">
        <v>7</v>
      </c>
      <c r="B1308" s="3">
        <v>45315.416666666664</v>
      </c>
      <c r="C1308" s="4">
        <v>457.578208729967</v>
      </c>
      <c r="D1308" s="4">
        <v>447.52456217980898</v>
      </c>
      <c r="E1308" s="4">
        <v>447.52456217980898</v>
      </c>
      <c r="F1308" s="4">
        <v>69.1632478884584</v>
      </c>
      <c r="G1308" s="4" t="str">
        <f t="shared" si="40"/>
        <v>OK</v>
      </c>
      <c r="H1308" s="4" t="str">
        <f t="shared" si="41"/>
        <v>NON-ZERO</v>
      </c>
      <c r="I1308">
        <v>519.61524227066297</v>
      </c>
      <c r="J1308">
        <f>IFERROR(Table4[[#This Row],[energy_kwh]]/Table4[[#This Row],[expected_kwh]],0)</f>
        <v>0.86126142147827411</v>
      </c>
      <c r="K1308" t="str">
        <f>IF(Table4[[#This Row],[Performance_Ratio]] &lt; 0.85, "Underperforming", "Performing")</f>
        <v>Performing</v>
      </c>
      <c r="L1308">
        <f>Table4[[#This Row],[energy_kwh]] - Table4[[#This Row],[expected_kwh]]</f>
        <v>-72.090680090853994</v>
      </c>
      <c r="M1308" t="str">
        <f>IF(Table4[[#This Row],[Performance_Deviation]] &lt; 0, "Underperforming", "Outperforming")</f>
        <v>Underperforming</v>
      </c>
      <c r="N1308">
        <f>IF(Table4[[#This Row],[Performance_Ratio]] &lt; 0.85, Table4[[#This Row],[Performance_Deviation]] * 50 / 1000, 0)</f>
        <v>0</v>
      </c>
    </row>
    <row r="1309" spans="1:14" x14ac:dyDescent="0.3">
      <c r="A1309" s="6" t="s">
        <v>7</v>
      </c>
      <c r="B1309" s="5">
        <v>45315.458333333336</v>
      </c>
      <c r="C1309" s="6">
        <v>587.92536495217905</v>
      </c>
      <c r="D1309" s="6">
        <v>575.00780527749998</v>
      </c>
      <c r="E1309" s="6">
        <v>575.00780527749998</v>
      </c>
      <c r="F1309" s="6">
        <v>85.227191363872507</v>
      </c>
      <c r="G1309" s="6" t="str">
        <f t="shared" si="40"/>
        <v>OK</v>
      </c>
      <c r="H1309" s="6" t="str">
        <f t="shared" si="41"/>
        <v>NON-ZERO</v>
      </c>
      <c r="I1309">
        <v>579.55549577344095</v>
      </c>
      <c r="J1309">
        <f>IFERROR(Table4[[#This Row],[energy_kwh]]/Table4[[#This Row],[expected_kwh]],0)</f>
        <v>0.99215314058945836</v>
      </c>
      <c r="K1309" t="str">
        <f>IF(Table4[[#This Row],[Performance_Ratio]] &lt; 0.85, "Underperforming", "Performing")</f>
        <v>Performing</v>
      </c>
      <c r="L1309">
        <f>Table4[[#This Row],[energy_kwh]] - Table4[[#This Row],[expected_kwh]]</f>
        <v>-4.5476904959409694</v>
      </c>
      <c r="M1309" t="str">
        <f>IF(Table4[[#This Row],[Performance_Deviation]] &lt; 0, "Underperforming", "Outperforming")</f>
        <v>Underperforming</v>
      </c>
      <c r="N1309">
        <f>IF(Table4[[#This Row],[Performance_Ratio]] &lt; 0.85, Table4[[#This Row],[Performance_Deviation]] * 50 / 1000, 0)</f>
        <v>0</v>
      </c>
    </row>
    <row r="1310" spans="1:14" x14ac:dyDescent="0.3">
      <c r="A1310" s="4" t="s">
        <v>7</v>
      </c>
      <c r="B1310" s="3">
        <v>45315.5</v>
      </c>
      <c r="C1310" s="4">
        <v>564.70246606639796</v>
      </c>
      <c r="D1310" s="4">
        <v>552.29514663658597</v>
      </c>
      <c r="E1310" s="4">
        <v>552.29514663658597</v>
      </c>
      <c r="F1310" s="4">
        <v>70.307376908227596</v>
      </c>
      <c r="G1310" s="4" t="str">
        <f t="shared" si="40"/>
        <v>OK</v>
      </c>
      <c r="H1310" s="4" t="str">
        <f t="shared" si="41"/>
        <v>NON-ZERO</v>
      </c>
      <c r="I1310">
        <v>600</v>
      </c>
      <c r="J1310">
        <f>IFERROR(Table4[[#This Row],[energy_kwh]]/Table4[[#This Row],[expected_kwh]],0)</f>
        <v>0.92049191106097661</v>
      </c>
      <c r="K1310" t="str">
        <f>IF(Table4[[#This Row],[Performance_Ratio]] &lt; 0.85, "Underperforming", "Performing")</f>
        <v>Performing</v>
      </c>
      <c r="L1310">
        <f>Table4[[#This Row],[energy_kwh]] - Table4[[#This Row],[expected_kwh]]</f>
        <v>-47.704853363414031</v>
      </c>
      <c r="M1310" t="str">
        <f>IF(Table4[[#This Row],[Performance_Deviation]] &lt; 0, "Underperforming", "Outperforming")</f>
        <v>Underperforming</v>
      </c>
      <c r="N1310">
        <f>IF(Table4[[#This Row],[Performance_Ratio]] &lt; 0.85, Table4[[#This Row],[Performance_Deviation]] * 50 / 1000, 0)</f>
        <v>0</v>
      </c>
    </row>
    <row r="1311" spans="1:14" x14ac:dyDescent="0.3">
      <c r="A1311" s="6" t="s">
        <v>7</v>
      </c>
      <c r="B1311" s="5">
        <v>45315.541666666664</v>
      </c>
      <c r="C1311" s="6">
        <v>589.82045887091601</v>
      </c>
      <c r="D1311" s="6">
        <v>576.86126127713499</v>
      </c>
      <c r="E1311" s="6">
        <v>576.86126127713499</v>
      </c>
      <c r="F1311" s="6">
        <v>51.5975661225023</v>
      </c>
      <c r="G1311" s="6" t="str">
        <f t="shared" si="40"/>
        <v>OK</v>
      </c>
      <c r="H1311" s="6" t="str">
        <f t="shared" si="41"/>
        <v>NON-ZERO</v>
      </c>
      <c r="I1311">
        <v>579.55549577344095</v>
      </c>
      <c r="J1311">
        <f>IFERROR(Table4[[#This Row],[energy_kwh]]/Table4[[#This Row],[expected_kwh]],0)</f>
        <v>0.99535120533589216</v>
      </c>
      <c r="K1311" t="str">
        <f>IF(Table4[[#This Row],[Performance_Ratio]] &lt; 0.85, "Underperforming", "Performing")</f>
        <v>Performing</v>
      </c>
      <c r="L1311">
        <f>Table4[[#This Row],[energy_kwh]] - Table4[[#This Row],[expected_kwh]]</f>
        <v>-2.6942344963059668</v>
      </c>
      <c r="M1311" t="str">
        <f>IF(Table4[[#This Row],[Performance_Deviation]] &lt; 0, "Underperforming", "Outperforming")</f>
        <v>Underperforming</v>
      </c>
      <c r="N1311">
        <f>IF(Table4[[#This Row],[Performance_Ratio]] &lt; 0.85, Table4[[#This Row],[Performance_Deviation]] * 50 / 1000, 0)</f>
        <v>0</v>
      </c>
    </row>
    <row r="1312" spans="1:14" x14ac:dyDescent="0.3">
      <c r="A1312" s="4" t="s">
        <v>7</v>
      </c>
      <c r="B1312" s="3">
        <v>45315.583333333336</v>
      </c>
      <c r="C1312" s="4">
        <v>504.94134594564599</v>
      </c>
      <c r="D1312" s="4">
        <v>493.84706364844402</v>
      </c>
      <c r="E1312" s="4">
        <v>493.84706364844402</v>
      </c>
      <c r="F1312" s="4">
        <v>88.334037604396798</v>
      </c>
      <c r="G1312" s="4" t="str">
        <f t="shared" si="40"/>
        <v>OK</v>
      </c>
      <c r="H1312" s="4" t="str">
        <f t="shared" si="41"/>
        <v>NON-ZERO</v>
      </c>
      <c r="I1312">
        <v>519.61524227066297</v>
      </c>
      <c r="J1312">
        <f>IFERROR(Table4[[#This Row],[energy_kwh]]/Table4[[#This Row],[expected_kwh]],0)</f>
        <v>0.95040911711978504</v>
      </c>
      <c r="K1312" t="str">
        <f>IF(Table4[[#This Row],[Performance_Ratio]] &lt; 0.85, "Underperforming", "Performing")</f>
        <v>Performing</v>
      </c>
      <c r="L1312">
        <f>Table4[[#This Row],[energy_kwh]] - Table4[[#This Row],[expected_kwh]]</f>
        <v>-25.768178622218954</v>
      </c>
      <c r="M1312" t="str">
        <f>IF(Table4[[#This Row],[Performance_Deviation]] &lt; 0, "Underperforming", "Outperforming")</f>
        <v>Underperforming</v>
      </c>
      <c r="N1312">
        <f>IF(Table4[[#This Row],[Performance_Ratio]] &lt; 0.85, Table4[[#This Row],[Performance_Deviation]] * 50 / 1000, 0)</f>
        <v>0</v>
      </c>
    </row>
    <row r="1313" spans="1:14" x14ac:dyDescent="0.3">
      <c r="A1313" s="6" t="s">
        <v>7</v>
      </c>
      <c r="B1313" s="5">
        <v>45315.625</v>
      </c>
      <c r="C1313" s="6">
        <v>356.16660377295199</v>
      </c>
      <c r="D1313" s="6">
        <v>348.34111497346998</v>
      </c>
      <c r="E1313" s="6">
        <v>348.34111497346998</v>
      </c>
      <c r="F1313" s="6">
        <v>23.657473910985502</v>
      </c>
      <c r="G1313" s="6" t="str">
        <f t="shared" si="40"/>
        <v>OK</v>
      </c>
      <c r="H1313" s="6" t="str">
        <f t="shared" si="41"/>
        <v>NON-ZERO</v>
      </c>
      <c r="I1313">
        <v>424.26406871192802</v>
      </c>
      <c r="J1313">
        <f>IFERROR(Table4[[#This Row],[energy_kwh]]/Table4[[#This Row],[expected_kwh]],0)</f>
        <v>0.82104788187941236</v>
      </c>
      <c r="K1313" t="str">
        <f>IF(Table4[[#This Row],[Performance_Ratio]] &lt; 0.85, "Underperforming", "Performing")</f>
        <v>Underperforming</v>
      </c>
      <c r="L1313">
        <f>Table4[[#This Row],[energy_kwh]] - Table4[[#This Row],[expected_kwh]]</f>
        <v>-75.922953738458034</v>
      </c>
      <c r="M1313" t="str">
        <f>IF(Table4[[#This Row],[Performance_Deviation]] &lt; 0, "Underperforming", "Outperforming")</f>
        <v>Underperforming</v>
      </c>
      <c r="N1313">
        <f>IF(Table4[[#This Row],[Performance_Ratio]] &lt; 0.85, Table4[[#This Row],[Performance_Deviation]] * 50 / 1000, 0)</f>
        <v>-3.7961476869229016</v>
      </c>
    </row>
    <row r="1314" spans="1:14" x14ac:dyDescent="0.3">
      <c r="A1314" s="4" t="s">
        <v>7</v>
      </c>
      <c r="B1314" s="3">
        <v>45315.666666666664</v>
      </c>
      <c r="C1314" s="4">
        <v>280.537471341485</v>
      </c>
      <c r="D1314" s="4">
        <v>274.37366256053201</v>
      </c>
      <c r="E1314" s="4">
        <v>274.37366256053201</v>
      </c>
      <c r="F1314" s="4">
        <v>26.8514932042666</v>
      </c>
      <c r="G1314" s="4" t="str">
        <f t="shared" si="40"/>
        <v>OK</v>
      </c>
      <c r="H1314" s="4" t="str">
        <f t="shared" si="41"/>
        <v>NON-ZERO</v>
      </c>
      <c r="I1314">
        <v>300</v>
      </c>
      <c r="J1314">
        <f>IFERROR(Table4[[#This Row],[energy_kwh]]/Table4[[#This Row],[expected_kwh]],0)</f>
        <v>0.91457887520177339</v>
      </c>
      <c r="K1314" t="str">
        <f>IF(Table4[[#This Row],[Performance_Ratio]] &lt; 0.85, "Underperforming", "Performing")</f>
        <v>Performing</v>
      </c>
      <c r="L1314">
        <f>Table4[[#This Row],[energy_kwh]] - Table4[[#This Row],[expected_kwh]]</f>
        <v>-25.626337439467989</v>
      </c>
      <c r="M1314" t="str">
        <f>IF(Table4[[#This Row],[Performance_Deviation]] &lt; 0, "Underperforming", "Outperforming")</f>
        <v>Underperforming</v>
      </c>
      <c r="N1314">
        <f>IF(Table4[[#This Row],[Performance_Ratio]] &lt; 0.85, Table4[[#This Row],[Performance_Deviation]] * 50 / 1000, 0)</f>
        <v>0</v>
      </c>
    </row>
    <row r="1315" spans="1:14" x14ac:dyDescent="0.3">
      <c r="A1315" s="6" t="s">
        <v>7</v>
      </c>
      <c r="B1315" s="5">
        <v>45315.708333333336</v>
      </c>
      <c r="C1315" s="6">
        <v>160.34249626289099</v>
      </c>
      <c r="D1315" s="6">
        <v>156.819542692022</v>
      </c>
      <c r="E1315" s="6">
        <v>156.819542692022</v>
      </c>
      <c r="F1315" s="6">
        <v>33.994257265487498</v>
      </c>
      <c r="G1315" s="6" t="str">
        <f t="shared" si="40"/>
        <v>OK</v>
      </c>
      <c r="H1315" s="6" t="str">
        <f t="shared" si="41"/>
        <v>NON-ZERO</v>
      </c>
      <c r="I1315">
        <v>155.291427061512</v>
      </c>
      <c r="J1315">
        <f>IFERROR(Table4[[#This Row],[energy_kwh]]/Table4[[#This Row],[expected_kwh]],0)</f>
        <v>1.0098403090204375</v>
      </c>
      <c r="K1315" t="str">
        <f>IF(Table4[[#This Row],[Performance_Ratio]] &lt; 0.85, "Underperforming", "Performing")</f>
        <v>Performing</v>
      </c>
      <c r="L1315">
        <f>Table4[[#This Row],[energy_kwh]] - Table4[[#This Row],[expected_kwh]]</f>
        <v>1.5281156305100012</v>
      </c>
      <c r="M1315" t="str">
        <f>IF(Table4[[#This Row],[Performance_Deviation]] &lt; 0, "Underperforming", "Outperforming")</f>
        <v>Outperforming</v>
      </c>
      <c r="N1315">
        <f>IF(Table4[[#This Row],[Performance_Ratio]] &lt; 0.85, Table4[[#This Row],[Performance_Deviation]] * 50 / 1000, 0)</f>
        <v>0</v>
      </c>
    </row>
    <row r="1316" spans="1:14" x14ac:dyDescent="0.3">
      <c r="A1316" s="4" t="s">
        <v>7</v>
      </c>
      <c r="B1316" s="3">
        <v>45315.75</v>
      </c>
      <c r="C1316" s="7">
        <v>6.7275605784726196E-14</v>
      </c>
      <c r="D1316" s="7">
        <v>6.5797464673319904E-14</v>
      </c>
      <c r="E1316" s="7">
        <v>6.5797464673319904E-14</v>
      </c>
      <c r="F1316" s="4">
        <v>83.026113319138105</v>
      </c>
      <c r="G1316" s="4" t="str">
        <f t="shared" si="40"/>
        <v>OK</v>
      </c>
      <c r="H1316" s="4" t="str">
        <f t="shared" si="41"/>
        <v>NON-ZERO</v>
      </c>
      <c r="I1316" s="2">
        <v>7.3478807948841102E-14</v>
      </c>
      <c r="J1316">
        <f>IFERROR(Table4[[#This Row],[energy_kwh]]/Table4[[#This Row],[expected_kwh]],0)</f>
        <v>0.89546178701117118</v>
      </c>
      <c r="K1316" t="str">
        <f>IF(Table4[[#This Row],[Performance_Ratio]] &lt; 0.85, "Underperforming", "Performing")</f>
        <v>Performing</v>
      </c>
      <c r="L1316">
        <f>Table4[[#This Row],[energy_kwh]] - Table4[[#This Row],[expected_kwh]]</f>
        <v>-7.6813432755211977E-15</v>
      </c>
      <c r="M1316" t="str">
        <f>IF(Table4[[#This Row],[Performance_Deviation]] &lt; 0, "Underperforming", "Outperforming")</f>
        <v>Underperforming</v>
      </c>
      <c r="N1316">
        <f>IF(Table4[[#This Row],[Performance_Ratio]] &lt; 0.85, Table4[[#This Row],[Performance_Deviation]] * 50 / 1000, 0)</f>
        <v>0</v>
      </c>
    </row>
    <row r="1317" spans="1:14" x14ac:dyDescent="0.3">
      <c r="A1317" s="6" t="s">
        <v>7</v>
      </c>
      <c r="B1317" s="5">
        <v>45315.791666666664</v>
      </c>
      <c r="C1317" s="6">
        <v>0</v>
      </c>
      <c r="D1317" s="6">
        <v>0</v>
      </c>
      <c r="E1317" s="6">
        <v>0</v>
      </c>
      <c r="F1317" s="6">
        <v>62.957770751520897</v>
      </c>
      <c r="G1317" s="6" t="str">
        <f t="shared" si="40"/>
        <v>OK</v>
      </c>
      <c r="H1317" s="6" t="str">
        <f t="shared" si="41"/>
        <v>ZERO</v>
      </c>
      <c r="I1317">
        <v>0</v>
      </c>
      <c r="J1317">
        <f>IFERROR(Table4[[#This Row],[energy_kwh]]/Table4[[#This Row],[expected_kwh]],0)</f>
        <v>0</v>
      </c>
      <c r="K1317" t="str">
        <f>IF(Table4[[#This Row],[Performance_Ratio]] &lt; 0.85, "Underperforming", "Performing")</f>
        <v>Underperforming</v>
      </c>
      <c r="L1317">
        <f>Table4[[#This Row],[energy_kwh]] - Table4[[#This Row],[expected_kwh]]</f>
        <v>0</v>
      </c>
      <c r="M1317" t="str">
        <f>IF(Table4[[#This Row],[Performance_Deviation]] &lt; 0, "Underperforming", "Outperforming")</f>
        <v>Outperforming</v>
      </c>
      <c r="N1317">
        <f>IF(Table4[[#This Row],[Performance_Ratio]] &lt; 0.85, Table4[[#This Row],[Performance_Deviation]] * 50 / 1000, 0)</f>
        <v>0</v>
      </c>
    </row>
    <row r="1318" spans="1:14" x14ac:dyDescent="0.3">
      <c r="A1318" s="4" t="s">
        <v>7</v>
      </c>
      <c r="B1318" s="3">
        <v>45315.833333333336</v>
      </c>
      <c r="C1318" s="4">
        <v>0</v>
      </c>
      <c r="D1318" s="4">
        <v>0</v>
      </c>
      <c r="E1318" s="4">
        <v>0</v>
      </c>
      <c r="F1318" s="4">
        <v>40.565966684311</v>
      </c>
      <c r="G1318" s="4" t="str">
        <f t="shared" si="40"/>
        <v>OK</v>
      </c>
      <c r="H1318" s="4" t="str">
        <f t="shared" si="41"/>
        <v>ZERO</v>
      </c>
      <c r="I1318">
        <v>0</v>
      </c>
      <c r="J1318">
        <f>IFERROR(Table4[[#This Row],[energy_kwh]]/Table4[[#This Row],[expected_kwh]],0)</f>
        <v>0</v>
      </c>
      <c r="K1318" t="str">
        <f>IF(Table4[[#This Row],[Performance_Ratio]] &lt; 0.85, "Underperforming", "Performing")</f>
        <v>Underperforming</v>
      </c>
      <c r="L1318">
        <f>Table4[[#This Row],[energy_kwh]] - Table4[[#This Row],[expected_kwh]]</f>
        <v>0</v>
      </c>
      <c r="M1318" t="str">
        <f>IF(Table4[[#This Row],[Performance_Deviation]] &lt; 0, "Underperforming", "Outperforming")</f>
        <v>Outperforming</v>
      </c>
      <c r="N1318">
        <f>IF(Table4[[#This Row],[Performance_Ratio]] &lt; 0.85, Table4[[#This Row],[Performance_Deviation]] * 50 / 1000, 0)</f>
        <v>0</v>
      </c>
    </row>
    <row r="1319" spans="1:14" x14ac:dyDescent="0.3">
      <c r="A1319" s="6" t="s">
        <v>7</v>
      </c>
      <c r="B1319" s="5">
        <v>45315.875</v>
      </c>
      <c r="C1319" s="6">
        <v>0</v>
      </c>
      <c r="D1319" s="6">
        <v>0</v>
      </c>
      <c r="E1319" s="6">
        <v>0</v>
      </c>
      <c r="F1319" s="6">
        <v>66.923743470608898</v>
      </c>
      <c r="G1319" s="6" t="str">
        <f t="shared" si="40"/>
        <v>OK</v>
      </c>
      <c r="H1319" s="6" t="str">
        <f t="shared" si="41"/>
        <v>ZERO</v>
      </c>
      <c r="I1319">
        <v>0</v>
      </c>
      <c r="J1319">
        <f>IFERROR(Table4[[#This Row],[energy_kwh]]/Table4[[#This Row],[expected_kwh]],0)</f>
        <v>0</v>
      </c>
      <c r="K1319" t="str">
        <f>IF(Table4[[#This Row],[Performance_Ratio]] &lt; 0.85, "Underperforming", "Performing")</f>
        <v>Underperforming</v>
      </c>
      <c r="L1319">
        <f>Table4[[#This Row],[energy_kwh]] - Table4[[#This Row],[expected_kwh]]</f>
        <v>0</v>
      </c>
      <c r="M1319" t="str">
        <f>IF(Table4[[#This Row],[Performance_Deviation]] &lt; 0, "Underperforming", "Outperforming")</f>
        <v>Outperforming</v>
      </c>
      <c r="N1319">
        <f>IF(Table4[[#This Row],[Performance_Ratio]] &lt; 0.85, Table4[[#This Row],[Performance_Deviation]] * 50 / 1000, 0)</f>
        <v>0</v>
      </c>
    </row>
    <row r="1320" spans="1:14" x14ac:dyDescent="0.3">
      <c r="A1320" s="4" t="s">
        <v>7</v>
      </c>
      <c r="B1320" s="3">
        <v>45315.916666666664</v>
      </c>
      <c r="C1320" s="4">
        <v>0</v>
      </c>
      <c r="D1320" s="4">
        <v>0</v>
      </c>
      <c r="E1320" s="4">
        <v>0</v>
      </c>
      <c r="F1320" s="4">
        <v>46.436078520751302</v>
      </c>
      <c r="G1320" s="4" t="str">
        <f t="shared" si="40"/>
        <v>OK</v>
      </c>
      <c r="H1320" s="4" t="str">
        <f t="shared" si="41"/>
        <v>ZERO</v>
      </c>
      <c r="I1320">
        <v>0</v>
      </c>
      <c r="J1320">
        <f>IFERROR(Table4[[#This Row],[energy_kwh]]/Table4[[#This Row],[expected_kwh]],0)</f>
        <v>0</v>
      </c>
      <c r="K1320" t="str">
        <f>IF(Table4[[#This Row],[Performance_Ratio]] &lt; 0.85, "Underperforming", "Performing")</f>
        <v>Underperforming</v>
      </c>
      <c r="L1320">
        <f>Table4[[#This Row],[energy_kwh]] - Table4[[#This Row],[expected_kwh]]</f>
        <v>0</v>
      </c>
      <c r="M1320" t="str">
        <f>IF(Table4[[#This Row],[Performance_Deviation]] &lt; 0, "Underperforming", "Outperforming")</f>
        <v>Outperforming</v>
      </c>
      <c r="N1320">
        <f>IF(Table4[[#This Row],[Performance_Ratio]] &lt; 0.85, Table4[[#This Row],[Performance_Deviation]] * 50 / 1000, 0)</f>
        <v>0</v>
      </c>
    </row>
    <row r="1321" spans="1:14" x14ac:dyDescent="0.3">
      <c r="A1321" s="6" t="s">
        <v>7</v>
      </c>
      <c r="B1321" s="5">
        <v>45315.958333333336</v>
      </c>
      <c r="C1321" s="6">
        <v>0</v>
      </c>
      <c r="D1321" s="6">
        <v>0</v>
      </c>
      <c r="E1321" s="6">
        <v>0</v>
      </c>
      <c r="F1321" s="6">
        <v>70.714680976740397</v>
      </c>
      <c r="G1321" s="6" t="str">
        <f t="shared" si="40"/>
        <v>OK</v>
      </c>
      <c r="H1321" s="6" t="str">
        <f t="shared" si="41"/>
        <v>ZERO</v>
      </c>
      <c r="I1321">
        <v>0</v>
      </c>
      <c r="J1321">
        <f>IFERROR(Table4[[#This Row],[energy_kwh]]/Table4[[#This Row],[expected_kwh]],0)</f>
        <v>0</v>
      </c>
      <c r="K1321" t="str">
        <f>IF(Table4[[#This Row],[Performance_Ratio]] &lt; 0.85, "Underperforming", "Performing")</f>
        <v>Underperforming</v>
      </c>
      <c r="L1321">
        <f>Table4[[#This Row],[energy_kwh]] - Table4[[#This Row],[expected_kwh]]</f>
        <v>0</v>
      </c>
      <c r="M1321" t="str">
        <f>IF(Table4[[#This Row],[Performance_Deviation]] &lt; 0, "Underperforming", "Outperforming")</f>
        <v>Outperforming</v>
      </c>
      <c r="N1321">
        <f>IF(Table4[[#This Row],[Performance_Ratio]] &lt; 0.85, Table4[[#This Row],[Performance_Deviation]] * 50 / 1000, 0)</f>
        <v>0</v>
      </c>
    </row>
    <row r="1322" spans="1:14" x14ac:dyDescent="0.3">
      <c r="A1322" s="4" t="s">
        <v>7</v>
      </c>
      <c r="B1322" s="3">
        <v>45316</v>
      </c>
      <c r="C1322" s="4">
        <v>0</v>
      </c>
      <c r="D1322" s="4">
        <v>0</v>
      </c>
      <c r="E1322" s="4">
        <v>0</v>
      </c>
      <c r="F1322" s="4">
        <v>63.406735726999898</v>
      </c>
      <c r="G1322" s="4" t="str">
        <f t="shared" si="40"/>
        <v>OK</v>
      </c>
      <c r="H1322" s="4" t="str">
        <f t="shared" si="41"/>
        <v>ZERO</v>
      </c>
      <c r="I1322">
        <v>0</v>
      </c>
      <c r="J1322">
        <f>IFERROR(Table4[[#This Row],[energy_kwh]]/Table4[[#This Row],[expected_kwh]],0)</f>
        <v>0</v>
      </c>
      <c r="K1322" t="str">
        <f>IF(Table4[[#This Row],[Performance_Ratio]] &lt; 0.85, "Underperforming", "Performing")</f>
        <v>Underperforming</v>
      </c>
      <c r="L1322">
        <f>Table4[[#This Row],[energy_kwh]] - Table4[[#This Row],[expected_kwh]]</f>
        <v>0</v>
      </c>
      <c r="M1322" t="str">
        <f>IF(Table4[[#This Row],[Performance_Deviation]] &lt; 0, "Underperforming", "Outperforming")</f>
        <v>Outperforming</v>
      </c>
      <c r="N1322">
        <f>IF(Table4[[#This Row],[Performance_Ratio]] &lt; 0.85, Table4[[#This Row],[Performance_Deviation]] * 50 / 1000, 0)</f>
        <v>0</v>
      </c>
    </row>
    <row r="1323" spans="1:14" x14ac:dyDescent="0.3">
      <c r="A1323" s="6" t="s">
        <v>7</v>
      </c>
      <c r="B1323" s="5">
        <v>45316.041666666664</v>
      </c>
      <c r="C1323" s="6">
        <v>0</v>
      </c>
      <c r="D1323" s="6">
        <v>0</v>
      </c>
      <c r="E1323" s="6">
        <v>0</v>
      </c>
      <c r="F1323" s="6">
        <v>72.745792079933807</v>
      </c>
      <c r="G1323" s="6" t="str">
        <f t="shared" si="40"/>
        <v>OK</v>
      </c>
      <c r="H1323" s="6" t="str">
        <f t="shared" si="41"/>
        <v>ZERO</v>
      </c>
      <c r="I1323">
        <v>0</v>
      </c>
      <c r="J1323">
        <f>IFERROR(Table4[[#This Row],[energy_kwh]]/Table4[[#This Row],[expected_kwh]],0)</f>
        <v>0</v>
      </c>
      <c r="K1323" t="str">
        <f>IF(Table4[[#This Row],[Performance_Ratio]] &lt; 0.85, "Underperforming", "Performing")</f>
        <v>Underperforming</v>
      </c>
      <c r="L1323">
        <f>Table4[[#This Row],[energy_kwh]] - Table4[[#This Row],[expected_kwh]]</f>
        <v>0</v>
      </c>
      <c r="M1323" t="str">
        <f>IF(Table4[[#This Row],[Performance_Deviation]] &lt; 0, "Underperforming", "Outperforming")</f>
        <v>Outperforming</v>
      </c>
      <c r="N1323">
        <f>IF(Table4[[#This Row],[Performance_Ratio]] &lt; 0.85, Table4[[#This Row],[Performance_Deviation]] * 50 / 1000, 0)</f>
        <v>0</v>
      </c>
    </row>
    <row r="1324" spans="1:14" x14ac:dyDescent="0.3">
      <c r="A1324" s="4" t="s">
        <v>7</v>
      </c>
      <c r="B1324" s="3">
        <v>45316.083333333336</v>
      </c>
      <c r="C1324" s="4">
        <v>0</v>
      </c>
      <c r="D1324" s="4">
        <v>0</v>
      </c>
      <c r="E1324" s="4">
        <v>0</v>
      </c>
      <c r="F1324" s="4">
        <v>43.562154787772897</v>
      </c>
      <c r="G1324" s="4" t="str">
        <f t="shared" si="40"/>
        <v>OK</v>
      </c>
      <c r="H1324" s="4" t="str">
        <f t="shared" si="41"/>
        <v>ZERO</v>
      </c>
      <c r="I1324">
        <v>0</v>
      </c>
      <c r="J1324">
        <f>IFERROR(Table4[[#This Row],[energy_kwh]]/Table4[[#This Row],[expected_kwh]],0)</f>
        <v>0</v>
      </c>
      <c r="K1324" t="str">
        <f>IF(Table4[[#This Row],[Performance_Ratio]] &lt; 0.85, "Underperforming", "Performing")</f>
        <v>Underperforming</v>
      </c>
      <c r="L1324">
        <f>Table4[[#This Row],[energy_kwh]] - Table4[[#This Row],[expected_kwh]]</f>
        <v>0</v>
      </c>
      <c r="M1324" t="str">
        <f>IF(Table4[[#This Row],[Performance_Deviation]] &lt; 0, "Underperforming", "Outperforming")</f>
        <v>Outperforming</v>
      </c>
      <c r="N1324">
        <f>IF(Table4[[#This Row],[Performance_Ratio]] &lt; 0.85, Table4[[#This Row],[Performance_Deviation]] * 50 / 1000, 0)</f>
        <v>0</v>
      </c>
    </row>
    <row r="1325" spans="1:14" x14ac:dyDescent="0.3">
      <c r="A1325" s="6" t="s">
        <v>7</v>
      </c>
      <c r="B1325" s="5">
        <v>45316.125</v>
      </c>
      <c r="C1325" s="6">
        <v>0</v>
      </c>
      <c r="D1325" s="6">
        <v>0</v>
      </c>
      <c r="E1325" s="6">
        <v>0</v>
      </c>
      <c r="F1325" s="6">
        <v>63.484463287471598</v>
      </c>
      <c r="G1325" s="6" t="str">
        <f t="shared" si="40"/>
        <v>OK</v>
      </c>
      <c r="H1325" s="6" t="str">
        <f t="shared" si="41"/>
        <v>ZERO</v>
      </c>
      <c r="I1325">
        <v>0</v>
      </c>
      <c r="J1325">
        <f>IFERROR(Table4[[#This Row],[energy_kwh]]/Table4[[#This Row],[expected_kwh]],0)</f>
        <v>0</v>
      </c>
      <c r="K1325" t="str">
        <f>IF(Table4[[#This Row],[Performance_Ratio]] &lt; 0.85, "Underperforming", "Performing")</f>
        <v>Underperforming</v>
      </c>
      <c r="L1325">
        <f>Table4[[#This Row],[energy_kwh]] - Table4[[#This Row],[expected_kwh]]</f>
        <v>0</v>
      </c>
      <c r="M1325" t="str">
        <f>IF(Table4[[#This Row],[Performance_Deviation]] &lt; 0, "Underperforming", "Outperforming")</f>
        <v>Outperforming</v>
      </c>
      <c r="N1325">
        <f>IF(Table4[[#This Row],[Performance_Ratio]] &lt; 0.85, Table4[[#This Row],[Performance_Deviation]] * 50 / 1000, 0)</f>
        <v>0</v>
      </c>
    </row>
    <row r="1326" spans="1:14" x14ac:dyDescent="0.3">
      <c r="A1326" s="4" t="s">
        <v>7</v>
      </c>
      <c r="B1326" s="3">
        <v>45316.166666666664</v>
      </c>
      <c r="C1326" s="4">
        <v>0</v>
      </c>
      <c r="D1326" s="4">
        <v>0</v>
      </c>
      <c r="E1326" s="4">
        <v>0</v>
      </c>
      <c r="F1326" s="4">
        <v>57.077810828431801</v>
      </c>
      <c r="G1326" s="4" t="str">
        <f t="shared" si="40"/>
        <v>OK</v>
      </c>
      <c r="H1326" s="4" t="str">
        <f t="shared" si="41"/>
        <v>ZERO</v>
      </c>
      <c r="I1326">
        <v>0</v>
      </c>
      <c r="J1326">
        <f>IFERROR(Table4[[#This Row],[energy_kwh]]/Table4[[#This Row],[expected_kwh]],0)</f>
        <v>0</v>
      </c>
      <c r="K1326" t="str">
        <f>IF(Table4[[#This Row],[Performance_Ratio]] &lt; 0.85, "Underperforming", "Performing")</f>
        <v>Underperforming</v>
      </c>
      <c r="L1326">
        <f>Table4[[#This Row],[energy_kwh]] - Table4[[#This Row],[expected_kwh]]</f>
        <v>0</v>
      </c>
      <c r="M1326" t="str">
        <f>IF(Table4[[#This Row],[Performance_Deviation]] &lt; 0, "Underperforming", "Outperforming")</f>
        <v>Outperforming</v>
      </c>
      <c r="N1326">
        <f>IF(Table4[[#This Row],[Performance_Ratio]] &lt; 0.85, Table4[[#This Row],[Performance_Deviation]] * 50 / 1000, 0)</f>
        <v>0</v>
      </c>
    </row>
    <row r="1327" spans="1:14" x14ac:dyDescent="0.3">
      <c r="A1327" s="6" t="s">
        <v>7</v>
      </c>
      <c r="B1327" s="5">
        <v>45316.208333333336</v>
      </c>
      <c r="C1327" s="6">
        <v>0</v>
      </c>
      <c r="D1327" s="6">
        <v>0</v>
      </c>
      <c r="E1327" s="6">
        <v>0</v>
      </c>
      <c r="F1327" s="6">
        <v>30.818001583857701</v>
      </c>
      <c r="G1327" s="6" t="str">
        <f t="shared" si="40"/>
        <v>OK</v>
      </c>
      <c r="H1327" s="6" t="str">
        <f t="shared" si="41"/>
        <v>ZERO</v>
      </c>
      <c r="I1327">
        <v>0</v>
      </c>
      <c r="J1327">
        <f>IFERROR(Table4[[#This Row],[energy_kwh]]/Table4[[#This Row],[expected_kwh]],0)</f>
        <v>0</v>
      </c>
      <c r="K1327" t="str">
        <f>IF(Table4[[#This Row],[Performance_Ratio]] &lt; 0.85, "Underperforming", "Performing")</f>
        <v>Underperforming</v>
      </c>
      <c r="L1327">
        <f>Table4[[#This Row],[energy_kwh]] - Table4[[#This Row],[expected_kwh]]</f>
        <v>0</v>
      </c>
      <c r="M1327" t="str">
        <f>IF(Table4[[#This Row],[Performance_Deviation]] &lt; 0, "Underperforming", "Outperforming")</f>
        <v>Outperforming</v>
      </c>
      <c r="N1327">
        <f>IF(Table4[[#This Row],[Performance_Ratio]] &lt; 0.85, Table4[[#This Row],[Performance_Deviation]] * 50 / 1000, 0)</f>
        <v>0</v>
      </c>
    </row>
    <row r="1328" spans="1:14" x14ac:dyDescent="0.3">
      <c r="A1328" s="4" t="s">
        <v>7</v>
      </c>
      <c r="B1328" s="3">
        <v>45316.25</v>
      </c>
      <c r="C1328" s="4">
        <v>0</v>
      </c>
      <c r="D1328" s="4">
        <v>0</v>
      </c>
      <c r="E1328" s="4">
        <v>0</v>
      </c>
      <c r="F1328" s="4">
        <v>68.444591976727907</v>
      </c>
      <c r="G1328" s="4" t="str">
        <f t="shared" si="40"/>
        <v>OK</v>
      </c>
      <c r="H1328" s="4" t="str">
        <f t="shared" si="41"/>
        <v>ZERO</v>
      </c>
      <c r="I1328">
        <v>0</v>
      </c>
      <c r="J1328">
        <f>IFERROR(Table4[[#This Row],[energy_kwh]]/Table4[[#This Row],[expected_kwh]],0)</f>
        <v>0</v>
      </c>
      <c r="K1328" t="str">
        <f>IF(Table4[[#This Row],[Performance_Ratio]] &lt; 0.85, "Underperforming", "Performing")</f>
        <v>Underperforming</v>
      </c>
      <c r="L1328">
        <f>Table4[[#This Row],[energy_kwh]] - Table4[[#This Row],[expected_kwh]]</f>
        <v>0</v>
      </c>
      <c r="M1328" t="str">
        <f>IF(Table4[[#This Row],[Performance_Deviation]] &lt; 0, "Underperforming", "Outperforming")</f>
        <v>Outperforming</v>
      </c>
      <c r="N1328">
        <f>IF(Table4[[#This Row],[Performance_Ratio]] &lt; 0.85, Table4[[#This Row],[Performance_Deviation]] * 50 / 1000, 0)</f>
        <v>0</v>
      </c>
    </row>
    <row r="1329" spans="1:14" x14ac:dyDescent="0.3">
      <c r="A1329" s="6" t="s">
        <v>7</v>
      </c>
      <c r="B1329" s="5">
        <v>45316.291666666664</v>
      </c>
      <c r="C1329" s="6">
        <v>165.160545775065</v>
      </c>
      <c r="D1329" s="6">
        <v>161.53173277747399</v>
      </c>
      <c r="E1329" s="6">
        <v>161.53173277747399</v>
      </c>
      <c r="F1329" s="6">
        <v>71.257206136795205</v>
      </c>
      <c r="G1329" s="6" t="str">
        <f t="shared" si="40"/>
        <v>OK</v>
      </c>
      <c r="H1329" s="6" t="str">
        <f t="shared" si="41"/>
        <v>NON-ZERO</v>
      </c>
      <c r="I1329">
        <v>155.291427061512</v>
      </c>
      <c r="J1329">
        <f>IFERROR(Table4[[#This Row],[energy_kwh]]/Table4[[#This Row],[expected_kwh]],0)</f>
        <v>1.0401844830332467</v>
      </c>
      <c r="K1329" t="str">
        <f>IF(Table4[[#This Row],[Performance_Ratio]] &lt; 0.85, "Underperforming", "Performing")</f>
        <v>Performing</v>
      </c>
      <c r="L1329">
        <f>Table4[[#This Row],[energy_kwh]] - Table4[[#This Row],[expected_kwh]]</f>
        <v>6.2403057159619948</v>
      </c>
      <c r="M1329" t="str">
        <f>IF(Table4[[#This Row],[Performance_Deviation]] &lt; 0, "Underperforming", "Outperforming")</f>
        <v>Outperforming</v>
      </c>
      <c r="N1329">
        <f>IF(Table4[[#This Row],[Performance_Ratio]] &lt; 0.85, Table4[[#This Row],[Performance_Deviation]] * 50 / 1000, 0)</f>
        <v>0</v>
      </c>
    </row>
    <row r="1330" spans="1:14" x14ac:dyDescent="0.3">
      <c r="A1330" s="4" t="s">
        <v>7</v>
      </c>
      <c r="B1330" s="3">
        <v>45316.333333333336</v>
      </c>
      <c r="C1330" s="4">
        <v>315.80433909324802</v>
      </c>
      <c r="D1330" s="4">
        <v>308.86566687574401</v>
      </c>
      <c r="E1330" s="4">
        <v>308.86566687574401</v>
      </c>
      <c r="F1330" s="4">
        <v>50.410375724781296</v>
      </c>
      <c r="G1330" s="4" t="str">
        <f t="shared" si="40"/>
        <v>OK</v>
      </c>
      <c r="H1330" s="4" t="str">
        <f t="shared" si="41"/>
        <v>NON-ZERO</v>
      </c>
      <c r="I1330">
        <v>300</v>
      </c>
      <c r="J1330">
        <f>IFERROR(Table4[[#This Row],[energy_kwh]]/Table4[[#This Row],[expected_kwh]],0)</f>
        <v>1.0295522229191467</v>
      </c>
      <c r="K1330" t="str">
        <f>IF(Table4[[#This Row],[Performance_Ratio]] &lt; 0.85, "Underperforming", "Performing")</f>
        <v>Performing</v>
      </c>
      <c r="L1330">
        <f>Table4[[#This Row],[energy_kwh]] - Table4[[#This Row],[expected_kwh]]</f>
        <v>8.8656668757440116</v>
      </c>
      <c r="M1330" t="str">
        <f>IF(Table4[[#This Row],[Performance_Deviation]] &lt; 0, "Underperforming", "Outperforming")</f>
        <v>Outperforming</v>
      </c>
      <c r="N1330">
        <f>IF(Table4[[#This Row],[Performance_Ratio]] &lt; 0.85, Table4[[#This Row],[Performance_Deviation]] * 50 / 1000, 0)</f>
        <v>0</v>
      </c>
    </row>
    <row r="1331" spans="1:14" x14ac:dyDescent="0.3">
      <c r="A1331" s="6" t="s">
        <v>7</v>
      </c>
      <c r="B1331" s="5">
        <v>45316.375</v>
      </c>
      <c r="C1331" s="6">
        <v>419.06667755505202</v>
      </c>
      <c r="D1331" s="6">
        <v>409.85918432940002</v>
      </c>
      <c r="E1331" s="6">
        <v>409.85918432940002</v>
      </c>
      <c r="F1331" s="6">
        <v>42.111292876007496</v>
      </c>
      <c r="G1331" s="6" t="str">
        <f t="shared" si="40"/>
        <v>OK</v>
      </c>
      <c r="H1331" s="6" t="str">
        <f t="shared" si="41"/>
        <v>NON-ZERO</v>
      </c>
      <c r="I1331">
        <v>424.26406871192802</v>
      </c>
      <c r="J1331">
        <f>IFERROR(Table4[[#This Row],[energy_kwh]]/Table4[[#This Row],[expected_kwh]],0)</f>
        <v>0.96604736190302087</v>
      </c>
      <c r="K1331" t="str">
        <f>IF(Table4[[#This Row],[Performance_Ratio]] &lt; 0.85, "Underperforming", "Performing")</f>
        <v>Performing</v>
      </c>
      <c r="L1331">
        <f>Table4[[#This Row],[energy_kwh]] - Table4[[#This Row],[expected_kwh]]</f>
        <v>-14.404884382527996</v>
      </c>
      <c r="M1331" t="str">
        <f>IF(Table4[[#This Row],[Performance_Deviation]] &lt; 0, "Underperforming", "Outperforming")</f>
        <v>Underperforming</v>
      </c>
      <c r="N1331">
        <f>IF(Table4[[#This Row],[Performance_Ratio]] &lt; 0.85, Table4[[#This Row],[Performance_Deviation]] * 50 / 1000, 0)</f>
        <v>0</v>
      </c>
    </row>
    <row r="1332" spans="1:14" x14ac:dyDescent="0.3">
      <c r="A1332" s="4" t="s">
        <v>7</v>
      </c>
      <c r="B1332" s="3">
        <v>45316.416666666664</v>
      </c>
      <c r="C1332" s="4">
        <v>525.22484770837298</v>
      </c>
      <c r="D1332" s="4">
        <v>513.684907917803</v>
      </c>
      <c r="E1332" s="4">
        <v>513.684907917803</v>
      </c>
      <c r="F1332" s="4">
        <v>39.926417364969701</v>
      </c>
      <c r="G1332" s="4" t="str">
        <f t="shared" si="40"/>
        <v>OK</v>
      </c>
      <c r="H1332" s="4" t="str">
        <f t="shared" si="41"/>
        <v>NON-ZERO</v>
      </c>
      <c r="I1332">
        <v>519.61524227066297</v>
      </c>
      <c r="J1332">
        <f>IFERROR(Table4[[#This Row],[energy_kwh]]/Table4[[#This Row],[expected_kwh]],0)</f>
        <v>0.98858706621663939</v>
      </c>
      <c r="K1332" t="str">
        <f>IF(Table4[[#This Row],[Performance_Ratio]] &lt; 0.85, "Underperforming", "Performing")</f>
        <v>Performing</v>
      </c>
      <c r="L1332">
        <f>Table4[[#This Row],[energy_kwh]] - Table4[[#This Row],[expected_kwh]]</f>
        <v>-5.9303343528599726</v>
      </c>
      <c r="M1332" t="str">
        <f>IF(Table4[[#This Row],[Performance_Deviation]] &lt; 0, "Underperforming", "Outperforming")</f>
        <v>Underperforming</v>
      </c>
      <c r="N1332">
        <f>IF(Table4[[#This Row],[Performance_Ratio]] &lt; 0.85, Table4[[#This Row],[Performance_Deviation]] * 50 / 1000, 0)</f>
        <v>0</v>
      </c>
    </row>
    <row r="1333" spans="1:14" x14ac:dyDescent="0.3">
      <c r="A1333" s="6" t="s">
        <v>7</v>
      </c>
      <c r="B1333" s="5">
        <v>45316.458333333336</v>
      </c>
      <c r="C1333" s="6">
        <v>471.23735977318699</v>
      </c>
      <c r="D1333" s="6">
        <v>460.88360217284401</v>
      </c>
      <c r="E1333" s="6">
        <v>460.88360217284401</v>
      </c>
      <c r="F1333" s="6">
        <v>69.2422026799739</v>
      </c>
      <c r="G1333" s="6" t="str">
        <f t="shared" si="40"/>
        <v>OK</v>
      </c>
      <c r="H1333" s="6" t="str">
        <f t="shared" si="41"/>
        <v>NON-ZERO</v>
      </c>
      <c r="I1333">
        <v>579.55549577344095</v>
      </c>
      <c r="J1333">
        <f>IFERROR(Table4[[#This Row],[energy_kwh]]/Table4[[#This Row],[expected_kwh]],0)</f>
        <v>0.79523635878523702</v>
      </c>
      <c r="K1333" t="str">
        <f>IF(Table4[[#This Row],[Performance_Ratio]] &lt; 0.85, "Underperforming", "Performing")</f>
        <v>Underperforming</v>
      </c>
      <c r="L1333">
        <f>Table4[[#This Row],[energy_kwh]] - Table4[[#This Row],[expected_kwh]]</f>
        <v>-118.67189360059695</v>
      </c>
      <c r="M1333" t="str">
        <f>IF(Table4[[#This Row],[Performance_Deviation]] &lt; 0, "Underperforming", "Outperforming")</f>
        <v>Underperforming</v>
      </c>
      <c r="N1333">
        <f>IF(Table4[[#This Row],[Performance_Ratio]] &lt; 0.85, Table4[[#This Row],[Performance_Deviation]] * 50 / 1000, 0)</f>
        <v>-5.9335946800298469</v>
      </c>
    </row>
    <row r="1334" spans="1:14" x14ac:dyDescent="0.3">
      <c r="A1334" s="4" t="s">
        <v>7</v>
      </c>
      <c r="B1334" s="3">
        <v>45316.5</v>
      </c>
      <c r="C1334" s="4">
        <v>567.93339352071803</v>
      </c>
      <c r="D1334" s="4">
        <v>555.45508600179801</v>
      </c>
      <c r="E1334" s="4">
        <v>555.45508600179801</v>
      </c>
      <c r="F1334" s="4">
        <v>42.619015240516298</v>
      </c>
      <c r="G1334" s="4" t="str">
        <f t="shared" si="40"/>
        <v>OK</v>
      </c>
      <c r="H1334" s="4" t="str">
        <f t="shared" si="41"/>
        <v>NON-ZERO</v>
      </c>
      <c r="I1334">
        <v>600</v>
      </c>
      <c r="J1334">
        <f>IFERROR(Table4[[#This Row],[energy_kwh]]/Table4[[#This Row],[expected_kwh]],0)</f>
        <v>0.92575847666966338</v>
      </c>
      <c r="K1334" t="str">
        <f>IF(Table4[[#This Row],[Performance_Ratio]] &lt; 0.85, "Underperforming", "Performing")</f>
        <v>Performing</v>
      </c>
      <c r="L1334">
        <f>Table4[[#This Row],[energy_kwh]] - Table4[[#This Row],[expected_kwh]]</f>
        <v>-44.544913998201991</v>
      </c>
      <c r="M1334" t="str">
        <f>IF(Table4[[#This Row],[Performance_Deviation]] &lt; 0, "Underperforming", "Outperforming")</f>
        <v>Underperforming</v>
      </c>
      <c r="N1334">
        <f>IF(Table4[[#This Row],[Performance_Ratio]] &lt; 0.85, Table4[[#This Row],[Performance_Deviation]] * 50 / 1000, 0)</f>
        <v>0</v>
      </c>
    </row>
    <row r="1335" spans="1:14" x14ac:dyDescent="0.3">
      <c r="A1335" s="6" t="s">
        <v>7</v>
      </c>
      <c r="B1335" s="5">
        <v>45316.541666666664</v>
      </c>
      <c r="C1335" s="6">
        <v>570.41930844811998</v>
      </c>
      <c r="D1335" s="6">
        <v>557.88638182899604</v>
      </c>
      <c r="E1335" s="6">
        <v>557.88638182899604</v>
      </c>
      <c r="F1335" s="6">
        <v>26.976305694700599</v>
      </c>
      <c r="G1335" s="6" t="str">
        <f t="shared" si="40"/>
        <v>OK</v>
      </c>
      <c r="H1335" s="6" t="str">
        <f t="shared" si="41"/>
        <v>NON-ZERO</v>
      </c>
      <c r="I1335">
        <v>579.55549577344095</v>
      </c>
      <c r="J1335">
        <f>IFERROR(Table4[[#This Row],[energy_kwh]]/Table4[[#This Row],[expected_kwh]],0)</f>
        <v>0.9626108041378737</v>
      </c>
      <c r="K1335" t="str">
        <f>IF(Table4[[#This Row],[Performance_Ratio]] &lt; 0.85, "Underperforming", "Performing")</f>
        <v>Performing</v>
      </c>
      <c r="L1335">
        <f>Table4[[#This Row],[energy_kwh]] - Table4[[#This Row],[expected_kwh]]</f>
        <v>-21.669113944444916</v>
      </c>
      <c r="M1335" t="str">
        <f>IF(Table4[[#This Row],[Performance_Deviation]] &lt; 0, "Underperforming", "Outperforming")</f>
        <v>Underperforming</v>
      </c>
      <c r="N1335">
        <f>IF(Table4[[#This Row],[Performance_Ratio]] &lt; 0.85, Table4[[#This Row],[Performance_Deviation]] * 50 / 1000, 0)</f>
        <v>0</v>
      </c>
    </row>
    <row r="1336" spans="1:14" x14ac:dyDescent="0.3">
      <c r="A1336" s="4" t="s">
        <v>7</v>
      </c>
      <c r="B1336" s="3">
        <v>45316.583333333336</v>
      </c>
      <c r="C1336" s="4">
        <v>543.05030584301699</v>
      </c>
      <c r="D1336" s="4">
        <v>531.11871528704501</v>
      </c>
      <c r="E1336" s="4">
        <v>531.11871528704501</v>
      </c>
      <c r="F1336" s="4">
        <v>68.257171213799793</v>
      </c>
      <c r="G1336" s="4" t="str">
        <f t="shared" si="40"/>
        <v>OK</v>
      </c>
      <c r="H1336" s="4" t="str">
        <f t="shared" si="41"/>
        <v>NON-ZERO</v>
      </c>
      <c r="I1336">
        <v>519.61524227066297</v>
      </c>
      <c r="J1336">
        <f>IFERROR(Table4[[#This Row],[energy_kwh]]/Table4[[#This Row],[expected_kwh]],0)</f>
        <v>1.0221384441420791</v>
      </c>
      <c r="K1336" t="str">
        <f>IF(Table4[[#This Row],[Performance_Ratio]] &lt; 0.85, "Underperforming", "Performing")</f>
        <v>Performing</v>
      </c>
      <c r="L1336">
        <f>Table4[[#This Row],[energy_kwh]] - Table4[[#This Row],[expected_kwh]]</f>
        <v>11.503473016382031</v>
      </c>
      <c r="M1336" t="str">
        <f>IF(Table4[[#This Row],[Performance_Deviation]] &lt; 0, "Underperforming", "Outperforming")</f>
        <v>Outperforming</v>
      </c>
      <c r="N1336">
        <f>IF(Table4[[#This Row],[Performance_Ratio]] &lt; 0.85, Table4[[#This Row],[Performance_Deviation]] * 50 / 1000, 0)</f>
        <v>0</v>
      </c>
    </row>
    <row r="1337" spans="1:14" x14ac:dyDescent="0.3">
      <c r="A1337" s="6" t="s">
        <v>7</v>
      </c>
      <c r="B1337" s="5">
        <v>45316.625</v>
      </c>
      <c r="C1337" s="6">
        <v>392.532292885088</v>
      </c>
      <c r="D1337" s="6">
        <v>383.90779797493298</v>
      </c>
      <c r="E1337" s="6">
        <v>383.90779797493298</v>
      </c>
      <c r="F1337" s="6">
        <v>32.513643365418297</v>
      </c>
      <c r="G1337" s="6" t="str">
        <f t="shared" si="40"/>
        <v>OK</v>
      </c>
      <c r="H1337" s="6" t="str">
        <f t="shared" si="41"/>
        <v>NON-ZERO</v>
      </c>
      <c r="I1337">
        <v>424.26406871192802</v>
      </c>
      <c r="J1337">
        <f>IFERROR(Table4[[#This Row],[energy_kwh]]/Table4[[#This Row],[expected_kwh]],0)</f>
        <v>0.90487935766156846</v>
      </c>
      <c r="K1337" t="str">
        <f>IF(Table4[[#This Row],[Performance_Ratio]] &lt; 0.85, "Underperforming", "Performing")</f>
        <v>Performing</v>
      </c>
      <c r="L1337">
        <f>Table4[[#This Row],[energy_kwh]] - Table4[[#This Row],[expected_kwh]]</f>
        <v>-40.356270736995043</v>
      </c>
      <c r="M1337" t="str">
        <f>IF(Table4[[#This Row],[Performance_Deviation]] &lt; 0, "Underperforming", "Outperforming")</f>
        <v>Underperforming</v>
      </c>
      <c r="N1337">
        <f>IF(Table4[[#This Row],[Performance_Ratio]] &lt; 0.85, Table4[[#This Row],[Performance_Deviation]] * 50 / 1000, 0)</f>
        <v>0</v>
      </c>
    </row>
    <row r="1338" spans="1:14" x14ac:dyDescent="0.3">
      <c r="A1338" s="4" t="s">
        <v>7</v>
      </c>
      <c r="B1338" s="3">
        <v>45316.666666666664</v>
      </c>
      <c r="C1338" s="4">
        <v>313.27951206012398</v>
      </c>
      <c r="D1338" s="4">
        <v>306.39631389734302</v>
      </c>
      <c r="E1338" s="4">
        <v>306.39631389734302</v>
      </c>
      <c r="F1338" s="4">
        <v>71.200336434706898</v>
      </c>
      <c r="G1338" s="4" t="str">
        <f t="shared" si="40"/>
        <v>OK</v>
      </c>
      <c r="H1338" s="4" t="str">
        <f t="shared" si="41"/>
        <v>NON-ZERO</v>
      </c>
      <c r="I1338">
        <v>300</v>
      </c>
      <c r="J1338">
        <f>IFERROR(Table4[[#This Row],[energy_kwh]]/Table4[[#This Row],[expected_kwh]],0)</f>
        <v>1.0213210463244768</v>
      </c>
      <c r="K1338" t="str">
        <f>IF(Table4[[#This Row],[Performance_Ratio]] &lt; 0.85, "Underperforming", "Performing")</f>
        <v>Performing</v>
      </c>
      <c r="L1338">
        <f>Table4[[#This Row],[energy_kwh]] - Table4[[#This Row],[expected_kwh]]</f>
        <v>6.3963138973430205</v>
      </c>
      <c r="M1338" t="str">
        <f>IF(Table4[[#This Row],[Performance_Deviation]] &lt; 0, "Underperforming", "Outperforming")</f>
        <v>Outperforming</v>
      </c>
      <c r="N1338">
        <f>IF(Table4[[#This Row],[Performance_Ratio]] &lt; 0.85, Table4[[#This Row],[Performance_Deviation]] * 50 / 1000, 0)</f>
        <v>0</v>
      </c>
    </row>
    <row r="1339" spans="1:14" x14ac:dyDescent="0.3">
      <c r="A1339" s="6" t="s">
        <v>7</v>
      </c>
      <c r="B1339" s="5">
        <v>45316.708333333336</v>
      </c>
      <c r="C1339" s="6">
        <v>133.816978527364</v>
      </c>
      <c r="D1339" s="6">
        <v>130.876828452783</v>
      </c>
      <c r="E1339" s="6">
        <v>130.876828452783</v>
      </c>
      <c r="F1339" s="6">
        <v>22.925481557211299</v>
      </c>
      <c r="G1339" s="6" t="str">
        <f t="shared" si="40"/>
        <v>OK</v>
      </c>
      <c r="H1339" s="6" t="str">
        <f t="shared" si="41"/>
        <v>NON-ZERO</v>
      </c>
      <c r="I1339">
        <v>155.291427061512</v>
      </c>
      <c r="J1339">
        <f>IFERROR(Table4[[#This Row],[energy_kwh]]/Table4[[#This Row],[expected_kwh]],0)</f>
        <v>0.84278205776898296</v>
      </c>
      <c r="K1339" t="str">
        <f>IF(Table4[[#This Row],[Performance_Ratio]] &lt; 0.85, "Underperforming", "Performing")</f>
        <v>Underperforming</v>
      </c>
      <c r="L1339">
        <f>Table4[[#This Row],[energy_kwh]] - Table4[[#This Row],[expected_kwh]]</f>
        <v>-24.414598608728994</v>
      </c>
      <c r="M1339" t="str">
        <f>IF(Table4[[#This Row],[Performance_Deviation]] &lt; 0, "Underperforming", "Outperforming")</f>
        <v>Underperforming</v>
      </c>
      <c r="N1339">
        <f>IF(Table4[[#This Row],[Performance_Ratio]] &lt; 0.85, Table4[[#This Row],[Performance_Deviation]] * 50 / 1000, 0)</f>
        <v>-1.2207299304364496</v>
      </c>
    </row>
    <row r="1340" spans="1:14" x14ac:dyDescent="0.3">
      <c r="A1340" s="4" t="s">
        <v>7</v>
      </c>
      <c r="B1340" s="3">
        <v>45316.75</v>
      </c>
      <c r="C1340" s="7">
        <v>7.4807542499731506E-14</v>
      </c>
      <c r="D1340" s="7">
        <v>7.3163913985022097E-14</v>
      </c>
      <c r="E1340" s="7">
        <v>7.3163913985022097E-14</v>
      </c>
      <c r="F1340" s="4">
        <v>94.371825722092098</v>
      </c>
      <c r="G1340" s="4" t="str">
        <f t="shared" si="40"/>
        <v>OK</v>
      </c>
      <c r="H1340" s="4" t="str">
        <f t="shared" si="41"/>
        <v>NON-ZERO</v>
      </c>
      <c r="I1340" s="2">
        <v>7.3478807948841102E-14</v>
      </c>
      <c r="J1340">
        <f>IFERROR(Table4[[#This Row],[energy_kwh]]/Table4[[#This Row],[expected_kwh]],0)</f>
        <v>0.99571449275499613</v>
      </c>
      <c r="K1340" t="str">
        <f>IF(Table4[[#This Row],[Performance_Ratio]] &lt; 0.85, "Underperforming", "Performing")</f>
        <v>Performing</v>
      </c>
      <c r="L1340">
        <f>Table4[[#This Row],[energy_kwh]] - Table4[[#This Row],[expected_kwh]]</f>
        <v>-3.1489396381900497E-16</v>
      </c>
      <c r="M1340" t="str">
        <f>IF(Table4[[#This Row],[Performance_Deviation]] &lt; 0, "Underperforming", "Outperforming")</f>
        <v>Underperforming</v>
      </c>
      <c r="N1340">
        <f>IF(Table4[[#This Row],[Performance_Ratio]] &lt; 0.85, Table4[[#This Row],[Performance_Deviation]] * 50 / 1000, 0)</f>
        <v>0</v>
      </c>
    </row>
    <row r="1341" spans="1:14" x14ac:dyDescent="0.3">
      <c r="A1341" s="6" t="s">
        <v>7</v>
      </c>
      <c r="B1341" s="5">
        <v>45316.791666666664</v>
      </c>
      <c r="C1341" s="6">
        <v>0</v>
      </c>
      <c r="D1341" s="6">
        <v>0</v>
      </c>
      <c r="E1341" s="6">
        <v>0</v>
      </c>
      <c r="F1341" s="6">
        <v>70.572018027501798</v>
      </c>
      <c r="G1341" s="6" t="str">
        <f t="shared" si="40"/>
        <v>OK</v>
      </c>
      <c r="H1341" s="6" t="str">
        <f t="shared" si="41"/>
        <v>ZERO</v>
      </c>
      <c r="I1341">
        <v>0</v>
      </c>
      <c r="J1341">
        <f>IFERROR(Table4[[#This Row],[energy_kwh]]/Table4[[#This Row],[expected_kwh]],0)</f>
        <v>0</v>
      </c>
      <c r="K1341" t="str">
        <f>IF(Table4[[#This Row],[Performance_Ratio]] &lt; 0.85, "Underperforming", "Performing")</f>
        <v>Underperforming</v>
      </c>
      <c r="L1341">
        <f>Table4[[#This Row],[energy_kwh]] - Table4[[#This Row],[expected_kwh]]</f>
        <v>0</v>
      </c>
      <c r="M1341" t="str">
        <f>IF(Table4[[#This Row],[Performance_Deviation]] &lt; 0, "Underperforming", "Outperforming")</f>
        <v>Outperforming</v>
      </c>
      <c r="N1341">
        <f>IF(Table4[[#This Row],[Performance_Ratio]] &lt; 0.85, Table4[[#This Row],[Performance_Deviation]] * 50 / 1000, 0)</f>
        <v>0</v>
      </c>
    </row>
    <row r="1342" spans="1:14" x14ac:dyDescent="0.3">
      <c r="A1342" s="4" t="s">
        <v>7</v>
      </c>
      <c r="B1342" s="3">
        <v>45316.833333333336</v>
      </c>
      <c r="C1342" s="4">
        <v>0</v>
      </c>
      <c r="D1342" s="4">
        <v>0</v>
      </c>
      <c r="E1342" s="4">
        <v>0</v>
      </c>
      <c r="F1342" s="4">
        <v>78.552447812872103</v>
      </c>
      <c r="G1342" s="4" t="str">
        <f t="shared" si="40"/>
        <v>OK</v>
      </c>
      <c r="H1342" s="4" t="str">
        <f t="shared" si="41"/>
        <v>ZERO</v>
      </c>
      <c r="I1342">
        <v>0</v>
      </c>
      <c r="J1342">
        <f>IFERROR(Table4[[#This Row],[energy_kwh]]/Table4[[#This Row],[expected_kwh]],0)</f>
        <v>0</v>
      </c>
      <c r="K1342" t="str">
        <f>IF(Table4[[#This Row],[Performance_Ratio]] &lt; 0.85, "Underperforming", "Performing")</f>
        <v>Underperforming</v>
      </c>
      <c r="L1342">
        <f>Table4[[#This Row],[energy_kwh]] - Table4[[#This Row],[expected_kwh]]</f>
        <v>0</v>
      </c>
      <c r="M1342" t="str">
        <f>IF(Table4[[#This Row],[Performance_Deviation]] &lt; 0, "Underperforming", "Outperforming")</f>
        <v>Outperforming</v>
      </c>
      <c r="N1342">
        <f>IF(Table4[[#This Row],[Performance_Ratio]] &lt; 0.85, Table4[[#This Row],[Performance_Deviation]] * 50 / 1000, 0)</f>
        <v>0</v>
      </c>
    </row>
    <row r="1343" spans="1:14" x14ac:dyDescent="0.3">
      <c r="A1343" s="6" t="s">
        <v>7</v>
      </c>
      <c r="B1343" s="5">
        <v>45316.875</v>
      </c>
      <c r="C1343" s="6">
        <v>0</v>
      </c>
      <c r="D1343" s="6">
        <v>0</v>
      </c>
      <c r="E1343" s="6">
        <v>0</v>
      </c>
      <c r="F1343" s="6">
        <v>67.297647123730997</v>
      </c>
      <c r="G1343" s="6" t="str">
        <f t="shared" si="40"/>
        <v>OK</v>
      </c>
      <c r="H1343" s="6" t="str">
        <f t="shared" si="41"/>
        <v>ZERO</v>
      </c>
      <c r="I1343">
        <v>0</v>
      </c>
      <c r="J1343">
        <f>IFERROR(Table4[[#This Row],[energy_kwh]]/Table4[[#This Row],[expected_kwh]],0)</f>
        <v>0</v>
      </c>
      <c r="K1343" t="str">
        <f>IF(Table4[[#This Row],[Performance_Ratio]] &lt; 0.85, "Underperforming", "Performing")</f>
        <v>Underperforming</v>
      </c>
      <c r="L1343">
        <f>Table4[[#This Row],[energy_kwh]] - Table4[[#This Row],[expected_kwh]]</f>
        <v>0</v>
      </c>
      <c r="M1343" t="str">
        <f>IF(Table4[[#This Row],[Performance_Deviation]] &lt; 0, "Underperforming", "Outperforming")</f>
        <v>Outperforming</v>
      </c>
      <c r="N1343">
        <f>IF(Table4[[#This Row],[Performance_Ratio]] &lt; 0.85, Table4[[#This Row],[Performance_Deviation]] * 50 / 1000, 0)</f>
        <v>0</v>
      </c>
    </row>
    <row r="1344" spans="1:14" x14ac:dyDescent="0.3">
      <c r="A1344" s="4" t="s">
        <v>7</v>
      </c>
      <c r="B1344" s="3">
        <v>45316.916666666664</v>
      </c>
      <c r="C1344" s="4">
        <v>0</v>
      </c>
      <c r="D1344" s="4">
        <v>0</v>
      </c>
      <c r="E1344" s="4">
        <v>0</v>
      </c>
      <c r="F1344" s="4">
        <v>90.213242312487793</v>
      </c>
      <c r="G1344" s="4" t="str">
        <f t="shared" si="40"/>
        <v>OK</v>
      </c>
      <c r="H1344" s="4" t="str">
        <f t="shared" si="41"/>
        <v>ZERO</v>
      </c>
      <c r="I1344">
        <v>0</v>
      </c>
      <c r="J1344">
        <f>IFERROR(Table4[[#This Row],[energy_kwh]]/Table4[[#This Row],[expected_kwh]],0)</f>
        <v>0</v>
      </c>
      <c r="K1344" t="str">
        <f>IF(Table4[[#This Row],[Performance_Ratio]] &lt; 0.85, "Underperforming", "Performing")</f>
        <v>Underperforming</v>
      </c>
      <c r="L1344">
        <f>Table4[[#This Row],[energy_kwh]] - Table4[[#This Row],[expected_kwh]]</f>
        <v>0</v>
      </c>
      <c r="M1344" t="str">
        <f>IF(Table4[[#This Row],[Performance_Deviation]] &lt; 0, "Underperforming", "Outperforming")</f>
        <v>Outperforming</v>
      </c>
      <c r="N1344">
        <f>IF(Table4[[#This Row],[Performance_Ratio]] &lt; 0.85, Table4[[#This Row],[Performance_Deviation]] * 50 / 1000, 0)</f>
        <v>0</v>
      </c>
    </row>
    <row r="1345" spans="1:14" x14ac:dyDescent="0.3">
      <c r="A1345" s="6" t="s">
        <v>7</v>
      </c>
      <c r="B1345" s="5">
        <v>45316.958333333336</v>
      </c>
      <c r="C1345" s="6">
        <v>0</v>
      </c>
      <c r="D1345" s="6">
        <v>0</v>
      </c>
      <c r="E1345" s="6">
        <v>0</v>
      </c>
      <c r="F1345" s="6">
        <v>85.605773724242397</v>
      </c>
      <c r="G1345" s="6" t="str">
        <f t="shared" si="40"/>
        <v>OK</v>
      </c>
      <c r="H1345" s="6" t="str">
        <f t="shared" si="41"/>
        <v>ZERO</v>
      </c>
      <c r="I1345">
        <v>0</v>
      </c>
      <c r="J1345">
        <f>IFERROR(Table4[[#This Row],[energy_kwh]]/Table4[[#This Row],[expected_kwh]],0)</f>
        <v>0</v>
      </c>
      <c r="K1345" t="str">
        <f>IF(Table4[[#This Row],[Performance_Ratio]] &lt; 0.85, "Underperforming", "Performing")</f>
        <v>Underperforming</v>
      </c>
      <c r="L1345">
        <f>Table4[[#This Row],[energy_kwh]] - Table4[[#This Row],[expected_kwh]]</f>
        <v>0</v>
      </c>
      <c r="M1345" t="str">
        <f>IF(Table4[[#This Row],[Performance_Deviation]] &lt; 0, "Underperforming", "Outperforming")</f>
        <v>Outperforming</v>
      </c>
      <c r="N1345">
        <f>IF(Table4[[#This Row],[Performance_Ratio]] &lt; 0.85, Table4[[#This Row],[Performance_Deviation]] * 50 / 1000, 0)</f>
        <v>0</v>
      </c>
    </row>
    <row r="1346" spans="1:14" x14ac:dyDescent="0.3">
      <c r="A1346" s="4" t="s">
        <v>7</v>
      </c>
      <c r="B1346" s="3">
        <v>45317</v>
      </c>
      <c r="C1346" s="4">
        <v>0</v>
      </c>
      <c r="D1346" s="4">
        <v>0</v>
      </c>
      <c r="E1346" s="4">
        <v>0</v>
      </c>
      <c r="F1346" s="4">
        <v>88.415617758614403</v>
      </c>
      <c r="G1346" s="4" t="str">
        <f t="shared" ref="G1346:G1409" si="42">IF(D1346 &gt; C1346, "ERROR", "OK")</f>
        <v>OK</v>
      </c>
      <c r="H1346" s="4" t="str">
        <f t="shared" ref="H1346:H1409" si="43">IF(E1346=0,"ZERO","NON-ZERO")</f>
        <v>ZERO</v>
      </c>
      <c r="I1346">
        <v>0</v>
      </c>
      <c r="J1346">
        <f>IFERROR(Table4[[#This Row],[energy_kwh]]/Table4[[#This Row],[expected_kwh]],0)</f>
        <v>0</v>
      </c>
      <c r="K1346" t="str">
        <f>IF(Table4[[#This Row],[Performance_Ratio]] &lt; 0.85, "Underperforming", "Performing")</f>
        <v>Underperforming</v>
      </c>
      <c r="L1346">
        <f>Table4[[#This Row],[energy_kwh]] - Table4[[#This Row],[expected_kwh]]</f>
        <v>0</v>
      </c>
      <c r="M1346" t="str">
        <f>IF(Table4[[#This Row],[Performance_Deviation]] &lt; 0, "Underperforming", "Outperforming")</f>
        <v>Outperforming</v>
      </c>
      <c r="N1346">
        <f>IF(Table4[[#This Row],[Performance_Ratio]] &lt; 0.85, Table4[[#This Row],[Performance_Deviation]] * 50 / 1000, 0)</f>
        <v>0</v>
      </c>
    </row>
    <row r="1347" spans="1:14" x14ac:dyDescent="0.3">
      <c r="A1347" s="6" t="s">
        <v>7</v>
      </c>
      <c r="B1347" s="5">
        <v>45317.041666666664</v>
      </c>
      <c r="C1347" s="6">
        <v>0</v>
      </c>
      <c r="D1347" s="6">
        <v>0</v>
      </c>
      <c r="E1347" s="6">
        <v>0</v>
      </c>
      <c r="F1347" s="6">
        <v>39.286426333182099</v>
      </c>
      <c r="G1347" s="6" t="str">
        <f t="shared" si="42"/>
        <v>OK</v>
      </c>
      <c r="H1347" s="6" t="str">
        <f t="shared" si="43"/>
        <v>ZERO</v>
      </c>
      <c r="I1347">
        <v>0</v>
      </c>
      <c r="J1347">
        <f>IFERROR(Table4[[#This Row],[energy_kwh]]/Table4[[#This Row],[expected_kwh]],0)</f>
        <v>0</v>
      </c>
      <c r="K1347" t="str">
        <f>IF(Table4[[#This Row],[Performance_Ratio]] &lt; 0.85, "Underperforming", "Performing")</f>
        <v>Underperforming</v>
      </c>
      <c r="L1347">
        <f>Table4[[#This Row],[energy_kwh]] - Table4[[#This Row],[expected_kwh]]</f>
        <v>0</v>
      </c>
      <c r="M1347" t="str">
        <f>IF(Table4[[#This Row],[Performance_Deviation]] &lt; 0, "Underperforming", "Outperforming")</f>
        <v>Outperforming</v>
      </c>
      <c r="N1347">
        <f>IF(Table4[[#This Row],[Performance_Ratio]] &lt; 0.85, Table4[[#This Row],[Performance_Deviation]] * 50 / 1000, 0)</f>
        <v>0</v>
      </c>
    </row>
    <row r="1348" spans="1:14" x14ac:dyDescent="0.3">
      <c r="A1348" s="4" t="s">
        <v>7</v>
      </c>
      <c r="B1348" s="3">
        <v>45317.083333333336</v>
      </c>
      <c r="C1348" s="4">
        <v>0</v>
      </c>
      <c r="D1348" s="4">
        <v>0</v>
      </c>
      <c r="E1348" s="4">
        <v>0</v>
      </c>
      <c r="F1348" s="4">
        <v>37.627347410893897</v>
      </c>
      <c r="G1348" s="4" t="str">
        <f t="shared" si="42"/>
        <v>OK</v>
      </c>
      <c r="H1348" s="4" t="str">
        <f t="shared" si="43"/>
        <v>ZERO</v>
      </c>
      <c r="I1348">
        <v>0</v>
      </c>
      <c r="J1348">
        <f>IFERROR(Table4[[#This Row],[energy_kwh]]/Table4[[#This Row],[expected_kwh]],0)</f>
        <v>0</v>
      </c>
      <c r="K1348" t="str">
        <f>IF(Table4[[#This Row],[Performance_Ratio]] &lt; 0.85, "Underperforming", "Performing")</f>
        <v>Underperforming</v>
      </c>
      <c r="L1348">
        <f>Table4[[#This Row],[energy_kwh]] - Table4[[#This Row],[expected_kwh]]</f>
        <v>0</v>
      </c>
      <c r="M1348" t="str">
        <f>IF(Table4[[#This Row],[Performance_Deviation]] &lt; 0, "Underperforming", "Outperforming")</f>
        <v>Outperforming</v>
      </c>
      <c r="N1348">
        <f>IF(Table4[[#This Row],[Performance_Ratio]] &lt; 0.85, Table4[[#This Row],[Performance_Deviation]] * 50 / 1000, 0)</f>
        <v>0</v>
      </c>
    </row>
    <row r="1349" spans="1:14" x14ac:dyDescent="0.3">
      <c r="A1349" s="6" t="s">
        <v>7</v>
      </c>
      <c r="B1349" s="5">
        <v>45317.125</v>
      </c>
      <c r="C1349" s="6">
        <v>0</v>
      </c>
      <c r="D1349" s="6">
        <v>0</v>
      </c>
      <c r="E1349" s="6">
        <v>0</v>
      </c>
      <c r="F1349" s="6">
        <v>64.703269660823494</v>
      </c>
      <c r="G1349" s="6" t="str">
        <f t="shared" si="42"/>
        <v>OK</v>
      </c>
      <c r="H1349" s="6" t="str">
        <f t="shared" si="43"/>
        <v>ZERO</v>
      </c>
      <c r="I1349">
        <v>0</v>
      </c>
      <c r="J1349">
        <f>IFERROR(Table4[[#This Row],[energy_kwh]]/Table4[[#This Row],[expected_kwh]],0)</f>
        <v>0</v>
      </c>
      <c r="K1349" t="str">
        <f>IF(Table4[[#This Row],[Performance_Ratio]] &lt; 0.85, "Underperforming", "Performing")</f>
        <v>Underperforming</v>
      </c>
      <c r="L1349">
        <f>Table4[[#This Row],[energy_kwh]] - Table4[[#This Row],[expected_kwh]]</f>
        <v>0</v>
      </c>
      <c r="M1349" t="str">
        <f>IF(Table4[[#This Row],[Performance_Deviation]] &lt; 0, "Underperforming", "Outperforming")</f>
        <v>Outperforming</v>
      </c>
      <c r="N1349">
        <f>IF(Table4[[#This Row],[Performance_Ratio]] &lt; 0.85, Table4[[#This Row],[Performance_Deviation]] * 50 / 1000, 0)</f>
        <v>0</v>
      </c>
    </row>
    <row r="1350" spans="1:14" x14ac:dyDescent="0.3">
      <c r="A1350" s="4" t="s">
        <v>7</v>
      </c>
      <c r="B1350" s="3">
        <v>45317.166666666664</v>
      </c>
      <c r="C1350" s="4">
        <v>0</v>
      </c>
      <c r="D1350" s="4">
        <v>0</v>
      </c>
      <c r="E1350" s="4">
        <v>0</v>
      </c>
      <c r="F1350" s="4">
        <v>35.8573443499183</v>
      </c>
      <c r="G1350" s="4" t="str">
        <f t="shared" si="42"/>
        <v>OK</v>
      </c>
      <c r="H1350" s="4" t="str">
        <f t="shared" si="43"/>
        <v>ZERO</v>
      </c>
      <c r="I1350">
        <v>0</v>
      </c>
      <c r="J1350">
        <f>IFERROR(Table4[[#This Row],[energy_kwh]]/Table4[[#This Row],[expected_kwh]],0)</f>
        <v>0</v>
      </c>
      <c r="K1350" t="str">
        <f>IF(Table4[[#This Row],[Performance_Ratio]] &lt; 0.85, "Underperforming", "Performing")</f>
        <v>Underperforming</v>
      </c>
      <c r="L1350">
        <f>Table4[[#This Row],[energy_kwh]] - Table4[[#This Row],[expected_kwh]]</f>
        <v>0</v>
      </c>
      <c r="M1350" t="str">
        <f>IF(Table4[[#This Row],[Performance_Deviation]] &lt; 0, "Underperforming", "Outperforming")</f>
        <v>Outperforming</v>
      </c>
      <c r="N1350">
        <f>IF(Table4[[#This Row],[Performance_Ratio]] &lt; 0.85, Table4[[#This Row],[Performance_Deviation]] * 50 / 1000, 0)</f>
        <v>0</v>
      </c>
    </row>
    <row r="1351" spans="1:14" x14ac:dyDescent="0.3">
      <c r="A1351" s="6" t="s">
        <v>7</v>
      </c>
      <c r="B1351" s="5">
        <v>45317.208333333336</v>
      </c>
      <c r="C1351" s="6">
        <v>0</v>
      </c>
      <c r="D1351" s="6">
        <v>0</v>
      </c>
      <c r="E1351" s="6">
        <v>0</v>
      </c>
      <c r="F1351" s="6">
        <v>92.408647595046503</v>
      </c>
      <c r="G1351" s="6" t="str">
        <f t="shared" si="42"/>
        <v>OK</v>
      </c>
      <c r="H1351" s="6" t="str">
        <f t="shared" si="43"/>
        <v>ZERO</v>
      </c>
      <c r="I1351">
        <v>0</v>
      </c>
      <c r="J1351">
        <f>IFERROR(Table4[[#This Row],[energy_kwh]]/Table4[[#This Row],[expected_kwh]],0)</f>
        <v>0</v>
      </c>
      <c r="K1351" t="str">
        <f>IF(Table4[[#This Row],[Performance_Ratio]] &lt; 0.85, "Underperforming", "Performing")</f>
        <v>Underperforming</v>
      </c>
      <c r="L1351">
        <f>Table4[[#This Row],[energy_kwh]] - Table4[[#This Row],[expected_kwh]]</f>
        <v>0</v>
      </c>
      <c r="M1351" t="str">
        <f>IF(Table4[[#This Row],[Performance_Deviation]] &lt; 0, "Underperforming", "Outperforming")</f>
        <v>Outperforming</v>
      </c>
      <c r="N1351">
        <f>IF(Table4[[#This Row],[Performance_Ratio]] &lt; 0.85, Table4[[#This Row],[Performance_Deviation]] * 50 / 1000, 0)</f>
        <v>0</v>
      </c>
    </row>
    <row r="1352" spans="1:14" x14ac:dyDescent="0.3">
      <c r="A1352" s="4" t="s">
        <v>7</v>
      </c>
      <c r="B1352" s="3">
        <v>45317.25</v>
      </c>
      <c r="C1352" s="4">
        <v>0</v>
      </c>
      <c r="D1352" s="4">
        <v>0</v>
      </c>
      <c r="E1352" s="4">
        <v>0</v>
      </c>
      <c r="F1352" s="4">
        <v>93.307863815300905</v>
      </c>
      <c r="G1352" s="4" t="str">
        <f t="shared" si="42"/>
        <v>OK</v>
      </c>
      <c r="H1352" s="4" t="str">
        <f t="shared" si="43"/>
        <v>ZERO</v>
      </c>
      <c r="I1352">
        <v>0</v>
      </c>
      <c r="J1352">
        <f>IFERROR(Table4[[#This Row],[energy_kwh]]/Table4[[#This Row],[expected_kwh]],0)</f>
        <v>0</v>
      </c>
      <c r="K1352" t="str">
        <f>IF(Table4[[#This Row],[Performance_Ratio]] &lt; 0.85, "Underperforming", "Performing")</f>
        <v>Underperforming</v>
      </c>
      <c r="L1352">
        <f>Table4[[#This Row],[energy_kwh]] - Table4[[#This Row],[expected_kwh]]</f>
        <v>0</v>
      </c>
      <c r="M1352" t="str">
        <f>IF(Table4[[#This Row],[Performance_Deviation]] &lt; 0, "Underperforming", "Outperforming")</f>
        <v>Outperforming</v>
      </c>
      <c r="N1352">
        <f>IF(Table4[[#This Row],[Performance_Ratio]] &lt; 0.85, Table4[[#This Row],[Performance_Deviation]] * 50 / 1000, 0)</f>
        <v>0</v>
      </c>
    </row>
    <row r="1353" spans="1:14" x14ac:dyDescent="0.3">
      <c r="A1353" s="6" t="s">
        <v>7</v>
      </c>
      <c r="B1353" s="5">
        <v>45317.291666666664</v>
      </c>
      <c r="C1353" s="6">
        <v>156.86114321271401</v>
      </c>
      <c r="D1353" s="6">
        <v>153.414679938837</v>
      </c>
      <c r="E1353" s="6">
        <v>153.414679938837</v>
      </c>
      <c r="F1353" s="6">
        <v>42.456734360233</v>
      </c>
      <c r="G1353" s="6" t="str">
        <f t="shared" si="42"/>
        <v>OK</v>
      </c>
      <c r="H1353" s="6" t="str">
        <f t="shared" si="43"/>
        <v>NON-ZERO</v>
      </c>
      <c r="I1353">
        <v>155.291427061512</v>
      </c>
      <c r="J1353">
        <f>IFERROR(Table4[[#This Row],[energy_kwh]]/Table4[[#This Row],[expected_kwh]],0)</f>
        <v>0.98791467656529675</v>
      </c>
      <c r="K1353" t="str">
        <f>IF(Table4[[#This Row],[Performance_Ratio]] &lt; 0.85, "Underperforming", "Performing")</f>
        <v>Performing</v>
      </c>
      <c r="L1353">
        <f>Table4[[#This Row],[energy_kwh]] - Table4[[#This Row],[expected_kwh]]</f>
        <v>-1.876747122674999</v>
      </c>
      <c r="M1353" t="str">
        <f>IF(Table4[[#This Row],[Performance_Deviation]] &lt; 0, "Underperforming", "Outperforming")</f>
        <v>Underperforming</v>
      </c>
      <c r="N1353">
        <f>IF(Table4[[#This Row],[Performance_Ratio]] &lt; 0.85, Table4[[#This Row],[Performance_Deviation]] * 50 / 1000, 0)</f>
        <v>0</v>
      </c>
    </row>
    <row r="1354" spans="1:14" x14ac:dyDescent="0.3">
      <c r="A1354" s="4" t="s">
        <v>7</v>
      </c>
      <c r="B1354" s="3">
        <v>45317.333333333336</v>
      </c>
      <c r="C1354" s="4">
        <v>279.02006880170899</v>
      </c>
      <c r="D1354" s="4">
        <v>272.88959952101698</v>
      </c>
      <c r="E1354" s="4">
        <v>272.88959952101698</v>
      </c>
      <c r="F1354" s="4">
        <v>26.629772536006801</v>
      </c>
      <c r="G1354" s="4" t="str">
        <f t="shared" si="42"/>
        <v>OK</v>
      </c>
      <c r="H1354" s="4" t="str">
        <f t="shared" si="43"/>
        <v>NON-ZERO</v>
      </c>
      <c r="I1354">
        <v>300</v>
      </c>
      <c r="J1354">
        <f>IFERROR(Table4[[#This Row],[energy_kwh]]/Table4[[#This Row],[expected_kwh]],0)</f>
        <v>0.90963199840338993</v>
      </c>
      <c r="K1354" t="str">
        <f>IF(Table4[[#This Row],[Performance_Ratio]] &lt; 0.85, "Underperforming", "Performing")</f>
        <v>Performing</v>
      </c>
      <c r="L1354">
        <f>Table4[[#This Row],[energy_kwh]] - Table4[[#This Row],[expected_kwh]]</f>
        <v>-27.110400478983024</v>
      </c>
      <c r="M1354" t="str">
        <f>IF(Table4[[#This Row],[Performance_Deviation]] &lt; 0, "Underperforming", "Outperforming")</f>
        <v>Underperforming</v>
      </c>
      <c r="N1354">
        <f>IF(Table4[[#This Row],[Performance_Ratio]] &lt; 0.85, Table4[[#This Row],[Performance_Deviation]] * 50 / 1000, 0)</f>
        <v>0</v>
      </c>
    </row>
    <row r="1355" spans="1:14" x14ac:dyDescent="0.3">
      <c r="A1355" s="6" t="s">
        <v>7</v>
      </c>
      <c r="B1355" s="5">
        <v>45317.375</v>
      </c>
      <c r="C1355" s="6">
        <v>388.238294940787</v>
      </c>
      <c r="D1355" s="6">
        <v>379.70814529619599</v>
      </c>
      <c r="E1355" s="6">
        <v>379.70814529619599</v>
      </c>
      <c r="F1355" s="6">
        <v>67.226269644440194</v>
      </c>
      <c r="G1355" s="6" t="str">
        <f t="shared" si="42"/>
        <v>OK</v>
      </c>
      <c r="H1355" s="6" t="str">
        <f t="shared" si="43"/>
        <v>NON-ZERO</v>
      </c>
      <c r="I1355">
        <v>424.26406871192802</v>
      </c>
      <c r="J1355">
        <f>IFERROR(Table4[[#This Row],[energy_kwh]]/Table4[[#This Row],[expected_kwh]],0)</f>
        <v>0.89498068136902453</v>
      </c>
      <c r="K1355" t="str">
        <f>IF(Table4[[#This Row],[Performance_Ratio]] &lt; 0.85, "Underperforming", "Performing")</f>
        <v>Performing</v>
      </c>
      <c r="L1355">
        <f>Table4[[#This Row],[energy_kwh]] - Table4[[#This Row],[expected_kwh]]</f>
        <v>-44.555923415732025</v>
      </c>
      <c r="M1355" t="str">
        <f>IF(Table4[[#This Row],[Performance_Deviation]] &lt; 0, "Underperforming", "Outperforming")</f>
        <v>Underperforming</v>
      </c>
      <c r="N1355">
        <f>IF(Table4[[#This Row],[Performance_Ratio]] &lt; 0.85, Table4[[#This Row],[Performance_Deviation]] * 50 / 1000, 0)</f>
        <v>0</v>
      </c>
    </row>
    <row r="1356" spans="1:14" x14ac:dyDescent="0.3">
      <c r="A1356" s="4" t="s">
        <v>7</v>
      </c>
      <c r="B1356" s="3">
        <v>45317.416666666664</v>
      </c>
      <c r="C1356" s="4">
        <v>450.46396972078799</v>
      </c>
      <c r="D1356" s="4">
        <v>440.566633158971</v>
      </c>
      <c r="E1356" s="4">
        <v>440.566633158971</v>
      </c>
      <c r="F1356" s="4">
        <v>41.110797683818902</v>
      </c>
      <c r="G1356" s="4" t="str">
        <f t="shared" si="42"/>
        <v>OK</v>
      </c>
      <c r="H1356" s="4" t="str">
        <f t="shared" si="43"/>
        <v>NON-ZERO</v>
      </c>
      <c r="I1356">
        <v>519.61524227066297</v>
      </c>
      <c r="J1356">
        <f>IFERROR(Table4[[#This Row],[energy_kwh]]/Table4[[#This Row],[expected_kwh]],0)</f>
        <v>0.84787088083433038</v>
      </c>
      <c r="K1356" t="str">
        <f>IF(Table4[[#This Row],[Performance_Ratio]] &lt; 0.85, "Underperforming", "Performing")</f>
        <v>Underperforming</v>
      </c>
      <c r="L1356">
        <f>Table4[[#This Row],[energy_kwh]] - Table4[[#This Row],[expected_kwh]]</f>
        <v>-79.048609111691974</v>
      </c>
      <c r="M1356" t="str">
        <f>IF(Table4[[#This Row],[Performance_Deviation]] &lt; 0, "Underperforming", "Outperforming")</f>
        <v>Underperforming</v>
      </c>
      <c r="N1356">
        <f>IF(Table4[[#This Row],[Performance_Ratio]] &lt; 0.85, Table4[[#This Row],[Performance_Deviation]] * 50 / 1000, 0)</f>
        <v>-3.9524304555845986</v>
      </c>
    </row>
    <row r="1357" spans="1:14" x14ac:dyDescent="0.3">
      <c r="A1357" s="6" t="s">
        <v>7</v>
      </c>
      <c r="B1357" s="5">
        <v>45317.458333333336</v>
      </c>
      <c r="C1357" s="6">
        <v>538.471711344097</v>
      </c>
      <c r="D1357" s="6">
        <v>526.64071904632601</v>
      </c>
      <c r="E1357" s="6">
        <v>526.64071904632601</v>
      </c>
      <c r="F1357" s="6">
        <v>29.028361212915001</v>
      </c>
      <c r="G1357" s="6" t="str">
        <f t="shared" si="42"/>
        <v>OK</v>
      </c>
      <c r="H1357" s="6" t="str">
        <f t="shared" si="43"/>
        <v>NON-ZERO</v>
      </c>
      <c r="I1357">
        <v>579.55549577344095</v>
      </c>
      <c r="J1357">
        <f>IFERROR(Table4[[#This Row],[energy_kwh]]/Table4[[#This Row],[expected_kwh]],0)</f>
        <v>0.90869765343783349</v>
      </c>
      <c r="K1357" t="str">
        <f>IF(Table4[[#This Row],[Performance_Ratio]] &lt; 0.85, "Underperforming", "Performing")</f>
        <v>Performing</v>
      </c>
      <c r="L1357">
        <f>Table4[[#This Row],[energy_kwh]] - Table4[[#This Row],[expected_kwh]]</f>
        <v>-52.914776727114941</v>
      </c>
      <c r="M1357" t="str">
        <f>IF(Table4[[#This Row],[Performance_Deviation]] &lt; 0, "Underperforming", "Outperforming")</f>
        <v>Underperforming</v>
      </c>
      <c r="N1357">
        <f>IF(Table4[[#This Row],[Performance_Ratio]] &lt; 0.85, Table4[[#This Row],[Performance_Deviation]] * 50 / 1000, 0)</f>
        <v>0</v>
      </c>
    </row>
    <row r="1358" spans="1:14" x14ac:dyDescent="0.3">
      <c r="A1358" s="4" t="s">
        <v>7</v>
      </c>
      <c r="B1358" s="3">
        <v>45317.5</v>
      </c>
      <c r="C1358" s="4">
        <v>600.47219166759498</v>
      </c>
      <c r="D1358" s="4">
        <v>587.278960296327</v>
      </c>
      <c r="E1358" s="4">
        <v>587.278960296327</v>
      </c>
      <c r="F1358" s="4">
        <v>53.441496489485502</v>
      </c>
      <c r="G1358" s="4" t="str">
        <f t="shared" si="42"/>
        <v>OK</v>
      </c>
      <c r="H1358" s="4" t="str">
        <f t="shared" si="43"/>
        <v>NON-ZERO</v>
      </c>
      <c r="I1358">
        <v>600</v>
      </c>
      <c r="J1358">
        <f>IFERROR(Table4[[#This Row],[energy_kwh]]/Table4[[#This Row],[expected_kwh]],0)</f>
        <v>0.97879826716054497</v>
      </c>
      <c r="K1358" t="str">
        <f>IF(Table4[[#This Row],[Performance_Ratio]] &lt; 0.85, "Underperforming", "Performing")</f>
        <v>Performing</v>
      </c>
      <c r="L1358">
        <f>Table4[[#This Row],[energy_kwh]] - Table4[[#This Row],[expected_kwh]]</f>
        <v>-12.721039703673</v>
      </c>
      <c r="M1358" t="str">
        <f>IF(Table4[[#This Row],[Performance_Deviation]] &lt; 0, "Underperforming", "Outperforming")</f>
        <v>Underperforming</v>
      </c>
      <c r="N1358">
        <f>IF(Table4[[#This Row],[Performance_Ratio]] &lt; 0.85, Table4[[#This Row],[Performance_Deviation]] * 50 / 1000, 0)</f>
        <v>0</v>
      </c>
    </row>
    <row r="1359" spans="1:14" x14ac:dyDescent="0.3">
      <c r="A1359" s="6" t="s">
        <v>7</v>
      </c>
      <c r="B1359" s="5">
        <v>45317.541666666664</v>
      </c>
      <c r="C1359" s="6">
        <v>556.12234636827498</v>
      </c>
      <c r="D1359" s="6">
        <v>543.90354441844102</v>
      </c>
      <c r="E1359" s="6">
        <v>543.90354441844102</v>
      </c>
      <c r="F1359" s="6">
        <v>33.047277942750398</v>
      </c>
      <c r="G1359" s="6" t="str">
        <f t="shared" si="42"/>
        <v>OK</v>
      </c>
      <c r="H1359" s="6" t="str">
        <f t="shared" si="43"/>
        <v>NON-ZERO</v>
      </c>
      <c r="I1359">
        <v>579.55549577344095</v>
      </c>
      <c r="J1359">
        <f>IFERROR(Table4[[#This Row],[energy_kwh]]/Table4[[#This Row],[expected_kwh]],0)</f>
        <v>0.93848397329504929</v>
      </c>
      <c r="K1359" t="str">
        <f>IF(Table4[[#This Row],[Performance_Ratio]] &lt; 0.85, "Underperforming", "Performing")</f>
        <v>Performing</v>
      </c>
      <c r="L1359">
        <f>Table4[[#This Row],[energy_kwh]] - Table4[[#This Row],[expected_kwh]]</f>
        <v>-35.651951354999937</v>
      </c>
      <c r="M1359" t="str">
        <f>IF(Table4[[#This Row],[Performance_Deviation]] &lt; 0, "Underperforming", "Outperforming")</f>
        <v>Underperforming</v>
      </c>
      <c r="N1359">
        <f>IF(Table4[[#This Row],[Performance_Ratio]] &lt; 0.85, Table4[[#This Row],[Performance_Deviation]] * 50 / 1000, 0)</f>
        <v>0</v>
      </c>
    </row>
    <row r="1360" spans="1:14" x14ac:dyDescent="0.3">
      <c r="A1360" s="4" t="s">
        <v>7</v>
      </c>
      <c r="B1360" s="3">
        <v>45317.583333333336</v>
      </c>
      <c r="C1360" s="4">
        <v>543.25032380603398</v>
      </c>
      <c r="D1360" s="4">
        <v>531.31433856984097</v>
      </c>
      <c r="E1360" s="4">
        <v>531.31433856984097</v>
      </c>
      <c r="F1360" s="4">
        <v>60.109959971089403</v>
      </c>
      <c r="G1360" s="4" t="str">
        <f t="shared" si="42"/>
        <v>OK</v>
      </c>
      <c r="H1360" s="4" t="str">
        <f t="shared" si="43"/>
        <v>NON-ZERO</v>
      </c>
      <c r="I1360">
        <v>519.61524227066297</v>
      </c>
      <c r="J1360">
        <f>IFERROR(Table4[[#This Row],[energy_kwh]]/Table4[[#This Row],[expected_kwh]],0)</f>
        <v>1.0225149213253526</v>
      </c>
      <c r="K1360" t="str">
        <f>IF(Table4[[#This Row],[Performance_Ratio]] &lt; 0.85, "Underperforming", "Performing")</f>
        <v>Performing</v>
      </c>
      <c r="L1360">
        <f>Table4[[#This Row],[energy_kwh]] - Table4[[#This Row],[expected_kwh]]</f>
        <v>11.699096299177995</v>
      </c>
      <c r="M1360" t="str">
        <f>IF(Table4[[#This Row],[Performance_Deviation]] &lt; 0, "Underperforming", "Outperforming")</f>
        <v>Outperforming</v>
      </c>
      <c r="N1360">
        <f>IF(Table4[[#This Row],[Performance_Ratio]] &lt; 0.85, Table4[[#This Row],[Performance_Deviation]] * 50 / 1000, 0)</f>
        <v>0</v>
      </c>
    </row>
    <row r="1361" spans="1:14" x14ac:dyDescent="0.3">
      <c r="A1361" s="6" t="s">
        <v>7</v>
      </c>
      <c r="B1361" s="5">
        <v>45317.625</v>
      </c>
      <c r="C1361" s="6">
        <v>362.10249627935701</v>
      </c>
      <c r="D1361" s="6">
        <v>354.14658744657697</v>
      </c>
      <c r="E1361" s="6">
        <v>354.14658744657697</v>
      </c>
      <c r="F1361" s="6">
        <v>81.204256783574195</v>
      </c>
      <c r="G1361" s="6" t="str">
        <f t="shared" si="42"/>
        <v>OK</v>
      </c>
      <c r="H1361" s="6" t="str">
        <f t="shared" si="43"/>
        <v>NON-ZERO</v>
      </c>
      <c r="I1361">
        <v>424.26406871192802</v>
      </c>
      <c r="J1361">
        <f>IFERROR(Table4[[#This Row],[energy_kwh]]/Table4[[#This Row],[expected_kwh]],0)</f>
        <v>0.83473151172516502</v>
      </c>
      <c r="K1361" t="str">
        <f>IF(Table4[[#This Row],[Performance_Ratio]] &lt; 0.85, "Underperforming", "Performing")</f>
        <v>Underperforming</v>
      </c>
      <c r="L1361">
        <f>Table4[[#This Row],[energy_kwh]] - Table4[[#This Row],[expected_kwh]]</f>
        <v>-70.117481265351046</v>
      </c>
      <c r="M1361" t="str">
        <f>IF(Table4[[#This Row],[Performance_Deviation]] &lt; 0, "Underperforming", "Outperforming")</f>
        <v>Underperforming</v>
      </c>
      <c r="N1361">
        <f>IF(Table4[[#This Row],[Performance_Ratio]] &lt; 0.85, Table4[[#This Row],[Performance_Deviation]] * 50 / 1000, 0)</f>
        <v>-3.505874063267552</v>
      </c>
    </row>
    <row r="1362" spans="1:14" x14ac:dyDescent="0.3">
      <c r="A1362" s="4" t="s">
        <v>7</v>
      </c>
      <c r="B1362" s="3">
        <v>45317.666666666664</v>
      </c>
      <c r="C1362" s="4">
        <v>313.87046607837402</v>
      </c>
      <c r="D1362" s="4">
        <v>306.97428381208198</v>
      </c>
      <c r="E1362" s="4">
        <v>306.97428381208198</v>
      </c>
      <c r="F1362" s="4">
        <v>50.8206914262582</v>
      </c>
      <c r="G1362" s="4" t="str">
        <f t="shared" si="42"/>
        <v>OK</v>
      </c>
      <c r="H1362" s="4" t="str">
        <f t="shared" si="43"/>
        <v>NON-ZERO</v>
      </c>
      <c r="I1362">
        <v>300</v>
      </c>
      <c r="J1362">
        <f>IFERROR(Table4[[#This Row],[energy_kwh]]/Table4[[#This Row],[expected_kwh]],0)</f>
        <v>1.0232476127069399</v>
      </c>
      <c r="K1362" t="str">
        <f>IF(Table4[[#This Row],[Performance_Ratio]] &lt; 0.85, "Underperforming", "Performing")</f>
        <v>Performing</v>
      </c>
      <c r="L1362">
        <f>Table4[[#This Row],[energy_kwh]] - Table4[[#This Row],[expected_kwh]]</f>
        <v>6.9742838120819783</v>
      </c>
      <c r="M1362" t="str">
        <f>IF(Table4[[#This Row],[Performance_Deviation]] &lt; 0, "Underperforming", "Outperforming")</f>
        <v>Outperforming</v>
      </c>
      <c r="N1362">
        <f>IF(Table4[[#This Row],[Performance_Ratio]] &lt; 0.85, Table4[[#This Row],[Performance_Deviation]] * 50 / 1000, 0)</f>
        <v>0</v>
      </c>
    </row>
    <row r="1363" spans="1:14" x14ac:dyDescent="0.3">
      <c r="A1363" s="6" t="s">
        <v>7</v>
      </c>
      <c r="B1363" s="5">
        <v>45317.708333333336</v>
      </c>
      <c r="C1363" s="6">
        <v>144.101589049083</v>
      </c>
      <c r="D1363" s="6">
        <v>140.93547139755299</v>
      </c>
      <c r="E1363" s="6">
        <v>140.93547139755299</v>
      </c>
      <c r="F1363" s="6">
        <v>51.303720635035397</v>
      </c>
      <c r="G1363" s="6" t="str">
        <f t="shared" si="42"/>
        <v>OK</v>
      </c>
      <c r="H1363" s="6" t="str">
        <f t="shared" si="43"/>
        <v>NON-ZERO</v>
      </c>
      <c r="I1363">
        <v>155.291427061512</v>
      </c>
      <c r="J1363">
        <f>IFERROR(Table4[[#This Row],[energy_kwh]]/Table4[[#This Row],[expected_kwh]],0)</f>
        <v>0.90755474442080752</v>
      </c>
      <c r="K1363" t="str">
        <f>IF(Table4[[#This Row],[Performance_Ratio]] &lt; 0.85, "Underperforming", "Performing")</f>
        <v>Performing</v>
      </c>
      <c r="L1363">
        <f>Table4[[#This Row],[energy_kwh]] - Table4[[#This Row],[expected_kwh]]</f>
        <v>-14.355955663959008</v>
      </c>
      <c r="M1363" t="str">
        <f>IF(Table4[[#This Row],[Performance_Deviation]] &lt; 0, "Underperforming", "Outperforming")</f>
        <v>Underperforming</v>
      </c>
      <c r="N1363">
        <f>IF(Table4[[#This Row],[Performance_Ratio]] &lt; 0.85, Table4[[#This Row],[Performance_Deviation]] * 50 / 1000, 0)</f>
        <v>0</v>
      </c>
    </row>
    <row r="1364" spans="1:14" x14ac:dyDescent="0.3">
      <c r="A1364" s="4" t="s">
        <v>7</v>
      </c>
      <c r="B1364" s="3">
        <v>45317.75</v>
      </c>
      <c r="C1364" s="7">
        <v>6.6033306402807999E-14</v>
      </c>
      <c r="D1364" s="7">
        <v>6.4582460382507495E-14</v>
      </c>
      <c r="E1364" s="7">
        <v>6.4582460382507495E-14</v>
      </c>
      <c r="F1364" s="4">
        <v>57.953351930887699</v>
      </c>
      <c r="G1364" s="4" t="str">
        <f t="shared" si="42"/>
        <v>OK</v>
      </c>
      <c r="H1364" s="4" t="str">
        <f t="shared" si="43"/>
        <v>NON-ZERO</v>
      </c>
      <c r="I1364" s="2">
        <v>7.3478807948841102E-14</v>
      </c>
      <c r="J1364">
        <f>IFERROR(Table4[[#This Row],[energy_kwh]]/Table4[[#This Row],[expected_kwh]],0)</f>
        <v>0.87892634877082376</v>
      </c>
      <c r="K1364" t="str">
        <f>IF(Table4[[#This Row],[Performance_Ratio]] &lt; 0.85, "Underperforming", "Performing")</f>
        <v>Performing</v>
      </c>
      <c r="L1364">
        <f>Table4[[#This Row],[energy_kwh]] - Table4[[#This Row],[expected_kwh]]</f>
        <v>-8.8963475663336064E-15</v>
      </c>
      <c r="M1364" t="str">
        <f>IF(Table4[[#This Row],[Performance_Deviation]] &lt; 0, "Underperforming", "Outperforming")</f>
        <v>Underperforming</v>
      </c>
      <c r="N1364">
        <f>IF(Table4[[#This Row],[Performance_Ratio]] &lt; 0.85, Table4[[#This Row],[Performance_Deviation]] * 50 / 1000, 0)</f>
        <v>0</v>
      </c>
    </row>
    <row r="1365" spans="1:14" x14ac:dyDescent="0.3">
      <c r="A1365" s="6" t="s">
        <v>7</v>
      </c>
      <c r="B1365" s="5">
        <v>45317.791666666664</v>
      </c>
      <c r="C1365" s="6">
        <v>0</v>
      </c>
      <c r="D1365" s="6">
        <v>0</v>
      </c>
      <c r="E1365" s="6">
        <v>0</v>
      </c>
      <c r="F1365" s="6">
        <v>83.868605001292707</v>
      </c>
      <c r="G1365" s="6" t="str">
        <f t="shared" si="42"/>
        <v>OK</v>
      </c>
      <c r="H1365" s="6" t="str">
        <f t="shared" si="43"/>
        <v>ZERO</v>
      </c>
      <c r="I1365">
        <v>0</v>
      </c>
      <c r="J1365">
        <f>IFERROR(Table4[[#This Row],[energy_kwh]]/Table4[[#This Row],[expected_kwh]],0)</f>
        <v>0</v>
      </c>
      <c r="K1365" t="str">
        <f>IF(Table4[[#This Row],[Performance_Ratio]] &lt; 0.85, "Underperforming", "Performing")</f>
        <v>Underperforming</v>
      </c>
      <c r="L1365">
        <f>Table4[[#This Row],[energy_kwh]] - Table4[[#This Row],[expected_kwh]]</f>
        <v>0</v>
      </c>
      <c r="M1365" t="str">
        <f>IF(Table4[[#This Row],[Performance_Deviation]] &lt; 0, "Underperforming", "Outperforming")</f>
        <v>Outperforming</v>
      </c>
      <c r="N1365">
        <f>IF(Table4[[#This Row],[Performance_Ratio]] &lt; 0.85, Table4[[#This Row],[Performance_Deviation]] * 50 / 1000, 0)</f>
        <v>0</v>
      </c>
    </row>
    <row r="1366" spans="1:14" x14ac:dyDescent="0.3">
      <c r="A1366" s="4" t="s">
        <v>7</v>
      </c>
      <c r="B1366" s="3">
        <v>45317.833333333336</v>
      </c>
      <c r="C1366" s="4">
        <v>0</v>
      </c>
      <c r="D1366" s="4">
        <v>0</v>
      </c>
      <c r="E1366" s="4">
        <v>0</v>
      </c>
      <c r="F1366" s="4">
        <v>20.6464251943835</v>
      </c>
      <c r="G1366" s="4" t="str">
        <f t="shared" si="42"/>
        <v>OK</v>
      </c>
      <c r="H1366" s="4" t="str">
        <f t="shared" si="43"/>
        <v>ZERO</v>
      </c>
      <c r="I1366">
        <v>0</v>
      </c>
      <c r="J1366">
        <f>IFERROR(Table4[[#This Row],[energy_kwh]]/Table4[[#This Row],[expected_kwh]],0)</f>
        <v>0</v>
      </c>
      <c r="K1366" t="str">
        <f>IF(Table4[[#This Row],[Performance_Ratio]] &lt; 0.85, "Underperforming", "Performing")</f>
        <v>Underperforming</v>
      </c>
      <c r="L1366">
        <f>Table4[[#This Row],[energy_kwh]] - Table4[[#This Row],[expected_kwh]]</f>
        <v>0</v>
      </c>
      <c r="M1366" t="str">
        <f>IF(Table4[[#This Row],[Performance_Deviation]] &lt; 0, "Underperforming", "Outperforming")</f>
        <v>Outperforming</v>
      </c>
      <c r="N1366">
        <f>IF(Table4[[#This Row],[Performance_Ratio]] &lt; 0.85, Table4[[#This Row],[Performance_Deviation]] * 50 / 1000, 0)</f>
        <v>0</v>
      </c>
    </row>
    <row r="1367" spans="1:14" x14ac:dyDescent="0.3">
      <c r="A1367" s="6" t="s">
        <v>7</v>
      </c>
      <c r="B1367" s="5">
        <v>45317.875</v>
      </c>
      <c r="C1367" s="6">
        <v>0</v>
      </c>
      <c r="D1367" s="6">
        <v>0</v>
      </c>
      <c r="E1367" s="6">
        <v>0</v>
      </c>
      <c r="F1367" s="6">
        <v>54.1546178935955</v>
      </c>
      <c r="G1367" s="6" t="str">
        <f t="shared" si="42"/>
        <v>OK</v>
      </c>
      <c r="H1367" s="6" t="str">
        <f t="shared" si="43"/>
        <v>ZERO</v>
      </c>
      <c r="I1367">
        <v>0</v>
      </c>
      <c r="J1367">
        <f>IFERROR(Table4[[#This Row],[energy_kwh]]/Table4[[#This Row],[expected_kwh]],0)</f>
        <v>0</v>
      </c>
      <c r="K1367" t="str">
        <f>IF(Table4[[#This Row],[Performance_Ratio]] &lt; 0.85, "Underperforming", "Performing")</f>
        <v>Underperforming</v>
      </c>
      <c r="L1367">
        <f>Table4[[#This Row],[energy_kwh]] - Table4[[#This Row],[expected_kwh]]</f>
        <v>0</v>
      </c>
      <c r="M1367" t="str">
        <f>IF(Table4[[#This Row],[Performance_Deviation]] &lt; 0, "Underperforming", "Outperforming")</f>
        <v>Outperforming</v>
      </c>
      <c r="N1367">
        <f>IF(Table4[[#This Row],[Performance_Ratio]] &lt; 0.85, Table4[[#This Row],[Performance_Deviation]] * 50 / 1000, 0)</f>
        <v>0</v>
      </c>
    </row>
    <row r="1368" spans="1:14" x14ac:dyDescent="0.3">
      <c r="A1368" s="4" t="s">
        <v>7</v>
      </c>
      <c r="B1368" s="3">
        <v>45317.916666666664</v>
      </c>
      <c r="C1368" s="4">
        <v>0</v>
      </c>
      <c r="D1368" s="4">
        <v>0</v>
      </c>
      <c r="E1368" s="4">
        <v>0</v>
      </c>
      <c r="F1368" s="4">
        <v>53.2020276475576</v>
      </c>
      <c r="G1368" s="4" t="str">
        <f t="shared" si="42"/>
        <v>OK</v>
      </c>
      <c r="H1368" s="4" t="str">
        <f t="shared" si="43"/>
        <v>ZERO</v>
      </c>
      <c r="I1368">
        <v>0</v>
      </c>
      <c r="J1368">
        <f>IFERROR(Table4[[#This Row],[energy_kwh]]/Table4[[#This Row],[expected_kwh]],0)</f>
        <v>0</v>
      </c>
      <c r="K1368" t="str">
        <f>IF(Table4[[#This Row],[Performance_Ratio]] &lt; 0.85, "Underperforming", "Performing")</f>
        <v>Underperforming</v>
      </c>
      <c r="L1368">
        <f>Table4[[#This Row],[energy_kwh]] - Table4[[#This Row],[expected_kwh]]</f>
        <v>0</v>
      </c>
      <c r="M1368" t="str">
        <f>IF(Table4[[#This Row],[Performance_Deviation]] &lt; 0, "Underperforming", "Outperforming")</f>
        <v>Outperforming</v>
      </c>
      <c r="N1368">
        <f>IF(Table4[[#This Row],[Performance_Ratio]] &lt; 0.85, Table4[[#This Row],[Performance_Deviation]] * 50 / 1000, 0)</f>
        <v>0</v>
      </c>
    </row>
    <row r="1369" spans="1:14" x14ac:dyDescent="0.3">
      <c r="A1369" s="6" t="s">
        <v>7</v>
      </c>
      <c r="B1369" s="5">
        <v>45317.958333333336</v>
      </c>
      <c r="C1369" s="6">
        <v>0</v>
      </c>
      <c r="D1369" s="6">
        <v>0</v>
      </c>
      <c r="E1369" s="6">
        <v>0</v>
      </c>
      <c r="F1369" s="6">
        <v>80.985650336129396</v>
      </c>
      <c r="G1369" s="6" t="str">
        <f t="shared" si="42"/>
        <v>OK</v>
      </c>
      <c r="H1369" s="6" t="str">
        <f t="shared" si="43"/>
        <v>ZERO</v>
      </c>
      <c r="I1369">
        <v>0</v>
      </c>
      <c r="J1369">
        <f>IFERROR(Table4[[#This Row],[energy_kwh]]/Table4[[#This Row],[expected_kwh]],0)</f>
        <v>0</v>
      </c>
      <c r="K1369" t="str">
        <f>IF(Table4[[#This Row],[Performance_Ratio]] &lt; 0.85, "Underperforming", "Performing")</f>
        <v>Underperforming</v>
      </c>
      <c r="L1369">
        <f>Table4[[#This Row],[energy_kwh]] - Table4[[#This Row],[expected_kwh]]</f>
        <v>0</v>
      </c>
      <c r="M1369" t="str">
        <f>IF(Table4[[#This Row],[Performance_Deviation]] &lt; 0, "Underperforming", "Outperforming")</f>
        <v>Outperforming</v>
      </c>
      <c r="N1369">
        <f>IF(Table4[[#This Row],[Performance_Ratio]] &lt; 0.85, Table4[[#This Row],[Performance_Deviation]] * 50 / 1000, 0)</f>
        <v>0</v>
      </c>
    </row>
    <row r="1370" spans="1:14" x14ac:dyDescent="0.3">
      <c r="A1370" s="4" t="s">
        <v>7</v>
      </c>
      <c r="B1370" s="3">
        <v>45318</v>
      </c>
      <c r="C1370" s="4">
        <v>0</v>
      </c>
      <c r="D1370" s="4">
        <v>0</v>
      </c>
      <c r="E1370" s="4">
        <v>0</v>
      </c>
      <c r="F1370" s="4">
        <v>82.245469490933203</v>
      </c>
      <c r="G1370" s="4" t="str">
        <f t="shared" si="42"/>
        <v>OK</v>
      </c>
      <c r="H1370" s="4" t="str">
        <f t="shared" si="43"/>
        <v>ZERO</v>
      </c>
      <c r="I1370">
        <v>0</v>
      </c>
      <c r="J1370">
        <f>IFERROR(Table4[[#This Row],[energy_kwh]]/Table4[[#This Row],[expected_kwh]],0)</f>
        <v>0</v>
      </c>
      <c r="K1370" t="str">
        <f>IF(Table4[[#This Row],[Performance_Ratio]] &lt; 0.85, "Underperforming", "Performing")</f>
        <v>Underperforming</v>
      </c>
      <c r="L1370">
        <f>Table4[[#This Row],[energy_kwh]] - Table4[[#This Row],[expected_kwh]]</f>
        <v>0</v>
      </c>
      <c r="M1370" t="str">
        <f>IF(Table4[[#This Row],[Performance_Deviation]] &lt; 0, "Underperforming", "Outperforming")</f>
        <v>Outperforming</v>
      </c>
      <c r="N1370">
        <f>IF(Table4[[#This Row],[Performance_Ratio]] &lt; 0.85, Table4[[#This Row],[Performance_Deviation]] * 50 / 1000, 0)</f>
        <v>0</v>
      </c>
    </row>
    <row r="1371" spans="1:14" x14ac:dyDescent="0.3">
      <c r="A1371" s="6" t="s">
        <v>7</v>
      </c>
      <c r="B1371" s="5">
        <v>45318.041666666664</v>
      </c>
      <c r="C1371" s="6">
        <v>0</v>
      </c>
      <c r="D1371" s="6">
        <v>0</v>
      </c>
      <c r="E1371" s="6">
        <v>0</v>
      </c>
      <c r="F1371" s="6">
        <v>85.025870518294994</v>
      </c>
      <c r="G1371" s="6" t="str">
        <f t="shared" si="42"/>
        <v>OK</v>
      </c>
      <c r="H1371" s="6" t="str">
        <f t="shared" si="43"/>
        <v>ZERO</v>
      </c>
      <c r="I1371">
        <v>0</v>
      </c>
      <c r="J1371">
        <f>IFERROR(Table4[[#This Row],[energy_kwh]]/Table4[[#This Row],[expected_kwh]],0)</f>
        <v>0</v>
      </c>
      <c r="K1371" t="str">
        <f>IF(Table4[[#This Row],[Performance_Ratio]] &lt; 0.85, "Underperforming", "Performing")</f>
        <v>Underperforming</v>
      </c>
      <c r="L1371">
        <f>Table4[[#This Row],[energy_kwh]] - Table4[[#This Row],[expected_kwh]]</f>
        <v>0</v>
      </c>
      <c r="M1371" t="str">
        <f>IF(Table4[[#This Row],[Performance_Deviation]] &lt; 0, "Underperforming", "Outperforming")</f>
        <v>Outperforming</v>
      </c>
      <c r="N1371">
        <f>IF(Table4[[#This Row],[Performance_Ratio]] &lt; 0.85, Table4[[#This Row],[Performance_Deviation]] * 50 / 1000, 0)</f>
        <v>0</v>
      </c>
    </row>
    <row r="1372" spans="1:14" x14ac:dyDescent="0.3">
      <c r="A1372" s="4" t="s">
        <v>7</v>
      </c>
      <c r="B1372" s="3">
        <v>45318.083333333336</v>
      </c>
      <c r="C1372" s="4">
        <v>0</v>
      </c>
      <c r="D1372" s="4">
        <v>0</v>
      </c>
      <c r="E1372" s="4">
        <v>0</v>
      </c>
      <c r="F1372" s="4">
        <v>67.0101972548633</v>
      </c>
      <c r="G1372" s="4" t="str">
        <f t="shared" si="42"/>
        <v>OK</v>
      </c>
      <c r="H1372" s="4" t="str">
        <f t="shared" si="43"/>
        <v>ZERO</v>
      </c>
      <c r="I1372">
        <v>0</v>
      </c>
      <c r="J1372">
        <f>IFERROR(Table4[[#This Row],[energy_kwh]]/Table4[[#This Row],[expected_kwh]],0)</f>
        <v>0</v>
      </c>
      <c r="K1372" t="str">
        <f>IF(Table4[[#This Row],[Performance_Ratio]] &lt; 0.85, "Underperforming", "Performing")</f>
        <v>Underperforming</v>
      </c>
      <c r="L1372">
        <f>Table4[[#This Row],[energy_kwh]] - Table4[[#This Row],[expected_kwh]]</f>
        <v>0</v>
      </c>
      <c r="M1372" t="str">
        <f>IF(Table4[[#This Row],[Performance_Deviation]] &lt; 0, "Underperforming", "Outperforming")</f>
        <v>Outperforming</v>
      </c>
      <c r="N1372">
        <f>IF(Table4[[#This Row],[Performance_Ratio]] &lt; 0.85, Table4[[#This Row],[Performance_Deviation]] * 50 / 1000, 0)</f>
        <v>0</v>
      </c>
    </row>
    <row r="1373" spans="1:14" x14ac:dyDescent="0.3">
      <c r="A1373" s="6" t="s">
        <v>7</v>
      </c>
      <c r="B1373" s="5">
        <v>45318.125</v>
      </c>
      <c r="C1373" s="6">
        <v>0</v>
      </c>
      <c r="D1373" s="6">
        <v>0</v>
      </c>
      <c r="E1373" s="6">
        <v>0</v>
      </c>
      <c r="F1373" s="6">
        <v>56.0137636446415</v>
      </c>
      <c r="G1373" s="6" t="str">
        <f t="shared" si="42"/>
        <v>OK</v>
      </c>
      <c r="H1373" s="6" t="str">
        <f t="shared" si="43"/>
        <v>ZERO</v>
      </c>
      <c r="I1373">
        <v>0</v>
      </c>
      <c r="J1373">
        <f>IFERROR(Table4[[#This Row],[energy_kwh]]/Table4[[#This Row],[expected_kwh]],0)</f>
        <v>0</v>
      </c>
      <c r="K1373" t="str">
        <f>IF(Table4[[#This Row],[Performance_Ratio]] &lt; 0.85, "Underperforming", "Performing")</f>
        <v>Underperforming</v>
      </c>
      <c r="L1373">
        <f>Table4[[#This Row],[energy_kwh]] - Table4[[#This Row],[expected_kwh]]</f>
        <v>0</v>
      </c>
      <c r="M1373" t="str">
        <f>IF(Table4[[#This Row],[Performance_Deviation]] &lt; 0, "Underperforming", "Outperforming")</f>
        <v>Outperforming</v>
      </c>
      <c r="N1373">
        <f>IF(Table4[[#This Row],[Performance_Ratio]] &lt; 0.85, Table4[[#This Row],[Performance_Deviation]] * 50 / 1000, 0)</f>
        <v>0</v>
      </c>
    </row>
    <row r="1374" spans="1:14" x14ac:dyDescent="0.3">
      <c r="A1374" s="4" t="s">
        <v>7</v>
      </c>
      <c r="B1374" s="3">
        <v>45318.166666666664</v>
      </c>
      <c r="C1374" s="4">
        <v>0</v>
      </c>
      <c r="D1374" s="4">
        <v>0</v>
      </c>
      <c r="E1374" s="4">
        <v>0</v>
      </c>
      <c r="F1374" s="4">
        <v>53.834755234838099</v>
      </c>
      <c r="G1374" s="4" t="str">
        <f t="shared" si="42"/>
        <v>OK</v>
      </c>
      <c r="H1374" s="4" t="str">
        <f t="shared" si="43"/>
        <v>ZERO</v>
      </c>
      <c r="I1374">
        <v>0</v>
      </c>
      <c r="J1374">
        <f>IFERROR(Table4[[#This Row],[energy_kwh]]/Table4[[#This Row],[expected_kwh]],0)</f>
        <v>0</v>
      </c>
      <c r="K1374" t="str">
        <f>IF(Table4[[#This Row],[Performance_Ratio]] &lt; 0.85, "Underperforming", "Performing")</f>
        <v>Underperforming</v>
      </c>
      <c r="L1374">
        <f>Table4[[#This Row],[energy_kwh]] - Table4[[#This Row],[expected_kwh]]</f>
        <v>0</v>
      </c>
      <c r="M1374" t="str">
        <f>IF(Table4[[#This Row],[Performance_Deviation]] &lt; 0, "Underperforming", "Outperforming")</f>
        <v>Outperforming</v>
      </c>
      <c r="N1374">
        <f>IF(Table4[[#This Row],[Performance_Ratio]] &lt; 0.85, Table4[[#This Row],[Performance_Deviation]] * 50 / 1000, 0)</f>
        <v>0</v>
      </c>
    </row>
    <row r="1375" spans="1:14" x14ac:dyDescent="0.3">
      <c r="A1375" s="6" t="s">
        <v>7</v>
      </c>
      <c r="B1375" s="5">
        <v>45318.208333333336</v>
      </c>
      <c r="C1375" s="6">
        <v>0</v>
      </c>
      <c r="D1375" s="6">
        <v>0</v>
      </c>
      <c r="E1375" s="6">
        <v>0</v>
      </c>
      <c r="F1375" s="6">
        <v>56.927528652593601</v>
      </c>
      <c r="G1375" s="6" t="str">
        <f t="shared" si="42"/>
        <v>OK</v>
      </c>
      <c r="H1375" s="6" t="str">
        <f t="shared" si="43"/>
        <v>ZERO</v>
      </c>
      <c r="I1375">
        <v>0</v>
      </c>
      <c r="J1375">
        <f>IFERROR(Table4[[#This Row],[energy_kwh]]/Table4[[#This Row],[expected_kwh]],0)</f>
        <v>0</v>
      </c>
      <c r="K1375" t="str">
        <f>IF(Table4[[#This Row],[Performance_Ratio]] &lt; 0.85, "Underperforming", "Performing")</f>
        <v>Underperforming</v>
      </c>
      <c r="L1375">
        <f>Table4[[#This Row],[energy_kwh]] - Table4[[#This Row],[expected_kwh]]</f>
        <v>0</v>
      </c>
      <c r="M1375" t="str">
        <f>IF(Table4[[#This Row],[Performance_Deviation]] &lt; 0, "Underperforming", "Outperforming")</f>
        <v>Outperforming</v>
      </c>
      <c r="N1375">
        <f>IF(Table4[[#This Row],[Performance_Ratio]] &lt; 0.85, Table4[[#This Row],[Performance_Deviation]] * 50 / 1000, 0)</f>
        <v>0</v>
      </c>
    </row>
    <row r="1376" spans="1:14" x14ac:dyDescent="0.3">
      <c r="A1376" s="4" t="s">
        <v>7</v>
      </c>
      <c r="B1376" s="3">
        <v>45318.25</v>
      </c>
      <c r="C1376" s="4">
        <v>0</v>
      </c>
      <c r="D1376" s="4">
        <v>0</v>
      </c>
      <c r="E1376" s="4">
        <v>0</v>
      </c>
      <c r="F1376" s="4">
        <v>45.155511012226</v>
      </c>
      <c r="G1376" s="4" t="str">
        <f t="shared" si="42"/>
        <v>OK</v>
      </c>
      <c r="H1376" s="4" t="str">
        <f t="shared" si="43"/>
        <v>ZERO</v>
      </c>
      <c r="I1376">
        <v>0</v>
      </c>
      <c r="J1376">
        <f>IFERROR(Table4[[#This Row],[energy_kwh]]/Table4[[#This Row],[expected_kwh]],0)</f>
        <v>0</v>
      </c>
      <c r="K1376" t="str">
        <f>IF(Table4[[#This Row],[Performance_Ratio]] &lt; 0.85, "Underperforming", "Performing")</f>
        <v>Underperforming</v>
      </c>
      <c r="L1376">
        <f>Table4[[#This Row],[energy_kwh]] - Table4[[#This Row],[expected_kwh]]</f>
        <v>0</v>
      </c>
      <c r="M1376" t="str">
        <f>IF(Table4[[#This Row],[Performance_Deviation]] &lt; 0, "Underperforming", "Outperforming")</f>
        <v>Outperforming</v>
      </c>
      <c r="N1376">
        <f>IF(Table4[[#This Row],[Performance_Ratio]] &lt; 0.85, Table4[[#This Row],[Performance_Deviation]] * 50 / 1000, 0)</f>
        <v>0</v>
      </c>
    </row>
    <row r="1377" spans="1:14" x14ac:dyDescent="0.3">
      <c r="A1377" s="6" t="s">
        <v>7</v>
      </c>
      <c r="B1377" s="5">
        <v>45318.291666666664</v>
      </c>
      <c r="C1377" s="6">
        <v>132.58688894044801</v>
      </c>
      <c r="D1377" s="6">
        <v>129.673765690344</v>
      </c>
      <c r="E1377" s="6">
        <v>129.673765690344</v>
      </c>
      <c r="F1377" s="6">
        <v>67.365828400712005</v>
      </c>
      <c r="G1377" s="6" t="str">
        <f t="shared" si="42"/>
        <v>OK</v>
      </c>
      <c r="H1377" s="6" t="str">
        <f t="shared" si="43"/>
        <v>NON-ZERO</v>
      </c>
      <c r="I1377">
        <v>155.291427061512</v>
      </c>
      <c r="J1377">
        <f>IFERROR(Table4[[#This Row],[energy_kwh]]/Table4[[#This Row],[expected_kwh]],0)</f>
        <v>0.83503492848307292</v>
      </c>
      <c r="K1377" t="str">
        <f>IF(Table4[[#This Row],[Performance_Ratio]] &lt; 0.85, "Underperforming", "Performing")</f>
        <v>Underperforming</v>
      </c>
      <c r="L1377">
        <f>Table4[[#This Row],[energy_kwh]] - Table4[[#This Row],[expected_kwh]]</f>
        <v>-25.617661371167998</v>
      </c>
      <c r="M1377" t="str">
        <f>IF(Table4[[#This Row],[Performance_Deviation]] &lt; 0, "Underperforming", "Outperforming")</f>
        <v>Underperforming</v>
      </c>
      <c r="N1377">
        <f>IF(Table4[[#This Row],[Performance_Ratio]] &lt; 0.85, Table4[[#This Row],[Performance_Deviation]] * 50 / 1000, 0)</f>
        <v>-1.2808830685583998</v>
      </c>
    </row>
    <row r="1378" spans="1:14" x14ac:dyDescent="0.3">
      <c r="A1378" s="4" t="s">
        <v>7</v>
      </c>
      <c r="B1378" s="3">
        <v>45318.333333333336</v>
      </c>
      <c r="C1378" s="4">
        <v>262.425742817757</v>
      </c>
      <c r="D1378" s="4">
        <v>256.65987457137601</v>
      </c>
      <c r="E1378" s="4">
        <v>256.65987457137601</v>
      </c>
      <c r="F1378" s="4">
        <v>66.721553313753603</v>
      </c>
      <c r="G1378" s="4" t="str">
        <f t="shared" si="42"/>
        <v>OK</v>
      </c>
      <c r="H1378" s="4" t="str">
        <f t="shared" si="43"/>
        <v>NON-ZERO</v>
      </c>
      <c r="I1378">
        <v>300</v>
      </c>
      <c r="J1378">
        <f>IFERROR(Table4[[#This Row],[energy_kwh]]/Table4[[#This Row],[expected_kwh]],0)</f>
        <v>0.85553291523792008</v>
      </c>
      <c r="K1378" t="str">
        <f>IF(Table4[[#This Row],[Performance_Ratio]] &lt; 0.85, "Underperforming", "Performing")</f>
        <v>Performing</v>
      </c>
      <c r="L1378">
        <f>Table4[[#This Row],[energy_kwh]] - Table4[[#This Row],[expected_kwh]]</f>
        <v>-43.340125428623992</v>
      </c>
      <c r="M1378" t="str">
        <f>IF(Table4[[#This Row],[Performance_Deviation]] &lt; 0, "Underperforming", "Outperforming")</f>
        <v>Underperforming</v>
      </c>
      <c r="N1378">
        <f>IF(Table4[[#This Row],[Performance_Ratio]] &lt; 0.85, Table4[[#This Row],[Performance_Deviation]] * 50 / 1000, 0)</f>
        <v>0</v>
      </c>
    </row>
    <row r="1379" spans="1:14" x14ac:dyDescent="0.3">
      <c r="A1379" s="6" t="s">
        <v>7</v>
      </c>
      <c r="B1379" s="5">
        <v>45318.375</v>
      </c>
      <c r="C1379" s="6">
        <v>406.74971658435101</v>
      </c>
      <c r="D1379" s="6">
        <v>397.81284457668602</v>
      </c>
      <c r="E1379" s="6">
        <v>397.81284457668602</v>
      </c>
      <c r="F1379" s="6">
        <v>36.535286074952701</v>
      </c>
      <c r="G1379" s="6" t="str">
        <f t="shared" si="42"/>
        <v>OK</v>
      </c>
      <c r="H1379" s="6" t="str">
        <f t="shared" si="43"/>
        <v>NON-ZERO</v>
      </c>
      <c r="I1379">
        <v>424.26406871192802</v>
      </c>
      <c r="J1379">
        <f>IFERROR(Table4[[#This Row],[energy_kwh]]/Table4[[#This Row],[expected_kwh]],0)</f>
        <v>0.93765386681095031</v>
      </c>
      <c r="K1379" t="str">
        <f>IF(Table4[[#This Row],[Performance_Ratio]] &lt; 0.85, "Underperforming", "Performing")</f>
        <v>Performing</v>
      </c>
      <c r="L1379">
        <f>Table4[[#This Row],[energy_kwh]] - Table4[[#This Row],[expected_kwh]]</f>
        <v>-26.451224135242001</v>
      </c>
      <c r="M1379" t="str">
        <f>IF(Table4[[#This Row],[Performance_Deviation]] &lt; 0, "Underperforming", "Outperforming")</f>
        <v>Underperforming</v>
      </c>
      <c r="N1379">
        <f>IF(Table4[[#This Row],[Performance_Ratio]] &lt; 0.85, Table4[[#This Row],[Performance_Deviation]] * 50 / 1000, 0)</f>
        <v>0</v>
      </c>
    </row>
    <row r="1380" spans="1:14" x14ac:dyDescent="0.3">
      <c r="A1380" s="4" t="s">
        <v>7</v>
      </c>
      <c r="B1380" s="3">
        <v>45318.416666666664</v>
      </c>
      <c r="C1380" s="4">
        <v>481.86854148536997</v>
      </c>
      <c r="D1380" s="4">
        <v>471.28120164420801</v>
      </c>
      <c r="E1380" s="4">
        <v>471.28120164420801</v>
      </c>
      <c r="F1380" s="4">
        <v>51.4192718594689</v>
      </c>
      <c r="G1380" s="4" t="str">
        <f t="shared" si="42"/>
        <v>OK</v>
      </c>
      <c r="H1380" s="4" t="str">
        <f t="shared" si="43"/>
        <v>NON-ZERO</v>
      </c>
      <c r="I1380">
        <v>519.61524227066297</v>
      </c>
      <c r="J1380">
        <f>IFERROR(Table4[[#This Row],[energy_kwh]]/Table4[[#This Row],[expected_kwh]],0)</f>
        <v>0.90698109544431305</v>
      </c>
      <c r="K1380" t="str">
        <f>IF(Table4[[#This Row],[Performance_Ratio]] &lt; 0.85, "Underperforming", "Performing")</f>
        <v>Performing</v>
      </c>
      <c r="L1380">
        <f>Table4[[#This Row],[energy_kwh]] - Table4[[#This Row],[expected_kwh]]</f>
        <v>-48.334040626454964</v>
      </c>
      <c r="M1380" t="str">
        <f>IF(Table4[[#This Row],[Performance_Deviation]] &lt; 0, "Underperforming", "Outperforming")</f>
        <v>Underperforming</v>
      </c>
      <c r="N1380">
        <f>IF(Table4[[#This Row],[Performance_Ratio]] &lt; 0.85, Table4[[#This Row],[Performance_Deviation]] * 50 / 1000, 0)</f>
        <v>0</v>
      </c>
    </row>
    <row r="1381" spans="1:14" x14ac:dyDescent="0.3">
      <c r="A1381" s="6" t="s">
        <v>7</v>
      </c>
      <c r="B1381" s="5">
        <v>45318.458333333336</v>
      </c>
      <c r="C1381" s="6">
        <v>503.582190546905</v>
      </c>
      <c r="D1381" s="6">
        <v>492.51777083433802</v>
      </c>
      <c r="E1381" s="6">
        <v>492.51777083433802</v>
      </c>
      <c r="F1381" s="6">
        <v>93.843192228208395</v>
      </c>
      <c r="G1381" s="6" t="str">
        <f t="shared" si="42"/>
        <v>OK</v>
      </c>
      <c r="H1381" s="6" t="str">
        <f t="shared" si="43"/>
        <v>NON-ZERO</v>
      </c>
      <c r="I1381">
        <v>579.55549577344095</v>
      </c>
      <c r="J1381">
        <f>IFERROR(Table4[[#This Row],[energy_kwh]]/Table4[[#This Row],[expected_kwh]],0)</f>
        <v>0.84981986095577011</v>
      </c>
      <c r="K1381" t="str">
        <f>IF(Table4[[#This Row],[Performance_Ratio]] &lt; 0.85, "Underperforming", "Performing")</f>
        <v>Underperforming</v>
      </c>
      <c r="L1381">
        <f>Table4[[#This Row],[energy_kwh]] - Table4[[#This Row],[expected_kwh]]</f>
        <v>-87.03772493910293</v>
      </c>
      <c r="M1381" t="str">
        <f>IF(Table4[[#This Row],[Performance_Deviation]] &lt; 0, "Underperforming", "Outperforming")</f>
        <v>Underperforming</v>
      </c>
      <c r="N1381">
        <f>IF(Table4[[#This Row],[Performance_Ratio]] &lt; 0.85, Table4[[#This Row],[Performance_Deviation]] * 50 / 1000, 0)</f>
        <v>-4.3518862469551465</v>
      </c>
    </row>
    <row r="1382" spans="1:14" x14ac:dyDescent="0.3">
      <c r="A1382" s="4" t="s">
        <v>7</v>
      </c>
      <c r="B1382" s="3">
        <v>45318.5</v>
      </c>
      <c r="C1382" s="4">
        <v>518.13648002589798</v>
      </c>
      <c r="D1382" s="4">
        <v>506.75228179368401</v>
      </c>
      <c r="E1382" s="4">
        <v>506.75228179368401</v>
      </c>
      <c r="F1382" s="4">
        <v>92.437750160568697</v>
      </c>
      <c r="G1382" s="4" t="str">
        <f t="shared" si="42"/>
        <v>OK</v>
      </c>
      <c r="H1382" s="4" t="str">
        <f t="shared" si="43"/>
        <v>NON-ZERO</v>
      </c>
      <c r="I1382">
        <v>600</v>
      </c>
      <c r="J1382">
        <f>IFERROR(Table4[[#This Row],[energy_kwh]]/Table4[[#This Row],[expected_kwh]],0)</f>
        <v>0.84458713632280669</v>
      </c>
      <c r="K1382" t="str">
        <f>IF(Table4[[#This Row],[Performance_Ratio]] &lt; 0.85, "Underperforming", "Performing")</f>
        <v>Underperforming</v>
      </c>
      <c r="L1382">
        <f>Table4[[#This Row],[energy_kwh]] - Table4[[#This Row],[expected_kwh]]</f>
        <v>-93.247718206315994</v>
      </c>
      <c r="M1382" t="str">
        <f>IF(Table4[[#This Row],[Performance_Deviation]] &lt; 0, "Underperforming", "Outperforming")</f>
        <v>Underperforming</v>
      </c>
      <c r="N1382">
        <f>IF(Table4[[#This Row],[Performance_Ratio]] &lt; 0.85, Table4[[#This Row],[Performance_Deviation]] * 50 / 1000, 0)</f>
        <v>-4.6623859103157992</v>
      </c>
    </row>
    <row r="1383" spans="1:14" x14ac:dyDescent="0.3">
      <c r="A1383" s="6" t="s">
        <v>7</v>
      </c>
      <c r="B1383" s="5">
        <v>45318.541666666664</v>
      </c>
      <c r="C1383" s="6">
        <v>589.42464797867297</v>
      </c>
      <c r="D1383" s="6">
        <v>576.47414691531105</v>
      </c>
      <c r="E1383" s="6">
        <v>576.47414691531105</v>
      </c>
      <c r="F1383" s="6">
        <v>38.409084690419697</v>
      </c>
      <c r="G1383" s="6" t="str">
        <f t="shared" si="42"/>
        <v>OK</v>
      </c>
      <c r="H1383" s="6" t="str">
        <f t="shared" si="43"/>
        <v>NON-ZERO</v>
      </c>
      <c r="I1383">
        <v>579.55549577344095</v>
      </c>
      <c r="J1383">
        <f>IFERROR(Table4[[#This Row],[energy_kwh]]/Table4[[#This Row],[expected_kwh]],0)</f>
        <v>0.99468325487274056</v>
      </c>
      <c r="K1383" t="str">
        <f>IF(Table4[[#This Row],[Performance_Ratio]] &lt; 0.85, "Underperforming", "Performing")</f>
        <v>Performing</v>
      </c>
      <c r="L1383">
        <f>Table4[[#This Row],[energy_kwh]] - Table4[[#This Row],[expected_kwh]]</f>
        <v>-3.0813488581298998</v>
      </c>
      <c r="M1383" t="str">
        <f>IF(Table4[[#This Row],[Performance_Deviation]] &lt; 0, "Underperforming", "Outperforming")</f>
        <v>Underperforming</v>
      </c>
      <c r="N1383">
        <f>IF(Table4[[#This Row],[Performance_Ratio]] &lt; 0.85, Table4[[#This Row],[Performance_Deviation]] * 50 / 1000, 0)</f>
        <v>0</v>
      </c>
    </row>
    <row r="1384" spans="1:14" x14ac:dyDescent="0.3">
      <c r="A1384" s="4" t="s">
        <v>7</v>
      </c>
      <c r="B1384" s="3">
        <v>45318.583333333336</v>
      </c>
      <c r="C1384" s="4">
        <v>527.50761152910798</v>
      </c>
      <c r="D1384" s="4">
        <v>515.91751615819499</v>
      </c>
      <c r="E1384" s="4">
        <v>515.91751615819499</v>
      </c>
      <c r="F1384" s="4">
        <v>86.935182046400797</v>
      </c>
      <c r="G1384" s="4" t="str">
        <f t="shared" si="42"/>
        <v>OK</v>
      </c>
      <c r="H1384" s="4" t="str">
        <f t="shared" si="43"/>
        <v>NON-ZERO</v>
      </c>
      <c r="I1384">
        <v>519.61524227066297</v>
      </c>
      <c r="J1384">
        <f>IFERROR(Table4[[#This Row],[energy_kwh]]/Table4[[#This Row],[expected_kwh]],0)</f>
        <v>0.99288372277859027</v>
      </c>
      <c r="K1384" t="str">
        <f>IF(Table4[[#This Row],[Performance_Ratio]] &lt; 0.85, "Underperforming", "Performing")</f>
        <v>Performing</v>
      </c>
      <c r="L1384">
        <f>Table4[[#This Row],[energy_kwh]] - Table4[[#This Row],[expected_kwh]]</f>
        <v>-3.6977261124679899</v>
      </c>
      <c r="M1384" t="str">
        <f>IF(Table4[[#This Row],[Performance_Deviation]] &lt; 0, "Underperforming", "Outperforming")</f>
        <v>Underperforming</v>
      </c>
      <c r="N1384">
        <f>IF(Table4[[#This Row],[Performance_Ratio]] &lt; 0.85, Table4[[#This Row],[Performance_Deviation]] * 50 / 1000, 0)</f>
        <v>0</v>
      </c>
    </row>
    <row r="1385" spans="1:14" x14ac:dyDescent="0.3">
      <c r="A1385" s="6" t="s">
        <v>7</v>
      </c>
      <c r="B1385" s="5">
        <v>45318.625</v>
      </c>
      <c r="C1385" s="6">
        <v>424.78748050695901</v>
      </c>
      <c r="D1385" s="6">
        <v>415.45429307261298</v>
      </c>
      <c r="E1385" s="6">
        <v>415.45429307261298</v>
      </c>
      <c r="F1385" s="6">
        <v>38.621560972313397</v>
      </c>
      <c r="G1385" s="6" t="str">
        <f t="shared" si="42"/>
        <v>OK</v>
      </c>
      <c r="H1385" s="6" t="str">
        <f t="shared" si="43"/>
        <v>NON-ZERO</v>
      </c>
      <c r="I1385">
        <v>424.26406871192802</v>
      </c>
      <c r="J1385">
        <f>IFERROR(Table4[[#This Row],[energy_kwh]]/Table4[[#This Row],[expected_kwh]],0)</f>
        <v>0.97923515968236097</v>
      </c>
      <c r="K1385" t="str">
        <f>IF(Table4[[#This Row],[Performance_Ratio]] &lt; 0.85, "Underperforming", "Performing")</f>
        <v>Performing</v>
      </c>
      <c r="L1385">
        <f>Table4[[#This Row],[energy_kwh]] - Table4[[#This Row],[expected_kwh]]</f>
        <v>-8.8097756393150348</v>
      </c>
      <c r="M1385" t="str">
        <f>IF(Table4[[#This Row],[Performance_Deviation]] &lt; 0, "Underperforming", "Outperforming")</f>
        <v>Underperforming</v>
      </c>
      <c r="N1385">
        <f>IF(Table4[[#This Row],[Performance_Ratio]] &lt; 0.85, Table4[[#This Row],[Performance_Deviation]] * 50 / 1000, 0)</f>
        <v>0</v>
      </c>
    </row>
    <row r="1386" spans="1:14" x14ac:dyDescent="0.3">
      <c r="A1386" s="4" t="s">
        <v>7</v>
      </c>
      <c r="B1386" s="3">
        <v>45318.666666666664</v>
      </c>
      <c r="C1386" s="4">
        <v>303.84841497637899</v>
      </c>
      <c r="D1386" s="4">
        <v>297.17243148171701</v>
      </c>
      <c r="E1386" s="4">
        <v>297.17243148171701</v>
      </c>
      <c r="F1386" s="4">
        <v>41.0963422664775</v>
      </c>
      <c r="G1386" s="4" t="str">
        <f t="shared" si="42"/>
        <v>OK</v>
      </c>
      <c r="H1386" s="4" t="str">
        <f t="shared" si="43"/>
        <v>NON-ZERO</v>
      </c>
      <c r="I1386">
        <v>300</v>
      </c>
      <c r="J1386">
        <f>IFERROR(Table4[[#This Row],[energy_kwh]]/Table4[[#This Row],[expected_kwh]],0)</f>
        <v>0.99057477160572338</v>
      </c>
      <c r="K1386" t="str">
        <f>IF(Table4[[#This Row],[Performance_Ratio]] &lt; 0.85, "Underperforming", "Performing")</f>
        <v>Performing</v>
      </c>
      <c r="L1386">
        <f>Table4[[#This Row],[energy_kwh]] - Table4[[#This Row],[expected_kwh]]</f>
        <v>-2.8275685182829875</v>
      </c>
      <c r="M1386" t="str">
        <f>IF(Table4[[#This Row],[Performance_Deviation]] &lt; 0, "Underperforming", "Outperforming")</f>
        <v>Underperforming</v>
      </c>
      <c r="N1386">
        <f>IF(Table4[[#This Row],[Performance_Ratio]] &lt; 0.85, Table4[[#This Row],[Performance_Deviation]] * 50 / 1000, 0)</f>
        <v>0</v>
      </c>
    </row>
    <row r="1387" spans="1:14" x14ac:dyDescent="0.3">
      <c r="A1387" s="6" t="s">
        <v>7</v>
      </c>
      <c r="B1387" s="5">
        <v>45318.708333333336</v>
      </c>
      <c r="C1387" s="6">
        <v>159.81279659676099</v>
      </c>
      <c r="D1387" s="6">
        <v>156.301481283832</v>
      </c>
      <c r="E1387" s="6">
        <v>156.301481283832</v>
      </c>
      <c r="F1387" s="6">
        <v>21.473861206013499</v>
      </c>
      <c r="G1387" s="6" t="str">
        <f t="shared" si="42"/>
        <v>OK</v>
      </c>
      <c r="H1387" s="6" t="str">
        <f t="shared" si="43"/>
        <v>NON-ZERO</v>
      </c>
      <c r="I1387">
        <v>155.291427061512</v>
      </c>
      <c r="J1387">
        <f>IFERROR(Table4[[#This Row],[energy_kwh]]/Table4[[#This Row],[expected_kwh]],0)</f>
        <v>1.0065042497286081</v>
      </c>
      <c r="K1387" t="str">
        <f>IF(Table4[[#This Row],[Performance_Ratio]] &lt; 0.85, "Underperforming", "Performing")</f>
        <v>Performing</v>
      </c>
      <c r="L1387">
        <f>Table4[[#This Row],[energy_kwh]] - Table4[[#This Row],[expected_kwh]]</f>
        <v>1.010054222320008</v>
      </c>
      <c r="M1387" t="str">
        <f>IF(Table4[[#This Row],[Performance_Deviation]] &lt; 0, "Underperforming", "Outperforming")</f>
        <v>Outperforming</v>
      </c>
      <c r="N1387">
        <f>IF(Table4[[#This Row],[Performance_Ratio]] &lt; 0.85, Table4[[#This Row],[Performance_Deviation]] * 50 / 1000, 0)</f>
        <v>0</v>
      </c>
    </row>
    <row r="1388" spans="1:14" x14ac:dyDescent="0.3">
      <c r="A1388" s="4" t="s">
        <v>7</v>
      </c>
      <c r="B1388" s="3">
        <v>45318.75</v>
      </c>
      <c r="C1388" s="4">
        <v>0</v>
      </c>
      <c r="D1388" s="4">
        <v>0</v>
      </c>
      <c r="E1388" s="4">
        <v>0</v>
      </c>
      <c r="F1388" s="4">
        <v>81.907992181147094</v>
      </c>
      <c r="G1388" s="4" t="str">
        <f t="shared" si="42"/>
        <v>OK</v>
      </c>
      <c r="H1388" s="4" t="str">
        <f t="shared" si="43"/>
        <v>ZERO</v>
      </c>
      <c r="I1388" s="2">
        <v>7.3478807948841102E-14</v>
      </c>
      <c r="J1388">
        <f>IFERROR(Table4[[#This Row],[energy_kwh]]/Table4[[#This Row],[expected_kwh]],0)</f>
        <v>0</v>
      </c>
      <c r="K1388" t="str">
        <f>IF(Table4[[#This Row],[Performance_Ratio]] &lt; 0.85, "Underperforming", "Performing")</f>
        <v>Underperforming</v>
      </c>
      <c r="L1388">
        <f>Table4[[#This Row],[energy_kwh]] - Table4[[#This Row],[expected_kwh]]</f>
        <v>-7.3478807948841102E-14</v>
      </c>
      <c r="M1388" t="str">
        <f>IF(Table4[[#This Row],[Performance_Deviation]] &lt; 0, "Underperforming", "Outperforming")</f>
        <v>Underperforming</v>
      </c>
      <c r="N1388">
        <f>IF(Table4[[#This Row],[Performance_Ratio]] &lt; 0.85, Table4[[#This Row],[Performance_Deviation]] * 50 / 1000, 0)</f>
        <v>-3.6739403974420552E-15</v>
      </c>
    </row>
    <row r="1389" spans="1:14" x14ac:dyDescent="0.3">
      <c r="A1389" s="6" t="s">
        <v>7</v>
      </c>
      <c r="B1389" s="5">
        <v>45318.791666666664</v>
      </c>
      <c r="C1389" s="6">
        <v>0</v>
      </c>
      <c r="D1389" s="6">
        <v>0</v>
      </c>
      <c r="E1389" s="6">
        <v>0</v>
      </c>
      <c r="F1389" s="6">
        <v>79.256243747857795</v>
      </c>
      <c r="G1389" s="6" t="str">
        <f t="shared" si="42"/>
        <v>OK</v>
      </c>
      <c r="H1389" s="6" t="str">
        <f t="shared" si="43"/>
        <v>ZERO</v>
      </c>
      <c r="I1389">
        <v>0</v>
      </c>
      <c r="J1389">
        <f>IFERROR(Table4[[#This Row],[energy_kwh]]/Table4[[#This Row],[expected_kwh]],0)</f>
        <v>0</v>
      </c>
      <c r="K1389" t="str">
        <f>IF(Table4[[#This Row],[Performance_Ratio]] &lt; 0.85, "Underperforming", "Performing")</f>
        <v>Underperforming</v>
      </c>
      <c r="L1389">
        <f>Table4[[#This Row],[energy_kwh]] - Table4[[#This Row],[expected_kwh]]</f>
        <v>0</v>
      </c>
      <c r="M1389" t="str">
        <f>IF(Table4[[#This Row],[Performance_Deviation]] &lt; 0, "Underperforming", "Outperforming")</f>
        <v>Outperforming</v>
      </c>
      <c r="N1389">
        <f>IF(Table4[[#This Row],[Performance_Ratio]] &lt; 0.85, Table4[[#This Row],[Performance_Deviation]] * 50 / 1000, 0)</f>
        <v>0</v>
      </c>
    </row>
    <row r="1390" spans="1:14" x14ac:dyDescent="0.3">
      <c r="A1390" s="4" t="s">
        <v>7</v>
      </c>
      <c r="B1390" s="3">
        <v>45318.833333333336</v>
      </c>
      <c r="C1390" s="4">
        <v>0</v>
      </c>
      <c r="D1390" s="4">
        <v>0</v>
      </c>
      <c r="E1390" s="4">
        <v>0</v>
      </c>
      <c r="F1390" s="4">
        <v>47.654386660313399</v>
      </c>
      <c r="G1390" s="4" t="str">
        <f t="shared" si="42"/>
        <v>OK</v>
      </c>
      <c r="H1390" s="4" t="str">
        <f t="shared" si="43"/>
        <v>ZERO</v>
      </c>
      <c r="I1390">
        <v>0</v>
      </c>
      <c r="J1390">
        <f>IFERROR(Table4[[#This Row],[energy_kwh]]/Table4[[#This Row],[expected_kwh]],0)</f>
        <v>0</v>
      </c>
      <c r="K1390" t="str">
        <f>IF(Table4[[#This Row],[Performance_Ratio]] &lt; 0.85, "Underperforming", "Performing")</f>
        <v>Underperforming</v>
      </c>
      <c r="L1390">
        <f>Table4[[#This Row],[energy_kwh]] - Table4[[#This Row],[expected_kwh]]</f>
        <v>0</v>
      </c>
      <c r="M1390" t="str">
        <f>IF(Table4[[#This Row],[Performance_Deviation]] &lt; 0, "Underperforming", "Outperforming")</f>
        <v>Outperforming</v>
      </c>
      <c r="N1390">
        <f>IF(Table4[[#This Row],[Performance_Ratio]] &lt; 0.85, Table4[[#This Row],[Performance_Deviation]] * 50 / 1000, 0)</f>
        <v>0</v>
      </c>
    </row>
    <row r="1391" spans="1:14" x14ac:dyDescent="0.3">
      <c r="A1391" s="6" t="s">
        <v>7</v>
      </c>
      <c r="B1391" s="5">
        <v>45318.875</v>
      </c>
      <c r="C1391" s="6">
        <v>0</v>
      </c>
      <c r="D1391" s="6">
        <v>0</v>
      </c>
      <c r="E1391" s="6">
        <v>0</v>
      </c>
      <c r="F1391" s="6">
        <v>50.0267470129873</v>
      </c>
      <c r="G1391" s="6" t="str">
        <f t="shared" si="42"/>
        <v>OK</v>
      </c>
      <c r="H1391" s="6" t="str">
        <f t="shared" si="43"/>
        <v>ZERO</v>
      </c>
      <c r="I1391">
        <v>0</v>
      </c>
      <c r="J1391">
        <f>IFERROR(Table4[[#This Row],[energy_kwh]]/Table4[[#This Row],[expected_kwh]],0)</f>
        <v>0</v>
      </c>
      <c r="K1391" t="str">
        <f>IF(Table4[[#This Row],[Performance_Ratio]] &lt; 0.85, "Underperforming", "Performing")</f>
        <v>Underperforming</v>
      </c>
      <c r="L1391">
        <f>Table4[[#This Row],[energy_kwh]] - Table4[[#This Row],[expected_kwh]]</f>
        <v>0</v>
      </c>
      <c r="M1391" t="str">
        <f>IF(Table4[[#This Row],[Performance_Deviation]] &lt; 0, "Underperforming", "Outperforming")</f>
        <v>Outperforming</v>
      </c>
      <c r="N1391">
        <f>IF(Table4[[#This Row],[Performance_Ratio]] &lt; 0.85, Table4[[#This Row],[Performance_Deviation]] * 50 / 1000, 0)</f>
        <v>0</v>
      </c>
    </row>
    <row r="1392" spans="1:14" x14ac:dyDescent="0.3">
      <c r="A1392" s="4" t="s">
        <v>7</v>
      </c>
      <c r="B1392" s="3">
        <v>45318.916666666664</v>
      </c>
      <c r="C1392" s="4">
        <v>0</v>
      </c>
      <c r="D1392" s="4">
        <v>0</v>
      </c>
      <c r="E1392" s="4">
        <v>0</v>
      </c>
      <c r="F1392" s="4">
        <v>87.314924489156297</v>
      </c>
      <c r="G1392" s="4" t="str">
        <f t="shared" si="42"/>
        <v>OK</v>
      </c>
      <c r="H1392" s="4" t="str">
        <f t="shared" si="43"/>
        <v>ZERO</v>
      </c>
      <c r="I1392">
        <v>0</v>
      </c>
      <c r="J1392">
        <f>IFERROR(Table4[[#This Row],[energy_kwh]]/Table4[[#This Row],[expected_kwh]],0)</f>
        <v>0</v>
      </c>
      <c r="K1392" t="str">
        <f>IF(Table4[[#This Row],[Performance_Ratio]] &lt; 0.85, "Underperforming", "Performing")</f>
        <v>Underperforming</v>
      </c>
      <c r="L1392">
        <f>Table4[[#This Row],[energy_kwh]] - Table4[[#This Row],[expected_kwh]]</f>
        <v>0</v>
      </c>
      <c r="M1392" t="str">
        <f>IF(Table4[[#This Row],[Performance_Deviation]] &lt; 0, "Underperforming", "Outperforming")</f>
        <v>Outperforming</v>
      </c>
      <c r="N1392">
        <f>IF(Table4[[#This Row],[Performance_Ratio]] &lt; 0.85, Table4[[#This Row],[Performance_Deviation]] * 50 / 1000, 0)</f>
        <v>0</v>
      </c>
    </row>
    <row r="1393" spans="1:14" x14ac:dyDescent="0.3">
      <c r="A1393" s="6" t="s">
        <v>7</v>
      </c>
      <c r="B1393" s="5">
        <v>45318.958333333336</v>
      </c>
      <c r="C1393" s="6">
        <v>0</v>
      </c>
      <c r="D1393" s="6">
        <v>0</v>
      </c>
      <c r="E1393" s="6">
        <v>0</v>
      </c>
      <c r="F1393" s="6">
        <v>90.236999848266905</v>
      </c>
      <c r="G1393" s="6" t="str">
        <f t="shared" si="42"/>
        <v>OK</v>
      </c>
      <c r="H1393" s="6" t="str">
        <f t="shared" si="43"/>
        <v>ZERO</v>
      </c>
      <c r="I1393">
        <v>0</v>
      </c>
      <c r="J1393">
        <f>IFERROR(Table4[[#This Row],[energy_kwh]]/Table4[[#This Row],[expected_kwh]],0)</f>
        <v>0</v>
      </c>
      <c r="K1393" t="str">
        <f>IF(Table4[[#This Row],[Performance_Ratio]] &lt; 0.85, "Underperforming", "Performing")</f>
        <v>Underperforming</v>
      </c>
      <c r="L1393">
        <f>Table4[[#This Row],[energy_kwh]] - Table4[[#This Row],[expected_kwh]]</f>
        <v>0</v>
      </c>
      <c r="M1393" t="str">
        <f>IF(Table4[[#This Row],[Performance_Deviation]] &lt; 0, "Underperforming", "Outperforming")</f>
        <v>Outperforming</v>
      </c>
      <c r="N1393">
        <f>IF(Table4[[#This Row],[Performance_Ratio]] &lt; 0.85, Table4[[#This Row],[Performance_Deviation]] * 50 / 1000, 0)</f>
        <v>0</v>
      </c>
    </row>
    <row r="1394" spans="1:14" x14ac:dyDescent="0.3">
      <c r="A1394" s="4" t="s">
        <v>7</v>
      </c>
      <c r="B1394" s="3">
        <v>45319</v>
      </c>
      <c r="C1394" s="4">
        <v>0</v>
      </c>
      <c r="D1394" s="4">
        <v>0</v>
      </c>
      <c r="E1394" s="4">
        <v>0</v>
      </c>
      <c r="F1394" s="4">
        <v>83.759955101377699</v>
      </c>
      <c r="G1394" s="4" t="str">
        <f t="shared" si="42"/>
        <v>OK</v>
      </c>
      <c r="H1394" s="4" t="str">
        <f t="shared" si="43"/>
        <v>ZERO</v>
      </c>
      <c r="I1394">
        <v>0</v>
      </c>
      <c r="J1394">
        <f>IFERROR(Table4[[#This Row],[energy_kwh]]/Table4[[#This Row],[expected_kwh]],0)</f>
        <v>0</v>
      </c>
      <c r="K1394" t="str">
        <f>IF(Table4[[#This Row],[Performance_Ratio]] &lt; 0.85, "Underperforming", "Performing")</f>
        <v>Underperforming</v>
      </c>
      <c r="L1394">
        <f>Table4[[#This Row],[energy_kwh]] - Table4[[#This Row],[expected_kwh]]</f>
        <v>0</v>
      </c>
      <c r="M1394" t="str">
        <f>IF(Table4[[#This Row],[Performance_Deviation]] &lt; 0, "Underperforming", "Outperforming")</f>
        <v>Outperforming</v>
      </c>
      <c r="N1394">
        <f>IF(Table4[[#This Row],[Performance_Ratio]] &lt; 0.85, Table4[[#This Row],[Performance_Deviation]] * 50 / 1000, 0)</f>
        <v>0</v>
      </c>
    </row>
    <row r="1395" spans="1:14" x14ac:dyDescent="0.3">
      <c r="A1395" s="6" t="s">
        <v>7</v>
      </c>
      <c r="B1395" s="5">
        <v>45319.041666666664</v>
      </c>
      <c r="C1395" s="6">
        <v>0</v>
      </c>
      <c r="D1395" s="6">
        <v>0</v>
      </c>
      <c r="E1395" s="6">
        <v>0</v>
      </c>
      <c r="F1395" s="6">
        <v>23.7395109799373</v>
      </c>
      <c r="G1395" s="6" t="str">
        <f t="shared" si="42"/>
        <v>OK</v>
      </c>
      <c r="H1395" s="6" t="str">
        <f t="shared" si="43"/>
        <v>ZERO</v>
      </c>
      <c r="I1395">
        <v>0</v>
      </c>
      <c r="J1395">
        <f>IFERROR(Table4[[#This Row],[energy_kwh]]/Table4[[#This Row],[expected_kwh]],0)</f>
        <v>0</v>
      </c>
      <c r="K1395" t="str">
        <f>IF(Table4[[#This Row],[Performance_Ratio]] &lt; 0.85, "Underperforming", "Performing")</f>
        <v>Underperforming</v>
      </c>
      <c r="L1395">
        <f>Table4[[#This Row],[energy_kwh]] - Table4[[#This Row],[expected_kwh]]</f>
        <v>0</v>
      </c>
      <c r="M1395" t="str">
        <f>IF(Table4[[#This Row],[Performance_Deviation]] &lt; 0, "Underperforming", "Outperforming")</f>
        <v>Outperforming</v>
      </c>
      <c r="N1395">
        <f>IF(Table4[[#This Row],[Performance_Ratio]] &lt; 0.85, Table4[[#This Row],[Performance_Deviation]] * 50 / 1000, 0)</f>
        <v>0</v>
      </c>
    </row>
    <row r="1396" spans="1:14" x14ac:dyDescent="0.3">
      <c r="A1396" s="4" t="s">
        <v>7</v>
      </c>
      <c r="B1396" s="3">
        <v>45319.083333333336</v>
      </c>
      <c r="C1396" s="4">
        <v>0</v>
      </c>
      <c r="D1396" s="4">
        <v>0</v>
      </c>
      <c r="E1396" s="4">
        <v>0</v>
      </c>
      <c r="F1396" s="4">
        <v>21.272684698659901</v>
      </c>
      <c r="G1396" s="4" t="str">
        <f t="shared" si="42"/>
        <v>OK</v>
      </c>
      <c r="H1396" s="4" t="str">
        <f t="shared" si="43"/>
        <v>ZERO</v>
      </c>
      <c r="I1396">
        <v>0</v>
      </c>
      <c r="J1396">
        <f>IFERROR(Table4[[#This Row],[energy_kwh]]/Table4[[#This Row],[expected_kwh]],0)</f>
        <v>0</v>
      </c>
      <c r="K1396" t="str">
        <f>IF(Table4[[#This Row],[Performance_Ratio]] &lt; 0.85, "Underperforming", "Performing")</f>
        <v>Underperforming</v>
      </c>
      <c r="L1396">
        <f>Table4[[#This Row],[energy_kwh]] - Table4[[#This Row],[expected_kwh]]</f>
        <v>0</v>
      </c>
      <c r="M1396" t="str">
        <f>IF(Table4[[#This Row],[Performance_Deviation]] &lt; 0, "Underperforming", "Outperforming")</f>
        <v>Outperforming</v>
      </c>
      <c r="N1396">
        <f>IF(Table4[[#This Row],[Performance_Ratio]] &lt; 0.85, Table4[[#This Row],[Performance_Deviation]] * 50 / 1000, 0)</f>
        <v>0</v>
      </c>
    </row>
    <row r="1397" spans="1:14" x14ac:dyDescent="0.3">
      <c r="A1397" s="6" t="s">
        <v>7</v>
      </c>
      <c r="B1397" s="5">
        <v>45319.125</v>
      </c>
      <c r="C1397" s="6">
        <v>0</v>
      </c>
      <c r="D1397" s="6">
        <v>0</v>
      </c>
      <c r="E1397" s="6">
        <v>0</v>
      </c>
      <c r="F1397" s="6">
        <v>30.7296464542551</v>
      </c>
      <c r="G1397" s="6" t="str">
        <f t="shared" si="42"/>
        <v>OK</v>
      </c>
      <c r="H1397" s="6" t="str">
        <f t="shared" si="43"/>
        <v>ZERO</v>
      </c>
      <c r="I1397">
        <v>0</v>
      </c>
      <c r="J1397">
        <f>IFERROR(Table4[[#This Row],[energy_kwh]]/Table4[[#This Row],[expected_kwh]],0)</f>
        <v>0</v>
      </c>
      <c r="K1397" t="str">
        <f>IF(Table4[[#This Row],[Performance_Ratio]] &lt; 0.85, "Underperforming", "Performing")</f>
        <v>Underperforming</v>
      </c>
      <c r="L1397">
        <f>Table4[[#This Row],[energy_kwh]] - Table4[[#This Row],[expected_kwh]]</f>
        <v>0</v>
      </c>
      <c r="M1397" t="str">
        <f>IF(Table4[[#This Row],[Performance_Deviation]] &lt; 0, "Underperforming", "Outperforming")</f>
        <v>Outperforming</v>
      </c>
      <c r="N1397">
        <f>IF(Table4[[#This Row],[Performance_Ratio]] &lt; 0.85, Table4[[#This Row],[Performance_Deviation]] * 50 / 1000, 0)</f>
        <v>0</v>
      </c>
    </row>
    <row r="1398" spans="1:14" x14ac:dyDescent="0.3">
      <c r="A1398" s="4" t="s">
        <v>7</v>
      </c>
      <c r="B1398" s="3">
        <v>45319.166666666664</v>
      </c>
      <c r="C1398" s="4">
        <v>0</v>
      </c>
      <c r="D1398" s="4">
        <v>0</v>
      </c>
      <c r="E1398" s="4">
        <v>0</v>
      </c>
      <c r="F1398" s="4">
        <v>81.699310136031997</v>
      </c>
      <c r="G1398" s="4" t="str">
        <f t="shared" si="42"/>
        <v>OK</v>
      </c>
      <c r="H1398" s="4" t="str">
        <f t="shared" si="43"/>
        <v>ZERO</v>
      </c>
      <c r="I1398">
        <v>0</v>
      </c>
      <c r="J1398">
        <f>IFERROR(Table4[[#This Row],[energy_kwh]]/Table4[[#This Row],[expected_kwh]],0)</f>
        <v>0</v>
      </c>
      <c r="K1398" t="str">
        <f>IF(Table4[[#This Row],[Performance_Ratio]] &lt; 0.85, "Underperforming", "Performing")</f>
        <v>Underperforming</v>
      </c>
      <c r="L1398">
        <f>Table4[[#This Row],[energy_kwh]] - Table4[[#This Row],[expected_kwh]]</f>
        <v>0</v>
      </c>
      <c r="M1398" t="str">
        <f>IF(Table4[[#This Row],[Performance_Deviation]] &lt; 0, "Underperforming", "Outperforming")</f>
        <v>Outperforming</v>
      </c>
      <c r="N1398">
        <f>IF(Table4[[#This Row],[Performance_Ratio]] &lt; 0.85, Table4[[#This Row],[Performance_Deviation]] * 50 / 1000, 0)</f>
        <v>0</v>
      </c>
    </row>
    <row r="1399" spans="1:14" x14ac:dyDescent="0.3">
      <c r="A1399" s="6" t="s">
        <v>7</v>
      </c>
      <c r="B1399" s="5">
        <v>45319.208333333336</v>
      </c>
      <c r="C1399" s="6">
        <v>0</v>
      </c>
      <c r="D1399" s="6">
        <v>0</v>
      </c>
      <c r="E1399" s="6">
        <v>0</v>
      </c>
      <c r="F1399" s="6">
        <v>54.467223312914101</v>
      </c>
      <c r="G1399" s="6" t="str">
        <f t="shared" si="42"/>
        <v>OK</v>
      </c>
      <c r="H1399" s="6" t="str">
        <f t="shared" si="43"/>
        <v>ZERO</v>
      </c>
      <c r="I1399">
        <v>0</v>
      </c>
      <c r="J1399">
        <f>IFERROR(Table4[[#This Row],[energy_kwh]]/Table4[[#This Row],[expected_kwh]],0)</f>
        <v>0</v>
      </c>
      <c r="K1399" t="str">
        <f>IF(Table4[[#This Row],[Performance_Ratio]] &lt; 0.85, "Underperforming", "Performing")</f>
        <v>Underperforming</v>
      </c>
      <c r="L1399">
        <f>Table4[[#This Row],[energy_kwh]] - Table4[[#This Row],[expected_kwh]]</f>
        <v>0</v>
      </c>
      <c r="M1399" t="str">
        <f>IF(Table4[[#This Row],[Performance_Deviation]] &lt; 0, "Underperforming", "Outperforming")</f>
        <v>Outperforming</v>
      </c>
      <c r="N1399">
        <f>IF(Table4[[#This Row],[Performance_Ratio]] &lt; 0.85, Table4[[#This Row],[Performance_Deviation]] * 50 / 1000, 0)</f>
        <v>0</v>
      </c>
    </row>
    <row r="1400" spans="1:14" x14ac:dyDescent="0.3">
      <c r="A1400" s="4" t="s">
        <v>7</v>
      </c>
      <c r="B1400" s="3">
        <v>45319.25</v>
      </c>
      <c r="C1400" s="4">
        <v>0</v>
      </c>
      <c r="D1400" s="4">
        <v>0</v>
      </c>
      <c r="E1400" s="4">
        <v>0</v>
      </c>
      <c r="F1400" s="4">
        <v>77.386163739594707</v>
      </c>
      <c r="G1400" s="4" t="str">
        <f t="shared" si="42"/>
        <v>OK</v>
      </c>
      <c r="H1400" s="4" t="str">
        <f t="shared" si="43"/>
        <v>ZERO</v>
      </c>
      <c r="I1400">
        <v>0</v>
      </c>
      <c r="J1400">
        <f>IFERROR(Table4[[#This Row],[energy_kwh]]/Table4[[#This Row],[expected_kwh]],0)</f>
        <v>0</v>
      </c>
      <c r="K1400" t="str">
        <f>IF(Table4[[#This Row],[Performance_Ratio]] &lt; 0.85, "Underperforming", "Performing")</f>
        <v>Underperforming</v>
      </c>
      <c r="L1400">
        <f>Table4[[#This Row],[energy_kwh]] - Table4[[#This Row],[expected_kwh]]</f>
        <v>0</v>
      </c>
      <c r="M1400" t="str">
        <f>IF(Table4[[#This Row],[Performance_Deviation]] &lt; 0, "Underperforming", "Outperforming")</f>
        <v>Outperforming</v>
      </c>
      <c r="N1400">
        <f>IF(Table4[[#This Row],[Performance_Ratio]] &lt; 0.85, Table4[[#This Row],[Performance_Deviation]] * 50 / 1000, 0)</f>
        <v>0</v>
      </c>
    </row>
    <row r="1401" spans="1:14" x14ac:dyDescent="0.3">
      <c r="A1401" s="6" t="s">
        <v>7</v>
      </c>
      <c r="B1401" s="5">
        <v>45319.291666666664</v>
      </c>
      <c r="C1401" s="6">
        <v>147.50614071579699</v>
      </c>
      <c r="D1401" s="6">
        <v>144.265220203322</v>
      </c>
      <c r="E1401" s="6">
        <v>144.265220203322</v>
      </c>
      <c r="F1401" s="6">
        <v>68.619271555836605</v>
      </c>
      <c r="G1401" s="6" t="str">
        <f t="shared" si="42"/>
        <v>OK</v>
      </c>
      <c r="H1401" s="6" t="str">
        <f t="shared" si="43"/>
        <v>NON-ZERO</v>
      </c>
      <c r="I1401">
        <v>155.291427061512</v>
      </c>
      <c r="J1401">
        <f>IFERROR(Table4[[#This Row],[energy_kwh]]/Table4[[#This Row],[expected_kwh]],0)</f>
        <v>0.92899668019779069</v>
      </c>
      <c r="K1401" t="str">
        <f>IF(Table4[[#This Row],[Performance_Ratio]] &lt; 0.85, "Underperforming", "Performing")</f>
        <v>Performing</v>
      </c>
      <c r="L1401">
        <f>Table4[[#This Row],[energy_kwh]] - Table4[[#This Row],[expected_kwh]]</f>
        <v>-11.026206858189994</v>
      </c>
      <c r="M1401" t="str">
        <f>IF(Table4[[#This Row],[Performance_Deviation]] &lt; 0, "Underperforming", "Outperforming")</f>
        <v>Underperforming</v>
      </c>
      <c r="N1401">
        <f>IF(Table4[[#This Row],[Performance_Ratio]] &lt; 0.85, Table4[[#This Row],[Performance_Deviation]] * 50 / 1000, 0)</f>
        <v>0</v>
      </c>
    </row>
    <row r="1402" spans="1:14" x14ac:dyDescent="0.3">
      <c r="A1402" s="4" t="s">
        <v>7</v>
      </c>
      <c r="B1402" s="3">
        <v>45319.333333333336</v>
      </c>
      <c r="C1402" s="4">
        <v>287.82885683015797</v>
      </c>
      <c r="D1402" s="4">
        <v>281.50484589979101</v>
      </c>
      <c r="E1402" s="4">
        <v>281.50484589979101</v>
      </c>
      <c r="F1402" s="4">
        <v>92.175354311090501</v>
      </c>
      <c r="G1402" s="4" t="str">
        <f t="shared" si="42"/>
        <v>OK</v>
      </c>
      <c r="H1402" s="4" t="str">
        <f t="shared" si="43"/>
        <v>NON-ZERO</v>
      </c>
      <c r="I1402">
        <v>300</v>
      </c>
      <c r="J1402">
        <f>IFERROR(Table4[[#This Row],[energy_kwh]]/Table4[[#This Row],[expected_kwh]],0)</f>
        <v>0.93834948633263671</v>
      </c>
      <c r="K1402" t="str">
        <f>IF(Table4[[#This Row],[Performance_Ratio]] &lt; 0.85, "Underperforming", "Performing")</f>
        <v>Performing</v>
      </c>
      <c r="L1402">
        <f>Table4[[#This Row],[energy_kwh]] - Table4[[#This Row],[expected_kwh]]</f>
        <v>-18.495154100208993</v>
      </c>
      <c r="M1402" t="str">
        <f>IF(Table4[[#This Row],[Performance_Deviation]] &lt; 0, "Underperforming", "Outperforming")</f>
        <v>Underperforming</v>
      </c>
      <c r="N1402">
        <f>IF(Table4[[#This Row],[Performance_Ratio]] &lt; 0.85, Table4[[#This Row],[Performance_Deviation]] * 50 / 1000, 0)</f>
        <v>0</v>
      </c>
    </row>
    <row r="1403" spans="1:14" x14ac:dyDescent="0.3">
      <c r="A1403" s="6" t="s">
        <v>7</v>
      </c>
      <c r="B1403" s="5">
        <v>45319.375</v>
      </c>
      <c r="C1403" s="6">
        <v>399.53133580464799</v>
      </c>
      <c r="D1403" s="6">
        <v>390.75306192871102</v>
      </c>
      <c r="E1403" s="6">
        <v>390.75306192871102</v>
      </c>
      <c r="F1403" s="6">
        <v>67.012467831129996</v>
      </c>
      <c r="G1403" s="6" t="str">
        <f t="shared" si="42"/>
        <v>OK</v>
      </c>
      <c r="H1403" s="6" t="str">
        <f t="shared" si="43"/>
        <v>NON-ZERO</v>
      </c>
      <c r="I1403">
        <v>424.26406871192802</v>
      </c>
      <c r="J1403">
        <f>IFERROR(Table4[[#This Row],[energy_kwh]]/Table4[[#This Row],[expected_kwh]],0)</f>
        <v>0.92101379953066276</v>
      </c>
      <c r="K1403" t="str">
        <f>IF(Table4[[#This Row],[Performance_Ratio]] &lt; 0.85, "Underperforming", "Performing")</f>
        <v>Performing</v>
      </c>
      <c r="L1403">
        <f>Table4[[#This Row],[energy_kwh]] - Table4[[#This Row],[expected_kwh]]</f>
        <v>-33.511006783216999</v>
      </c>
      <c r="M1403" t="str">
        <f>IF(Table4[[#This Row],[Performance_Deviation]] &lt; 0, "Underperforming", "Outperforming")</f>
        <v>Underperforming</v>
      </c>
      <c r="N1403">
        <f>IF(Table4[[#This Row],[Performance_Ratio]] &lt; 0.85, Table4[[#This Row],[Performance_Deviation]] * 50 / 1000, 0)</f>
        <v>0</v>
      </c>
    </row>
    <row r="1404" spans="1:14" x14ac:dyDescent="0.3">
      <c r="A1404" s="4" t="s">
        <v>7</v>
      </c>
      <c r="B1404" s="3">
        <v>45319.416666666664</v>
      </c>
      <c r="C1404" s="4">
        <v>521.58114390553999</v>
      </c>
      <c r="D1404" s="4">
        <v>510.12126148979303</v>
      </c>
      <c r="E1404" s="4">
        <v>510.12126148979303</v>
      </c>
      <c r="F1404" s="4">
        <v>57.640214826837699</v>
      </c>
      <c r="G1404" s="4" t="str">
        <f t="shared" si="42"/>
        <v>OK</v>
      </c>
      <c r="H1404" s="4" t="str">
        <f t="shared" si="43"/>
        <v>NON-ZERO</v>
      </c>
      <c r="I1404">
        <v>519.61524227066297</v>
      </c>
      <c r="J1404">
        <f>IFERROR(Table4[[#This Row],[energy_kwh]]/Table4[[#This Row],[expected_kwh]],0)</f>
        <v>0.98172882546827867</v>
      </c>
      <c r="K1404" t="str">
        <f>IF(Table4[[#This Row],[Performance_Ratio]] &lt; 0.85, "Underperforming", "Performing")</f>
        <v>Performing</v>
      </c>
      <c r="L1404">
        <f>Table4[[#This Row],[energy_kwh]] - Table4[[#This Row],[expected_kwh]]</f>
        <v>-9.493980780869947</v>
      </c>
      <c r="M1404" t="str">
        <f>IF(Table4[[#This Row],[Performance_Deviation]] &lt; 0, "Underperforming", "Outperforming")</f>
        <v>Underperforming</v>
      </c>
      <c r="N1404">
        <f>IF(Table4[[#This Row],[Performance_Ratio]] &lt; 0.85, Table4[[#This Row],[Performance_Deviation]] * 50 / 1000, 0)</f>
        <v>0</v>
      </c>
    </row>
    <row r="1405" spans="1:14" x14ac:dyDescent="0.3">
      <c r="A1405" s="6" t="s">
        <v>7</v>
      </c>
      <c r="B1405" s="5">
        <v>45319.458333333336</v>
      </c>
      <c r="C1405" s="6">
        <v>525.24657914369698</v>
      </c>
      <c r="D1405" s="6">
        <v>513.70616188246697</v>
      </c>
      <c r="E1405" s="6">
        <v>513.70616188246697</v>
      </c>
      <c r="F1405" s="6">
        <v>29.9352992256444</v>
      </c>
      <c r="G1405" s="6" t="str">
        <f t="shared" si="42"/>
        <v>OK</v>
      </c>
      <c r="H1405" s="6" t="str">
        <f t="shared" si="43"/>
        <v>NON-ZERO</v>
      </c>
      <c r="I1405">
        <v>579.55549577344095</v>
      </c>
      <c r="J1405">
        <f>IFERROR(Table4[[#This Row],[energy_kwh]]/Table4[[#This Row],[expected_kwh]],0)</f>
        <v>0.88637958854467369</v>
      </c>
      <c r="K1405" t="str">
        <f>IF(Table4[[#This Row],[Performance_Ratio]] &lt; 0.85, "Underperforming", "Performing")</f>
        <v>Performing</v>
      </c>
      <c r="L1405">
        <f>Table4[[#This Row],[energy_kwh]] - Table4[[#This Row],[expected_kwh]]</f>
        <v>-65.84933389097398</v>
      </c>
      <c r="M1405" t="str">
        <f>IF(Table4[[#This Row],[Performance_Deviation]] &lt; 0, "Underperforming", "Outperforming")</f>
        <v>Underperforming</v>
      </c>
      <c r="N1405">
        <f>IF(Table4[[#This Row],[Performance_Ratio]] &lt; 0.85, Table4[[#This Row],[Performance_Deviation]] * 50 / 1000, 0)</f>
        <v>0</v>
      </c>
    </row>
    <row r="1406" spans="1:14" x14ac:dyDescent="0.3">
      <c r="A1406" s="4" t="s">
        <v>7</v>
      </c>
      <c r="B1406" s="3">
        <v>45319.5</v>
      </c>
      <c r="C1406" s="4">
        <v>653.95261290946803</v>
      </c>
      <c r="D1406" s="4">
        <v>639.58434032718696</v>
      </c>
      <c r="E1406" s="4">
        <v>639.58434032718696</v>
      </c>
      <c r="F1406" s="4">
        <v>83.996359892540099</v>
      </c>
      <c r="G1406" s="4" t="str">
        <f t="shared" si="42"/>
        <v>OK</v>
      </c>
      <c r="H1406" s="4" t="str">
        <f t="shared" si="43"/>
        <v>NON-ZERO</v>
      </c>
      <c r="I1406">
        <v>600</v>
      </c>
      <c r="J1406">
        <f>IFERROR(Table4[[#This Row],[energy_kwh]]/Table4[[#This Row],[expected_kwh]],0)</f>
        <v>1.0659739005453117</v>
      </c>
      <c r="K1406" t="str">
        <f>IF(Table4[[#This Row],[Performance_Ratio]] &lt; 0.85, "Underperforming", "Performing")</f>
        <v>Performing</v>
      </c>
      <c r="L1406">
        <f>Table4[[#This Row],[energy_kwh]] - Table4[[#This Row],[expected_kwh]]</f>
        <v>39.584340327186965</v>
      </c>
      <c r="M1406" t="str">
        <f>IF(Table4[[#This Row],[Performance_Deviation]] &lt; 0, "Underperforming", "Outperforming")</f>
        <v>Outperforming</v>
      </c>
      <c r="N1406">
        <f>IF(Table4[[#This Row],[Performance_Ratio]] &lt; 0.85, Table4[[#This Row],[Performance_Deviation]] * 50 / 1000, 0)</f>
        <v>0</v>
      </c>
    </row>
    <row r="1407" spans="1:14" x14ac:dyDescent="0.3">
      <c r="A1407" s="6" t="s">
        <v>7</v>
      </c>
      <c r="B1407" s="5">
        <v>45319.541666666664</v>
      </c>
      <c r="C1407" s="6">
        <v>632.84085880610201</v>
      </c>
      <c r="D1407" s="6">
        <v>618.93644160364397</v>
      </c>
      <c r="E1407" s="6">
        <v>618.93644160364397</v>
      </c>
      <c r="F1407" s="6">
        <v>26.804066206087299</v>
      </c>
      <c r="G1407" s="6" t="str">
        <f t="shared" si="42"/>
        <v>OK</v>
      </c>
      <c r="H1407" s="6" t="str">
        <f t="shared" si="43"/>
        <v>NON-ZERO</v>
      </c>
      <c r="I1407">
        <v>579.55549577344095</v>
      </c>
      <c r="J1407">
        <f>IFERROR(Table4[[#This Row],[energy_kwh]]/Table4[[#This Row],[expected_kwh]],0)</f>
        <v>1.0679502586333816</v>
      </c>
      <c r="K1407" t="str">
        <f>IF(Table4[[#This Row],[Performance_Ratio]] &lt; 0.85, "Underperforming", "Performing")</f>
        <v>Performing</v>
      </c>
      <c r="L1407">
        <f>Table4[[#This Row],[energy_kwh]] - Table4[[#This Row],[expected_kwh]]</f>
        <v>39.380945830203018</v>
      </c>
      <c r="M1407" t="str">
        <f>IF(Table4[[#This Row],[Performance_Deviation]] &lt; 0, "Underperforming", "Outperforming")</f>
        <v>Outperforming</v>
      </c>
      <c r="N1407">
        <f>IF(Table4[[#This Row],[Performance_Ratio]] &lt; 0.85, Table4[[#This Row],[Performance_Deviation]] * 50 / 1000, 0)</f>
        <v>0</v>
      </c>
    </row>
    <row r="1408" spans="1:14" x14ac:dyDescent="0.3">
      <c r="A1408" s="4" t="s">
        <v>7</v>
      </c>
      <c r="B1408" s="3">
        <v>45319.583333333336</v>
      </c>
      <c r="C1408" s="4">
        <v>514.90120432010701</v>
      </c>
      <c r="D1408" s="4">
        <v>503.58808971429301</v>
      </c>
      <c r="E1408" s="4">
        <v>503.58808971429301</v>
      </c>
      <c r="F1408" s="4">
        <v>27.587421470982701</v>
      </c>
      <c r="G1408" s="4" t="str">
        <f t="shared" si="42"/>
        <v>OK</v>
      </c>
      <c r="H1408" s="4" t="str">
        <f t="shared" si="43"/>
        <v>NON-ZERO</v>
      </c>
      <c r="I1408">
        <v>519.61524227066297</v>
      </c>
      <c r="J1408">
        <f>IFERROR(Table4[[#This Row],[energy_kwh]]/Table4[[#This Row],[expected_kwh]],0)</f>
        <v>0.96915573052412196</v>
      </c>
      <c r="K1408" t="str">
        <f>IF(Table4[[#This Row],[Performance_Ratio]] &lt; 0.85, "Underperforming", "Performing")</f>
        <v>Performing</v>
      </c>
      <c r="L1408">
        <f>Table4[[#This Row],[energy_kwh]] - Table4[[#This Row],[expected_kwh]]</f>
        <v>-16.02715255636997</v>
      </c>
      <c r="M1408" t="str">
        <f>IF(Table4[[#This Row],[Performance_Deviation]] &lt; 0, "Underperforming", "Outperforming")</f>
        <v>Underperforming</v>
      </c>
      <c r="N1408">
        <f>IF(Table4[[#This Row],[Performance_Ratio]] &lt; 0.85, Table4[[#This Row],[Performance_Deviation]] * 50 / 1000, 0)</f>
        <v>0</v>
      </c>
    </row>
    <row r="1409" spans="1:14" x14ac:dyDescent="0.3">
      <c r="A1409" s="6" t="s">
        <v>7</v>
      </c>
      <c r="B1409" s="5">
        <v>45319.625</v>
      </c>
      <c r="C1409" s="6">
        <v>392.05572616007697</v>
      </c>
      <c r="D1409" s="6">
        <v>383.44170210128402</v>
      </c>
      <c r="E1409" s="6">
        <v>383.44170210128402</v>
      </c>
      <c r="F1409" s="6">
        <v>79.168547222439997</v>
      </c>
      <c r="G1409" s="6" t="str">
        <f t="shared" si="42"/>
        <v>OK</v>
      </c>
      <c r="H1409" s="6" t="str">
        <f t="shared" si="43"/>
        <v>NON-ZERO</v>
      </c>
      <c r="I1409">
        <v>424.26406871192802</v>
      </c>
      <c r="J1409">
        <f>IFERROR(Table4[[#This Row],[energy_kwh]]/Table4[[#This Row],[expected_kwh]],0)</f>
        <v>0.9037807591517677</v>
      </c>
      <c r="K1409" t="str">
        <f>IF(Table4[[#This Row],[Performance_Ratio]] &lt; 0.85, "Underperforming", "Performing")</f>
        <v>Performing</v>
      </c>
      <c r="L1409">
        <f>Table4[[#This Row],[energy_kwh]] - Table4[[#This Row],[expected_kwh]]</f>
        <v>-40.822366610643996</v>
      </c>
      <c r="M1409" t="str">
        <f>IF(Table4[[#This Row],[Performance_Deviation]] &lt; 0, "Underperforming", "Outperforming")</f>
        <v>Underperforming</v>
      </c>
      <c r="N1409">
        <f>IF(Table4[[#This Row],[Performance_Ratio]] &lt; 0.85, Table4[[#This Row],[Performance_Deviation]] * 50 / 1000, 0)</f>
        <v>0</v>
      </c>
    </row>
    <row r="1410" spans="1:14" x14ac:dyDescent="0.3">
      <c r="A1410" s="4" t="s">
        <v>7</v>
      </c>
      <c r="B1410" s="3">
        <v>45319.666666666664</v>
      </c>
      <c r="C1410" s="4">
        <v>298.88315325043402</v>
      </c>
      <c r="D1410" s="4">
        <v>292.31626364501199</v>
      </c>
      <c r="E1410" s="4">
        <v>292.31626364501199</v>
      </c>
      <c r="F1410" s="4">
        <v>85.525852592056097</v>
      </c>
      <c r="G1410" s="4" t="str">
        <f t="shared" ref="G1410:G1473" si="44">IF(D1410 &gt; C1410, "ERROR", "OK")</f>
        <v>OK</v>
      </c>
      <c r="H1410" s="4" t="str">
        <f t="shared" ref="H1410:H1473" si="45">IF(E1410=0,"ZERO","NON-ZERO")</f>
        <v>NON-ZERO</v>
      </c>
      <c r="I1410">
        <v>300</v>
      </c>
      <c r="J1410">
        <f>IFERROR(Table4[[#This Row],[energy_kwh]]/Table4[[#This Row],[expected_kwh]],0)</f>
        <v>0.97438754548337325</v>
      </c>
      <c r="K1410" t="str">
        <f>IF(Table4[[#This Row],[Performance_Ratio]] &lt; 0.85, "Underperforming", "Performing")</f>
        <v>Performing</v>
      </c>
      <c r="L1410">
        <f>Table4[[#This Row],[energy_kwh]] - Table4[[#This Row],[expected_kwh]]</f>
        <v>-7.6837363549880138</v>
      </c>
      <c r="M1410" t="str">
        <f>IF(Table4[[#This Row],[Performance_Deviation]] &lt; 0, "Underperforming", "Outperforming")</f>
        <v>Underperforming</v>
      </c>
      <c r="N1410">
        <f>IF(Table4[[#This Row],[Performance_Ratio]] &lt; 0.85, Table4[[#This Row],[Performance_Deviation]] * 50 / 1000, 0)</f>
        <v>0</v>
      </c>
    </row>
    <row r="1411" spans="1:14" x14ac:dyDescent="0.3">
      <c r="A1411" s="6" t="s">
        <v>7</v>
      </c>
      <c r="B1411" s="5">
        <v>45319.708333333336</v>
      </c>
      <c r="C1411" s="6">
        <v>133.778329566975</v>
      </c>
      <c r="D1411" s="6">
        <v>130.839028665234</v>
      </c>
      <c r="E1411" s="6">
        <v>130.839028665234</v>
      </c>
      <c r="F1411" s="6">
        <v>64.518144081072293</v>
      </c>
      <c r="G1411" s="6" t="str">
        <f t="shared" si="44"/>
        <v>OK</v>
      </c>
      <c r="H1411" s="6" t="str">
        <f t="shared" si="45"/>
        <v>NON-ZERO</v>
      </c>
      <c r="I1411">
        <v>155.291427061512</v>
      </c>
      <c r="J1411">
        <f>IFERROR(Table4[[#This Row],[energy_kwh]]/Table4[[#This Row],[expected_kwh]],0)</f>
        <v>0.84253864582883742</v>
      </c>
      <c r="K1411" t="str">
        <f>IF(Table4[[#This Row],[Performance_Ratio]] &lt; 0.85, "Underperforming", "Performing")</f>
        <v>Underperforming</v>
      </c>
      <c r="L1411">
        <f>Table4[[#This Row],[energy_kwh]] - Table4[[#This Row],[expected_kwh]]</f>
        <v>-24.452398396277999</v>
      </c>
      <c r="M1411" t="str">
        <f>IF(Table4[[#This Row],[Performance_Deviation]] &lt; 0, "Underperforming", "Outperforming")</f>
        <v>Underperforming</v>
      </c>
      <c r="N1411">
        <f>IF(Table4[[#This Row],[Performance_Ratio]] &lt; 0.85, Table4[[#This Row],[Performance_Deviation]] * 50 / 1000, 0)</f>
        <v>-1.2226199198139001</v>
      </c>
    </row>
    <row r="1412" spans="1:14" x14ac:dyDescent="0.3">
      <c r="A1412" s="4" t="s">
        <v>7</v>
      </c>
      <c r="B1412" s="3">
        <v>45319.75</v>
      </c>
      <c r="C1412" s="7">
        <v>6.87762522016716E-14</v>
      </c>
      <c r="D1412" s="7">
        <v>6.7265139745946794E-14</v>
      </c>
      <c r="E1412" s="7">
        <v>6.7265139745946794E-14</v>
      </c>
      <c r="F1412" s="4">
        <v>76.915110081346199</v>
      </c>
      <c r="G1412" s="4" t="str">
        <f t="shared" si="44"/>
        <v>OK</v>
      </c>
      <c r="H1412" s="4" t="str">
        <f t="shared" si="45"/>
        <v>NON-ZERO</v>
      </c>
      <c r="I1412" s="2">
        <v>7.3478807948841102E-14</v>
      </c>
      <c r="J1412">
        <f>IFERROR(Table4[[#This Row],[energy_kwh]]/Table4[[#This Row],[expected_kwh]],0)</f>
        <v>0.9154359144309947</v>
      </c>
      <c r="K1412" t="str">
        <f>IF(Table4[[#This Row],[Performance_Ratio]] &lt; 0.85, "Underperforming", "Performing")</f>
        <v>Performing</v>
      </c>
      <c r="L1412">
        <f>Table4[[#This Row],[energy_kwh]] - Table4[[#This Row],[expected_kwh]]</f>
        <v>-6.2136682028943072E-15</v>
      </c>
      <c r="M1412" t="str">
        <f>IF(Table4[[#This Row],[Performance_Deviation]] &lt; 0, "Underperforming", "Outperforming")</f>
        <v>Underperforming</v>
      </c>
      <c r="N1412">
        <f>IF(Table4[[#This Row],[Performance_Ratio]] &lt; 0.85, Table4[[#This Row],[Performance_Deviation]] * 50 / 1000, 0)</f>
        <v>0</v>
      </c>
    </row>
    <row r="1413" spans="1:14" x14ac:dyDescent="0.3">
      <c r="A1413" s="6" t="s">
        <v>7</v>
      </c>
      <c r="B1413" s="5">
        <v>45319.791666666664</v>
      </c>
      <c r="C1413" s="6">
        <v>0</v>
      </c>
      <c r="D1413" s="6">
        <v>0</v>
      </c>
      <c r="E1413" s="6">
        <v>0</v>
      </c>
      <c r="F1413" s="6">
        <v>81.096879201943693</v>
      </c>
      <c r="G1413" s="6" t="str">
        <f t="shared" si="44"/>
        <v>OK</v>
      </c>
      <c r="H1413" s="6" t="str">
        <f t="shared" si="45"/>
        <v>ZERO</v>
      </c>
      <c r="I1413">
        <v>0</v>
      </c>
      <c r="J1413">
        <f>IFERROR(Table4[[#This Row],[energy_kwh]]/Table4[[#This Row],[expected_kwh]],0)</f>
        <v>0</v>
      </c>
      <c r="K1413" t="str">
        <f>IF(Table4[[#This Row],[Performance_Ratio]] &lt; 0.85, "Underperforming", "Performing")</f>
        <v>Underperforming</v>
      </c>
      <c r="L1413">
        <f>Table4[[#This Row],[energy_kwh]] - Table4[[#This Row],[expected_kwh]]</f>
        <v>0</v>
      </c>
      <c r="M1413" t="str">
        <f>IF(Table4[[#This Row],[Performance_Deviation]] &lt; 0, "Underperforming", "Outperforming")</f>
        <v>Outperforming</v>
      </c>
      <c r="N1413">
        <f>IF(Table4[[#This Row],[Performance_Ratio]] &lt; 0.85, Table4[[#This Row],[Performance_Deviation]] * 50 / 1000, 0)</f>
        <v>0</v>
      </c>
    </row>
    <row r="1414" spans="1:14" x14ac:dyDescent="0.3">
      <c r="A1414" s="4" t="s">
        <v>7</v>
      </c>
      <c r="B1414" s="3">
        <v>45319.833333333336</v>
      </c>
      <c r="C1414" s="4">
        <v>0</v>
      </c>
      <c r="D1414" s="4">
        <v>0</v>
      </c>
      <c r="E1414" s="4">
        <v>0</v>
      </c>
      <c r="F1414" s="4">
        <v>49.564287094993098</v>
      </c>
      <c r="G1414" s="4" t="str">
        <f t="shared" si="44"/>
        <v>OK</v>
      </c>
      <c r="H1414" s="4" t="str">
        <f t="shared" si="45"/>
        <v>ZERO</v>
      </c>
      <c r="I1414">
        <v>0</v>
      </c>
      <c r="J1414">
        <f>IFERROR(Table4[[#This Row],[energy_kwh]]/Table4[[#This Row],[expected_kwh]],0)</f>
        <v>0</v>
      </c>
      <c r="K1414" t="str">
        <f>IF(Table4[[#This Row],[Performance_Ratio]] &lt; 0.85, "Underperforming", "Performing")</f>
        <v>Underperforming</v>
      </c>
      <c r="L1414">
        <f>Table4[[#This Row],[energy_kwh]] - Table4[[#This Row],[expected_kwh]]</f>
        <v>0</v>
      </c>
      <c r="M1414" t="str">
        <f>IF(Table4[[#This Row],[Performance_Deviation]] &lt; 0, "Underperforming", "Outperforming")</f>
        <v>Outperforming</v>
      </c>
      <c r="N1414">
        <f>IF(Table4[[#This Row],[Performance_Ratio]] &lt; 0.85, Table4[[#This Row],[Performance_Deviation]] * 50 / 1000, 0)</f>
        <v>0</v>
      </c>
    </row>
    <row r="1415" spans="1:14" x14ac:dyDescent="0.3">
      <c r="A1415" s="6" t="s">
        <v>7</v>
      </c>
      <c r="B1415" s="5">
        <v>45319.875</v>
      </c>
      <c r="C1415" s="6">
        <v>0</v>
      </c>
      <c r="D1415" s="6">
        <v>0</v>
      </c>
      <c r="E1415" s="6">
        <v>0</v>
      </c>
      <c r="F1415" s="6">
        <v>55.392688292339201</v>
      </c>
      <c r="G1415" s="6" t="str">
        <f t="shared" si="44"/>
        <v>OK</v>
      </c>
      <c r="H1415" s="6" t="str">
        <f t="shared" si="45"/>
        <v>ZERO</v>
      </c>
      <c r="I1415">
        <v>0</v>
      </c>
      <c r="J1415">
        <f>IFERROR(Table4[[#This Row],[energy_kwh]]/Table4[[#This Row],[expected_kwh]],0)</f>
        <v>0</v>
      </c>
      <c r="K1415" t="str">
        <f>IF(Table4[[#This Row],[Performance_Ratio]] &lt; 0.85, "Underperforming", "Performing")</f>
        <v>Underperforming</v>
      </c>
      <c r="L1415">
        <f>Table4[[#This Row],[energy_kwh]] - Table4[[#This Row],[expected_kwh]]</f>
        <v>0</v>
      </c>
      <c r="M1415" t="str">
        <f>IF(Table4[[#This Row],[Performance_Deviation]] &lt; 0, "Underperforming", "Outperforming")</f>
        <v>Outperforming</v>
      </c>
      <c r="N1415">
        <f>IF(Table4[[#This Row],[Performance_Ratio]] &lt; 0.85, Table4[[#This Row],[Performance_Deviation]] * 50 / 1000, 0)</f>
        <v>0</v>
      </c>
    </row>
    <row r="1416" spans="1:14" x14ac:dyDescent="0.3">
      <c r="A1416" s="4" t="s">
        <v>7</v>
      </c>
      <c r="B1416" s="3">
        <v>45319.916666666664</v>
      </c>
      <c r="C1416" s="4">
        <v>0</v>
      </c>
      <c r="D1416" s="4">
        <v>0</v>
      </c>
      <c r="E1416" s="4">
        <v>0</v>
      </c>
      <c r="F1416" s="4">
        <v>44.997489490289297</v>
      </c>
      <c r="G1416" s="4" t="str">
        <f t="shared" si="44"/>
        <v>OK</v>
      </c>
      <c r="H1416" s="4" t="str">
        <f t="shared" si="45"/>
        <v>ZERO</v>
      </c>
      <c r="I1416">
        <v>0</v>
      </c>
      <c r="J1416">
        <f>IFERROR(Table4[[#This Row],[energy_kwh]]/Table4[[#This Row],[expected_kwh]],0)</f>
        <v>0</v>
      </c>
      <c r="K1416" t="str">
        <f>IF(Table4[[#This Row],[Performance_Ratio]] &lt; 0.85, "Underperforming", "Performing")</f>
        <v>Underperforming</v>
      </c>
      <c r="L1416">
        <f>Table4[[#This Row],[energy_kwh]] - Table4[[#This Row],[expected_kwh]]</f>
        <v>0</v>
      </c>
      <c r="M1416" t="str">
        <f>IF(Table4[[#This Row],[Performance_Deviation]] &lt; 0, "Underperforming", "Outperforming")</f>
        <v>Outperforming</v>
      </c>
      <c r="N1416">
        <f>IF(Table4[[#This Row],[Performance_Ratio]] &lt; 0.85, Table4[[#This Row],[Performance_Deviation]] * 50 / 1000, 0)</f>
        <v>0</v>
      </c>
    </row>
    <row r="1417" spans="1:14" x14ac:dyDescent="0.3">
      <c r="A1417" s="6" t="s">
        <v>7</v>
      </c>
      <c r="B1417" s="5">
        <v>45319.958333333336</v>
      </c>
      <c r="C1417" s="6">
        <v>0</v>
      </c>
      <c r="D1417" s="6">
        <v>0</v>
      </c>
      <c r="E1417" s="6">
        <v>0</v>
      </c>
      <c r="F1417" s="6">
        <v>37.875290797099701</v>
      </c>
      <c r="G1417" s="6" t="str">
        <f t="shared" si="44"/>
        <v>OK</v>
      </c>
      <c r="H1417" s="6" t="str">
        <f t="shared" si="45"/>
        <v>ZERO</v>
      </c>
      <c r="I1417">
        <v>0</v>
      </c>
      <c r="J1417">
        <f>IFERROR(Table4[[#This Row],[energy_kwh]]/Table4[[#This Row],[expected_kwh]],0)</f>
        <v>0</v>
      </c>
      <c r="K1417" t="str">
        <f>IF(Table4[[#This Row],[Performance_Ratio]] &lt; 0.85, "Underperforming", "Performing")</f>
        <v>Underperforming</v>
      </c>
      <c r="L1417">
        <f>Table4[[#This Row],[energy_kwh]] - Table4[[#This Row],[expected_kwh]]</f>
        <v>0</v>
      </c>
      <c r="M1417" t="str">
        <f>IF(Table4[[#This Row],[Performance_Deviation]] &lt; 0, "Underperforming", "Outperforming")</f>
        <v>Outperforming</v>
      </c>
      <c r="N1417">
        <f>IF(Table4[[#This Row],[Performance_Ratio]] &lt; 0.85, Table4[[#This Row],[Performance_Deviation]] * 50 / 1000, 0)</f>
        <v>0</v>
      </c>
    </row>
    <row r="1418" spans="1:14" x14ac:dyDescent="0.3">
      <c r="A1418" s="4" t="s">
        <v>7</v>
      </c>
      <c r="B1418" s="3">
        <v>45320</v>
      </c>
      <c r="C1418" s="4">
        <v>0</v>
      </c>
      <c r="D1418" s="4">
        <v>0</v>
      </c>
      <c r="E1418" s="4">
        <v>0</v>
      </c>
      <c r="F1418" s="4">
        <v>37.913387030270499</v>
      </c>
      <c r="G1418" s="4" t="str">
        <f t="shared" si="44"/>
        <v>OK</v>
      </c>
      <c r="H1418" s="4" t="str">
        <f t="shared" si="45"/>
        <v>ZERO</v>
      </c>
      <c r="I1418">
        <v>0</v>
      </c>
      <c r="J1418">
        <f>IFERROR(Table4[[#This Row],[energy_kwh]]/Table4[[#This Row],[expected_kwh]],0)</f>
        <v>0</v>
      </c>
      <c r="K1418" t="str">
        <f>IF(Table4[[#This Row],[Performance_Ratio]] &lt; 0.85, "Underperforming", "Performing")</f>
        <v>Underperforming</v>
      </c>
      <c r="L1418">
        <f>Table4[[#This Row],[energy_kwh]] - Table4[[#This Row],[expected_kwh]]</f>
        <v>0</v>
      </c>
      <c r="M1418" t="str">
        <f>IF(Table4[[#This Row],[Performance_Deviation]] &lt; 0, "Underperforming", "Outperforming")</f>
        <v>Outperforming</v>
      </c>
      <c r="N1418">
        <f>IF(Table4[[#This Row],[Performance_Ratio]] &lt; 0.85, Table4[[#This Row],[Performance_Deviation]] * 50 / 1000, 0)</f>
        <v>0</v>
      </c>
    </row>
    <row r="1419" spans="1:14" x14ac:dyDescent="0.3">
      <c r="A1419" s="6" t="s">
        <v>7</v>
      </c>
      <c r="B1419" s="5">
        <v>45320.041666666664</v>
      </c>
      <c r="C1419" s="6">
        <v>0</v>
      </c>
      <c r="D1419" s="6">
        <v>0</v>
      </c>
      <c r="E1419" s="6">
        <v>0</v>
      </c>
      <c r="F1419" s="6">
        <v>32.664446702527599</v>
      </c>
      <c r="G1419" s="6" t="str">
        <f t="shared" si="44"/>
        <v>OK</v>
      </c>
      <c r="H1419" s="6" t="str">
        <f t="shared" si="45"/>
        <v>ZERO</v>
      </c>
      <c r="I1419">
        <v>0</v>
      </c>
      <c r="J1419">
        <f>IFERROR(Table4[[#This Row],[energy_kwh]]/Table4[[#This Row],[expected_kwh]],0)</f>
        <v>0</v>
      </c>
      <c r="K1419" t="str">
        <f>IF(Table4[[#This Row],[Performance_Ratio]] &lt; 0.85, "Underperforming", "Performing")</f>
        <v>Underperforming</v>
      </c>
      <c r="L1419">
        <f>Table4[[#This Row],[energy_kwh]] - Table4[[#This Row],[expected_kwh]]</f>
        <v>0</v>
      </c>
      <c r="M1419" t="str">
        <f>IF(Table4[[#This Row],[Performance_Deviation]] &lt; 0, "Underperforming", "Outperforming")</f>
        <v>Outperforming</v>
      </c>
      <c r="N1419">
        <f>IF(Table4[[#This Row],[Performance_Ratio]] &lt; 0.85, Table4[[#This Row],[Performance_Deviation]] * 50 / 1000, 0)</f>
        <v>0</v>
      </c>
    </row>
    <row r="1420" spans="1:14" x14ac:dyDescent="0.3">
      <c r="A1420" s="4" t="s">
        <v>7</v>
      </c>
      <c r="B1420" s="3">
        <v>45320.083333333336</v>
      </c>
      <c r="C1420" s="4">
        <v>0</v>
      </c>
      <c r="D1420" s="4">
        <v>0</v>
      </c>
      <c r="E1420" s="4">
        <v>0</v>
      </c>
      <c r="F1420" s="4">
        <v>60.808146795460097</v>
      </c>
      <c r="G1420" s="4" t="str">
        <f t="shared" si="44"/>
        <v>OK</v>
      </c>
      <c r="H1420" s="4" t="str">
        <f t="shared" si="45"/>
        <v>ZERO</v>
      </c>
      <c r="I1420">
        <v>0</v>
      </c>
      <c r="J1420">
        <f>IFERROR(Table4[[#This Row],[energy_kwh]]/Table4[[#This Row],[expected_kwh]],0)</f>
        <v>0</v>
      </c>
      <c r="K1420" t="str">
        <f>IF(Table4[[#This Row],[Performance_Ratio]] &lt; 0.85, "Underperforming", "Performing")</f>
        <v>Underperforming</v>
      </c>
      <c r="L1420">
        <f>Table4[[#This Row],[energy_kwh]] - Table4[[#This Row],[expected_kwh]]</f>
        <v>0</v>
      </c>
      <c r="M1420" t="str">
        <f>IF(Table4[[#This Row],[Performance_Deviation]] &lt; 0, "Underperforming", "Outperforming")</f>
        <v>Outperforming</v>
      </c>
      <c r="N1420">
        <f>IF(Table4[[#This Row],[Performance_Ratio]] &lt; 0.85, Table4[[#This Row],[Performance_Deviation]] * 50 / 1000, 0)</f>
        <v>0</v>
      </c>
    </row>
    <row r="1421" spans="1:14" x14ac:dyDescent="0.3">
      <c r="A1421" s="6" t="s">
        <v>7</v>
      </c>
      <c r="B1421" s="5">
        <v>45320.125</v>
      </c>
      <c r="C1421" s="6">
        <v>0</v>
      </c>
      <c r="D1421" s="6">
        <v>0</v>
      </c>
      <c r="E1421" s="6">
        <v>0</v>
      </c>
      <c r="F1421" s="6">
        <v>53.547706718945001</v>
      </c>
      <c r="G1421" s="6" t="str">
        <f t="shared" si="44"/>
        <v>OK</v>
      </c>
      <c r="H1421" s="6" t="str">
        <f t="shared" si="45"/>
        <v>ZERO</v>
      </c>
      <c r="I1421">
        <v>0</v>
      </c>
      <c r="J1421">
        <f>IFERROR(Table4[[#This Row],[energy_kwh]]/Table4[[#This Row],[expected_kwh]],0)</f>
        <v>0</v>
      </c>
      <c r="K1421" t="str">
        <f>IF(Table4[[#This Row],[Performance_Ratio]] &lt; 0.85, "Underperforming", "Performing")</f>
        <v>Underperforming</v>
      </c>
      <c r="L1421">
        <f>Table4[[#This Row],[energy_kwh]] - Table4[[#This Row],[expected_kwh]]</f>
        <v>0</v>
      </c>
      <c r="M1421" t="str">
        <f>IF(Table4[[#This Row],[Performance_Deviation]] &lt; 0, "Underperforming", "Outperforming")</f>
        <v>Outperforming</v>
      </c>
      <c r="N1421">
        <f>IF(Table4[[#This Row],[Performance_Ratio]] &lt; 0.85, Table4[[#This Row],[Performance_Deviation]] * 50 / 1000, 0)</f>
        <v>0</v>
      </c>
    </row>
    <row r="1422" spans="1:14" x14ac:dyDescent="0.3">
      <c r="A1422" s="4" t="s">
        <v>7</v>
      </c>
      <c r="B1422" s="3">
        <v>45320.166666666664</v>
      </c>
      <c r="C1422" s="4">
        <v>0</v>
      </c>
      <c r="D1422" s="4">
        <v>0</v>
      </c>
      <c r="E1422" s="4">
        <v>0</v>
      </c>
      <c r="F1422" s="4">
        <v>54.332345952810002</v>
      </c>
      <c r="G1422" s="4" t="str">
        <f t="shared" si="44"/>
        <v>OK</v>
      </c>
      <c r="H1422" s="4" t="str">
        <f t="shared" si="45"/>
        <v>ZERO</v>
      </c>
      <c r="I1422">
        <v>0</v>
      </c>
      <c r="J1422">
        <f>IFERROR(Table4[[#This Row],[energy_kwh]]/Table4[[#This Row],[expected_kwh]],0)</f>
        <v>0</v>
      </c>
      <c r="K1422" t="str">
        <f>IF(Table4[[#This Row],[Performance_Ratio]] &lt; 0.85, "Underperforming", "Performing")</f>
        <v>Underperforming</v>
      </c>
      <c r="L1422">
        <f>Table4[[#This Row],[energy_kwh]] - Table4[[#This Row],[expected_kwh]]</f>
        <v>0</v>
      </c>
      <c r="M1422" t="str">
        <f>IF(Table4[[#This Row],[Performance_Deviation]] &lt; 0, "Underperforming", "Outperforming")</f>
        <v>Outperforming</v>
      </c>
      <c r="N1422">
        <f>IF(Table4[[#This Row],[Performance_Ratio]] &lt; 0.85, Table4[[#This Row],[Performance_Deviation]] * 50 / 1000, 0)</f>
        <v>0</v>
      </c>
    </row>
    <row r="1423" spans="1:14" x14ac:dyDescent="0.3">
      <c r="A1423" s="6" t="s">
        <v>7</v>
      </c>
      <c r="B1423" s="5">
        <v>45320.208333333336</v>
      </c>
      <c r="C1423" s="6">
        <v>0</v>
      </c>
      <c r="D1423" s="6">
        <v>0</v>
      </c>
      <c r="E1423" s="6">
        <v>0</v>
      </c>
      <c r="F1423" s="6">
        <v>73.197209535557604</v>
      </c>
      <c r="G1423" s="6" t="str">
        <f t="shared" si="44"/>
        <v>OK</v>
      </c>
      <c r="H1423" s="6" t="str">
        <f t="shared" si="45"/>
        <v>ZERO</v>
      </c>
      <c r="I1423">
        <v>0</v>
      </c>
      <c r="J1423">
        <f>IFERROR(Table4[[#This Row],[energy_kwh]]/Table4[[#This Row],[expected_kwh]],0)</f>
        <v>0</v>
      </c>
      <c r="K1423" t="str">
        <f>IF(Table4[[#This Row],[Performance_Ratio]] &lt; 0.85, "Underperforming", "Performing")</f>
        <v>Underperforming</v>
      </c>
      <c r="L1423">
        <f>Table4[[#This Row],[energy_kwh]] - Table4[[#This Row],[expected_kwh]]</f>
        <v>0</v>
      </c>
      <c r="M1423" t="str">
        <f>IF(Table4[[#This Row],[Performance_Deviation]] &lt; 0, "Underperforming", "Outperforming")</f>
        <v>Outperforming</v>
      </c>
      <c r="N1423">
        <f>IF(Table4[[#This Row],[Performance_Ratio]] &lt; 0.85, Table4[[#This Row],[Performance_Deviation]] * 50 / 1000, 0)</f>
        <v>0</v>
      </c>
    </row>
    <row r="1424" spans="1:14" x14ac:dyDescent="0.3">
      <c r="A1424" s="4" t="s">
        <v>7</v>
      </c>
      <c r="B1424" s="3">
        <v>45320.25</v>
      </c>
      <c r="C1424" s="4">
        <v>0</v>
      </c>
      <c r="D1424" s="4">
        <v>0</v>
      </c>
      <c r="E1424" s="4">
        <v>0</v>
      </c>
      <c r="F1424" s="4">
        <v>62.280282608404903</v>
      </c>
      <c r="G1424" s="4" t="str">
        <f t="shared" si="44"/>
        <v>OK</v>
      </c>
      <c r="H1424" s="4" t="str">
        <f t="shared" si="45"/>
        <v>ZERO</v>
      </c>
      <c r="I1424">
        <v>0</v>
      </c>
      <c r="J1424">
        <f>IFERROR(Table4[[#This Row],[energy_kwh]]/Table4[[#This Row],[expected_kwh]],0)</f>
        <v>0</v>
      </c>
      <c r="K1424" t="str">
        <f>IF(Table4[[#This Row],[Performance_Ratio]] &lt; 0.85, "Underperforming", "Performing")</f>
        <v>Underperforming</v>
      </c>
      <c r="L1424">
        <f>Table4[[#This Row],[energy_kwh]] - Table4[[#This Row],[expected_kwh]]</f>
        <v>0</v>
      </c>
      <c r="M1424" t="str">
        <f>IF(Table4[[#This Row],[Performance_Deviation]] &lt; 0, "Underperforming", "Outperforming")</f>
        <v>Outperforming</v>
      </c>
      <c r="N1424">
        <f>IF(Table4[[#This Row],[Performance_Ratio]] &lt; 0.85, Table4[[#This Row],[Performance_Deviation]] * 50 / 1000, 0)</f>
        <v>0</v>
      </c>
    </row>
    <row r="1425" spans="1:14" x14ac:dyDescent="0.3">
      <c r="A1425" s="6" t="s">
        <v>7</v>
      </c>
      <c r="B1425" s="5">
        <v>45320.291666666664</v>
      </c>
      <c r="C1425" s="6">
        <v>143.87072330463701</v>
      </c>
      <c r="D1425" s="6">
        <v>140.70967810312899</v>
      </c>
      <c r="E1425" s="6">
        <v>140.70967810312899</v>
      </c>
      <c r="F1425" s="6">
        <v>23.9209327451569</v>
      </c>
      <c r="G1425" s="6" t="str">
        <f t="shared" si="44"/>
        <v>OK</v>
      </c>
      <c r="H1425" s="6" t="str">
        <f t="shared" si="45"/>
        <v>NON-ZERO</v>
      </c>
      <c r="I1425">
        <v>155.291427061512</v>
      </c>
      <c r="J1425">
        <f>IFERROR(Table4[[#This Row],[energy_kwh]]/Table4[[#This Row],[expected_kwh]],0)</f>
        <v>0.90610074725756062</v>
      </c>
      <c r="K1425" t="str">
        <f>IF(Table4[[#This Row],[Performance_Ratio]] &lt; 0.85, "Underperforming", "Performing")</f>
        <v>Performing</v>
      </c>
      <c r="L1425">
        <f>Table4[[#This Row],[energy_kwh]] - Table4[[#This Row],[expected_kwh]]</f>
        <v>-14.581748958383002</v>
      </c>
      <c r="M1425" t="str">
        <f>IF(Table4[[#This Row],[Performance_Deviation]] &lt; 0, "Underperforming", "Outperforming")</f>
        <v>Underperforming</v>
      </c>
      <c r="N1425">
        <f>IF(Table4[[#This Row],[Performance_Ratio]] &lt; 0.85, Table4[[#This Row],[Performance_Deviation]] * 50 / 1000, 0)</f>
        <v>0</v>
      </c>
    </row>
    <row r="1426" spans="1:14" x14ac:dyDescent="0.3">
      <c r="A1426" s="4" t="s">
        <v>7</v>
      </c>
      <c r="B1426" s="3">
        <v>45320.333333333336</v>
      </c>
      <c r="C1426" s="4">
        <v>277.54244523469902</v>
      </c>
      <c r="D1426" s="4">
        <v>271.44444145344198</v>
      </c>
      <c r="E1426" s="4">
        <v>271.44444145344198</v>
      </c>
      <c r="F1426" s="4">
        <v>74.201268085586406</v>
      </c>
      <c r="G1426" s="4" t="str">
        <f t="shared" si="44"/>
        <v>OK</v>
      </c>
      <c r="H1426" s="4" t="str">
        <f t="shared" si="45"/>
        <v>NON-ZERO</v>
      </c>
      <c r="I1426">
        <v>300</v>
      </c>
      <c r="J1426">
        <f>IFERROR(Table4[[#This Row],[energy_kwh]]/Table4[[#This Row],[expected_kwh]],0)</f>
        <v>0.90481480484480659</v>
      </c>
      <c r="K1426" t="str">
        <f>IF(Table4[[#This Row],[Performance_Ratio]] &lt; 0.85, "Underperforming", "Performing")</f>
        <v>Performing</v>
      </c>
      <c r="L1426">
        <f>Table4[[#This Row],[energy_kwh]] - Table4[[#This Row],[expected_kwh]]</f>
        <v>-28.555558546558018</v>
      </c>
      <c r="M1426" t="str">
        <f>IF(Table4[[#This Row],[Performance_Deviation]] &lt; 0, "Underperforming", "Outperforming")</f>
        <v>Underperforming</v>
      </c>
      <c r="N1426">
        <f>IF(Table4[[#This Row],[Performance_Ratio]] &lt; 0.85, Table4[[#This Row],[Performance_Deviation]] * 50 / 1000, 0)</f>
        <v>0</v>
      </c>
    </row>
    <row r="1427" spans="1:14" x14ac:dyDescent="0.3">
      <c r="A1427" s="6" t="s">
        <v>7</v>
      </c>
      <c r="B1427" s="5">
        <v>45320.375</v>
      </c>
      <c r="C1427" s="6">
        <v>415.37052385482201</v>
      </c>
      <c r="D1427" s="6">
        <v>406.244240403123</v>
      </c>
      <c r="E1427" s="6">
        <v>406.244240403123</v>
      </c>
      <c r="F1427" s="6">
        <v>29.497784413878001</v>
      </c>
      <c r="G1427" s="6" t="str">
        <f t="shared" si="44"/>
        <v>OK</v>
      </c>
      <c r="H1427" s="6" t="str">
        <f t="shared" si="45"/>
        <v>NON-ZERO</v>
      </c>
      <c r="I1427">
        <v>424.26406871192802</v>
      </c>
      <c r="J1427">
        <f>IFERROR(Table4[[#This Row],[energy_kwh]]/Table4[[#This Row],[expected_kwh]],0)</f>
        <v>0.95752685735675547</v>
      </c>
      <c r="K1427" t="str">
        <f>IF(Table4[[#This Row],[Performance_Ratio]] &lt; 0.85, "Underperforming", "Performing")</f>
        <v>Performing</v>
      </c>
      <c r="L1427">
        <f>Table4[[#This Row],[energy_kwh]] - Table4[[#This Row],[expected_kwh]]</f>
        <v>-18.019828308805018</v>
      </c>
      <c r="M1427" t="str">
        <f>IF(Table4[[#This Row],[Performance_Deviation]] &lt; 0, "Underperforming", "Outperforming")</f>
        <v>Underperforming</v>
      </c>
      <c r="N1427">
        <f>IF(Table4[[#This Row],[Performance_Ratio]] &lt; 0.85, Table4[[#This Row],[Performance_Deviation]] * 50 / 1000, 0)</f>
        <v>0</v>
      </c>
    </row>
    <row r="1428" spans="1:14" x14ac:dyDescent="0.3">
      <c r="A1428" s="4" t="s">
        <v>7</v>
      </c>
      <c r="B1428" s="3">
        <v>45320.416666666664</v>
      </c>
      <c r="C1428" s="4">
        <v>492.58683781513901</v>
      </c>
      <c r="D1428" s="4">
        <v>481.764001700633</v>
      </c>
      <c r="E1428" s="4">
        <v>481.764001700633</v>
      </c>
      <c r="F1428" s="4">
        <v>90.782478665900996</v>
      </c>
      <c r="G1428" s="4" t="str">
        <f t="shared" si="44"/>
        <v>OK</v>
      </c>
      <c r="H1428" s="4" t="str">
        <f t="shared" si="45"/>
        <v>NON-ZERO</v>
      </c>
      <c r="I1428">
        <v>519.61524227066297</v>
      </c>
      <c r="J1428">
        <f>IFERROR(Table4[[#This Row],[energy_kwh]]/Table4[[#This Row],[expected_kwh]],0)</f>
        <v>0.92715525355910633</v>
      </c>
      <c r="K1428" t="str">
        <f>IF(Table4[[#This Row],[Performance_Ratio]] &lt; 0.85, "Underperforming", "Performing")</f>
        <v>Performing</v>
      </c>
      <c r="L1428">
        <f>Table4[[#This Row],[energy_kwh]] - Table4[[#This Row],[expected_kwh]]</f>
        <v>-37.851240570029972</v>
      </c>
      <c r="M1428" t="str">
        <f>IF(Table4[[#This Row],[Performance_Deviation]] &lt; 0, "Underperforming", "Outperforming")</f>
        <v>Underperforming</v>
      </c>
      <c r="N1428">
        <f>IF(Table4[[#This Row],[Performance_Ratio]] &lt; 0.85, Table4[[#This Row],[Performance_Deviation]] * 50 / 1000, 0)</f>
        <v>0</v>
      </c>
    </row>
    <row r="1429" spans="1:14" x14ac:dyDescent="0.3">
      <c r="A1429" s="6" t="s">
        <v>7</v>
      </c>
      <c r="B1429" s="5">
        <v>45320.458333333336</v>
      </c>
      <c r="C1429" s="6">
        <v>496.68185505599399</v>
      </c>
      <c r="D1429" s="6">
        <v>485.76904556607298</v>
      </c>
      <c r="E1429" s="6">
        <v>485.76904556607298</v>
      </c>
      <c r="F1429" s="6">
        <v>89.246451576045104</v>
      </c>
      <c r="G1429" s="6" t="str">
        <f t="shared" si="44"/>
        <v>OK</v>
      </c>
      <c r="H1429" s="6" t="str">
        <f t="shared" si="45"/>
        <v>NON-ZERO</v>
      </c>
      <c r="I1429">
        <v>579.55549577344095</v>
      </c>
      <c r="J1429">
        <f>IFERROR(Table4[[#This Row],[energy_kwh]]/Table4[[#This Row],[expected_kwh]],0)</f>
        <v>0.83817520342515939</v>
      </c>
      <c r="K1429" t="str">
        <f>IF(Table4[[#This Row],[Performance_Ratio]] &lt; 0.85, "Underperforming", "Performing")</f>
        <v>Underperforming</v>
      </c>
      <c r="L1429">
        <f>Table4[[#This Row],[energy_kwh]] - Table4[[#This Row],[expected_kwh]]</f>
        <v>-93.786450207367977</v>
      </c>
      <c r="M1429" t="str">
        <f>IF(Table4[[#This Row],[Performance_Deviation]] &lt; 0, "Underperforming", "Outperforming")</f>
        <v>Underperforming</v>
      </c>
      <c r="N1429">
        <f>IF(Table4[[#This Row],[Performance_Ratio]] &lt; 0.85, Table4[[#This Row],[Performance_Deviation]] * 50 / 1000, 0)</f>
        <v>-4.6893225103683989</v>
      </c>
    </row>
    <row r="1430" spans="1:14" x14ac:dyDescent="0.3">
      <c r="A1430" s="4" t="s">
        <v>7</v>
      </c>
      <c r="B1430" s="3">
        <v>45320.5</v>
      </c>
      <c r="C1430" s="4">
        <v>498.27080710213897</v>
      </c>
      <c r="D1430" s="4">
        <v>487.32308606714702</v>
      </c>
      <c r="E1430" s="4">
        <v>487.32308606714702</v>
      </c>
      <c r="F1430" s="4">
        <v>94.184398933154995</v>
      </c>
      <c r="G1430" s="4" t="str">
        <f t="shared" si="44"/>
        <v>OK</v>
      </c>
      <c r="H1430" s="4" t="str">
        <f t="shared" si="45"/>
        <v>NON-ZERO</v>
      </c>
      <c r="I1430">
        <v>600</v>
      </c>
      <c r="J1430">
        <f>IFERROR(Table4[[#This Row],[energy_kwh]]/Table4[[#This Row],[expected_kwh]],0)</f>
        <v>0.81220514344524508</v>
      </c>
      <c r="K1430" t="str">
        <f>IF(Table4[[#This Row],[Performance_Ratio]] &lt; 0.85, "Underperforming", "Performing")</f>
        <v>Underperforming</v>
      </c>
      <c r="L1430">
        <f>Table4[[#This Row],[energy_kwh]] - Table4[[#This Row],[expected_kwh]]</f>
        <v>-112.67691393285298</v>
      </c>
      <c r="M1430" t="str">
        <f>IF(Table4[[#This Row],[Performance_Deviation]] &lt; 0, "Underperforming", "Outperforming")</f>
        <v>Underperforming</v>
      </c>
      <c r="N1430">
        <f>IF(Table4[[#This Row],[Performance_Ratio]] &lt; 0.85, Table4[[#This Row],[Performance_Deviation]] * 50 / 1000, 0)</f>
        <v>-5.6338456966426493</v>
      </c>
    </row>
    <row r="1431" spans="1:14" x14ac:dyDescent="0.3">
      <c r="A1431" s="6" t="s">
        <v>7</v>
      </c>
      <c r="B1431" s="5">
        <v>45320.541666666664</v>
      </c>
      <c r="C1431" s="6">
        <v>564.06558034258899</v>
      </c>
      <c r="D1431" s="6">
        <v>551.67225420143802</v>
      </c>
      <c r="E1431" s="6">
        <v>551.67225420143802</v>
      </c>
      <c r="F1431" s="6">
        <v>23.9017816272085</v>
      </c>
      <c r="G1431" s="6" t="str">
        <f t="shared" si="44"/>
        <v>OK</v>
      </c>
      <c r="H1431" s="6" t="str">
        <f t="shared" si="45"/>
        <v>NON-ZERO</v>
      </c>
      <c r="I1431">
        <v>579.55549577344095</v>
      </c>
      <c r="J1431">
        <f>IFERROR(Table4[[#This Row],[energy_kwh]]/Table4[[#This Row],[expected_kwh]],0)</f>
        <v>0.95188857361314194</v>
      </c>
      <c r="K1431" t="str">
        <f>IF(Table4[[#This Row],[Performance_Ratio]] &lt; 0.85, "Underperforming", "Performing")</f>
        <v>Performing</v>
      </c>
      <c r="L1431">
        <f>Table4[[#This Row],[energy_kwh]] - Table4[[#This Row],[expected_kwh]]</f>
        <v>-27.88324157200293</v>
      </c>
      <c r="M1431" t="str">
        <f>IF(Table4[[#This Row],[Performance_Deviation]] &lt; 0, "Underperforming", "Outperforming")</f>
        <v>Underperforming</v>
      </c>
      <c r="N1431">
        <f>IF(Table4[[#This Row],[Performance_Ratio]] &lt; 0.85, Table4[[#This Row],[Performance_Deviation]] * 50 / 1000, 0)</f>
        <v>0</v>
      </c>
    </row>
    <row r="1432" spans="1:14" x14ac:dyDescent="0.3">
      <c r="A1432" s="4" t="s">
        <v>7</v>
      </c>
      <c r="B1432" s="3">
        <v>45320.583333333336</v>
      </c>
      <c r="C1432" s="4">
        <v>495.47264193739602</v>
      </c>
      <c r="D1432" s="4">
        <v>484.58640058613702</v>
      </c>
      <c r="E1432" s="4">
        <v>484.58640058613702</v>
      </c>
      <c r="F1432" s="4">
        <v>41.350605413484701</v>
      </c>
      <c r="G1432" s="4" t="str">
        <f t="shared" si="44"/>
        <v>OK</v>
      </c>
      <c r="H1432" s="4" t="str">
        <f t="shared" si="45"/>
        <v>NON-ZERO</v>
      </c>
      <c r="I1432">
        <v>519.61524227066297</v>
      </c>
      <c r="J1432">
        <f>IFERROR(Table4[[#This Row],[energy_kwh]]/Table4[[#This Row],[expected_kwh]],0)</f>
        <v>0.93258696274679387</v>
      </c>
      <c r="K1432" t="str">
        <f>IF(Table4[[#This Row],[Performance_Ratio]] &lt; 0.85, "Underperforming", "Performing")</f>
        <v>Performing</v>
      </c>
      <c r="L1432">
        <f>Table4[[#This Row],[energy_kwh]] - Table4[[#This Row],[expected_kwh]]</f>
        <v>-35.028841684525958</v>
      </c>
      <c r="M1432" t="str">
        <f>IF(Table4[[#This Row],[Performance_Deviation]] &lt; 0, "Underperforming", "Outperforming")</f>
        <v>Underperforming</v>
      </c>
      <c r="N1432">
        <f>IF(Table4[[#This Row],[Performance_Ratio]] &lt; 0.85, Table4[[#This Row],[Performance_Deviation]] * 50 / 1000, 0)</f>
        <v>0</v>
      </c>
    </row>
    <row r="1433" spans="1:14" x14ac:dyDescent="0.3">
      <c r="A1433" s="6" t="s">
        <v>7</v>
      </c>
      <c r="B1433" s="5">
        <v>45320.625</v>
      </c>
      <c r="C1433" s="6">
        <v>447.29574609970598</v>
      </c>
      <c r="D1433" s="6">
        <v>437.46801993425498</v>
      </c>
      <c r="E1433" s="6">
        <v>437.46801993425498</v>
      </c>
      <c r="F1433" s="6">
        <v>60.474634167736397</v>
      </c>
      <c r="G1433" s="6" t="str">
        <f t="shared" si="44"/>
        <v>OK</v>
      </c>
      <c r="H1433" s="6" t="str">
        <f t="shared" si="45"/>
        <v>NON-ZERO</v>
      </c>
      <c r="I1433">
        <v>424.26406871192802</v>
      </c>
      <c r="J1433">
        <f>IFERROR(Table4[[#This Row],[energy_kwh]]/Table4[[#This Row],[expected_kwh]],0)</f>
        <v>1.0311220114925461</v>
      </c>
      <c r="K1433" t="str">
        <f>IF(Table4[[#This Row],[Performance_Ratio]] &lt; 0.85, "Underperforming", "Performing")</f>
        <v>Performing</v>
      </c>
      <c r="L1433">
        <f>Table4[[#This Row],[energy_kwh]] - Table4[[#This Row],[expected_kwh]]</f>
        <v>13.203951222326964</v>
      </c>
      <c r="M1433" t="str">
        <f>IF(Table4[[#This Row],[Performance_Deviation]] &lt; 0, "Underperforming", "Outperforming")</f>
        <v>Outperforming</v>
      </c>
      <c r="N1433">
        <f>IF(Table4[[#This Row],[Performance_Ratio]] &lt; 0.85, Table4[[#This Row],[Performance_Deviation]] * 50 / 1000, 0)</f>
        <v>0</v>
      </c>
    </row>
    <row r="1434" spans="1:14" x14ac:dyDescent="0.3">
      <c r="A1434" s="4" t="s">
        <v>7</v>
      </c>
      <c r="B1434" s="3">
        <v>45320.666666666664</v>
      </c>
      <c r="C1434" s="4">
        <v>280.83182637118301</v>
      </c>
      <c r="D1434" s="4">
        <v>274.661550189965</v>
      </c>
      <c r="E1434" s="4">
        <v>274.661550189965</v>
      </c>
      <c r="F1434" s="4">
        <v>80.1369424906636</v>
      </c>
      <c r="G1434" s="4" t="str">
        <f t="shared" si="44"/>
        <v>OK</v>
      </c>
      <c r="H1434" s="4" t="str">
        <f t="shared" si="45"/>
        <v>NON-ZERO</v>
      </c>
      <c r="I1434">
        <v>300</v>
      </c>
      <c r="J1434">
        <f>IFERROR(Table4[[#This Row],[energy_kwh]]/Table4[[#This Row],[expected_kwh]],0)</f>
        <v>0.91553850063321662</v>
      </c>
      <c r="K1434" t="str">
        <f>IF(Table4[[#This Row],[Performance_Ratio]] &lt; 0.85, "Underperforming", "Performing")</f>
        <v>Performing</v>
      </c>
      <c r="L1434">
        <f>Table4[[#This Row],[energy_kwh]] - Table4[[#This Row],[expected_kwh]]</f>
        <v>-25.338449810035002</v>
      </c>
      <c r="M1434" t="str">
        <f>IF(Table4[[#This Row],[Performance_Deviation]] &lt; 0, "Underperforming", "Outperforming")</f>
        <v>Underperforming</v>
      </c>
      <c r="N1434">
        <f>IF(Table4[[#This Row],[Performance_Ratio]] &lt; 0.85, Table4[[#This Row],[Performance_Deviation]] * 50 / 1000, 0)</f>
        <v>0</v>
      </c>
    </row>
    <row r="1435" spans="1:14" x14ac:dyDescent="0.3">
      <c r="A1435" s="6" t="s">
        <v>7</v>
      </c>
      <c r="B1435" s="5">
        <v>45320.708333333336</v>
      </c>
      <c r="C1435" s="6">
        <v>137.94028676682501</v>
      </c>
      <c r="D1435" s="6">
        <v>134.90954172319601</v>
      </c>
      <c r="E1435" s="6">
        <v>134.90954172319601</v>
      </c>
      <c r="F1435" s="6">
        <v>28.130027953746701</v>
      </c>
      <c r="G1435" s="6" t="str">
        <f t="shared" si="44"/>
        <v>OK</v>
      </c>
      <c r="H1435" s="6" t="str">
        <f t="shared" si="45"/>
        <v>NON-ZERO</v>
      </c>
      <c r="I1435">
        <v>155.291427061512</v>
      </c>
      <c r="J1435">
        <f>IFERROR(Table4[[#This Row],[energy_kwh]]/Table4[[#This Row],[expected_kwh]],0)</f>
        <v>0.8687507370883869</v>
      </c>
      <c r="K1435" t="str">
        <f>IF(Table4[[#This Row],[Performance_Ratio]] &lt; 0.85, "Underperforming", "Performing")</f>
        <v>Performing</v>
      </c>
      <c r="L1435">
        <f>Table4[[#This Row],[energy_kwh]] - Table4[[#This Row],[expected_kwh]]</f>
        <v>-20.381885338315982</v>
      </c>
      <c r="M1435" t="str">
        <f>IF(Table4[[#This Row],[Performance_Deviation]] &lt; 0, "Underperforming", "Outperforming")</f>
        <v>Underperforming</v>
      </c>
      <c r="N1435">
        <f>IF(Table4[[#This Row],[Performance_Ratio]] &lt; 0.85, Table4[[#This Row],[Performance_Deviation]] * 50 / 1000, 0)</f>
        <v>0</v>
      </c>
    </row>
    <row r="1436" spans="1:14" x14ac:dyDescent="0.3">
      <c r="A1436" s="4" t="s">
        <v>7</v>
      </c>
      <c r="B1436" s="3">
        <v>45320.75</v>
      </c>
      <c r="C1436" s="7">
        <v>7.1327286240458606E-14</v>
      </c>
      <c r="D1436" s="7">
        <v>6.9760123924679006E-14</v>
      </c>
      <c r="E1436" s="7">
        <v>6.9760123924679006E-14</v>
      </c>
      <c r="F1436" s="4">
        <v>56.553110594093297</v>
      </c>
      <c r="G1436" s="4" t="str">
        <f t="shared" si="44"/>
        <v>OK</v>
      </c>
      <c r="H1436" s="4" t="str">
        <f t="shared" si="45"/>
        <v>NON-ZERO</v>
      </c>
      <c r="I1436" s="2">
        <v>7.3478807948841102E-14</v>
      </c>
      <c r="J1436">
        <f>IFERROR(Table4[[#This Row],[energy_kwh]]/Table4[[#This Row],[expected_kwh]],0)</f>
        <v>0.94939106760208747</v>
      </c>
      <c r="K1436" t="str">
        <f>IF(Table4[[#This Row],[Performance_Ratio]] &lt; 0.85, "Underperforming", "Performing")</f>
        <v>Performing</v>
      </c>
      <c r="L1436">
        <f>Table4[[#This Row],[energy_kwh]] - Table4[[#This Row],[expected_kwh]]</f>
        <v>-3.7186840241620956E-15</v>
      </c>
      <c r="M1436" t="str">
        <f>IF(Table4[[#This Row],[Performance_Deviation]] &lt; 0, "Underperforming", "Outperforming")</f>
        <v>Underperforming</v>
      </c>
      <c r="N1436">
        <f>IF(Table4[[#This Row],[Performance_Ratio]] &lt; 0.85, Table4[[#This Row],[Performance_Deviation]] * 50 / 1000, 0)</f>
        <v>0</v>
      </c>
    </row>
    <row r="1437" spans="1:14" x14ac:dyDescent="0.3">
      <c r="A1437" s="6" t="s">
        <v>7</v>
      </c>
      <c r="B1437" s="5">
        <v>45320.791666666664</v>
      </c>
      <c r="C1437" s="6">
        <v>0</v>
      </c>
      <c r="D1437" s="6">
        <v>0</v>
      </c>
      <c r="E1437" s="6">
        <v>0</v>
      </c>
      <c r="F1437" s="6">
        <v>63.482858132185903</v>
      </c>
      <c r="G1437" s="6" t="str">
        <f t="shared" si="44"/>
        <v>OK</v>
      </c>
      <c r="H1437" s="6" t="str">
        <f t="shared" si="45"/>
        <v>ZERO</v>
      </c>
      <c r="I1437">
        <v>0</v>
      </c>
      <c r="J1437">
        <f>IFERROR(Table4[[#This Row],[energy_kwh]]/Table4[[#This Row],[expected_kwh]],0)</f>
        <v>0</v>
      </c>
      <c r="K1437" t="str">
        <f>IF(Table4[[#This Row],[Performance_Ratio]] &lt; 0.85, "Underperforming", "Performing")</f>
        <v>Underperforming</v>
      </c>
      <c r="L1437">
        <f>Table4[[#This Row],[energy_kwh]] - Table4[[#This Row],[expected_kwh]]</f>
        <v>0</v>
      </c>
      <c r="M1437" t="str">
        <f>IF(Table4[[#This Row],[Performance_Deviation]] &lt; 0, "Underperforming", "Outperforming")</f>
        <v>Outperforming</v>
      </c>
      <c r="N1437">
        <f>IF(Table4[[#This Row],[Performance_Ratio]] &lt; 0.85, Table4[[#This Row],[Performance_Deviation]] * 50 / 1000, 0)</f>
        <v>0</v>
      </c>
    </row>
    <row r="1438" spans="1:14" x14ac:dyDescent="0.3">
      <c r="A1438" s="4" t="s">
        <v>7</v>
      </c>
      <c r="B1438" s="3">
        <v>45320.833333333336</v>
      </c>
      <c r="C1438" s="4">
        <v>0</v>
      </c>
      <c r="D1438" s="4">
        <v>0</v>
      </c>
      <c r="E1438" s="4">
        <v>0</v>
      </c>
      <c r="F1438" s="4">
        <v>22.435307876881101</v>
      </c>
      <c r="G1438" s="4" t="str">
        <f t="shared" si="44"/>
        <v>OK</v>
      </c>
      <c r="H1438" s="4" t="str">
        <f t="shared" si="45"/>
        <v>ZERO</v>
      </c>
      <c r="I1438">
        <v>0</v>
      </c>
      <c r="J1438">
        <f>IFERROR(Table4[[#This Row],[energy_kwh]]/Table4[[#This Row],[expected_kwh]],0)</f>
        <v>0</v>
      </c>
      <c r="K1438" t="str">
        <f>IF(Table4[[#This Row],[Performance_Ratio]] &lt; 0.85, "Underperforming", "Performing")</f>
        <v>Underperforming</v>
      </c>
      <c r="L1438">
        <f>Table4[[#This Row],[energy_kwh]] - Table4[[#This Row],[expected_kwh]]</f>
        <v>0</v>
      </c>
      <c r="M1438" t="str">
        <f>IF(Table4[[#This Row],[Performance_Deviation]] &lt; 0, "Underperforming", "Outperforming")</f>
        <v>Outperforming</v>
      </c>
      <c r="N1438">
        <f>IF(Table4[[#This Row],[Performance_Ratio]] &lt; 0.85, Table4[[#This Row],[Performance_Deviation]] * 50 / 1000, 0)</f>
        <v>0</v>
      </c>
    </row>
    <row r="1439" spans="1:14" x14ac:dyDescent="0.3">
      <c r="A1439" s="6" t="s">
        <v>7</v>
      </c>
      <c r="B1439" s="5">
        <v>45320.875</v>
      </c>
      <c r="C1439" s="6">
        <v>0</v>
      </c>
      <c r="D1439" s="6">
        <v>0</v>
      </c>
      <c r="E1439" s="6">
        <v>0</v>
      </c>
      <c r="F1439" s="6">
        <v>30.2042175823732</v>
      </c>
      <c r="G1439" s="6" t="str">
        <f t="shared" si="44"/>
        <v>OK</v>
      </c>
      <c r="H1439" s="6" t="str">
        <f t="shared" si="45"/>
        <v>ZERO</v>
      </c>
      <c r="I1439">
        <v>0</v>
      </c>
      <c r="J1439">
        <f>IFERROR(Table4[[#This Row],[energy_kwh]]/Table4[[#This Row],[expected_kwh]],0)</f>
        <v>0</v>
      </c>
      <c r="K1439" t="str">
        <f>IF(Table4[[#This Row],[Performance_Ratio]] &lt; 0.85, "Underperforming", "Performing")</f>
        <v>Underperforming</v>
      </c>
      <c r="L1439">
        <f>Table4[[#This Row],[energy_kwh]] - Table4[[#This Row],[expected_kwh]]</f>
        <v>0</v>
      </c>
      <c r="M1439" t="str">
        <f>IF(Table4[[#This Row],[Performance_Deviation]] &lt; 0, "Underperforming", "Outperforming")</f>
        <v>Outperforming</v>
      </c>
      <c r="N1439">
        <f>IF(Table4[[#This Row],[Performance_Ratio]] &lt; 0.85, Table4[[#This Row],[Performance_Deviation]] * 50 / 1000, 0)</f>
        <v>0</v>
      </c>
    </row>
    <row r="1440" spans="1:14" x14ac:dyDescent="0.3">
      <c r="A1440" s="4" t="s">
        <v>7</v>
      </c>
      <c r="B1440" s="3">
        <v>45320.916666666664</v>
      </c>
      <c r="C1440" s="4">
        <v>0</v>
      </c>
      <c r="D1440" s="4">
        <v>0</v>
      </c>
      <c r="E1440" s="4">
        <v>0</v>
      </c>
      <c r="F1440" s="4">
        <v>47.923032392978499</v>
      </c>
      <c r="G1440" s="4" t="str">
        <f t="shared" si="44"/>
        <v>OK</v>
      </c>
      <c r="H1440" s="4" t="str">
        <f t="shared" si="45"/>
        <v>ZERO</v>
      </c>
      <c r="I1440">
        <v>0</v>
      </c>
      <c r="J1440">
        <f>IFERROR(Table4[[#This Row],[energy_kwh]]/Table4[[#This Row],[expected_kwh]],0)</f>
        <v>0</v>
      </c>
      <c r="K1440" t="str">
        <f>IF(Table4[[#This Row],[Performance_Ratio]] &lt; 0.85, "Underperforming", "Performing")</f>
        <v>Underperforming</v>
      </c>
      <c r="L1440">
        <f>Table4[[#This Row],[energy_kwh]] - Table4[[#This Row],[expected_kwh]]</f>
        <v>0</v>
      </c>
      <c r="M1440" t="str">
        <f>IF(Table4[[#This Row],[Performance_Deviation]] &lt; 0, "Underperforming", "Outperforming")</f>
        <v>Outperforming</v>
      </c>
      <c r="N1440">
        <f>IF(Table4[[#This Row],[Performance_Ratio]] &lt; 0.85, Table4[[#This Row],[Performance_Deviation]] * 50 / 1000, 0)</f>
        <v>0</v>
      </c>
    </row>
    <row r="1441" spans="1:14" x14ac:dyDescent="0.3">
      <c r="A1441" s="6" t="s">
        <v>7</v>
      </c>
      <c r="B1441" s="5">
        <v>45320.958333333336</v>
      </c>
      <c r="C1441" s="6">
        <v>0</v>
      </c>
      <c r="D1441" s="6">
        <v>0</v>
      </c>
      <c r="E1441" s="6">
        <v>0</v>
      </c>
      <c r="F1441" s="6">
        <v>50.555591101601401</v>
      </c>
      <c r="G1441" s="6" t="str">
        <f t="shared" si="44"/>
        <v>OK</v>
      </c>
      <c r="H1441" s="6" t="str">
        <f t="shared" si="45"/>
        <v>ZERO</v>
      </c>
      <c r="I1441">
        <v>0</v>
      </c>
      <c r="J1441">
        <f>IFERROR(Table4[[#This Row],[energy_kwh]]/Table4[[#This Row],[expected_kwh]],0)</f>
        <v>0</v>
      </c>
      <c r="K1441" t="str">
        <f>IF(Table4[[#This Row],[Performance_Ratio]] &lt; 0.85, "Underperforming", "Performing")</f>
        <v>Underperforming</v>
      </c>
      <c r="L1441">
        <f>Table4[[#This Row],[energy_kwh]] - Table4[[#This Row],[expected_kwh]]</f>
        <v>0</v>
      </c>
      <c r="M1441" t="str">
        <f>IF(Table4[[#This Row],[Performance_Deviation]] &lt; 0, "Underperforming", "Outperforming")</f>
        <v>Outperforming</v>
      </c>
      <c r="N1441">
        <f>IF(Table4[[#This Row],[Performance_Ratio]] &lt; 0.85, Table4[[#This Row],[Performance_Deviation]] * 50 / 1000, 0)</f>
        <v>0</v>
      </c>
    </row>
    <row r="1442" spans="1:14" x14ac:dyDescent="0.3">
      <c r="A1442" s="4" t="s">
        <v>7</v>
      </c>
      <c r="B1442" s="3">
        <v>45321</v>
      </c>
      <c r="C1442" s="4">
        <v>0</v>
      </c>
      <c r="D1442" s="4">
        <v>0</v>
      </c>
      <c r="E1442" s="4">
        <v>0</v>
      </c>
      <c r="F1442" s="4">
        <v>59.525571843614998</v>
      </c>
      <c r="G1442" s="4" t="str">
        <f t="shared" si="44"/>
        <v>OK</v>
      </c>
      <c r="H1442" s="4" t="str">
        <f t="shared" si="45"/>
        <v>ZERO</v>
      </c>
      <c r="I1442">
        <v>0</v>
      </c>
      <c r="J1442">
        <f>IFERROR(Table4[[#This Row],[energy_kwh]]/Table4[[#This Row],[expected_kwh]],0)</f>
        <v>0</v>
      </c>
      <c r="K1442" t="str">
        <f>IF(Table4[[#This Row],[Performance_Ratio]] &lt; 0.85, "Underperforming", "Performing")</f>
        <v>Underperforming</v>
      </c>
      <c r="L1442">
        <f>Table4[[#This Row],[energy_kwh]] - Table4[[#This Row],[expected_kwh]]</f>
        <v>0</v>
      </c>
      <c r="M1442" t="str">
        <f>IF(Table4[[#This Row],[Performance_Deviation]] &lt; 0, "Underperforming", "Outperforming")</f>
        <v>Outperforming</v>
      </c>
      <c r="N1442">
        <f>IF(Table4[[#This Row],[Performance_Ratio]] &lt; 0.85, Table4[[#This Row],[Performance_Deviation]] * 50 / 1000, 0)</f>
        <v>0</v>
      </c>
    </row>
    <row r="1443" spans="1:14" x14ac:dyDescent="0.3">
      <c r="A1443" s="6" t="s">
        <v>7</v>
      </c>
      <c r="B1443" s="5">
        <v>45321.041666666664</v>
      </c>
      <c r="C1443" s="6">
        <v>0</v>
      </c>
      <c r="D1443" s="6">
        <v>0</v>
      </c>
      <c r="E1443" s="6">
        <v>0</v>
      </c>
      <c r="F1443" s="6">
        <v>34.826772733586502</v>
      </c>
      <c r="G1443" s="6" t="str">
        <f t="shared" si="44"/>
        <v>OK</v>
      </c>
      <c r="H1443" s="6" t="str">
        <f t="shared" si="45"/>
        <v>ZERO</v>
      </c>
      <c r="I1443">
        <v>0</v>
      </c>
      <c r="J1443">
        <f>IFERROR(Table4[[#This Row],[energy_kwh]]/Table4[[#This Row],[expected_kwh]],0)</f>
        <v>0</v>
      </c>
      <c r="K1443" t="str">
        <f>IF(Table4[[#This Row],[Performance_Ratio]] &lt; 0.85, "Underperforming", "Performing")</f>
        <v>Underperforming</v>
      </c>
      <c r="L1443">
        <f>Table4[[#This Row],[energy_kwh]] - Table4[[#This Row],[expected_kwh]]</f>
        <v>0</v>
      </c>
      <c r="M1443" t="str">
        <f>IF(Table4[[#This Row],[Performance_Deviation]] &lt; 0, "Underperforming", "Outperforming")</f>
        <v>Outperforming</v>
      </c>
      <c r="N1443">
        <f>IF(Table4[[#This Row],[Performance_Ratio]] &lt; 0.85, Table4[[#This Row],[Performance_Deviation]] * 50 / 1000, 0)</f>
        <v>0</v>
      </c>
    </row>
    <row r="1444" spans="1:14" x14ac:dyDescent="0.3">
      <c r="A1444" s="4" t="s">
        <v>7</v>
      </c>
      <c r="B1444" s="3">
        <v>45321.083333333336</v>
      </c>
      <c r="C1444" s="4">
        <v>0</v>
      </c>
      <c r="D1444" s="4">
        <v>0</v>
      </c>
      <c r="E1444" s="4">
        <v>0</v>
      </c>
      <c r="F1444" s="4">
        <v>92.758766481382395</v>
      </c>
      <c r="G1444" s="4" t="str">
        <f t="shared" si="44"/>
        <v>OK</v>
      </c>
      <c r="H1444" s="4" t="str">
        <f t="shared" si="45"/>
        <v>ZERO</v>
      </c>
      <c r="I1444">
        <v>0</v>
      </c>
      <c r="J1444">
        <f>IFERROR(Table4[[#This Row],[energy_kwh]]/Table4[[#This Row],[expected_kwh]],0)</f>
        <v>0</v>
      </c>
      <c r="K1444" t="str">
        <f>IF(Table4[[#This Row],[Performance_Ratio]] &lt; 0.85, "Underperforming", "Performing")</f>
        <v>Underperforming</v>
      </c>
      <c r="L1444">
        <f>Table4[[#This Row],[energy_kwh]] - Table4[[#This Row],[expected_kwh]]</f>
        <v>0</v>
      </c>
      <c r="M1444" t="str">
        <f>IF(Table4[[#This Row],[Performance_Deviation]] &lt; 0, "Underperforming", "Outperforming")</f>
        <v>Outperforming</v>
      </c>
      <c r="N1444">
        <f>IF(Table4[[#This Row],[Performance_Ratio]] &lt; 0.85, Table4[[#This Row],[Performance_Deviation]] * 50 / 1000, 0)</f>
        <v>0</v>
      </c>
    </row>
    <row r="1445" spans="1:14" x14ac:dyDescent="0.3">
      <c r="A1445" s="6" t="s">
        <v>7</v>
      </c>
      <c r="B1445" s="5">
        <v>45321.125</v>
      </c>
      <c r="C1445" s="6">
        <v>0</v>
      </c>
      <c r="D1445" s="6">
        <v>0</v>
      </c>
      <c r="E1445" s="6">
        <v>0</v>
      </c>
      <c r="F1445" s="6">
        <v>79.102636218126605</v>
      </c>
      <c r="G1445" s="6" t="str">
        <f t="shared" si="44"/>
        <v>OK</v>
      </c>
      <c r="H1445" s="6" t="str">
        <f t="shared" si="45"/>
        <v>ZERO</v>
      </c>
      <c r="I1445">
        <v>0</v>
      </c>
      <c r="J1445">
        <f>IFERROR(Table4[[#This Row],[energy_kwh]]/Table4[[#This Row],[expected_kwh]],0)</f>
        <v>0</v>
      </c>
      <c r="K1445" t="str">
        <f>IF(Table4[[#This Row],[Performance_Ratio]] &lt; 0.85, "Underperforming", "Performing")</f>
        <v>Underperforming</v>
      </c>
      <c r="L1445">
        <f>Table4[[#This Row],[energy_kwh]] - Table4[[#This Row],[expected_kwh]]</f>
        <v>0</v>
      </c>
      <c r="M1445" t="str">
        <f>IF(Table4[[#This Row],[Performance_Deviation]] &lt; 0, "Underperforming", "Outperforming")</f>
        <v>Outperforming</v>
      </c>
      <c r="N1445">
        <f>IF(Table4[[#This Row],[Performance_Ratio]] &lt; 0.85, Table4[[#This Row],[Performance_Deviation]] * 50 / 1000, 0)</f>
        <v>0</v>
      </c>
    </row>
    <row r="1446" spans="1:14" x14ac:dyDescent="0.3">
      <c r="A1446" s="4" t="s">
        <v>7</v>
      </c>
      <c r="B1446" s="3">
        <v>45321.166666666664</v>
      </c>
      <c r="C1446" s="4">
        <v>0</v>
      </c>
      <c r="D1446" s="4">
        <v>0</v>
      </c>
      <c r="E1446" s="4">
        <v>0</v>
      </c>
      <c r="F1446" s="4">
        <v>68.210494331462996</v>
      </c>
      <c r="G1446" s="4" t="str">
        <f t="shared" si="44"/>
        <v>OK</v>
      </c>
      <c r="H1446" s="4" t="str">
        <f t="shared" si="45"/>
        <v>ZERO</v>
      </c>
      <c r="I1446">
        <v>0</v>
      </c>
      <c r="J1446">
        <f>IFERROR(Table4[[#This Row],[energy_kwh]]/Table4[[#This Row],[expected_kwh]],0)</f>
        <v>0</v>
      </c>
      <c r="K1446" t="str">
        <f>IF(Table4[[#This Row],[Performance_Ratio]] &lt; 0.85, "Underperforming", "Performing")</f>
        <v>Underperforming</v>
      </c>
      <c r="L1446">
        <f>Table4[[#This Row],[energy_kwh]] - Table4[[#This Row],[expected_kwh]]</f>
        <v>0</v>
      </c>
      <c r="M1446" t="str">
        <f>IF(Table4[[#This Row],[Performance_Deviation]] &lt; 0, "Underperforming", "Outperforming")</f>
        <v>Outperforming</v>
      </c>
      <c r="N1446">
        <f>IF(Table4[[#This Row],[Performance_Ratio]] &lt; 0.85, Table4[[#This Row],[Performance_Deviation]] * 50 / 1000, 0)</f>
        <v>0</v>
      </c>
    </row>
    <row r="1447" spans="1:14" x14ac:dyDescent="0.3">
      <c r="A1447" s="6" t="s">
        <v>7</v>
      </c>
      <c r="B1447" s="5">
        <v>45321.208333333336</v>
      </c>
      <c r="C1447" s="6">
        <v>0</v>
      </c>
      <c r="D1447" s="6">
        <v>0</v>
      </c>
      <c r="E1447" s="6">
        <v>0</v>
      </c>
      <c r="F1447" s="6">
        <v>71.894552244994401</v>
      </c>
      <c r="G1447" s="6" t="str">
        <f t="shared" si="44"/>
        <v>OK</v>
      </c>
      <c r="H1447" s="6" t="str">
        <f t="shared" si="45"/>
        <v>ZERO</v>
      </c>
      <c r="I1447">
        <v>0</v>
      </c>
      <c r="J1447">
        <f>IFERROR(Table4[[#This Row],[energy_kwh]]/Table4[[#This Row],[expected_kwh]],0)</f>
        <v>0</v>
      </c>
      <c r="K1447" t="str">
        <f>IF(Table4[[#This Row],[Performance_Ratio]] &lt; 0.85, "Underperforming", "Performing")</f>
        <v>Underperforming</v>
      </c>
      <c r="L1447">
        <f>Table4[[#This Row],[energy_kwh]] - Table4[[#This Row],[expected_kwh]]</f>
        <v>0</v>
      </c>
      <c r="M1447" t="str">
        <f>IF(Table4[[#This Row],[Performance_Deviation]] &lt; 0, "Underperforming", "Outperforming")</f>
        <v>Outperforming</v>
      </c>
      <c r="N1447">
        <f>IF(Table4[[#This Row],[Performance_Ratio]] &lt; 0.85, Table4[[#This Row],[Performance_Deviation]] * 50 / 1000, 0)</f>
        <v>0</v>
      </c>
    </row>
    <row r="1448" spans="1:14" x14ac:dyDescent="0.3">
      <c r="A1448" s="4" t="s">
        <v>7</v>
      </c>
      <c r="B1448" s="3">
        <v>45321.25</v>
      </c>
      <c r="C1448" s="4">
        <v>0</v>
      </c>
      <c r="D1448" s="4">
        <v>0</v>
      </c>
      <c r="E1448" s="4">
        <v>0</v>
      </c>
      <c r="F1448" s="4">
        <v>25.439173771586098</v>
      </c>
      <c r="G1448" s="4" t="str">
        <f t="shared" si="44"/>
        <v>OK</v>
      </c>
      <c r="H1448" s="4" t="str">
        <f t="shared" si="45"/>
        <v>ZERO</v>
      </c>
      <c r="I1448">
        <v>0</v>
      </c>
      <c r="J1448">
        <f>IFERROR(Table4[[#This Row],[energy_kwh]]/Table4[[#This Row],[expected_kwh]],0)</f>
        <v>0</v>
      </c>
      <c r="K1448" t="str">
        <f>IF(Table4[[#This Row],[Performance_Ratio]] &lt; 0.85, "Underperforming", "Performing")</f>
        <v>Underperforming</v>
      </c>
      <c r="L1448">
        <f>Table4[[#This Row],[energy_kwh]] - Table4[[#This Row],[expected_kwh]]</f>
        <v>0</v>
      </c>
      <c r="M1448" t="str">
        <f>IF(Table4[[#This Row],[Performance_Deviation]] &lt; 0, "Underperforming", "Outperforming")</f>
        <v>Outperforming</v>
      </c>
      <c r="N1448">
        <f>IF(Table4[[#This Row],[Performance_Ratio]] &lt; 0.85, Table4[[#This Row],[Performance_Deviation]] * 50 / 1000, 0)</f>
        <v>0</v>
      </c>
    </row>
    <row r="1449" spans="1:14" x14ac:dyDescent="0.3">
      <c r="A1449" s="6" t="s">
        <v>7</v>
      </c>
      <c r="B1449" s="5">
        <v>45321.291666666664</v>
      </c>
      <c r="C1449" s="6">
        <v>140.718817498883</v>
      </c>
      <c r="D1449" s="6">
        <v>137.627024168041</v>
      </c>
      <c r="E1449" s="6">
        <v>137.627024168041</v>
      </c>
      <c r="F1449" s="6">
        <v>89.003003940942705</v>
      </c>
      <c r="G1449" s="6" t="str">
        <f t="shared" si="44"/>
        <v>OK</v>
      </c>
      <c r="H1449" s="6" t="str">
        <f t="shared" si="45"/>
        <v>NON-ZERO</v>
      </c>
      <c r="I1449">
        <v>155.291427061512</v>
      </c>
      <c r="J1449">
        <f>IFERROR(Table4[[#This Row],[energy_kwh]]/Table4[[#This Row],[expected_kwh]],0)</f>
        <v>0.88624998026147317</v>
      </c>
      <c r="K1449" t="str">
        <f>IF(Table4[[#This Row],[Performance_Ratio]] &lt; 0.85, "Underperforming", "Performing")</f>
        <v>Performing</v>
      </c>
      <c r="L1449">
        <f>Table4[[#This Row],[energy_kwh]] - Table4[[#This Row],[expected_kwh]]</f>
        <v>-17.664402893470992</v>
      </c>
      <c r="M1449" t="str">
        <f>IF(Table4[[#This Row],[Performance_Deviation]] &lt; 0, "Underperforming", "Outperforming")</f>
        <v>Underperforming</v>
      </c>
      <c r="N1449">
        <f>IF(Table4[[#This Row],[Performance_Ratio]] &lt; 0.85, Table4[[#This Row],[Performance_Deviation]] * 50 / 1000, 0)</f>
        <v>0</v>
      </c>
    </row>
    <row r="1450" spans="1:14" x14ac:dyDescent="0.3">
      <c r="A1450" s="4" t="s">
        <v>7</v>
      </c>
      <c r="B1450" s="3">
        <v>45321.333333333336</v>
      </c>
      <c r="C1450" s="4">
        <v>270.440474342627</v>
      </c>
      <c r="D1450" s="4">
        <v>264.498511001662</v>
      </c>
      <c r="E1450" s="4">
        <v>264.498511001662</v>
      </c>
      <c r="F1450" s="4">
        <v>45.290936780471398</v>
      </c>
      <c r="G1450" s="4" t="str">
        <f t="shared" si="44"/>
        <v>OK</v>
      </c>
      <c r="H1450" s="4" t="str">
        <f t="shared" si="45"/>
        <v>NON-ZERO</v>
      </c>
      <c r="I1450">
        <v>300</v>
      </c>
      <c r="J1450">
        <f>IFERROR(Table4[[#This Row],[energy_kwh]]/Table4[[#This Row],[expected_kwh]],0)</f>
        <v>0.88166170333887328</v>
      </c>
      <c r="K1450" t="str">
        <f>IF(Table4[[#This Row],[Performance_Ratio]] &lt; 0.85, "Underperforming", "Performing")</f>
        <v>Performing</v>
      </c>
      <c r="L1450">
        <f>Table4[[#This Row],[energy_kwh]] - Table4[[#This Row],[expected_kwh]]</f>
        <v>-35.501488998338004</v>
      </c>
      <c r="M1450" t="str">
        <f>IF(Table4[[#This Row],[Performance_Deviation]] &lt; 0, "Underperforming", "Outperforming")</f>
        <v>Underperforming</v>
      </c>
      <c r="N1450">
        <f>IF(Table4[[#This Row],[Performance_Ratio]] &lt; 0.85, Table4[[#This Row],[Performance_Deviation]] * 50 / 1000, 0)</f>
        <v>0</v>
      </c>
    </row>
    <row r="1451" spans="1:14" x14ac:dyDescent="0.3">
      <c r="A1451" s="6" t="s">
        <v>7</v>
      </c>
      <c r="B1451" s="5">
        <v>45321.375</v>
      </c>
      <c r="C1451" s="6">
        <v>410.60442272674402</v>
      </c>
      <c r="D1451" s="6">
        <v>401.58285732159999</v>
      </c>
      <c r="E1451" s="6">
        <v>401.58285732159999</v>
      </c>
      <c r="F1451" s="6">
        <v>57.238656667295302</v>
      </c>
      <c r="G1451" s="6" t="str">
        <f t="shared" si="44"/>
        <v>OK</v>
      </c>
      <c r="H1451" s="6" t="str">
        <f t="shared" si="45"/>
        <v>NON-ZERO</v>
      </c>
      <c r="I1451">
        <v>424.26406871192802</v>
      </c>
      <c r="J1451">
        <f>IFERROR(Table4[[#This Row],[energy_kwh]]/Table4[[#This Row],[expected_kwh]],0)</f>
        <v>0.94653987206791157</v>
      </c>
      <c r="K1451" t="str">
        <f>IF(Table4[[#This Row],[Performance_Ratio]] &lt; 0.85, "Underperforming", "Performing")</f>
        <v>Performing</v>
      </c>
      <c r="L1451">
        <f>Table4[[#This Row],[energy_kwh]] - Table4[[#This Row],[expected_kwh]]</f>
        <v>-22.681211390328031</v>
      </c>
      <c r="M1451" t="str">
        <f>IF(Table4[[#This Row],[Performance_Deviation]] &lt; 0, "Underperforming", "Outperforming")</f>
        <v>Underperforming</v>
      </c>
      <c r="N1451">
        <f>IF(Table4[[#This Row],[Performance_Ratio]] &lt; 0.85, Table4[[#This Row],[Performance_Deviation]] * 50 / 1000, 0)</f>
        <v>0</v>
      </c>
    </row>
    <row r="1452" spans="1:14" x14ac:dyDescent="0.3">
      <c r="A1452" s="4" t="s">
        <v>7</v>
      </c>
      <c r="B1452" s="3">
        <v>45321.416666666664</v>
      </c>
      <c r="C1452" s="4">
        <v>484.39010686956101</v>
      </c>
      <c r="D1452" s="4">
        <v>473.74736463676101</v>
      </c>
      <c r="E1452" s="4">
        <v>473.74736463676101</v>
      </c>
      <c r="F1452" s="4">
        <v>80.237788372454801</v>
      </c>
      <c r="G1452" s="4" t="str">
        <f t="shared" si="44"/>
        <v>OK</v>
      </c>
      <c r="H1452" s="4" t="str">
        <f t="shared" si="45"/>
        <v>NON-ZERO</v>
      </c>
      <c r="I1452">
        <v>519.61524227066297</v>
      </c>
      <c r="J1452">
        <f>IFERROR(Table4[[#This Row],[energy_kwh]]/Table4[[#This Row],[expected_kwh]],0)</f>
        <v>0.91172722833636621</v>
      </c>
      <c r="K1452" t="str">
        <f>IF(Table4[[#This Row],[Performance_Ratio]] &lt; 0.85, "Underperforming", "Performing")</f>
        <v>Performing</v>
      </c>
      <c r="L1452">
        <f>Table4[[#This Row],[energy_kwh]] - Table4[[#This Row],[expected_kwh]]</f>
        <v>-45.867877633901969</v>
      </c>
      <c r="M1452" t="str">
        <f>IF(Table4[[#This Row],[Performance_Deviation]] &lt; 0, "Underperforming", "Outperforming")</f>
        <v>Underperforming</v>
      </c>
      <c r="N1452">
        <f>IF(Table4[[#This Row],[Performance_Ratio]] &lt; 0.85, Table4[[#This Row],[Performance_Deviation]] * 50 / 1000, 0)</f>
        <v>0</v>
      </c>
    </row>
    <row r="1453" spans="1:14" x14ac:dyDescent="0.3">
      <c r="A1453" s="6" t="s">
        <v>7</v>
      </c>
      <c r="B1453" s="5">
        <v>45321.458333333336</v>
      </c>
      <c r="C1453" s="6">
        <v>511.35844468886899</v>
      </c>
      <c r="D1453" s="6">
        <v>500.123169570306</v>
      </c>
      <c r="E1453" s="6">
        <v>500.123169570306</v>
      </c>
      <c r="F1453" s="6">
        <v>48.001487077387303</v>
      </c>
      <c r="G1453" s="6" t="str">
        <f t="shared" si="44"/>
        <v>OK</v>
      </c>
      <c r="H1453" s="6" t="str">
        <f t="shared" si="45"/>
        <v>NON-ZERO</v>
      </c>
      <c r="I1453">
        <v>579.55549577344095</v>
      </c>
      <c r="J1453">
        <f>IFERROR(Table4[[#This Row],[energy_kwh]]/Table4[[#This Row],[expected_kwh]],0)</f>
        <v>0.86294267454555118</v>
      </c>
      <c r="K1453" t="str">
        <f>IF(Table4[[#This Row],[Performance_Ratio]] &lt; 0.85, "Underperforming", "Performing")</f>
        <v>Performing</v>
      </c>
      <c r="L1453">
        <f>Table4[[#This Row],[energy_kwh]] - Table4[[#This Row],[expected_kwh]]</f>
        <v>-79.432326203134949</v>
      </c>
      <c r="M1453" t="str">
        <f>IF(Table4[[#This Row],[Performance_Deviation]] &lt; 0, "Underperforming", "Outperforming")</f>
        <v>Underperforming</v>
      </c>
      <c r="N1453">
        <f>IF(Table4[[#This Row],[Performance_Ratio]] &lt; 0.85, Table4[[#This Row],[Performance_Deviation]] * 50 / 1000, 0)</f>
        <v>0</v>
      </c>
    </row>
    <row r="1454" spans="1:14" x14ac:dyDescent="0.3">
      <c r="A1454" s="4" t="s">
        <v>7</v>
      </c>
      <c r="B1454" s="3">
        <v>45321.5</v>
      </c>
      <c r="C1454" s="4">
        <v>586.00001909912305</v>
      </c>
      <c r="D1454" s="4">
        <v>573.12476202173605</v>
      </c>
      <c r="E1454" s="4">
        <v>573.12476202173605</v>
      </c>
      <c r="F1454" s="4">
        <v>47.504143144534901</v>
      </c>
      <c r="G1454" s="4" t="str">
        <f t="shared" si="44"/>
        <v>OK</v>
      </c>
      <c r="H1454" s="4" t="str">
        <f t="shared" si="45"/>
        <v>NON-ZERO</v>
      </c>
      <c r="I1454">
        <v>600</v>
      </c>
      <c r="J1454">
        <f>IFERROR(Table4[[#This Row],[energy_kwh]]/Table4[[#This Row],[expected_kwh]],0)</f>
        <v>0.95520793670289339</v>
      </c>
      <c r="K1454" t="str">
        <f>IF(Table4[[#This Row],[Performance_Ratio]] &lt; 0.85, "Underperforming", "Performing")</f>
        <v>Performing</v>
      </c>
      <c r="L1454">
        <f>Table4[[#This Row],[energy_kwh]] - Table4[[#This Row],[expected_kwh]]</f>
        <v>-26.875237978263954</v>
      </c>
      <c r="M1454" t="str">
        <f>IF(Table4[[#This Row],[Performance_Deviation]] &lt; 0, "Underperforming", "Outperforming")</f>
        <v>Underperforming</v>
      </c>
      <c r="N1454">
        <f>IF(Table4[[#This Row],[Performance_Ratio]] &lt; 0.85, Table4[[#This Row],[Performance_Deviation]] * 50 / 1000, 0)</f>
        <v>0</v>
      </c>
    </row>
    <row r="1455" spans="1:14" x14ac:dyDescent="0.3">
      <c r="A1455" s="6" t="s">
        <v>7</v>
      </c>
      <c r="B1455" s="5">
        <v>45321.541666666664</v>
      </c>
      <c r="C1455" s="6">
        <v>532.526691865168</v>
      </c>
      <c r="D1455" s="6">
        <v>520.82632013331204</v>
      </c>
      <c r="E1455" s="6">
        <v>520.82632013331204</v>
      </c>
      <c r="F1455" s="6">
        <v>29.102894341146399</v>
      </c>
      <c r="G1455" s="6" t="str">
        <f t="shared" si="44"/>
        <v>OK</v>
      </c>
      <c r="H1455" s="6" t="str">
        <f t="shared" si="45"/>
        <v>NON-ZERO</v>
      </c>
      <c r="I1455">
        <v>579.55549577344095</v>
      </c>
      <c r="J1455">
        <f>IFERROR(Table4[[#This Row],[energy_kwh]]/Table4[[#This Row],[expected_kwh]],0)</f>
        <v>0.89866513894109068</v>
      </c>
      <c r="K1455" t="str">
        <f>IF(Table4[[#This Row],[Performance_Ratio]] &lt; 0.85, "Underperforming", "Performing")</f>
        <v>Performing</v>
      </c>
      <c r="L1455">
        <f>Table4[[#This Row],[energy_kwh]] - Table4[[#This Row],[expected_kwh]]</f>
        <v>-58.729175640128915</v>
      </c>
      <c r="M1455" t="str">
        <f>IF(Table4[[#This Row],[Performance_Deviation]] &lt; 0, "Underperforming", "Outperforming")</f>
        <v>Underperforming</v>
      </c>
      <c r="N1455">
        <f>IF(Table4[[#This Row],[Performance_Ratio]] &lt; 0.85, Table4[[#This Row],[Performance_Deviation]] * 50 / 1000, 0)</f>
        <v>0</v>
      </c>
    </row>
    <row r="1456" spans="1:14" x14ac:dyDescent="0.3">
      <c r="A1456" s="4" t="s">
        <v>7</v>
      </c>
      <c r="B1456" s="3">
        <v>45321.583333333336</v>
      </c>
      <c r="C1456" s="4">
        <v>542.08617670923502</v>
      </c>
      <c r="D1456" s="4">
        <v>530.17576944686198</v>
      </c>
      <c r="E1456" s="4">
        <v>530.17576944686198</v>
      </c>
      <c r="F1456" s="4">
        <v>33.0873864798466</v>
      </c>
      <c r="G1456" s="4" t="str">
        <f t="shared" si="44"/>
        <v>OK</v>
      </c>
      <c r="H1456" s="4" t="str">
        <f t="shared" si="45"/>
        <v>NON-ZERO</v>
      </c>
      <c r="I1456">
        <v>519.61524227066297</v>
      </c>
      <c r="J1456">
        <f>IFERROR(Table4[[#This Row],[energy_kwh]]/Table4[[#This Row],[expected_kwh]],0)</f>
        <v>1.0203237440265429</v>
      </c>
      <c r="K1456" t="str">
        <f>IF(Table4[[#This Row],[Performance_Ratio]] &lt; 0.85, "Underperforming", "Performing")</f>
        <v>Performing</v>
      </c>
      <c r="L1456">
        <f>Table4[[#This Row],[energy_kwh]] - Table4[[#This Row],[expected_kwh]]</f>
        <v>10.560527176199002</v>
      </c>
      <c r="M1456" t="str">
        <f>IF(Table4[[#This Row],[Performance_Deviation]] &lt; 0, "Underperforming", "Outperforming")</f>
        <v>Outperforming</v>
      </c>
      <c r="N1456">
        <f>IF(Table4[[#This Row],[Performance_Ratio]] &lt; 0.85, Table4[[#This Row],[Performance_Deviation]] * 50 / 1000, 0)</f>
        <v>0</v>
      </c>
    </row>
    <row r="1457" spans="1:14" x14ac:dyDescent="0.3">
      <c r="A1457" s="6" t="s">
        <v>7</v>
      </c>
      <c r="B1457" s="5">
        <v>45321.625</v>
      </c>
      <c r="C1457" s="6">
        <v>347.78079920456503</v>
      </c>
      <c r="D1457" s="6">
        <v>340.13955850423002</v>
      </c>
      <c r="E1457" s="6">
        <v>340.13955850423002</v>
      </c>
      <c r="F1457" s="6">
        <v>68.315976199221296</v>
      </c>
      <c r="G1457" s="6" t="str">
        <f t="shared" si="44"/>
        <v>OK</v>
      </c>
      <c r="H1457" s="6" t="str">
        <f t="shared" si="45"/>
        <v>NON-ZERO</v>
      </c>
      <c r="I1457">
        <v>424.26406871192802</v>
      </c>
      <c r="J1457">
        <f>IFERROR(Table4[[#This Row],[energy_kwh]]/Table4[[#This Row],[expected_kwh]],0)</f>
        <v>0.80171662789379916</v>
      </c>
      <c r="K1457" t="str">
        <f>IF(Table4[[#This Row],[Performance_Ratio]] &lt; 0.85, "Underperforming", "Performing")</f>
        <v>Underperforming</v>
      </c>
      <c r="L1457">
        <f>Table4[[#This Row],[energy_kwh]] - Table4[[#This Row],[expected_kwh]]</f>
        <v>-84.124510207697995</v>
      </c>
      <c r="M1457" t="str">
        <f>IF(Table4[[#This Row],[Performance_Deviation]] &lt; 0, "Underperforming", "Outperforming")</f>
        <v>Underperforming</v>
      </c>
      <c r="N1457">
        <f>IF(Table4[[#This Row],[Performance_Ratio]] &lt; 0.85, Table4[[#This Row],[Performance_Deviation]] * 50 / 1000, 0)</f>
        <v>-4.2062255103849004</v>
      </c>
    </row>
    <row r="1458" spans="1:14" x14ac:dyDescent="0.3">
      <c r="A1458" s="4" t="s">
        <v>7</v>
      </c>
      <c r="B1458" s="3">
        <v>45321.666666666664</v>
      </c>
      <c r="C1458" s="4">
        <v>303.700965730554</v>
      </c>
      <c r="D1458" s="4">
        <v>297.02822190634299</v>
      </c>
      <c r="E1458" s="4">
        <v>297.02822190634299</v>
      </c>
      <c r="F1458" s="4">
        <v>27.113689493986701</v>
      </c>
      <c r="G1458" s="4" t="str">
        <f t="shared" si="44"/>
        <v>OK</v>
      </c>
      <c r="H1458" s="4" t="str">
        <f t="shared" si="45"/>
        <v>NON-ZERO</v>
      </c>
      <c r="I1458">
        <v>300</v>
      </c>
      <c r="J1458">
        <f>IFERROR(Table4[[#This Row],[energy_kwh]]/Table4[[#This Row],[expected_kwh]],0)</f>
        <v>0.99009407302114327</v>
      </c>
      <c r="K1458" t="str">
        <f>IF(Table4[[#This Row],[Performance_Ratio]] &lt; 0.85, "Underperforming", "Performing")</f>
        <v>Performing</v>
      </c>
      <c r="L1458">
        <f>Table4[[#This Row],[energy_kwh]] - Table4[[#This Row],[expected_kwh]]</f>
        <v>-2.971778093657008</v>
      </c>
      <c r="M1458" t="str">
        <f>IF(Table4[[#This Row],[Performance_Deviation]] &lt; 0, "Underperforming", "Outperforming")</f>
        <v>Underperforming</v>
      </c>
      <c r="N1458">
        <f>IF(Table4[[#This Row],[Performance_Ratio]] &lt; 0.85, Table4[[#This Row],[Performance_Deviation]] * 50 / 1000, 0)</f>
        <v>0</v>
      </c>
    </row>
    <row r="1459" spans="1:14" x14ac:dyDescent="0.3">
      <c r="A1459" s="6" t="s">
        <v>7</v>
      </c>
      <c r="B1459" s="5">
        <v>45321.708333333336</v>
      </c>
      <c r="C1459" s="6">
        <v>151.504436536631</v>
      </c>
      <c r="D1459" s="6">
        <v>148.17566775643101</v>
      </c>
      <c r="E1459" s="6">
        <v>148.17566775643101</v>
      </c>
      <c r="F1459" s="6">
        <v>76.769513384525993</v>
      </c>
      <c r="G1459" s="6" t="str">
        <f t="shared" si="44"/>
        <v>OK</v>
      </c>
      <c r="H1459" s="6" t="str">
        <f t="shared" si="45"/>
        <v>NON-ZERO</v>
      </c>
      <c r="I1459">
        <v>155.291427061512</v>
      </c>
      <c r="J1459">
        <f>IFERROR(Table4[[#This Row],[energy_kwh]]/Table4[[#This Row],[expected_kwh]],0)</f>
        <v>0.95417802875710334</v>
      </c>
      <c r="K1459" t="str">
        <f>IF(Table4[[#This Row],[Performance_Ratio]] &lt; 0.85, "Underperforming", "Performing")</f>
        <v>Performing</v>
      </c>
      <c r="L1459">
        <f>Table4[[#This Row],[energy_kwh]] - Table4[[#This Row],[expected_kwh]]</f>
        <v>-7.1157593050809851</v>
      </c>
      <c r="M1459" t="str">
        <f>IF(Table4[[#This Row],[Performance_Deviation]] &lt; 0, "Underperforming", "Outperforming")</f>
        <v>Underperforming</v>
      </c>
      <c r="N1459">
        <f>IF(Table4[[#This Row],[Performance_Ratio]] &lt; 0.85, Table4[[#This Row],[Performance_Deviation]] * 50 / 1000, 0)</f>
        <v>0</v>
      </c>
    </row>
    <row r="1460" spans="1:14" x14ac:dyDescent="0.3">
      <c r="A1460" s="4" t="s">
        <v>7</v>
      </c>
      <c r="B1460" s="3">
        <v>45321.75</v>
      </c>
      <c r="C1460" s="7">
        <v>6.39512457472255E-14</v>
      </c>
      <c r="D1460" s="7">
        <v>6.2546145572176897E-14</v>
      </c>
      <c r="E1460" s="7">
        <v>6.2546145572176897E-14</v>
      </c>
      <c r="F1460" s="4">
        <v>26.4601828661777</v>
      </c>
      <c r="G1460" s="4" t="str">
        <f t="shared" si="44"/>
        <v>OK</v>
      </c>
      <c r="H1460" s="4" t="str">
        <f t="shared" si="45"/>
        <v>NON-ZERO</v>
      </c>
      <c r="I1460" s="2">
        <v>7.3478807948841102E-14</v>
      </c>
      <c r="J1460">
        <f>IFERROR(Table4[[#This Row],[energy_kwh]]/Table4[[#This Row],[expected_kwh]],0)</f>
        <v>0.85121339496585247</v>
      </c>
      <c r="K1460" t="str">
        <f>IF(Table4[[#This Row],[Performance_Ratio]] &lt; 0.85, "Underperforming", "Performing")</f>
        <v>Performing</v>
      </c>
      <c r="L1460">
        <f>Table4[[#This Row],[energy_kwh]] - Table4[[#This Row],[expected_kwh]]</f>
        <v>-1.0932662376664205E-14</v>
      </c>
      <c r="M1460" t="str">
        <f>IF(Table4[[#This Row],[Performance_Deviation]] &lt; 0, "Underperforming", "Outperforming")</f>
        <v>Underperforming</v>
      </c>
      <c r="N1460">
        <f>IF(Table4[[#This Row],[Performance_Ratio]] &lt; 0.85, Table4[[#This Row],[Performance_Deviation]] * 50 / 1000, 0)</f>
        <v>0</v>
      </c>
    </row>
    <row r="1461" spans="1:14" x14ac:dyDescent="0.3">
      <c r="A1461" s="6" t="s">
        <v>7</v>
      </c>
      <c r="B1461" s="5">
        <v>45321.791666666664</v>
      </c>
      <c r="C1461" s="6">
        <v>0</v>
      </c>
      <c r="D1461" s="6">
        <v>0</v>
      </c>
      <c r="E1461" s="6">
        <v>0</v>
      </c>
      <c r="F1461" s="6">
        <v>45.310778428472801</v>
      </c>
      <c r="G1461" s="6" t="str">
        <f t="shared" si="44"/>
        <v>OK</v>
      </c>
      <c r="H1461" s="6" t="str">
        <f t="shared" si="45"/>
        <v>ZERO</v>
      </c>
      <c r="I1461">
        <v>0</v>
      </c>
      <c r="J1461">
        <f>IFERROR(Table4[[#This Row],[energy_kwh]]/Table4[[#This Row],[expected_kwh]],0)</f>
        <v>0</v>
      </c>
      <c r="K1461" t="str">
        <f>IF(Table4[[#This Row],[Performance_Ratio]] &lt; 0.85, "Underperforming", "Performing")</f>
        <v>Underperforming</v>
      </c>
      <c r="L1461">
        <f>Table4[[#This Row],[energy_kwh]] - Table4[[#This Row],[expected_kwh]]</f>
        <v>0</v>
      </c>
      <c r="M1461" t="str">
        <f>IF(Table4[[#This Row],[Performance_Deviation]] &lt; 0, "Underperforming", "Outperforming")</f>
        <v>Outperforming</v>
      </c>
      <c r="N1461">
        <f>IF(Table4[[#This Row],[Performance_Ratio]] &lt; 0.85, Table4[[#This Row],[Performance_Deviation]] * 50 / 1000, 0)</f>
        <v>0</v>
      </c>
    </row>
    <row r="1462" spans="1:14" x14ac:dyDescent="0.3">
      <c r="A1462" s="4" t="s">
        <v>7</v>
      </c>
      <c r="B1462" s="3">
        <v>45321.833333333336</v>
      </c>
      <c r="C1462" s="4">
        <v>0</v>
      </c>
      <c r="D1462" s="4">
        <v>0</v>
      </c>
      <c r="E1462" s="4">
        <v>0</v>
      </c>
      <c r="F1462" s="4">
        <v>69.761775884653204</v>
      </c>
      <c r="G1462" s="4" t="str">
        <f t="shared" si="44"/>
        <v>OK</v>
      </c>
      <c r="H1462" s="4" t="str">
        <f t="shared" si="45"/>
        <v>ZERO</v>
      </c>
      <c r="I1462">
        <v>0</v>
      </c>
      <c r="J1462">
        <f>IFERROR(Table4[[#This Row],[energy_kwh]]/Table4[[#This Row],[expected_kwh]],0)</f>
        <v>0</v>
      </c>
      <c r="K1462" t="str">
        <f>IF(Table4[[#This Row],[Performance_Ratio]] &lt; 0.85, "Underperforming", "Performing")</f>
        <v>Underperforming</v>
      </c>
      <c r="L1462">
        <f>Table4[[#This Row],[energy_kwh]] - Table4[[#This Row],[expected_kwh]]</f>
        <v>0</v>
      </c>
      <c r="M1462" t="str">
        <f>IF(Table4[[#This Row],[Performance_Deviation]] &lt; 0, "Underperforming", "Outperforming")</f>
        <v>Outperforming</v>
      </c>
      <c r="N1462">
        <f>IF(Table4[[#This Row],[Performance_Ratio]] &lt; 0.85, Table4[[#This Row],[Performance_Deviation]] * 50 / 1000, 0)</f>
        <v>0</v>
      </c>
    </row>
    <row r="1463" spans="1:14" x14ac:dyDescent="0.3">
      <c r="A1463" s="6" t="s">
        <v>7</v>
      </c>
      <c r="B1463" s="5">
        <v>45321.875</v>
      </c>
      <c r="C1463" s="6">
        <v>0</v>
      </c>
      <c r="D1463" s="6">
        <v>0</v>
      </c>
      <c r="E1463" s="6">
        <v>0</v>
      </c>
      <c r="F1463" s="6">
        <v>29.036136682885001</v>
      </c>
      <c r="G1463" s="6" t="str">
        <f t="shared" si="44"/>
        <v>OK</v>
      </c>
      <c r="H1463" s="6" t="str">
        <f t="shared" si="45"/>
        <v>ZERO</v>
      </c>
      <c r="I1463">
        <v>0</v>
      </c>
      <c r="J1463">
        <f>IFERROR(Table4[[#This Row],[energy_kwh]]/Table4[[#This Row],[expected_kwh]],0)</f>
        <v>0</v>
      </c>
      <c r="K1463" t="str">
        <f>IF(Table4[[#This Row],[Performance_Ratio]] &lt; 0.85, "Underperforming", "Performing")</f>
        <v>Underperforming</v>
      </c>
      <c r="L1463">
        <f>Table4[[#This Row],[energy_kwh]] - Table4[[#This Row],[expected_kwh]]</f>
        <v>0</v>
      </c>
      <c r="M1463" t="str">
        <f>IF(Table4[[#This Row],[Performance_Deviation]] &lt; 0, "Underperforming", "Outperforming")</f>
        <v>Outperforming</v>
      </c>
      <c r="N1463">
        <f>IF(Table4[[#This Row],[Performance_Ratio]] &lt; 0.85, Table4[[#This Row],[Performance_Deviation]] * 50 / 1000, 0)</f>
        <v>0</v>
      </c>
    </row>
    <row r="1464" spans="1:14" x14ac:dyDescent="0.3">
      <c r="A1464" s="4" t="s">
        <v>7</v>
      </c>
      <c r="B1464" s="3">
        <v>45321.916666666664</v>
      </c>
      <c r="C1464" s="4">
        <v>0</v>
      </c>
      <c r="D1464" s="4">
        <v>0</v>
      </c>
      <c r="E1464" s="4">
        <v>0</v>
      </c>
      <c r="F1464" s="4">
        <v>57.565745441719898</v>
      </c>
      <c r="G1464" s="4" t="str">
        <f t="shared" si="44"/>
        <v>OK</v>
      </c>
      <c r="H1464" s="4" t="str">
        <f t="shared" si="45"/>
        <v>ZERO</v>
      </c>
      <c r="I1464">
        <v>0</v>
      </c>
      <c r="J1464">
        <f>IFERROR(Table4[[#This Row],[energy_kwh]]/Table4[[#This Row],[expected_kwh]],0)</f>
        <v>0</v>
      </c>
      <c r="K1464" t="str">
        <f>IF(Table4[[#This Row],[Performance_Ratio]] &lt; 0.85, "Underperforming", "Performing")</f>
        <v>Underperforming</v>
      </c>
      <c r="L1464">
        <f>Table4[[#This Row],[energy_kwh]] - Table4[[#This Row],[expected_kwh]]</f>
        <v>0</v>
      </c>
      <c r="M1464" t="str">
        <f>IF(Table4[[#This Row],[Performance_Deviation]] &lt; 0, "Underperforming", "Outperforming")</f>
        <v>Outperforming</v>
      </c>
      <c r="N1464">
        <f>IF(Table4[[#This Row],[Performance_Ratio]] &lt; 0.85, Table4[[#This Row],[Performance_Deviation]] * 50 / 1000, 0)</f>
        <v>0</v>
      </c>
    </row>
    <row r="1465" spans="1:14" x14ac:dyDescent="0.3">
      <c r="A1465" s="6" t="s">
        <v>7</v>
      </c>
      <c r="B1465" s="5">
        <v>45321.958333333336</v>
      </c>
      <c r="C1465" s="6">
        <v>0</v>
      </c>
      <c r="D1465" s="6">
        <v>0</v>
      </c>
      <c r="E1465" s="6">
        <v>0</v>
      </c>
      <c r="F1465" s="6">
        <v>42.7299320881326</v>
      </c>
      <c r="G1465" s="6" t="str">
        <f t="shared" si="44"/>
        <v>OK</v>
      </c>
      <c r="H1465" s="6" t="str">
        <f t="shared" si="45"/>
        <v>ZERO</v>
      </c>
      <c r="I1465">
        <v>0</v>
      </c>
      <c r="J1465">
        <f>IFERROR(Table4[[#This Row],[energy_kwh]]/Table4[[#This Row],[expected_kwh]],0)</f>
        <v>0</v>
      </c>
      <c r="K1465" t="str">
        <f>IF(Table4[[#This Row],[Performance_Ratio]] &lt; 0.85, "Underperforming", "Performing")</f>
        <v>Underperforming</v>
      </c>
      <c r="L1465">
        <f>Table4[[#This Row],[energy_kwh]] - Table4[[#This Row],[expected_kwh]]</f>
        <v>0</v>
      </c>
      <c r="M1465" t="str">
        <f>IF(Table4[[#This Row],[Performance_Deviation]] &lt; 0, "Underperforming", "Outperforming")</f>
        <v>Outperforming</v>
      </c>
      <c r="N1465">
        <f>IF(Table4[[#This Row],[Performance_Ratio]] &lt; 0.85, Table4[[#This Row],[Performance_Deviation]] * 50 / 1000, 0)</f>
        <v>0</v>
      </c>
    </row>
    <row r="1466" spans="1:14" x14ac:dyDescent="0.3">
      <c r="A1466" s="4" t="s">
        <v>7</v>
      </c>
      <c r="B1466" s="3">
        <v>45322</v>
      </c>
      <c r="C1466" s="4">
        <v>0</v>
      </c>
      <c r="D1466" s="4">
        <v>0</v>
      </c>
      <c r="E1466" s="4">
        <v>0</v>
      </c>
      <c r="F1466" s="4">
        <v>61.205887404572302</v>
      </c>
      <c r="G1466" s="4" t="str">
        <f t="shared" si="44"/>
        <v>OK</v>
      </c>
      <c r="H1466" s="4" t="str">
        <f t="shared" si="45"/>
        <v>ZERO</v>
      </c>
      <c r="I1466">
        <v>0</v>
      </c>
      <c r="J1466">
        <f>IFERROR(Table4[[#This Row],[energy_kwh]]/Table4[[#This Row],[expected_kwh]],0)</f>
        <v>0</v>
      </c>
      <c r="K1466" t="str">
        <f>IF(Table4[[#This Row],[Performance_Ratio]] &lt; 0.85, "Underperforming", "Performing")</f>
        <v>Underperforming</v>
      </c>
      <c r="L1466">
        <f>Table4[[#This Row],[energy_kwh]] - Table4[[#This Row],[expected_kwh]]</f>
        <v>0</v>
      </c>
      <c r="M1466" t="str">
        <f>IF(Table4[[#This Row],[Performance_Deviation]] &lt; 0, "Underperforming", "Outperforming")</f>
        <v>Outperforming</v>
      </c>
      <c r="N1466">
        <f>IF(Table4[[#This Row],[Performance_Ratio]] &lt; 0.85, Table4[[#This Row],[Performance_Deviation]] * 50 / 1000, 0)</f>
        <v>0</v>
      </c>
    </row>
    <row r="1467" spans="1:14" x14ac:dyDescent="0.3">
      <c r="A1467" s="6" t="s">
        <v>7</v>
      </c>
      <c r="B1467" s="5">
        <v>45322.041666666664</v>
      </c>
      <c r="C1467" s="6">
        <v>0</v>
      </c>
      <c r="D1467" s="6">
        <v>0</v>
      </c>
      <c r="E1467" s="6">
        <v>0</v>
      </c>
      <c r="F1467" s="6">
        <v>39.174966749886003</v>
      </c>
      <c r="G1467" s="6" t="str">
        <f t="shared" si="44"/>
        <v>OK</v>
      </c>
      <c r="H1467" s="6" t="str">
        <f t="shared" si="45"/>
        <v>ZERO</v>
      </c>
      <c r="I1467">
        <v>0</v>
      </c>
      <c r="J1467">
        <f>IFERROR(Table4[[#This Row],[energy_kwh]]/Table4[[#This Row],[expected_kwh]],0)</f>
        <v>0</v>
      </c>
      <c r="K1467" t="str">
        <f>IF(Table4[[#This Row],[Performance_Ratio]] &lt; 0.85, "Underperforming", "Performing")</f>
        <v>Underperforming</v>
      </c>
      <c r="L1467">
        <f>Table4[[#This Row],[energy_kwh]] - Table4[[#This Row],[expected_kwh]]</f>
        <v>0</v>
      </c>
      <c r="M1467" t="str">
        <f>IF(Table4[[#This Row],[Performance_Deviation]] &lt; 0, "Underperforming", "Outperforming")</f>
        <v>Outperforming</v>
      </c>
      <c r="N1467">
        <f>IF(Table4[[#This Row],[Performance_Ratio]] &lt; 0.85, Table4[[#This Row],[Performance_Deviation]] * 50 / 1000, 0)</f>
        <v>0</v>
      </c>
    </row>
    <row r="1468" spans="1:14" x14ac:dyDescent="0.3">
      <c r="A1468" s="4" t="s">
        <v>7</v>
      </c>
      <c r="B1468" s="3">
        <v>45322.083333333336</v>
      </c>
      <c r="C1468" s="4">
        <v>0</v>
      </c>
      <c r="D1468" s="4">
        <v>0</v>
      </c>
      <c r="E1468" s="4">
        <v>0</v>
      </c>
      <c r="F1468" s="4">
        <v>62.199156717705598</v>
      </c>
      <c r="G1468" s="4" t="str">
        <f t="shared" si="44"/>
        <v>OK</v>
      </c>
      <c r="H1468" s="4" t="str">
        <f t="shared" si="45"/>
        <v>ZERO</v>
      </c>
      <c r="I1468">
        <v>0</v>
      </c>
      <c r="J1468">
        <f>IFERROR(Table4[[#This Row],[energy_kwh]]/Table4[[#This Row],[expected_kwh]],0)</f>
        <v>0</v>
      </c>
      <c r="K1468" t="str">
        <f>IF(Table4[[#This Row],[Performance_Ratio]] &lt; 0.85, "Underperforming", "Performing")</f>
        <v>Underperforming</v>
      </c>
      <c r="L1468">
        <f>Table4[[#This Row],[energy_kwh]] - Table4[[#This Row],[expected_kwh]]</f>
        <v>0</v>
      </c>
      <c r="M1468" t="str">
        <f>IF(Table4[[#This Row],[Performance_Deviation]] &lt; 0, "Underperforming", "Outperforming")</f>
        <v>Outperforming</v>
      </c>
      <c r="N1468">
        <f>IF(Table4[[#This Row],[Performance_Ratio]] &lt; 0.85, Table4[[#This Row],[Performance_Deviation]] * 50 / 1000, 0)</f>
        <v>0</v>
      </c>
    </row>
    <row r="1469" spans="1:14" x14ac:dyDescent="0.3">
      <c r="A1469" s="6" t="s">
        <v>7</v>
      </c>
      <c r="B1469" s="5">
        <v>45322.125</v>
      </c>
      <c r="C1469" s="6">
        <v>0</v>
      </c>
      <c r="D1469" s="6">
        <v>0</v>
      </c>
      <c r="E1469" s="6">
        <v>0</v>
      </c>
      <c r="F1469" s="6">
        <v>35.563362153865903</v>
      </c>
      <c r="G1469" s="6" t="str">
        <f t="shared" si="44"/>
        <v>OK</v>
      </c>
      <c r="H1469" s="6" t="str">
        <f t="shared" si="45"/>
        <v>ZERO</v>
      </c>
      <c r="I1469">
        <v>0</v>
      </c>
      <c r="J1469">
        <f>IFERROR(Table4[[#This Row],[energy_kwh]]/Table4[[#This Row],[expected_kwh]],0)</f>
        <v>0</v>
      </c>
      <c r="K1469" t="str">
        <f>IF(Table4[[#This Row],[Performance_Ratio]] &lt; 0.85, "Underperforming", "Performing")</f>
        <v>Underperforming</v>
      </c>
      <c r="L1469">
        <f>Table4[[#This Row],[energy_kwh]] - Table4[[#This Row],[expected_kwh]]</f>
        <v>0</v>
      </c>
      <c r="M1469" t="str">
        <f>IF(Table4[[#This Row],[Performance_Deviation]] &lt; 0, "Underperforming", "Outperforming")</f>
        <v>Outperforming</v>
      </c>
      <c r="N1469">
        <f>IF(Table4[[#This Row],[Performance_Ratio]] &lt; 0.85, Table4[[#This Row],[Performance_Deviation]] * 50 / 1000, 0)</f>
        <v>0</v>
      </c>
    </row>
    <row r="1470" spans="1:14" x14ac:dyDescent="0.3">
      <c r="A1470" s="4" t="s">
        <v>7</v>
      </c>
      <c r="B1470" s="3">
        <v>45322.166666666664</v>
      </c>
      <c r="C1470" s="4">
        <v>0</v>
      </c>
      <c r="D1470" s="4">
        <v>0</v>
      </c>
      <c r="E1470" s="4">
        <v>0</v>
      </c>
      <c r="F1470" s="4">
        <v>53.916132507628802</v>
      </c>
      <c r="G1470" s="4" t="str">
        <f t="shared" si="44"/>
        <v>OK</v>
      </c>
      <c r="H1470" s="4" t="str">
        <f t="shared" si="45"/>
        <v>ZERO</v>
      </c>
      <c r="I1470">
        <v>0</v>
      </c>
      <c r="J1470">
        <f>IFERROR(Table4[[#This Row],[energy_kwh]]/Table4[[#This Row],[expected_kwh]],0)</f>
        <v>0</v>
      </c>
      <c r="K1470" t="str">
        <f>IF(Table4[[#This Row],[Performance_Ratio]] &lt; 0.85, "Underperforming", "Performing")</f>
        <v>Underperforming</v>
      </c>
      <c r="L1470">
        <f>Table4[[#This Row],[energy_kwh]] - Table4[[#This Row],[expected_kwh]]</f>
        <v>0</v>
      </c>
      <c r="M1470" t="str">
        <f>IF(Table4[[#This Row],[Performance_Deviation]] &lt; 0, "Underperforming", "Outperforming")</f>
        <v>Outperforming</v>
      </c>
      <c r="N1470">
        <f>IF(Table4[[#This Row],[Performance_Ratio]] &lt; 0.85, Table4[[#This Row],[Performance_Deviation]] * 50 / 1000, 0)</f>
        <v>0</v>
      </c>
    </row>
    <row r="1471" spans="1:14" x14ac:dyDescent="0.3">
      <c r="A1471" s="6" t="s">
        <v>7</v>
      </c>
      <c r="B1471" s="5">
        <v>45322.208333333336</v>
      </c>
      <c r="C1471" s="6">
        <v>0</v>
      </c>
      <c r="D1471" s="6">
        <v>0</v>
      </c>
      <c r="E1471" s="6">
        <v>0</v>
      </c>
      <c r="F1471" s="6">
        <v>91.377680479290206</v>
      </c>
      <c r="G1471" s="6" t="str">
        <f t="shared" si="44"/>
        <v>OK</v>
      </c>
      <c r="H1471" s="6" t="str">
        <f t="shared" si="45"/>
        <v>ZERO</v>
      </c>
      <c r="I1471">
        <v>0</v>
      </c>
      <c r="J1471">
        <f>IFERROR(Table4[[#This Row],[energy_kwh]]/Table4[[#This Row],[expected_kwh]],0)</f>
        <v>0</v>
      </c>
      <c r="K1471" t="str">
        <f>IF(Table4[[#This Row],[Performance_Ratio]] &lt; 0.85, "Underperforming", "Performing")</f>
        <v>Underperforming</v>
      </c>
      <c r="L1471">
        <f>Table4[[#This Row],[energy_kwh]] - Table4[[#This Row],[expected_kwh]]</f>
        <v>0</v>
      </c>
      <c r="M1471" t="str">
        <f>IF(Table4[[#This Row],[Performance_Deviation]] &lt; 0, "Underperforming", "Outperforming")</f>
        <v>Outperforming</v>
      </c>
      <c r="N1471">
        <f>IF(Table4[[#This Row],[Performance_Ratio]] &lt; 0.85, Table4[[#This Row],[Performance_Deviation]] * 50 / 1000, 0)</f>
        <v>0</v>
      </c>
    </row>
    <row r="1472" spans="1:14" x14ac:dyDescent="0.3">
      <c r="A1472" s="4" t="s">
        <v>7</v>
      </c>
      <c r="B1472" s="3">
        <v>45322.25</v>
      </c>
      <c r="C1472" s="4">
        <v>0</v>
      </c>
      <c r="D1472" s="4">
        <v>0</v>
      </c>
      <c r="E1472" s="4">
        <v>0</v>
      </c>
      <c r="F1472" s="4">
        <v>26.244324353797399</v>
      </c>
      <c r="G1472" s="4" t="str">
        <f t="shared" si="44"/>
        <v>OK</v>
      </c>
      <c r="H1472" s="4" t="str">
        <f t="shared" si="45"/>
        <v>ZERO</v>
      </c>
      <c r="I1472">
        <v>0</v>
      </c>
      <c r="J1472">
        <f>IFERROR(Table4[[#This Row],[energy_kwh]]/Table4[[#This Row],[expected_kwh]],0)</f>
        <v>0</v>
      </c>
      <c r="K1472" t="str">
        <f>IF(Table4[[#This Row],[Performance_Ratio]] &lt; 0.85, "Underperforming", "Performing")</f>
        <v>Underperforming</v>
      </c>
      <c r="L1472">
        <f>Table4[[#This Row],[energy_kwh]] - Table4[[#This Row],[expected_kwh]]</f>
        <v>0</v>
      </c>
      <c r="M1472" t="str">
        <f>IF(Table4[[#This Row],[Performance_Deviation]] &lt; 0, "Underperforming", "Outperforming")</f>
        <v>Outperforming</v>
      </c>
      <c r="N1472">
        <f>IF(Table4[[#This Row],[Performance_Ratio]] &lt; 0.85, Table4[[#This Row],[Performance_Deviation]] * 50 / 1000, 0)</f>
        <v>0</v>
      </c>
    </row>
    <row r="1473" spans="1:14" x14ac:dyDescent="0.3">
      <c r="A1473" s="6" t="s">
        <v>7</v>
      </c>
      <c r="B1473" s="5">
        <v>45322.291666666664</v>
      </c>
      <c r="C1473" s="6">
        <v>143.26368530704499</v>
      </c>
      <c r="D1473" s="6">
        <v>140.11597759703901</v>
      </c>
      <c r="E1473" s="6">
        <v>140.11597759703901</v>
      </c>
      <c r="F1473" s="6">
        <v>78.719271069317898</v>
      </c>
      <c r="G1473" s="6" t="str">
        <f t="shared" si="44"/>
        <v>OK</v>
      </c>
      <c r="H1473" s="6" t="str">
        <f t="shared" si="45"/>
        <v>NON-ZERO</v>
      </c>
      <c r="I1473">
        <v>155.291427061512</v>
      </c>
      <c r="J1473">
        <f>IFERROR(Table4[[#This Row],[energy_kwh]]/Table4[[#This Row],[expected_kwh]],0)</f>
        <v>0.90227760957813918</v>
      </c>
      <c r="K1473" t="str">
        <f>IF(Table4[[#This Row],[Performance_Ratio]] &lt; 0.85, "Underperforming", "Performing")</f>
        <v>Performing</v>
      </c>
      <c r="L1473">
        <f>Table4[[#This Row],[energy_kwh]] - Table4[[#This Row],[expected_kwh]]</f>
        <v>-15.17544946447299</v>
      </c>
      <c r="M1473" t="str">
        <f>IF(Table4[[#This Row],[Performance_Deviation]] &lt; 0, "Underperforming", "Outperforming")</f>
        <v>Underperforming</v>
      </c>
      <c r="N1473">
        <f>IF(Table4[[#This Row],[Performance_Ratio]] &lt; 0.85, Table4[[#This Row],[Performance_Deviation]] * 50 / 1000, 0)</f>
        <v>0</v>
      </c>
    </row>
    <row r="1474" spans="1:14" x14ac:dyDescent="0.3">
      <c r="A1474" s="4" t="s">
        <v>7</v>
      </c>
      <c r="B1474" s="3">
        <v>45322.333333333336</v>
      </c>
      <c r="C1474" s="4">
        <v>269.73407186063503</v>
      </c>
      <c r="D1474" s="4">
        <v>263.80762919076102</v>
      </c>
      <c r="E1474" s="4">
        <v>263.80762919076102</v>
      </c>
      <c r="F1474" s="4">
        <v>53.234550899218497</v>
      </c>
      <c r="G1474" s="4" t="str">
        <f t="shared" ref="G1474:G1537" si="46">IF(D1474 &gt; C1474, "ERROR", "OK")</f>
        <v>OK</v>
      </c>
      <c r="H1474" s="4" t="str">
        <f t="shared" ref="H1474:H1537" si="47">IF(E1474=0,"ZERO","NON-ZERO")</f>
        <v>NON-ZERO</v>
      </c>
      <c r="I1474">
        <v>300</v>
      </c>
      <c r="J1474">
        <f>IFERROR(Table4[[#This Row],[energy_kwh]]/Table4[[#This Row],[expected_kwh]],0)</f>
        <v>0.87935876396920343</v>
      </c>
      <c r="K1474" t="str">
        <f>IF(Table4[[#This Row],[Performance_Ratio]] &lt; 0.85, "Underperforming", "Performing")</f>
        <v>Performing</v>
      </c>
      <c r="L1474">
        <f>Table4[[#This Row],[energy_kwh]] - Table4[[#This Row],[expected_kwh]]</f>
        <v>-36.19237080923898</v>
      </c>
      <c r="M1474" t="str">
        <f>IF(Table4[[#This Row],[Performance_Deviation]] &lt; 0, "Underperforming", "Outperforming")</f>
        <v>Underperforming</v>
      </c>
      <c r="N1474">
        <f>IF(Table4[[#This Row],[Performance_Ratio]] &lt; 0.85, Table4[[#This Row],[Performance_Deviation]] * 50 / 1000, 0)</f>
        <v>0</v>
      </c>
    </row>
    <row r="1475" spans="1:14" x14ac:dyDescent="0.3">
      <c r="A1475" s="6" t="s">
        <v>7</v>
      </c>
      <c r="B1475" s="5">
        <v>45322.375</v>
      </c>
      <c r="C1475" s="6">
        <v>319.02052274073998</v>
      </c>
      <c r="D1475" s="6">
        <v>312.011186376615</v>
      </c>
      <c r="E1475" s="6">
        <v>312.011186376615</v>
      </c>
      <c r="F1475" s="6">
        <v>59.445993267609403</v>
      </c>
      <c r="G1475" s="6" t="str">
        <f t="shared" si="46"/>
        <v>OK</v>
      </c>
      <c r="H1475" s="6" t="str">
        <f t="shared" si="47"/>
        <v>NON-ZERO</v>
      </c>
      <c r="I1475">
        <v>424.26406871192802</v>
      </c>
      <c r="J1475">
        <f>IFERROR(Table4[[#This Row],[energy_kwh]]/Table4[[#This Row],[expected_kwh]],0)</f>
        <v>0.73541741897654822</v>
      </c>
      <c r="K1475" t="str">
        <f>IF(Table4[[#This Row],[Performance_Ratio]] &lt; 0.85, "Underperforming", "Performing")</f>
        <v>Underperforming</v>
      </c>
      <c r="L1475">
        <f>Table4[[#This Row],[energy_kwh]] - Table4[[#This Row],[expected_kwh]]</f>
        <v>-112.25288233531302</v>
      </c>
      <c r="M1475" t="str">
        <f>IF(Table4[[#This Row],[Performance_Deviation]] &lt; 0, "Underperforming", "Outperforming")</f>
        <v>Underperforming</v>
      </c>
      <c r="N1475">
        <f>IF(Table4[[#This Row],[Performance_Ratio]] &lt; 0.85, Table4[[#This Row],[Performance_Deviation]] * 50 / 1000, 0)</f>
        <v>-5.6126441167656509</v>
      </c>
    </row>
    <row r="1476" spans="1:14" x14ac:dyDescent="0.3">
      <c r="A1476" s="4" t="s">
        <v>7</v>
      </c>
      <c r="B1476" s="3">
        <v>45322.416666666664</v>
      </c>
      <c r="C1476" s="4">
        <v>475.05880529209799</v>
      </c>
      <c r="D1476" s="4">
        <v>464.62108507765998</v>
      </c>
      <c r="E1476" s="4">
        <v>464.62108507765998</v>
      </c>
      <c r="F1476" s="4">
        <v>40.207958472774102</v>
      </c>
      <c r="G1476" s="4" t="str">
        <f t="shared" si="46"/>
        <v>OK</v>
      </c>
      <c r="H1476" s="4" t="str">
        <f t="shared" si="47"/>
        <v>NON-ZERO</v>
      </c>
      <c r="I1476">
        <v>519.61524227066297</v>
      </c>
      <c r="J1476">
        <f>IFERROR(Table4[[#This Row],[energy_kwh]]/Table4[[#This Row],[expected_kwh]],0)</f>
        <v>0.89416369513587701</v>
      </c>
      <c r="K1476" t="str">
        <f>IF(Table4[[#This Row],[Performance_Ratio]] &lt; 0.85, "Underperforming", "Performing")</f>
        <v>Performing</v>
      </c>
      <c r="L1476">
        <f>Table4[[#This Row],[energy_kwh]] - Table4[[#This Row],[expected_kwh]]</f>
        <v>-54.994157193002991</v>
      </c>
      <c r="M1476" t="str">
        <f>IF(Table4[[#This Row],[Performance_Deviation]] &lt; 0, "Underperforming", "Outperforming")</f>
        <v>Underperforming</v>
      </c>
      <c r="N1476">
        <f>IF(Table4[[#This Row],[Performance_Ratio]] &lt; 0.85, Table4[[#This Row],[Performance_Deviation]] * 50 / 1000, 0)</f>
        <v>0</v>
      </c>
    </row>
    <row r="1477" spans="1:14" x14ac:dyDescent="0.3">
      <c r="A1477" s="6" t="s">
        <v>7</v>
      </c>
      <c r="B1477" s="5">
        <v>45322.458333333336</v>
      </c>
      <c r="C1477" s="6">
        <v>596.86126924207599</v>
      </c>
      <c r="D1477" s="6">
        <v>583.74737499196794</v>
      </c>
      <c r="E1477" s="6">
        <v>583.74737499196794</v>
      </c>
      <c r="F1477" s="6">
        <v>74.265092999831595</v>
      </c>
      <c r="G1477" s="6" t="str">
        <f t="shared" si="46"/>
        <v>OK</v>
      </c>
      <c r="H1477" s="6" t="str">
        <f t="shared" si="47"/>
        <v>NON-ZERO</v>
      </c>
      <c r="I1477">
        <v>579.55549577344095</v>
      </c>
      <c r="J1477">
        <f>IFERROR(Table4[[#This Row],[energy_kwh]]/Table4[[#This Row],[expected_kwh]],0)</f>
        <v>1.0072329211768283</v>
      </c>
      <c r="K1477" t="str">
        <f>IF(Table4[[#This Row],[Performance_Ratio]] &lt; 0.85, "Underperforming", "Performing")</f>
        <v>Performing</v>
      </c>
      <c r="L1477">
        <f>Table4[[#This Row],[energy_kwh]] - Table4[[#This Row],[expected_kwh]]</f>
        <v>4.1918792185269922</v>
      </c>
      <c r="M1477" t="str">
        <f>IF(Table4[[#This Row],[Performance_Deviation]] &lt; 0, "Underperforming", "Outperforming")</f>
        <v>Outperforming</v>
      </c>
      <c r="N1477">
        <f>IF(Table4[[#This Row],[Performance_Ratio]] &lt; 0.85, Table4[[#This Row],[Performance_Deviation]] * 50 / 1000, 0)</f>
        <v>0</v>
      </c>
    </row>
    <row r="1478" spans="1:14" x14ac:dyDescent="0.3">
      <c r="A1478" s="4" t="s">
        <v>7</v>
      </c>
      <c r="B1478" s="3">
        <v>45322.5</v>
      </c>
      <c r="C1478" s="4">
        <v>648.03300792244602</v>
      </c>
      <c r="D1478" s="4">
        <v>633.79479751340796</v>
      </c>
      <c r="E1478" s="4">
        <v>633.79479751340796</v>
      </c>
      <c r="F1478" s="4">
        <v>58.213165491815097</v>
      </c>
      <c r="G1478" s="4" t="str">
        <f t="shared" si="46"/>
        <v>OK</v>
      </c>
      <c r="H1478" s="4" t="str">
        <f t="shared" si="47"/>
        <v>NON-ZERO</v>
      </c>
      <c r="I1478">
        <v>600</v>
      </c>
      <c r="J1478">
        <f>IFERROR(Table4[[#This Row],[energy_kwh]]/Table4[[#This Row],[expected_kwh]],0)</f>
        <v>1.0563246625223466</v>
      </c>
      <c r="K1478" t="str">
        <f>IF(Table4[[#This Row],[Performance_Ratio]] &lt; 0.85, "Underperforming", "Performing")</f>
        <v>Performing</v>
      </c>
      <c r="L1478">
        <f>Table4[[#This Row],[energy_kwh]] - Table4[[#This Row],[expected_kwh]]</f>
        <v>33.794797513407957</v>
      </c>
      <c r="M1478" t="str">
        <f>IF(Table4[[#This Row],[Performance_Deviation]] &lt; 0, "Underperforming", "Outperforming")</f>
        <v>Outperforming</v>
      </c>
      <c r="N1478">
        <f>IF(Table4[[#This Row],[Performance_Ratio]] &lt; 0.85, Table4[[#This Row],[Performance_Deviation]] * 50 / 1000, 0)</f>
        <v>0</v>
      </c>
    </row>
    <row r="1479" spans="1:14" x14ac:dyDescent="0.3">
      <c r="A1479" s="6" t="s">
        <v>7</v>
      </c>
      <c r="B1479" s="5">
        <v>45322.541666666664</v>
      </c>
      <c r="C1479" s="6">
        <v>589.96219111757102</v>
      </c>
      <c r="D1479" s="6">
        <v>576.999879463973</v>
      </c>
      <c r="E1479" s="6">
        <v>576.999879463973</v>
      </c>
      <c r="F1479" s="6">
        <v>26.110542328470601</v>
      </c>
      <c r="G1479" s="6" t="str">
        <f t="shared" si="46"/>
        <v>OK</v>
      </c>
      <c r="H1479" s="6" t="str">
        <f t="shared" si="47"/>
        <v>NON-ZERO</v>
      </c>
      <c r="I1479">
        <v>579.55549577344095</v>
      </c>
      <c r="J1479">
        <f>IFERROR(Table4[[#This Row],[energy_kwh]]/Table4[[#This Row],[expected_kwh]],0)</f>
        <v>0.99559038551423384</v>
      </c>
      <c r="K1479" t="str">
        <f>IF(Table4[[#This Row],[Performance_Ratio]] &lt; 0.85, "Underperforming", "Performing")</f>
        <v>Performing</v>
      </c>
      <c r="L1479">
        <f>Table4[[#This Row],[energy_kwh]] - Table4[[#This Row],[expected_kwh]]</f>
        <v>-2.5556163094679505</v>
      </c>
      <c r="M1479" t="str">
        <f>IF(Table4[[#This Row],[Performance_Deviation]] &lt; 0, "Underperforming", "Outperforming")</f>
        <v>Underperforming</v>
      </c>
      <c r="N1479">
        <f>IF(Table4[[#This Row],[Performance_Ratio]] &lt; 0.85, Table4[[#This Row],[Performance_Deviation]] * 50 / 1000, 0)</f>
        <v>0</v>
      </c>
    </row>
    <row r="1480" spans="1:14" x14ac:dyDescent="0.3">
      <c r="A1480" s="4" t="s">
        <v>7</v>
      </c>
      <c r="B1480" s="3">
        <v>45322.583333333336</v>
      </c>
      <c r="C1480" s="4">
        <v>461.71876014555198</v>
      </c>
      <c r="D1480" s="4">
        <v>451.57413976914802</v>
      </c>
      <c r="E1480" s="4">
        <v>451.57413976914802</v>
      </c>
      <c r="F1480" s="4">
        <v>73.788608528506799</v>
      </c>
      <c r="G1480" s="4" t="str">
        <f t="shared" si="46"/>
        <v>OK</v>
      </c>
      <c r="H1480" s="4" t="str">
        <f t="shared" si="47"/>
        <v>NON-ZERO</v>
      </c>
      <c r="I1480">
        <v>519.61524227066297</v>
      </c>
      <c r="J1480">
        <f>IFERROR(Table4[[#This Row],[energy_kwh]]/Table4[[#This Row],[expected_kwh]],0)</f>
        <v>0.86905483718263798</v>
      </c>
      <c r="K1480" t="str">
        <f>IF(Table4[[#This Row],[Performance_Ratio]] &lt; 0.85, "Underperforming", "Performing")</f>
        <v>Performing</v>
      </c>
      <c r="L1480">
        <f>Table4[[#This Row],[energy_kwh]] - Table4[[#This Row],[expected_kwh]]</f>
        <v>-68.041102501514956</v>
      </c>
      <c r="M1480" t="str">
        <f>IF(Table4[[#This Row],[Performance_Deviation]] &lt; 0, "Underperforming", "Outperforming")</f>
        <v>Underperforming</v>
      </c>
      <c r="N1480">
        <f>IF(Table4[[#This Row],[Performance_Ratio]] &lt; 0.85, Table4[[#This Row],[Performance_Deviation]] * 50 / 1000, 0)</f>
        <v>0</v>
      </c>
    </row>
    <row r="1481" spans="1:14" x14ac:dyDescent="0.3">
      <c r="A1481" s="6" t="s">
        <v>7</v>
      </c>
      <c r="B1481" s="5">
        <v>45322.625</v>
      </c>
      <c r="C1481" s="6">
        <v>331.63938770836802</v>
      </c>
      <c r="D1481" s="6">
        <v>324.352796864401</v>
      </c>
      <c r="E1481" s="6">
        <v>324.352796864401</v>
      </c>
      <c r="F1481" s="6">
        <v>38.234339781700101</v>
      </c>
      <c r="G1481" s="6" t="str">
        <f t="shared" si="46"/>
        <v>OK</v>
      </c>
      <c r="H1481" s="6" t="str">
        <f t="shared" si="47"/>
        <v>NON-ZERO</v>
      </c>
      <c r="I1481">
        <v>424.26406871192802</v>
      </c>
      <c r="J1481">
        <f>IFERROR(Table4[[#This Row],[energy_kwh]]/Table4[[#This Row],[expected_kwh]],0)</f>
        <v>0.76450687386546989</v>
      </c>
      <c r="K1481" t="str">
        <f>IF(Table4[[#This Row],[Performance_Ratio]] &lt; 0.85, "Underperforming", "Performing")</f>
        <v>Underperforming</v>
      </c>
      <c r="L1481">
        <f>Table4[[#This Row],[energy_kwh]] - Table4[[#This Row],[expected_kwh]]</f>
        <v>-99.911271847527019</v>
      </c>
      <c r="M1481" t="str">
        <f>IF(Table4[[#This Row],[Performance_Deviation]] &lt; 0, "Underperforming", "Outperforming")</f>
        <v>Underperforming</v>
      </c>
      <c r="N1481">
        <f>IF(Table4[[#This Row],[Performance_Ratio]] &lt; 0.85, Table4[[#This Row],[Performance_Deviation]] * 50 / 1000, 0)</f>
        <v>-4.9955635923763513</v>
      </c>
    </row>
    <row r="1482" spans="1:14" x14ac:dyDescent="0.3">
      <c r="A1482" s="4" t="s">
        <v>7</v>
      </c>
      <c r="B1482" s="3">
        <v>45322.666666666664</v>
      </c>
      <c r="C1482" s="4">
        <v>270.15499963810998</v>
      </c>
      <c r="D1482" s="4">
        <v>264.21930858398798</v>
      </c>
      <c r="E1482" s="4">
        <v>264.21930858398798</v>
      </c>
      <c r="F1482" s="4">
        <v>41.470989658395503</v>
      </c>
      <c r="G1482" s="4" t="str">
        <f t="shared" si="46"/>
        <v>OK</v>
      </c>
      <c r="H1482" s="4" t="str">
        <f t="shared" si="47"/>
        <v>NON-ZERO</v>
      </c>
      <c r="I1482">
        <v>300</v>
      </c>
      <c r="J1482">
        <f>IFERROR(Table4[[#This Row],[energy_kwh]]/Table4[[#This Row],[expected_kwh]],0)</f>
        <v>0.88073102861329322</v>
      </c>
      <c r="K1482" t="str">
        <f>IF(Table4[[#This Row],[Performance_Ratio]] &lt; 0.85, "Underperforming", "Performing")</f>
        <v>Performing</v>
      </c>
      <c r="L1482">
        <f>Table4[[#This Row],[energy_kwh]] - Table4[[#This Row],[expected_kwh]]</f>
        <v>-35.780691416012019</v>
      </c>
      <c r="M1482" t="str">
        <f>IF(Table4[[#This Row],[Performance_Deviation]] &lt; 0, "Underperforming", "Outperforming")</f>
        <v>Underperforming</v>
      </c>
      <c r="N1482">
        <f>IF(Table4[[#This Row],[Performance_Ratio]] &lt; 0.85, Table4[[#This Row],[Performance_Deviation]] * 50 / 1000, 0)</f>
        <v>0</v>
      </c>
    </row>
    <row r="1483" spans="1:14" x14ac:dyDescent="0.3">
      <c r="A1483" s="6" t="s">
        <v>7</v>
      </c>
      <c r="B1483" s="5">
        <v>45322.708333333336</v>
      </c>
      <c r="C1483" s="6">
        <v>153.195796707271</v>
      </c>
      <c r="D1483" s="6">
        <v>149.82986632929399</v>
      </c>
      <c r="E1483" s="6">
        <v>149.82986632929399</v>
      </c>
      <c r="F1483" s="6">
        <v>68.822880891390795</v>
      </c>
      <c r="G1483" s="6" t="str">
        <f t="shared" si="46"/>
        <v>OK</v>
      </c>
      <c r="H1483" s="6" t="str">
        <f t="shared" si="47"/>
        <v>NON-ZERO</v>
      </c>
      <c r="I1483">
        <v>155.291427061512</v>
      </c>
      <c r="J1483">
        <f>IFERROR(Table4[[#This Row],[energy_kwh]]/Table4[[#This Row],[expected_kwh]],0)</f>
        <v>0.96483024957936259</v>
      </c>
      <c r="K1483" t="str">
        <f>IF(Table4[[#This Row],[Performance_Ratio]] &lt; 0.85, "Underperforming", "Performing")</f>
        <v>Performing</v>
      </c>
      <c r="L1483">
        <f>Table4[[#This Row],[energy_kwh]] - Table4[[#This Row],[expected_kwh]]</f>
        <v>-5.461560732218004</v>
      </c>
      <c r="M1483" t="str">
        <f>IF(Table4[[#This Row],[Performance_Deviation]] &lt; 0, "Underperforming", "Outperforming")</f>
        <v>Underperforming</v>
      </c>
      <c r="N1483">
        <f>IF(Table4[[#This Row],[Performance_Ratio]] &lt; 0.85, Table4[[#This Row],[Performance_Deviation]] * 50 / 1000, 0)</f>
        <v>0</v>
      </c>
    </row>
    <row r="1484" spans="1:14" x14ac:dyDescent="0.3">
      <c r="A1484" s="4" t="s">
        <v>7</v>
      </c>
      <c r="B1484" s="3">
        <v>45322.75</v>
      </c>
      <c r="C1484" s="7">
        <v>6.8203444539228902E-14</v>
      </c>
      <c r="D1484" s="7">
        <v>6.6704917485670396E-14</v>
      </c>
      <c r="E1484" s="7">
        <v>6.6704917485670396E-14</v>
      </c>
      <c r="F1484" s="4">
        <v>93.500409739761196</v>
      </c>
      <c r="G1484" s="4" t="str">
        <f t="shared" si="46"/>
        <v>OK</v>
      </c>
      <c r="H1484" s="4" t="str">
        <f t="shared" si="47"/>
        <v>NON-ZERO</v>
      </c>
      <c r="I1484" s="2">
        <v>7.3478807948841102E-14</v>
      </c>
      <c r="J1484">
        <f>IFERROR(Table4[[#This Row],[energy_kwh]]/Table4[[#This Row],[expected_kwh]],0)</f>
        <v>0.90781164457802632</v>
      </c>
      <c r="K1484" t="str">
        <f>IF(Table4[[#This Row],[Performance_Ratio]] &lt; 0.85, "Underperforming", "Performing")</f>
        <v>Performing</v>
      </c>
      <c r="L1484">
        <f>Table4[[#This Row],[energy_kwh]] - Table4[[#This Row],[expected_kwh]]</f>
        <v>-6.7738904631707057E-15</v>
      </c>
      <c r="M1484" t="str">
        <f>IF(Table4[[#This Row],[Performance_Deviation]] &lt; 0, "Underperforming", "Outperforming")</f>
        <v>Underperforming</v>
      </c>
      <c r="N1484">
        <f>IF(Table4[[#This Row],[Performance_Ratio]] &lt; 0.85, Table4[[#This Row],[Performance_Deviation]] * 50 / 1000, 0)</f>
        <v>0</v>
      </c>
    </row>
    <row r="1485" spans="1:14" x14ac:dyDescent="0.3">
      <c r="A1485" s="6" t="s">
        <v>7</v>
      </c>
      <c r="B1485" s="5">
        <v>45322.791666666664</v>
      </c>
      <c r="C1485" s="6">
        <v>0</v>
      </c>
      <c r="D1485" s="6">
        <v>0</v>
      </c>
      <c r="E1485" s="6">
        <v>0</v>
      </c>
      <c r="F1485" s="6">
        <v>20.551837221905998</v>
      </c>
      <c r="G1485" s="6" t="str">
        <f t="shared" si="46"/>
        <v>OK</v>
      </c>
      <c r="H1485" s="6" t="str">
        <f t="shared" si="47"/>
        <v>ZERO</v>
      </c>
      <c r="I1485">
        <v>0</v>
      </c>
      <c r="J1485">
        <f>IFERROR(Table4[[#This Row],[energy_kwh]]/Table4[[#This Row],[expected_kwh]],0)</f>
        <v>0</v>
      </c>
      <c r="K1485" t="str">
        <f>IF(Table4[[#This Row],[Performance_Ratio]] &lt; 0.85, "Underperforming", "Performing")</f>
        <v>Underperforming</v>
      </c>
      <c r="L1485">
        <f>Table4[[#This Row],[energy_kwh]] - Table4[[#This Row],[expected_kwh]]</f>
        <v>0</v>
      </c>
      <c r="M1485" t="str">
        <f>IF(Table4[[#This Row],[Performance_Deviation]] &lt; 0, "Underperforming", "Outperforming")</f>
        <v>Outperforming</v>
      </c>
      <c r="N1485">
        <f>IF(Table4[[#This Row],[Performance_Ratio]] &lt; 0.85, Table4[[#This Row],[Performance_Deviation]] * 50 / 1000, 0)</f>
        <v>0</v>
      </c>
    </row>
    <row r="1486" spans="1:14" x14ac:dyDescent="0.3">
      <c r="A1486" s="4" t="s">
        <v>7</v>
      </c>
      <c r="B1486" s="3">
        <v>45322.833333333336</v>
      </c>
      <c r="C1486" s="4">
        <v>0</v>
      </c>
      <c r="D1486" s="4">
        <v>0</v>
      </c>
      <c r="E1486" s="4">
        <v>0</v>
      </c>
      <c r="F1486" s="4">
        <v>92.631434787530594</v>
      </c>
      <c r="G1486" s="4" t="str">
        <f t="shared" si="46"/>
        <v>OK</v>
      </c>
      <c r="H1486" s="4" t="str">
        <f t="shared" si="47"/>
        <v>ZERO</v>
      </c>
      <c r="I1486">
        <v>0</v>
      </c>
      <c r="J1486">
        <f>IFERROR(Table4[[#This Row],[energy_kwh]]/Table4[[#This Row],[expected_kwh]],0)</f>
        <v>0</v>
      </c>
      <c r="K1486" t="str">
        <f>IF(Table4[[#This Row],[Performance_Ratio]] &lt; 0.85, "Underperforming", "Performing")</f>
        <v>Underperforming</v>
      </c>
      <c r="L1486">
        <f>Table4[[#This Row],[energy_kwh]] - Table4[[#This Row],[expected_kwh]]</f>
        <v>0</v>
      </c>
      <c r="M1486" t="str">
        <f>IF(Table4[[#This Row],[Performance_Deviation]] &lt; 0, "Underperforming", "Outperforming")</f>
        <v>Outperforming</v>
      </c>
      <c r="N1486">
        <f>IF(Table4[[#This Row],[Performance_Ratio]] &lt; 0.85, Table4[[#This Row],[Performance_Deviation]] * 50 / 1000, 0)</f>
        <v>0</v>
      </c>
    </row>
    <row r="1487" spans="1:14" x14ac:dyDescent="0.3">
      <c r="A1487" s="6" t="s">
        <v>7</v>
      </c>
      <c r="B1487" s="5">
        <v>45322.875</v>
      </c>
      <c r="C1487" s="6">
        <v>0</v>
      </c>
      <c r="D1487" s="6">
        <v>0</v>
      </c>
      <c r="E1487" s="6">
        <v>0</v>
      </c>
      <c r="F1487" s="6">
        <v>90.876282068636996</v>
      </c>
      <c r="G1487" s="6" t="str">
        <f t="shared" si="46"/>
        <v>OK</v>
      </c>
      <c r="H1487" s="6" t="str">
        <f t="shared" si="47"/>
        <v>ZERO</v>
      </c>
      <c r="I1487">
        <v>0</v>
      </c>
      <c r="J1487">
        <f>IFERROR(Table4[[#This Row],[energy_kwh]]/Table4[[#This Row],[expected_kwh]],0)</f>
        <v>0</v>
      </c>
      <c r="K1487" t="str">
        <f>IF(Table4[[#This Row],[Performance_Ratio]] &lt; 0.85, "Underperforming", "Performing")</f>
        <v>Underperforming</v>
      </c>
      <c r="L1487">
        <f>Table4[[#This Row],[energy_kwh]] - Table4[[#This Row],[expected_kwh]]</f>
        <v>0</v>
      </c>
      <c r="M1487" t="str">
        <f>IF(Table4[[#This Row],[Performance_Deviation]] &lt; 0, "Underperforming", "Outperforming")</f>
        <v>Outperforming</v>
      </c>
      <c r="N1487">
        <f>IF(Table4[[#This Row],[Performance_Ratio]] &lt; 0.85, Table4[[#This Row],[Performance_Deviation]] * 50 / 1000, 0)</f>
        <v>0</v>
      </c>
    </row>
    <row r="1488" spans="1:14" x14ac:dyDescent="0.3">
      <c r="A1488" s="4" t="s">
        <v>7</v>
      </c>
      <c r="B1488" s="3">
        <v>45322.916666666664</v>
      </c>
      <c r="C1488" s="4">
        <v>0</v>
      </c>
      <c r="D1488" s="4">
        <v>0</v>
      </c>
      <c r="E1488" s="4">
        <v>0</v>
      </c>
      <c r="F1488" s="4">
        <v>55.235324108651099</v>
      </c>
      <c r="G1488" s="4" t="str">
        <f t="shared" si="46"/>
        <v>OK</v>
      </c>
      <c r="H1488" s="4" t="str">
        <f t="shared" si="47"/>
        <v>ZERO</v>
      </c>
      <c r="I1488">
        <v>0</v>
      </c>
      <c r="J1488">
        <f>IFERROR(Table4[[#This Row],[energy_kwh]]/Table4[[#This Row],[expected_kwh]],0)</f>
        <v>0</v>
      </c>
      <c r="K1488" t="str">
        <f>IF(Table4[[#This Row],[Performance_Ratio]] &lt; 0.85, "Underperforming", "Performing")</f>
        <v>Underperforming</v>
      </c>
      <c r="L1488">
        <f>Table4[[#This Row],[energy_kwh]] - Table4[[#This Row],[expected_kwh]]</f>
        <v>0</v>
      </c>
      <c r="M1488" t="str">
        <f>IF(Table4[[#This Row],[Performance_Deviation]] &lt; 0, "Underperforming", "Outperforming")</f>
        <v>Outperforming</v>
      </c>
      <c r="N1488">
        <f>IF(Table4[[#This Row],[Performance_Ratio]] &lt; 0.85, Table4[[#This Row],[Performance_Deviation]] * 50 / 1000, 0)</f>
        <v>0</v>
      </c>
    </row>
    <row r="1489" spans="1:14" x14ac:dyDescent="0.3">
      <c r="A1489" s="6" t="s">
        <v>7</v>
      </c>
      <c r="B1489" s="5">
        <v>45322.958333333336</v>
      </c>
      <c r="C1489" s="6">
        <v>0</v>
      </c>
      <c r="D1489" s="6">
        <v>0</v>
      </c>
      <c r="E1489" s="6">
        <v>0</v>
      </c>
      <c r="F1489" s="6">
        <v>46.757786776193797</v>
      </c>
      <c r="G1489" s="6" t="str">
        <f t="shared" si="46"/>
        <v>OK</v>
      </c>
      <c r="H1489" s="6" t="str">
        <f t="shared" si="47"/>
        <v>ZERO</v>
      </c>
      <c r="I1489">
        <v>0</v>
      </c>
      <c r="J1489">
        <f>IFERROR(Table4[[#This Row],[energy_kwh]]/Table4[[#This Row],[expected_kwh]],0)</f>
        <v>0</v>
      </c>
      <c r="K1489" t="str">
        <f>IF(Table4[[#This Row],[Performance_Ratio]] &lt; 0.85, "Underperforming", "Performing")</f>
        <v>Underperforming</v>
      </c>
      <c r="L1489">
        <f>Table4[[#This Row],[energy_kwh]] - Table4[[#This Row],[expected_kwh]]</f>
        <v>0</v>
      </c>
      <c r="M1489" t="str">
        <f>IF(Table4[[#This Row],[Performance_Deviation]] &lt; 0, "Underperforming", "Outperforming")</f>
        <v>Outperforming</v>
      </c>
      <c r="N1489">
        <f>IF(Table4[[#This Row],[Performance_Ratio]] &lt; 0.85, Table4[[#This Row],[Performance_Deviation]] * 50 / 1000, 0)</f>
        <v>0</v>
      </c>
    </row>
    <row r="1490" spans="1:14" x14ac:dyDescent="0.3">
      <c r="A1490" s="4" t="s">
        <v>8</v>
      </c>
      <c r="B1490" s="3">
        <v>45292</v>
      </c>
      <c r="C1490" s="4">
        <v>0</v>
      </c>
      <c r="D1490" s="4">
        <v>0</v>
      </c>
      <c r="E1490" s="4">
        <v>0</v>
      </c>
      <c r="F1490" s="4">
        <v>45.377589944391097</v>
      </c>
      <c r="G1490" s="4" t="str">
        <f t="shared" si="46"/>
        <v>OK</v>
      </c>
      <c r="H1490" s="4" t="str">
        <f t="shared" si="47"/>
        <v>ZERO</v>
      </c>
      <c r="I1490">
        <v>0</v>
      </c>
      <c r="J1490">
        <f>IFERROR(Table4[[#This Row],[energy_kwh]]/Table4[[#This Row],[expected_kwh]],0)</f>
        <v>0</v>
      </c>
      <c r="K1490" t="str">
        <f>IF(Table4[[#This Row],[Performance_Ratio]] &lt; 0.85, "Underperforming", "Performing")</f>
        <v>Underperforming</v>
      </c>
      <c r="L1490">
        <f>Table4[[#This Row],[energy_kwh]] - Table4[[#This Row],[expected_kwh]]</f>
        <v>0</v>
      </c>
      <c r="M1490" t="str">
        <f>IF(Table4[[#This Row],[Performance_Deviation]] &lt; 0, "Underperforming", "Outperforming")</f>
        <v>Outperforming</v>
      </c>
      <c r="N1490">
        <f>IF(Table4[[#This Row],[Performance_Ratio]] &lt; 0.85, Table4[[#This Row],[Performance_Deviation]] * 50 / 1000, 0)</f>
        <v>0</v>
      </c>
    </row>
    <row r="1491" spans="1:14" x14ac:dyDescent="0.3">
      <c r="A1491" s="6" t="s">
        <v>8</v>
      </c>
      <c r="B1491" s="5">
        <v>45292.041666666664</v>
      </c>
      <c r="C1491" s="6">
        <v>0</v>
      </c>
      <c r="D1491" s="6">
        <v>0</v>
      </c>
      <c r="E1491" s="6">
        <v>0</v>
      </c>
      <c r="F1491" s="6">
        <v>35.701129953807403</v>
      </c>
      <c r="G1491" s="6" t="str">
        <f t="shared" si="46"/>
        <v>OK</v>
      </c>
      <c r="H1491" s="6" t="str">
        <f t="shared" si="47"/>
        <v>ZERO</v>
      </c>
      <c r="I1491">
        <v>0</v>
      </c>
      <c r="J1491">
        <f>IFERROR(Table4[[#This Row],[energy_kwh]]/Table4[[#This Row],[expected_kwh]],0)</f>
        <v>0</v>
      </c>
      <c r="K1491" t="str">
        <f>IF(Table4[[#This Row],[Performance_Ratio]] &lt; 0.85, "Underperforming", "Performing")</f>
        <v>Underperforming</v>
      </c>
      <c r="L1491">
        <f>Table4[[#This Row],[energy_kwh]] - Table4[[#This Row],[expected_kwh]]</f>
        <v>0</v>
      </c>
      <c r="M1491" t="str">
        <f>IF(Table4[[#This Row],[Performance_Deviation]] &lt; 0, "Underperforming", "Outperforming")</f>
        <v>Outperforming</v>
      </c>
      <c r="N1491">
        <f>IF(Table4[[#This Row],[Performance_Ratio]] &lt; 0.85, Table4[[#This Row],[Performance_Deviation]] * 50 / 1000, 0)</f>
        <v>0</v>
      </c>
    </row>
    <row r="1492" spans="1:14" x14ac:dyDescent="0.3">
      <c r="A1492" s="4" t="s">
        <v>8</v>
      </c>
      <c r="B1492" s="3">
        <v>45292.083333333336</v>
      </c>
      <c r="C1492" s="4">
        <v>0</v>
      </c>
      <c r="D1492" s="4">
        <v>0</v>
      </c>
      <c r="E1492" s="4">
        <v>0</v>
      </c>
      <c r="F1492" s="4">
        <v>38.499233513358298</v>
      </c>
      <c r="G1492" s="4" t="str">
        <f t="shared" si="46"/>
        <v>OK</v>
      </c>
      <c r="H1492" s="4" t="str">
        <f t="shared" si="47"/>
        <v>ZERO</v>
      </c>
      <c r="I1492">
        <v>0</v>
      </c>
      <c r="J1492">
        <f>IFERROR(Table4[[#This Row],[energy_kwh]]/Table4[[#This Row],[expected_kwh]],0)</f>
        <v>0</v>
      </c>
      <c r="K1492" t="str">
        <f>IF(Table4[[#This Row],[Performance_Ratio]] &lt; 0.85, "Underperforming", "Performing")</f>
        <v>Underperforming</v>
      </c>
      <c r="L1492">
        <f>Table4[[#This Row],[energy_kwh]] - Table4[[#This Row],[expected_kwh]]</f>
        <v>0</v>
      </c>
      <c r="M1492" t="str">
        <f>IF(Table4[[#This Row],[Performance_Deviation]] &lt; 0, "Underperforming", "Outperforming")</f>
        <v>Outperforming</v>
      </c>
      <c r="N1492">
        <f>IF(Table4[[#This Row],[Performance_Ratio]] &lt; 0.85, Table4[[#This Row],[Performance_Deviation]] * 50 / 1000, 0)</f>
        <v>0</v>
      </c>
    </row>
    <row r="1493" spans="1:14" x14ac:dyDescent="0.3">
      <c r="A1493" s="6" t="s">
        <v>8</v>
      </c>
      <c r="B1493" s="5">
        <v>45292.125</v>
      </c>
      <c r="C1493" s="6">
        <v>0</v>
      </c>
      <c r="D1493" s="6">
        <v>0</v>
      </c>
      <c r="E1493" s="6">
        <v>0</v>
      </c>
      <c r="F1493" s="6">
        <v>61.7938874988808</v>
      </c>
      <c r="G1493" s="6" t="str">
        <f t="shared" si="46"/>
        <v>OK</v>
      </c>
      <c r="H1493" s="6" t="str">
        <f t="shared" si="47"/>
        <v>ZERO</v>
      </c>
      <c r="I1493">
        <v>0</v>
      </c>
      <c r="J1493">
        <f>IFERROR(Table4[[#This Row],[energy_kwh]]/Table4[[#This Row],[expected_kwh]],0)</f>
        <v>0</v>
      </c>
      <c r="K1493" t="str">
        <f>IF(Table4[[#This Row],[Performance_Ratio]] &lt; 0.85, "Underperforming", "Performing")</f>
        <v>Underperforming</v>
      </c>
      <c r="L1493">
        <f>Table4[[#This Row],[energy_kwh]] - Table4[[#This Row],[expected_kwh]]</f>
        <v>0</v>
      </c>
      <c r="M1493" t="str">
        <f>IF(Table4[[#This Row],[Performance_Deviation]] &lt; 0, "Underperforming", "Outperforming")</f>
        <v>Outperforming</v>
      </c>
      <c r="N1493">
        <f>IF(Table4[[#This Row],[Performance_Ratio]] &lt; 0.85, Table4[[#This Row],[Performance_Deviation]] * 50 / 1000, 0)</f>
        <v>0</v>
      </c>
    </row>
    <row r="1494" spans="1:14" x14ac:dyDescent="0.3">
      <c r="A1494" s="4" t="s">
        <v>8</v>
      </c>
      <c r="B1494" s="3">
        <v>45292.166666666664</v>
      </c>
      <c r="C1494" s="4">
        <v>0</v>
      </c>
      <c r="D1494" s="4">
        <v>0</v>
      </c>
      <c r="E1494" s="4">
        <v>0</v>
      </c>
      <c r="F1494" s="4">
        <v>51.024914268740503</v>
      </c>
      <c r="G1494" s="4" t="str">
        <f t="shared" si="46"/>
        <v>OK</v>
      </c>
      <c r="H1494" s="4" t="str">
        <f t="shared" si="47"/>
        <v>ZERO</v>
      </c>
      <c r="I1494">
        <v>0</v>
      </c>
      <c r="J1494">
        <f>IFERROR(Table4[[#This Row],[energy_kwh]]/Table4[[#This Row],[expected_kwh]],0)</f>
        <v>0</v>
      </c>
      <c r="K1494" t="str">
        <f>IF(Table4[[#This Row],[Performance_Ratio]] &lt; 0.85, "Underperforming", "Performing")</f>
        <v>Underperforming</v>
      </c>
      <c r="L1494">
        <f>Table4[[#This Row],[energy_kwh]] - Table4[[#This Row],[expected_kwh]]</f>
        <v>0</v>
      </c>
      <c r="M1494" t="str">
        <f>IF(Table4[[#This Row],[Performance_Deviation]] &lt; 0, "Underperforming", "Outperforming")</f>
        <v>Outperforming</v>
      </c>
      <c r="N1494">
        <f>IF(Table4[[#This Row],[Performance_Ratio]] &lt; 0.85, Table4[[#This Row],[Performance_Deviation]] * 50 / 1000, 0)</f>
        <v>0</v>
      </c>
    </row>
    <row r="1495" spans="1:14" x14ac:dyDescent="0.3">
      <c r="A1495" s="6" t="s">
        <v>8</v>
      </c>
      <c r="B1495" s="5">
        <v>45292.208333333336</v>
      </c>
      <c r="C1495" s="6">
        <v>0</v>
      </c>
      <c r="D1495" s="6">
        <v>0</v>
      </c>
      <c r="E1495" s="6">
        <v>0</v>
      </c>
      <c r="F1495" s="6">
        <v>94.298205287913405</v>
      </c>
      <c r="G1495" s="6" t="str">
        <f t="shared" si="46"/>
        <v>OK</v>
      </c>
      <c r="H1495" s="6" t="str">
        <f t="shared" si="47"/>
        <v>ZERO</v>
      </c>
      <c r="I1495">
        <v>0</v>
      </c>
      <c r="J1495">
        <f>IFERROR(Table4[[#This Row],[energy_kwh]]/Table4[[#This Row],[expected_kwh]],0)</f>
        <v>0</v>
      </c>
      <c r="K1495" t="str">
        <f>IF(Table4[[#This Row],[Performance_Ratio]] &lt; 0.85, "Underperforming", "Performing")</f>
        <v>Underperforming</v>
      </c>
      <c r="L1495">
        <f>Table4[[#This Row],[energy_kwh]] - Table4[[#This Row],[expected_kwh]]</f>
        <v>0</v>
      </c>
      <c r="M1495" t="str">
        <f>IF(Table4[[#This Row],[Performance_Deviation]] &lt; 0, "Underperforming", "Outperforming")</f>
        <v>Outperforming</v>
      </c>
      <c r="N1495">
        <f>IF(Table4[[#This Row],[Performance_Ratio]] &lt; 0.85, Table4[[#This Row],[Performance_Deviation]] * 50 / 1000, 0)</f>
        <v>0</v>
      </c>
    </row>
    <row r="1496" spans="1:14" x14ac:dyDescent="0.3">
      <c r="A1496" s="4" t="s">
        <v>8</v>
      </c>
      <c r="B1496" s="3">
        <v>45292.25</v>
      </c>
      <c r="C1496" s="4">
        <v>0</v>
      </c>
      <c r="D1496" s="4">
        <v>0</v>
      </c>
      <c r="E1496" s="4">
        <v>0</v>
      </c>
      <c r="F1496" s="4">
        <v>84.271259740204101</v>
      </c>
      <c r="G1496" s="4" t="str">
        <f t="shared" si="46"/>
        <v>OK</v>
      </c>
      <c r="H1496" s="4" t="str">
        <f t="shared" si="47"/>
        <v>ZERO</v>
      </c>
      <c r="I1496">
        <v>0</v>
      </c>
      <c r="J1496">
        <f>IFERROR(Table4[[#This Row],[energy_kwh]]/Table4[[#This Row],[expected_kwh]],0)</f>
        <v>0</v>
      </c>
      <c r="K1496" t="str">
        <f>IF(Table4[[#This Row],[Performance_Ratio]] &lt; 0.85, "Underperforming", "Performing")</f>
        <v>Underperforming</v>
      </c>
      <c r="L1496">
        <f>Table4[[#This Row],[energy_kwh]] - Table4[[#This Row],[expected_kwh]]</f>
        <v>0</v>
      </c>
      <c r="M1496" t="str">
        <f>IF(Table4[[#This Row],[Performance_Deviation]] &lt; 0, "Underperforming", "Outperforming")</f>
        <v>Outperforming</v>
      </c>
      <c r="N1496">
        <f>IF(Table4[[#This Row],[Performance_Ratio]] &lt; 0.85, Table4[[#This Row],[Performance_Deviation]] * 50 / 1000, 0)</f>
        <v>0</v>
      </c>
    </row>
    <row r="1497" spans="1:14" x14ac:dyDescent="0.3">
      <c r="A1497" s="6" t="s">
        <v>8</v>
      </c>
      <c r="B1497" s="5">
        <v>45292.291666666664</v>
      </c>
      <c r="C1497" s="6">
        <v>170.59173030080399</v>
      </c>
      <c r="D1497" s="6">
        <v>165.351111006889</v>
      </c>
      <c r="E1497" s="6">
        <v>165.351111006889</v>
      </c>
      <c r="F1497" s="6">
        <v>35.263333124891403</v>
      </c>
      <c r="G1497" s="6" t="str">
        <f t="shared" si="46"/>
        <v>OK</v>
      </c>
      <c r="H1497" s="6" t="str">
        <f t="shared" si="47"/>
        <v>NON-ZERO</v>
      </c>
      <c r="I1497">
        <v>207.05523608201599</v>
      </c>
      <c r="J1497">
        <f>IFERROR(Table4[[#This Row],[energy_kwh]]/Table4[[#This Row],[expected_kwh]],0)</f>
        <v>0.79858454263572598</v>
      </c>
      <c r="K1497" t="str">
        <f>IF(Table4[[#This Row],[Performance_Ratio]] &lt; 0.85, "Underperforming", "Performing")</f>
        <v>Underperforming</v>
      </c>
      <c r="L1497">
        <f>Table4[[#This Row],[energy_kwh]] - Table4[[#This Row],[expected_kwh]]</f>
        <v>-41.704125075126996</v>
      </c>
      <c r="M1497" t="str">
        <f>IF(Table4[[#This Row],[Performance_Deviation]] &lt; 0, "Underperforming", "Outperforming")</f>
        <v>Underperforming</v>
      </c>
      <c r="N1497">
        <f>IF(Table4[[#This Row],[Performance_Ratio]] &lt; 0.85, Table4[[#This Row],[Performance_Deviation]] * 50 / 1000, 0)</f>
        <v>-2.0852062537563496</v>
      </c>
    </row>
    <row r="1498" spans="1:14" x14ac:dyDescent="0.3">
      <c r="A1498" s="4" t="s">
        <v>8</v>
      </c>
      <c r="B1498" s="3">
        <v>45292.333333333336</v>
      </c>
      <c r="C1498" s="4">
        <v>370.87954725298698</v>
      </c>
      <c r="D1498" s="4">
        <v>359.48603768704498</v>
      </c>
      <c r="E1498" s="4">
        <v>359.48603768704498</v>
      </c>
      <c r="F1498" s="4">
        <v>90.551764079242304</v>
      </c>
      <c r="G1498" s="4" t="str">
        <f t="shared" si="46"/>
        <v>OK</v>
      </c>
      <c r="H1498" s="4" t="str">
        <f t="shared" si="47"/>
        <v>NON-ZERO</v>
      </c>
      <c r="I1498">
        <v>399.99999999999898</v>
      </c>
      <c r="J1498">
        <f>IFERROR(Table4[[#This Row],[energy_kwh]]/Table4[[#This Row],[expected_kwh]],0)</f>
        <v>0.89871509421761475</v>
      </c>
      <c r="K1498" t="str">
        <f>IF(Table4[[#This Row],[Performance_Ratio]] &lt; 0.85, "Underperforming", "Performing")</f>
        <v>Performing</v>
      </c>
      <c r="L1498">
        <f>Table4[[#This Row],[energy_kwh]] - Table4[[#This Row],[expected_kwh]]</f>
        <v>-40.513962312953993</v>
      </c>
      <c r="M1498" t="str">
        <f>IF(Table4[[#This Row],[Performance_Deviation]] &lt; 0, "Underperforming", "Outperforming")</f>
        <v>Underperforming</v>
      </c>
      <c r="N1498">
        <f>IF(Table4[[#This Row],[Performance_Ratio]] &lt; 0.85, Table4[[#This Row],[Performance_Deviation]] * 50 / 1000, 0)</f>
        <v>0</v>
      </c>
    </row>
    <row r="1499" spans="1:14" x14ac:dyDescent="0.3">
      <c r="A1499" s="6" t="s">
        <v>8</v>
      </c>
      <c r="B1499" s="5">
        <v>45292.375</v>
      </c>
      <c r="C1499" s="6">
        <v>566.72525410099695</v>
      </c>
      <c r="D1499" s="6">
        <v>549.31531696187506</v>
      </c>
      <c r="E1499" s="6">
        <v>549.31531696187506</v>
      </c>
      <c r="F1499" s="6">
        <v>84.2428991512501</v>
      </c>
      <c r="G1499" s="6" t="str">
        <f t="shared" si="46"/>
        <v>OK</v>
      </c>
      <c r="H1499" s="6" t="str">
        <f t="shared" si="47"/>
        <v>NON-ZERO</v>
      </c>
      <c r="I1499">
        <v>565.68542494923804</v>
      </c>
      <c r="J1499">
        <f>IFERROR(Table4[[#This Row],[energy_kwh]]/Table4[[#This Row],[expected_kwh]],0)</f>
        <v>0.97106146408344896</v>
      </c>
      <c r="K1499" t="str">
        <f>IF(Table4[[#This Row],[Performance_Ratio]] &lt; 0.85, "Underperforming", "Performing")</f>
        <v>Performing</v>
      </c>
      <c r="L1499">
        <f>Table4[[#This Row],[energy_kwh]] - Table4[[#This Row],[expected_kwh]]</f>
        <v>-16.370107987362985</v>
      </c>
      <c r="M1499" t="str">
        <f>IF(Table4[[#This Row],[Performance_Deviation]] &lt; 0, "Underperforming", "Outperforming")</f>
        <v>Underperforming</v>
      </c>
      <c r="N1499">
        <f>IF(Table4[[#This Row],[Performance_Ratio]] &lt; 0.85, Table4[[#This Row],[Performance_Deviation]] * 50 / 1000, 0)</f>
        <v>0</v>
      </c>
    </row>
    <row r="1500" spans="1:14" x14ac:dyDescent="0.3">
      <c r="A1500" s="4" t="s">
        <v>8</v>
      </c>
      <c r="B1500" s="3">
        <v>45292.416666666664</v>
      </c>
      <c r="C1500" s="4">
        <v>596.56917678346099</v>
      </c>
      <c r="D1500" s="4">
        <v>578.24242710752901</v>
      </c>
      <c r="E1500" s="4">
        <v>578.24242710752901</v>
      </c>
      <c r="F1500" s="4">
        <v>88.656215110002705</v>
      </c>
      <c r="G1500" s="4" t="str">
        <f t="shared" si="46"/>
        <v>OK</v>
      </c>
      <c r="H1500" s="4" t="str">
        <f t="shared" si="47"/>
        <v>NON-ZERO</v>
      </c>
      <c r="I1500">
        <v>692.82032302754999</v>
      </c>
      <c r="J1500">
        <f>IFERROR(Table4[[#This Row],[energy_kwh]]/Table4[[#This Row],[expected_kwh]],0)</f>
        <v>0.83462105236848716</v>
      </c>
      <c r="K1500" t="str">
        <f>IF(Table4[[#This Row],[Performance_Ratio]] &lt; 0.85, "Underperforming", "Performing")</f>
        <v>Underperforming</v>
      </c>
      <c r="L1500">
        <f>Table4[[#This Row],[energy_kwh]] - Table4[[#This Row],[expected_kwh]]</f>
        <v>-114.57789592002098</v>
      </c>
      <c r="M1500" t="str">
        <f>IF(Table4[[#This Row],[Performance_Deviation]] &lt; 0, "Underperforming", "Outperforming")</f>
        <v>Underperforming</v>
      </c>
      <c r="N1500">
        <f>IF(Table4[[#This Row],[Performance_Ratio]] &lt; 0.85, Table4[[#This Row],[Performance_Deviation]] * 50 / 1000, 0)</f>
        <v>-5.7288947960010494</v>
      </c>
    </row>
    <row r="1501" spans="1:14" x14ac:dyDescent="0.3">
      <c r="A1501" s="6" t="s">
        <v>8</v>
      </c>
      <c r="B1501" s="5">
        <v>45292.458333333336</v>
      </c>
      <c r="C1501" s="6">
        <v>710.36087902401903</v>
      </c>
      <c r="D1501" s="6">
        <v>688.53842068039398</v>
      </c>
      <c r="E1501" s="6">
        <v>688.53842068039398</v>
      </c>
      <c r="F1501" s="6">
        <v>94.127792504117807</v>
      </c>
      <c r="G1501" s="6" t="str">
        <f t="shared" si="46"/>
        <v>OK</v>
      </c>
      <c r="H1501" s="6" t="str">
        <f t="shared" si="47"/>
        <v>NON-ZERO</v>
      </c>
      <c r="I1501">
        <v>772.74066103125404</v>
      </c>
      <c r="J1501">
        <f>IFERROR(Table4[[#This Row],[energy_kwh]]/Table4[[#This Row],[expected_kwh]],0)</f>
        <v>0.89103428278448726</v>
      </c>
      <c r="K1501" t="str">
        <f>IF(Table4[[#This Row],[Performance_Ratio]] &lt; 0.85, "Underperforming", "Performing")</f>
        <v>Performing</v>
      </c>
      <c r="L1501">
        <f>Table4[[#This Row],[energy_kwh]] - Table4[[#This Row],[expected_kwh]]</f>
        <v>-84.202240350860052</v>
      </c>
      <c r="M1501" t="str">
        <f>IF(Table4[[#This Row],[Performance_Deviation]] &lt; 0, "Underperforming", "Outperforming")</f>
        <v>Underperforming</v>
      </c>
      <c r="N1501">
        <f>IF(Table4[[#This Row],[Performance_Ratio]] &lt; 0.85, Table4[[#This Row],[Performance_Deviation]] * 50 / 1000, 0)</f>
        <v>0</v>
      </c>
    </row>
    <row r="1502" spans="1:14" x14ac:dyDescent="0.3">
      <c r="A1502" s="4" t="s">
        <v>8</v>
      </c>
      <c r="B1502" s="3">
        <v>45292.5</v>
      </c>
      <c r="C1502" s="4">
        <v>721.199553085567</v>
      </c>
      <c r="D1502" s="4">
        <v>699.044128048262</v>
      </c>
      <c r="E1502" s="4">
        <v>699.044128048262</v>
      </c>
      <c r="F1502" s="4">
        <v>31.767696810958999</v>
      </c>
      <c r="G1502" s="4" t="str">
        <f t="shared" si="46"/>
        <v>OK</v>
      </c>
      <c r="H1502" s="4" t="str">
        <f t="shared" si="47"/>
        <v>NON-ZERO</v>
      </c>
      <c r="I1502">
        <v>800</v>
      </c>
      <c r="J1502">
        <f>IFERROR(Table4[[#This Row],[energy_kwh]]/Table4[[#This Row],[expected_kwh]],0)</f>
        <v>0.87380516006032749</v>
      </c>
      <c r="K1502" t="str">
        <f>IF(Table4[[#This Row],[Performance_Ratio]] &lt; 0.85, "Underperforming", "Performing")</f>
        <v>Performing</v>
      </c>
      <c r="L1502">
        <f>Table4[[#This Row],[energy_kwh]] - Table4[[#This Row],[expected_kwh]]</f>
        <v>-100.955871951738</v>
      </c>
      <c r="M1502" t="str">
        <f>IF(Table4[[#This Row],[Performance_Deviation]] &lt; 0, "Underperforming", "Outperforming")</f>
        <v>Underperforming</v>
      </c>
      <c r="N1502">
        <f>IF(Table4[[#This Row],[Performance_Ratio]] &lt; 0.85, Table4[[#This Row],[Performance_Deviation]] * 50 / 1000, 0)</f>
        <v>0</v>
      </c>
    </row>
    <row r="1503" spans="1:14" x14ac:dyDescent="0.3">
      <c r="A1503" s="6" t="s">
        <v>8</v>
      </c>
      <c r="B1503" s="5">
        <v>45292.541666666664</v>
      </c>
      <c r="C1503" s="6">
        <v>731.15783257987505</v>
      </c>
      <c r="D1503" s="6">
        <v>708.69648678333897</v>
      </c>
      <c r="E1503" s="6">
        <v>708.69648678333897</v>
      </c>
      <c r="F1503" s="6">
        <v>40.121540032082898</v>
      </c>
      <c r="G1503" s="6" t="str">
        <f t="shared" si="46"/>
        <v>OK</v>
      </c>
      <c r="H1503" s="6" t="str">
        <f t="shared" si="47"/>
        <v>NON-ZERO</v>
      </c>
      <c r="I1503">
        <v>772.74066103125404</v>
      </c>
      <c r="J1503">
        <f>IFERROR(Table4[[#This Row],[energy_kwh]]/Table4[[#This Row],[expected_kwh]],0)</f>
        <v>0.91712073988387577</v>
      </c>
      <c r="K1503" t="str">
        <f>IF(Table4[[#This Row],[Performance_Ratio]] &lt; 0.85, "Underperforming", "Performing")</f>
        <v>Performing</v>
      </c>
      <c r="L1503">
        <f>Table4[[#This Row],[energy_kwh]] - Table4[[#This Row],[expected_kwh]]</f>
        <v>-64.044174247915066</v>
      </c>
      <c r="M1503" t="str">
        <f>IF(Table4[[#This Row],[Performance_Deviation]] &lt; 0, "Underperforming", "Outperforming")</f>
        <v>Underperforming</v>
      </c>
      <c r="N1503">
        <f>IF(Table4[[#This Row],[Performance_Ratio]] &lt; 0.85, Table4[[#This Row],[Performance_Deviation]] * 50 / 1000, 0)</f>
        <v>0</v>
      </c>
    </row>
    <row r="1504" spans="1:14" x14ac:dyDescent="0.3">
      <c r="A1504" s="4" t="s">
        <v>8</v>
      </c>
      <c r="B1504" s="3">
        <v>45292.583333333336</v>
      </c>
      <c r="C1504" s="4">
        <v>735.20747960043605</v>
      </c>
      <c r="D1504" s="4">
        <v>712.62172766608796</v>
      </c>
      <c r="E1504" s="4">
        <v>712.62172766608796</v>
      </c>
      <c r="F1504" s="4">
        <v>58.639416960365999</v>
      </c>
      <c r="G1504" s="4" t="str">
        <f t="shared" si="46"/>
        <v>OK</v>
      </c>
      <c r="H1504" s="4" t="str">
        <f t="shared" si="47"/>
        <v>NON-ZERO</v>
      </c>
      <c r="I1504">
        <v>692.82032302755101</v>
      </c>
      <c r="J1504">
        <f>IFERROR(Table4[[#This Row],[energy_kwh]]/Table4[[#This Row],[expected_kwh]],0)</f>
        <v>1.0285808657459801</v>
      </c>
      <c r="K1504" t="str">
        <f>IF(Table4[[#This Row],[Performance_Ratio]] &lt; 0.85, "Underperforming", "Performing")</f>
        <v>Performing</v>
      </c>
      <c r="L1504">
        <f>Table4[[#This Row],[energy_kwh]] - Table4[[#This Row],[expected_kwh]]</f>
        <v>19.801404638536951</v>
      </c>
      <c r="M1504" t="str">
        <f>IF(Table4[[#This Row],[Performance_Deviation]] &lt; 0, "Underperforming", "Outperforming")</f>
        <v>Outperforming</v>
      </c>
      <c r="N1504">
        <f>IF(Table4[[#This Row],[Performance_Ratio]] &lt; 0.85, Table4[[#This Row],[Performance_Deviation]] * 50 / 1000, 0)</f>
        <v>0</v>
      </c>
    </row>
    <row r="1505" spans="1:14" x14ac:dyDescent="0.3">
      <c r="A1505" s="6" t="s">
        <v>8</v>
      </c>
      <c r="B1505" s="5">
        <v>45292.625</v>
      </c>
      <c r="C1505" s="6">
        <v>563.19032970815397</v>
      </c>
      <c r="D1505" s="6">
        <v>545.88898630299002</v>
      </c>
      <c r="E1505" s="6">
        <v>545.88898630299002</v>
      </c>
      <c r="F1505" s="6">
        <v>61.452791753415497</v>
      </c>
      <c r="G1505" s="6" t="str">
        <f t="shared" si="46"/>
        <v>OK</v>
      </c>
      <c r="H1505" s="6" t="str">
        <f t="shared" si="47"/>
        <v>NON-ZERO</v>
      </c>
      <c r="I1505">
        <v>565.68542494923804</v>
      </c>
      <c r="J1505">
        <f>IFERROR(Table4[[#This Row],[energy_kwh]]/Table4[[#This Row],[expected_kwh]],0)</f>
        <v>0.96500450997473652</v>
      </c>
      <c r="K1505" t="str">
        <f>IF(Table4[[#This Row],[Performance_Ratio]] &lt; 0.85, "Underperforming", "Performing")</f>
        <v>Performing</v>
      </c>
      <c r="L1505">
        <f>Table4[[#This Row],[energy_kwh]] - Table4[[#This Row],[expected_kwh]]</f>
        <v>-19.796438646248021</v>
      </c>
      <c r="M1505" t="str">
        <f>IF(Table4[[#This Row],[Performance_Deviation]] &lt; 0, "Underperforming", "Outperforming")</f>
        <v>Underperforming</v>
      </c>
      <c r="N1505">
        <f>IF(Table4[[#This Row],[Performance_Ratio]] &lt; 0.85, Table4[[#This Row],[Performance_Deviation]] * 50 / 1000, 0)</f>
        <v>0</v>
      </c>
    </row>
    <row r="1506" spans="1:14" x14ac:dyDescent="0.3">
      <c r="A1506" s="4" t="s">
        <v>8</v>
      </c>
      <c r="B1506" s="3">
        <v>45292.666666666664</v>
      </c>
      <c r="C1506" s="4">
        <v>331.462854054986</v>
      </c>
      <c r="D1506" s="4">
        <v>321.28023485583799</v>
      </c>
      <c r="E1506" s="4">
        <v>321.28023485583799</v>
      </c>
      <c r="F1506" s="4">
        <v>22.4364947517623</v>
      </c>
      <c r="G1506" s="4" t="str">
        <f t="shared" si="46"/>
        <v>OK</v>
      </c>
      <c r="H1506" s="4" t="str">
        <f t="shared" si="47"/>
        <v>NON-ZERO</v>
      </c>
      <c r="I1506">
        <v>399.99999999999898</v>
      </c>
      <c r="J1506">
        <f>IFERROR(Table4[[#This Row],[energy_kwh]]/Table4[[#This Row],[expected_kwh]],0)</f>
        <v>0.80320058713959708</v>
      </c>
      <c r="K1506" t="str">
        <f>IF(Table4[[#This Row],[Performance_Ratio]] &lt; 0.85, "Underperforming", "Performing")</f>
        <v>Underperforming</v>
      </c>
      <c r="L1506">
        <f>Table4[[#This Row],[energy_kwh]] - Table4[[#This Row],[expected_kwh]]</f>
        <v>-78.719765144160988</v>
      </c>
      <c r="M1506" t="str">
        <f>IF(Table4[[#This Row],[Performance_Deviation]] &lt; 0, "Underperforming", "Outperforming")</f>
        <v>Underperforming</v>
      </c>
      <c r="N1506">
        <f>IF(Table4[[#This Row],[Performance_Ratio]] &lt; 0.85, Table4[[#This Row],[Performance_Deviation]] * 50 / 1000, 0)</f>
        <v>-3.9359882572080496</v>
      </c>
    </row>
    <row r="1507" spans="1:14" x14ac:dyDescent="0.3">
      <c r="A1507" s="6" t="s">
        <v>8</v>
      </c>
      <c r="B1507" s="5">
        <v>45292.708333333336</v>
      </c>
      <c r="C1507" s="6">
        <v>199.91276870784401</v>
      </c>
      <c r="D1507" s="6">
        <v>193.77140000876901</v>
      </c>
      <c r="E1507" s="6">
        <v>193.77140000876901</v>
      </c>
      <c r="F1507" s="6">
        <v>92.661101793335305</v>
      </c>
      <c r="G1507" s="6" t="str">
        <f t="shared" si="46"/>
        <v>OK</v>
      </c>
      <c r="H1507" s="6" t="str">
        <f t="shared" si="47"/>
        <v>NON-ZERO</v>
      </c>
      <c r="I1507">
        <v>207.05523608201599</v>
      </c>
      <c r="J1507">
        <f>IFERROR(Table4[[#This Row],[energy_kwh]]/Table4[[#This Row],[expected_kwh]],0)</f>
        <v>0.93584399832330167</v>
      </c>
      <c r="K1507" t="str">
        <f>IF(Table4[[#This Row],[Performance_Ratio]] &lt; 0.85, "Underperforming", "Performing")</f>
        <v>Performing</v>
      </c>
      <c r="L1507">
        <f>Table4[[#This Row],[energy_kwh]] - Table4[[#This Row],[expected_kwh]]</f>
        <v>-13.283836073246988</v>
      </c>
      <c r="M1507" t="str">
        <f>IF(Table4[[#This Row],[Performance_Deviation]] &lt; 0, "Underperforming", "Outperforming")</f>
        <v>Underperforming</v>
      </c>
      <c r="N1507">
        <f>IF(Table4[[#This Row],[Performance_Ratio]] &lt; 0.85, Table4[[#This Row],[Performance_Deviation]] * 50 / 1000, 0)</f>
        <v>0</v>
      </c>
    </row>
    <row r="1508" spans="1:14" x14ac:dyDescent="0.3">
      <c r="A1508" s="4" t="s">
        <v>8</v>
      </c>
      <c r="B1508" s="3">
        <v>45292.75</v>
      </c>
      <c r="C1508" s="7">
        <v>8.8029431803949605E-14</v>
      </c>
      <c r="D1508" s="7">
        <v>8.5325146326976298E-14</v>
      </c>
      <c r="E1508" s="7">
        <v>8.5325146326976298E-14</v>
      </c>
      <c r="F1508" s="4">
        <v>94.763696321108</v>
      </c>
      <c r="G1508" s="4" t="str">
        <f t="shared" si="46"/>
        <v>OK</v>
      </c>
      <c r="H1508" s="4" t="str">
        <f t="shared" si="47"/>
        <v>NON-ZERO</v>
      </c>
      <c r="I1508" s="2">
        <v>9.7971743931788194E-14</v>
      </c>
      <c r="J1508">
        <f>IFERROR(Table4[[#This Row],[energy_kwh]]/Table4[[#This Row],[expected_kwh]],0)</f>
        <v>0.87091586719516845</v>
      </c>
      <c r="K1508" t="str">
        <f>IF(Table4[[#This Row],[Performance_Ratio]] &lt; 0.85, "Underperforming", "Performing")</f>
        <v>Performing</v>
      </c>
      <c r="L1508">
        <f>Table4[[#This Row],[energy_kwh]] - Table4[[#This Row],[expected_kwh]]</f>
        <v>-1.2646597604811896E-14</v>
      </c>
      <c r="M1508" t="str">
        <f>IF(Table4[[#This Row],[Performance_Deviation]] &lt; 0, "Underperforming", "Outperforming")</f>
        <v>Underperforming</v>
      </c>
      <c r="N1508">
        <f>IF(Table4[[#This Row],[Performance_Ratio]] &lt; 0.85, Table4[[#This Row],[Performance_Deviation]] * 50 / 1000, 0)</f>
        <v>0</v>
      </c>
    </row>
    <row r="1509" spans="1:14" x14ac:dyDescent="0.3">
      <c r="A1509" s="6" t="s">
        <v>8</v>
      </c>
      <c r="B1509" s="5">
        <v>45292.791666666664</v>
      </c>
      <c r="C1509" s="6">
        <v>0</v>
      </c>
      <c r="D1509" s="6">
        <v>0</v>
      </c>
      <c r="E1509" s="6">
        <v>0</v>
      </c>
      <c r="F1509" s="6">
        <v>87.998997271399901</v>
      </c>
      <c r="G1509" s="6" t="str">
        <f t="shared" si="46"/>
        <v>OK</v>
      </c>
      <c r="H1509" s="6" t="str">
        <f t="shared" si="47"/>
        <v>ZERO</v>
      </c>
      <c r="I1509">
        <v>0</v>
      </c>
      <c r="J1509">
        <f>IFERROR(Table4[[#This Row],[energy_kwh]]/Table4[[#This Row],[expected_kwh]],0)</f>
        <v>0</v>
      </c>
      <c r="K1509" t="str">
        <f>IF(Table4[[#This Row],[Performance_Ratio]] &lt; 0.85, "Underperforming", "Performing")</f>
        <v>Underperforming</v>
      </c>
      <c r="L1509">
        <f>Table4[[#This Row],[energy_kwh]] - Table4[[#This Row],[expected_kwh]]</f>
        <v>0</v>
      </c>
      <c r="M1509" t="str">
        <f>IF(Table4[[#This Row],[Performance_Deviation]] &lt; 0, "Underperforming", "Outperforming")</f>
        <v>Outperforming</v>
      </c>
      <c r="N1509">
        <f>IF(Table4[[#This Row],[Performance_Ratio]] &lt; 0.85, Table4[[#This Row],[Performance_Deviation]] * 50 / 1000, 0)</f>
        <v>0</v>
      </c>
    </row>
    <row r="1510" spans="1:14" x14ac:dyDescent="0.3">
      <c r="A1510" s="4" t="s">
        <v>8</v>
      </c>
      <c r="B1510" s="3">
        <v>45292.833333333336</v>
      </c>
      <c r="C1510" s="4">
        <v>0</v>
      </c>
      <c r="D1510" s="4">
        <v>0</v>
      </c>
      <c r="E1510" s="4">
        <v>0</v>
      </c>
      <c r="F1510" s="4">
        <v>46.0466355729273</v>
      </c>
      <c r="G1510" s="4" t="str">
        <f t="shared" si="46"/>
        <v>OK</v>
      </c>
      <c r="H1510" s="4" t="str">
        <f t="shared" si="47"/>
        <v>ZERO</v>
      </c>
      <c r="I1510">
        <v>0</v>
      </c>
      <c r="J1510">
        <f>IFERROR(Table4[[#This Row],[energy_kwh]]/Table4[[#This Row],[expected_kwh]],0)</f>
        <v>0</v>
      </c>
      <c r="K1510" t="str">
        <f>IF(Table4[[#This Row],[Performance_Ratio]] &lt; 0.85, "Underperforming", "Performing")</f>
        <v>Underperforming</v>
      </c>
      <c r="L1510">
        <f>Table4[[#This Row],[energy_kwh]] - Table4[[#This Row],[expected_kwh]]</f>
        <v>0</v>
      </c>
      <c r="M1510" t="str">
        <f>IF(Table4[[#This Row],[Performance_Deviation]] &lt; 0, "Underperforming", "Outperforming")</f>
        <v>Outperforming</v>
      </c>
      <c r="N1510">
        <f>IF(Table4[[#This Row],[Performance_Ratio]] &lt; 0.85, Table4[[#This Row],[Performance_Deviation]] * 50 / 1000, 0)</f>
        <v>0</v>
      </c>
    </row>
    <row r="1511" spans="1:14" x14ac:dyDescent="0.3">
      <c r="A1511" s="6" t="s">
        <v>8</v>
      </c>
      <c r="B1511" s="5">
        <v>45292.875</v>
      </c>
      <c r="C1511" s="6">
        <v>0</v>
      </c>
      <c r="D1511" s="6">
        <v>0</v>
      </c>
      <c r="E1511" s="6">
        <v>0</v>
      </c>
      <c r="F1511" s="6">
        <v>91.159287326893804</v>
      </c>
      <c r="G1511" s="6" t="str">
        <f t="shared" si="46"/>
        <v>OK</v>
      </c>
      <c r="H1511" s="6" t="str">
        <f t="shared" si="47"/>
        <v>ZERO</v>
      </c>
      <c r="I1511">
        <v>0</v>
      </c>
      <c r="J1511">
        <f>IFERROR(Table4[[#This Row],[energy_kwh]]/Table4[[#This Row],[expected_kwh]],0)</f>
        <v>0</v>
      </c>
      <c r="K1511" t="str">
        <f>IF(Table4[[#This Row],[Performance_Ratio]] &lt; 0.85, "Underperforming", "Performing")</f>
        <v>Underperforming</v>
      </c>
      <c r="L1511">
        <f>Table4[[#This Row],[energy_kwh]] - Table4[[#This Row],[expected_kwh]]</f>
        <v>0</v>
      </c>
      <c r="M1511" t="str">
        <f>IF(Table4[[#This Row],[Performance_Deviation]] &lt; 0, "Underperforming", "Outperforming")</f>
        <v>Outperforming</v>
      </c>
      <c r="N1511">
        <f>IF(Table4[[#This Row],[Performance_Ratio]] &lt; 0.85, Table4[[#This Row],[Performance_Deviation]] * 50 / 1000, 0)</f>
        <v>0</v>
      </c>
    </row>
    <row r="1512" spans="1:14" x14ac:dyDescent="0.3">
      <c r="A1512" s="4" t="s">
        <v>8</v>
      </c>
      <c r="B1512" s="3">
        <v>45292.916666666664</v>
      </c>
      <c r="C1512" s="4">
        <v>0</v>
      </c>
      <c r="D1512" s="4">
        <v>0</v>
      </c>
      <c r="E1512" s="4">
        <v>0</v>
      </c>
      <c r="F1512" s="4">
        <v>25.291254778241999</v>
      </c>
      <c r="G1512" s="4" t="str">
        <f t="shared" si="46"/>
        <v>OK</v>
      </c>
      <c r="H1512" s="4" t="str">
        <f t="shared" si="47"/>
        <v>ZERO</v>
      </c>
      <c r="I1512">
        <v>0</v>
      </c>
      <c r="J1512">
        <f>IFERROR(Table4[[#This Row],[energy_kwh]]/Table4[[#This Row],[expected_kwh]],0)</f>
        <v>0</v>
      </c>
      <c r="K1512" t="str">
        <f>IF(Table4[[#This Row],[Performance_Ratio]] &lt; 0.85, "Underperforming", "Performing")</f>
        <v>Underperforming</v>
      </c>
      <c r="L1512">
        <f>Table4[[#This Row],[energy_kwh]] - Table4[[#This Row],[expected_kwh]]</f>
        <v>0</v>
      </c>
      <c r="M1512" t="str">
        <f>IF(Table4[[#This Row],[Performance_Deviation]] &lt; 0, "Underperforming", "Outperforming")</f>
        <v>Outperforming</v>
      </c>
      <c r="N1512">
        <f>IF(Table4[[#This Row],[Performance_Ratio]] &lt; 0.85, Table4[[#This Row],[Performance_Deviation]] * 50 / 1000, 0)</f>
        <v>0</v>
      </c>
    </row>
    <row r="1513" spans="1:14" x14ac:dyDescent="0.3">
      <c r="A1513" s="6" t="s">
        <v>8</v>
      </c>
      <c r="B1513" s="5">
        <v>45292.958333333336</v>
      </c>
      <c r="C1513" s="6">
        <v>0</v>
      </c>
      <c r="D1513" s="6">
        <v>0</v>
      </c>
      <c r="E1513" s="6">
        <v>0</v>
      </c>
      <c r="F1513" s="6">
        <v>69.346243340344401</v>
      </c>
      <c r="G1513" s="6" t="str">
        <f t="shared" si="46"/>
        <v>OK</v>
      </c>
      <c r="H1513" s="6" t="str">
        <f t="shared" si="47"/>
        <v>ZERO</v>
      </c>
      <c r="I1513">
        <v>0</v>
      </c>
      <c r="J1513">
        <f>IFERROR(Table4[[#This Row],[energy_kwh]]/Table4[[#This Row],[expected_kwh]],0)</f>
        <v>0</v>
      </c>
      <c r="K1513" t="str">
        <f>IF(Table4[[#This Row],[Performance_Ratio]] &lt; 0.85, "Underperforming", "Performing")</f>
        <v>Underperforming</v>
      </c>
      <c r="L1513">
        <f>Table4[[#This Row],[energy_kwh]] - Table4[[#This Row],[expected_kwh]]</f>
        <v>0</v>
      </c>
      <c r="M1513" t="str">
        <f>IF(Table4[[#This Row],[Performance_Deviation]] &lt; 0, "Underperforming", "Outperforming")</f>
        <v>Outperforming</v>
      </c>
      <c r="N1513">
        <f>IF(Table4[[#This Row],[Performance_Ratio]] &lt; 0.85, Table4[[#This Row],[Performance_Deviation]] * 50 / 1000, 0)</f>
        <v>0</v>
      </c>
    </row>
    <row r="1514" spans="1:14" x14ac:dyDescent="0.3">
      <c r="A1514" s="4" t="s">
        <v>8</v>
      </c>
      <c r="B1514" s="3">
        <v>45293</v>
      </c>
      <c r="C1514" s="4">
        <v>0</v>
      </c>
      <c r="D1514" s="4">
        <v>0</v>
      </c>
      <c r="E1514" s="4">
        <v>0</v>
      </c>
      <c r="F1514" s="4">
        <v>89.349395718668504</v>
      </c>
      <c r="G1514" s="4" t="str">
        <f t="shared" si="46"/>
        <v>OK</v>
      </c>
      <c r="H1514" s="4" t="str">
        <f t="shared" si="47"/>
        <v>ZERO</v>
      </c>
      <c r="I1514">
        <v>0</v>
      </c>
      <c r="J1514">
        <f>IFERROR(Table4[[#This Row],[energy_kwh]]/Table4[[#This Row],[expected_kwh]],0)</f>
        <v>0</v>
      </c>
      <c r="K1514" t="str">
        <f>IF(Table4[[#This Row],[Performance_Ratio]] &lt; 0.85, "Underperforming", "Performing")</f>
        <v>Underperforming</v>
      </c>
      <c r="L1514">
        <f>Table4[[#This Row],[energy_kwh]] - Table4[[#This Row],[expected_kwh]]</f>
        <v>0</v>
      </c>
      <c r="M1514" t="str">
        <f>IF(Table4[[#This Row],[Performance_Deviation]] &lt; 0, "Underperforming", "Outperforming")</f>
        <v>Outperforming</v>
      </c>
      <c r="N1514">
        <f>IF(Table4[[#This Row],[Performance_Ratio]] &lt; 0.85, Table4[[#This Row],[Performance_Deviation]] * 50 / 1000, 0)</f>
        <v>0</v>
      </c>
    </row>
    <row r="1515" spans="1:14" x14ac:dyDescent="0.3">
      <c r="A1515" s="6" t="s">
        <v>8</v>
      </c>
      <c r="B1515" s="5">
        <v>45293.041666666664</v>
      </c>
      <c r="C1515" s="6">
        <v>0</v>
      </c>
      <c r="D1515" s="6">
        <v>0</v>
      </c>
      <c r="E1515" s="6">
        <v>0</v>
      </c>
      <c r="F1515" s="6">
        <v>59.613329106726198</v>
      </c>
      <c r="G1515" s="6" t="str">
        <f t="shared" si="46"/>
        <v>OK</v>
      </c>
      <c r="H1515" s="6" t="str">
        <f t="shared" si="47"/>
        <v>ZERO</v>
      </c>
      <c r="I1515">
        <v>0</v>
      </c>
      <c r="J1515">
        <f>IFERROR(Table4[[#This Row],[energy_kwh]]/Table4[[#This Row],[expected_kwh]],0)</f>
        <v>0</v>
      </c>
      <c r="K1515" t="str">
        <f>IF(Table4[[#This Row],[Performance_Ratio]] &lt; 0.85, "Underperforming", "Performing")</f>
        <v>Underperforming</v>
      </c>
      <c r="L1515">
        <f>Table4[[#This Row],[energy_kwh]] - Table4[[#This Row],[expected_kwh]]</f>
        <v>0</v>
      </c>
      <c r="M1515" t="str">
        <f>IF(Table4[[#This Row],[Performance_Deviation]] &lt; 0, "Underperforming", "Outperforming")</f>
        <v>Outperforming</v>
      </c>
      <c r="N1515">
        <f>IF(Table4[[#This Row],[Performance_Ratio]] &lt; 0.85, Table4[[#This Row],[Performance_Deviation]] * 50 / 1000, 0)</f>
        <v>0</v>
      </c>
    </row>
    <row r="1516" spans="1:14" x14ac:dyDescent="0.3">
      <c r="A1516" s="4" t="s">
        <v>8</v>
      </c>
      <c r="B1516" s="3">
        <v>45293.083333333336</v>
      </c>
      <c r="C1516" s="4">
        <v>0</v>
      </c>
      <c r="D1516" s="4">
        <v>0</v>
      </c>
      <c r="E1516" s="4">
        <v>0</v>
      </c>
      <c r="F1516" s="4">
        <v>20.753523579112301</v>
      </c>
      <c r="G1516" s="4" t="str">
        <f t="shared" si="46"/>
        <v>OK</v>
      </c>
      <c r="H1516" s="4" t="str">
        <f t="shared" si="47"/>
        <v>ZERO</v>
      </c>
      <c r="I1516">
        <v>0</v>
      </c>
      <c r="J1516">
        <f>IFERROR(Table4[[#This Row],[energy_kwh]]/Table4[[#This Row],[expected_kwh]],0)</f>
        <v>0</v>
      </c>
      <c r="K1516" t="str">
        <f>IF(Table4[[#This Row],[Performance_Ratio]] &lt; 0.85, "Underperforming", "Performing")</f>
        <v>Underperforming</v>
      </c>
      <c r="L1516">
        <f>Table4[[#This Row],[energy_kwh]] - Table4[[#This Row],[expected_kwh]]</f>
        <v>0</v>
      </c>
      <c r="M1516" t="str">
        <f>IF(Table4[[#This Row],[Performance_Deviation]] &lt; 0, "Underperforming", "Outperforming")</f>
        <v>Outperforming</v>
      </c>
      <c r="N1516">
        <f>IF(Table4[[#This Row],[Performance_Ratio]] &lt; 0.85, Table4[[#This Row],[Performance_Deviation]] * 50 / 1000, 0)</f>
        <v>0</v>
      </c>
    </row>
    <row r="1517" spans="1:14" x14ac:dyDescent="0.3">
      <c r="A1517" s="6" t="s">
        <v>8</v>
      </c>
      <c r="B1517" s="5">
        <v>45293.125</v>
      </c>
      <c r="C1517" s="6">
        <v>0</v>
      </c>
      <c r="D1517" s="6">
        <v>0</v>
      </c>
      <c r="E1517" s="6">
        <v>0</v>
      </c>
      <c r="F1517" s="6">
        <v>91.287767119185105</v>
      </c>
      <c r="G1517" s="6" t="str">
        <f t="shared" si="46"/>
        <v>OK</v>
      </c>
      <c r="H1517" s="6" t="str">
        <f t="shared" si="47"/>
        <v>ZERO</v>
      </c>
      <c r="I1517">
        <v>0</v>
      </c>
      <c r="J1517">
        <f>IFERROR(Table4[[#This Row],[energy_kwh]]/Table4[[#This Row],[expected_kwh]],0)</f>
        <v>0</v>
      </c>
      <c r="K1517" t="str">
        <f>IF(Table4[[#This Row],[Performance_Ratio]] &lt; 0.85, "Underperforming", "Performing")</f>
        <v>Underperforming</v>
      </c>
      <c r="L1517">
        <f>Table4[[#This Row],[energy_kwh]] - Table4[[#This Row],[expected_kwh]]</f>
        <v>0</v>
      </c>
      <c r="M1517" t="str">
        <f>IF(Table4[[#This Row],[Performance_Deviation]] &lt; 0, "Underperforming", "Outperforming")</f>
        <v>Outperforming</v>
      </c>
      <c r="N1517">
        <f>IF(Table4[[#This Row],[Performance_Ratio]] &lt; 0.85, Table4[[#This Row],[Performance_Deviation]] * 50 / 1000, 0)</f>
        <v>0</v>
      </c>
    </row>
    <row r="1518" spans="1:14" x14ac:dyDescent="0.3">
      <c r="A1518" s="4" t="s">
        <v>8</v>
      </c>
      <c r="B1518" s="3">
        <v>45293.166666666664</v>
      </c>
      <c r="C1518" s="4">
        <v>0</v>
      </c>
      <c r="D1518" s="4">
        <v>0</v>
      </c>
      <c r="E1518" s="4">
        <v>0</v>
      </c>
      <c r="F1518" s="4">
        <v>42.419461257374898</v>
      </c>
      <c r="G1518" s="4" t="str">
        <f t="shared" si="46"/>
        <v>OK</v>
      </c>
      <c r="H1518" s="4" t="str">
        <f t="shared" si="47"/>
        <v>ZERO</v>
      </c>
      <c r="I1518">
        <v>0</v>
      </c>
      <c r="J1518">
        <f>IFERROR(Table4[[#This Row],[energy_kwh]]/Table4[[#This Row],[expected_kwh]],0)</f>
        <v>0</v>
      </c>
      <c r="K1518" t="str">
        <f>IF(Table4[[#This Row],[Performance_Ratio]] &lt; 0.85, "Underperforming", "Performing")</f>
        <v>Underperforming</v>
      </c>
      <c r="L1518">
        <f>Table4[[#This Row],[energy_kwh]] - Table4[[#This Row],[expected_kwh]]</f>
        <v>0</v>
      </c>
      <c r="M1518" t="str">
        <f>IF(Table4[[#This Row],[Performance_Deviation]] &lt; 0, "Underperforming", "Outperforming")</f>
        <v>Outperforming</v>
      </c>
      <c r="N1518">
        <f>IF(Table4[[#This Row],[Performance_Ratio]] &lt; 0.85, Table4[[#This Row],[Performance_Deviation]] * 50 / 1000, 0)</f>
        <v>0</v>
      </c>
    </row>
    <row r="1519" spans="1:14" x14ac:dyDescent="0.3">
      <c r="A1519" s="6" t="s">
        <v>8</v>
      </c>
      <c r="B1519" s="5">
        <v>45293.208333333336</v>
      </c>
      <c r="C1519" s="6">
        <v>0</v>
      </c>
      <c r="D1519" s="6">
        <v>0</v>
      </c>
      <c r="E1519" s="6">
        <v>0</v>
      </c>
      <c r="F1519" s="6">
        <v>92.451609434765601</v>
      </c>
      <c r="G1519" s="6" t="str">
        <f t="shared" si="46"/>
        <v>OK</v>
      </c>
      <c r="H1519" s="6" t="str">
        <f t="shared" si="47"/>
        <v>ZERO</v>
      </c>
      <c r="I1519">
        <v>0</v>
      </c>
      <c r="J1519">
        <f>IFERROR(Table4[[#This Row],[energy_kwh]]/Table4[[#This Row],[expected_kwh]],0)</f>
        <v>0</v>
      </c>
      <c r="K1519" t="str">
        <f>IF(Table4[[#This Row],[Performance_Ratio]] &lt; 0.85, "Underperforming", "Performing")</f>
        <v>Underperforming</v>
      </c>
      <c r="L1519">
        <f>Table4[[#This Row],[energy_kwh]] - Table4[[#This Row],[expected_kwh]]</f>
        <v>0</v>
      </c>
      <c r="M1519" t="str">
        <f>IF(Table4[[#This Row],[Performance_Deviation]] &lt; 0, "Underperforming", "Outperforming")</f>
        <v>Outperforming</v>
      </c>
      <c r="N1519">
        <f>IF(Table4[[#This Row],[Performance_Ratio]] &lt; 0.85, Table4[[#This Row],[Performance_Deviation]] * 50 / 1000, 0)</f>
        <v>0</v>
      </c>
    </row>
    <row r="1520" spans="1:14" x14ac:dyDescent="0.3">
      <c r="A1520" s="4" t="s">
        <v>8</v>
      </c>
      <c r="B1520" s="3">
        <v>45293.25</v>
      </c>
      <c r="C1520" s="4">
        <v>0</v>
      </c>
      <c r="D1520" s="4">
        <v>0</v>
      </c>
      <c r="E1520" s="4">
        <v>0</v>
      </c>
      <c r="F1520" s="4">
        <v>78.535335378511604</v>
      </c>
      <c r="G1520" s="4" t="str">
        <f t="shared" si="46"/>
        <v>OK</v>
      </c>
      <c r="H1520" s="4" t="str">
        <f t="shared" si="47"/>
        <v>ZERO</v>
      </c>
      <c r="I1520">
        <v>0</v>
      </c>
      <c r="J1520">
        <f>IFERROR(Table4[[#This Row],[energy_kwh]]/Table4[[#This Row],[expected_kwh]],0)</f>
        <v>0</v>
      </c>
      <c r="K1520" t="str">
        <f>IF(Table4[[#This Row],[Performance_Ratio]] &lt; 0.85, "Underperforming", "Performing")</f>
        <v>Underperforming</v>
      </c>
      <c r="L1520">
        <f>Table4[[#This Row],[energy_kwh]] - Table4[[#This Row],[expected_kwh]]</f>
        <v>0</v>
      </c>
      <c r="M1520" t="str">
        <f>IF(Table4[[#This Row],[Performance_Deviation]] &lt; 0, "Underperforming", "Outperforming")</f>
        <v>Outperforming</v>
      </c>
      <c r="N1520">
        <f>IF(Table4[[#This Row],[Performance_Ratio]] &lt; 0.85, Table4[[#This Row],[Performance_Deviation]] * 50 / 1000, 0)</f>
        <v>0</v>
      </c>
    </row>
    <row r="1521" spans="1:14" x14ac:dyDescent="0.3">
      <c r="A1521" s="6" t="s">
        <v>8</v>
      </c>
      <c r="B1521" s="5">
        <v>45293.291666666664</v>
      </c>
      <c r="C1521" s="6">
        <v>183.12002490522801</v>
      </c>
      <c r="D1521" s="6">
        <v>177.49453336511399</v>
      </c>
      <c r="E1521" s="6">
        <v>177.49453336511399</v>
      </c>
      <c r="F1521" s="6">
        <v>55.583988488339202</v>
      </c>
      <c r="G1521" s="6" t="str">
        <f t="shared" si="46"/>
        <v>OK</v>
      </c>
      <c r="H1521" s="6" t="str">
        <f t="shared" si="47"/>
        <v>NON-ZERO</v>
      </c>
      <c r="I1521">
        <v>207.05523608201599</v>
      </c>
      <c r="J1521">
        <f>IFERROR(Table4[[#This Row],[energy_kwh]]/Table4[[#This Row],[expected_kwh]],0)</f>
        <v>0.85723276901245427</v>
      </c>
      <c r="K1521" t="str">
        <f>IF(Table4[[#This Row],[Performance_Ratio]] &lt; 0.85, "Underperforming", "Performing")</f>
        <v>Performing</v>
      </c>
      <c r="L1521">
        <f>Table4[[#This Row],[energy_kwh]] - Table4[[#This Row],[expected_kwh]]</f>
        <v>-29.560702716902</v>
      </c>
      <c r="M1521" t="str">
        <f>IF(Table4[[#This Row],[Performance_Deviation]] &lt; 0, "Underperforming", "Outperforming")</f>
        <v>Underperforming</v>
      </c>
      <c r="N1521">
        <f>IF(Table4[[#This Row],[Performance_Ratio]] &lt; 0.85, Table4[[#This Row],[Performance_Deviation]] * 50 / 1000, 0)</f>
        <v>0</v>
      </c>
    </row>
    <row r="1522" spans="1:14" x14ac:dyDescent="0.3">
      <c r="A1522" s="4" t="s">
        <v>8</v>
      </c>
      <c r="B1522" s="3">
        <v>45293.333333333336</v>
      </c>
      <c r="C1522" s="4">
        <v>396.478022015313</v>
      </c>
      <c r="D1522" s="4">
        <v>384.29812110145701</v>
      </c>
      <c r="E1522" s="4">
        <v>384.29812110145701</v>
      </c>
      <c r="F1522" s="4">
        <v>71.238167242986293</v>
      </c>
      <c r="G1522" s="4" t="str">
        <f t="shared" si="46"/>
        <v>OK</v>
      </c>
      <c r="H1522" s="4" t="str">
        <f t="shared" si="47"/>
        <v>NON-ZERO</v>
      </c>
      <c r="I1522">
        <v>399.99999999999898</v>
      </c>
      <c r="J1522">
        <f>IFERROR(Table4[[#This Row],[energy_kwh]]/Table4[[#This Row],[expected_kwh]],0)</f>
        <v>0.960745302753645</v>
      </c>
      <c r="K1522" t="str">
        <f>IF(Table4[[#This Row],[Performance_Ratio]] &lt; 0.85, "Underperforming", "Performing")</f>
        <v>Performing</v>
      </c>
      <c r="L1522">
        <f>Table4[[#This Row],[energy_kwh]] - Table4[[#This Row],[expected_kwh]]</f>
        <v>-15.701878898541963</v>
      </c>
      <c r="M1522" t="str">
        <f>IF(Table4[[#This Row],[Performance_Deviation]] &lt; 0, "Underperforming", "Outperforming")</f>
        <v>Underperforming</v>
      </c>
      <c r="N1522">
        <f>IF(Table4[[#This Row],[Performance_Ratio]] &lt; 0.85, Table4[[#This Row],[Performance_Deviation]] * 50 / 1000, 0)</f>
        <v>0</v>
      </c>
    </row>
    <row r="1523" spans="1:14" x14ac:dyDescent="0.3">
      <c r="A1523" s="6" t="s">
        <v>8</v>
      </c>
      <c r="B1523" s="5">
        <v>45293.375</v>
      </c>
      <c r="C1523" s="6">
        <v>563.80795131555203</v>
      </c>
      <c r="D1523" s="6">
        <v>546.48763442494203</v>
      </c>
      <c r="E1523" s="6">
        <v>546.48763442494203</v>
      </c>
      <c r="F1523" s="6">
        <v>83.413310813042003</v>
      </c>
      <c r="G1523" s="6" t="str">
        <f t="shared" si="46"/>
        <v>OK</v>
      </c>
      <c r="H1523" s="6" t="str">
        <f t="shared" si="47"/>
        <v>NON-ZERO</v>
      </c>
      <c r="I1523">
        <v>565.68542494923804</v>
      </c>
      <c r="J1523">
        <f>IFERROR(Table4[[#This Row],[energy_kwh]]/Table4[[#This Row],[expected_kwh]],0)</f>
        <v>0.96606278034117865</v>
      </c>
      <c r="K1523" t="str">
        <f>IF(Table4[[#This Row],[Performance_Ratio]] &lt; 0.85, "Underperforming", "Performing")</f>
        <v>Performing</v>
      </c>
      <c r="L1523">
        <f>Table4[[#This Row],[energy_kwh]] - Table4[[#This Row],[expected_kwh]]</f>
        <v>-19.197790524296011</v>
      </c>
      <c r="M1523" t="str">
        <f>IF(Table4[[#This Row],[Performance_Deviation]] &lt; 0, "Underperforming", "Outperforming")</f>
        <v>Underperforming</v>
      </c>
      <c r="N1523">
        <f>IF(Table4[[#This Row],[Performance_Ratio]] &lt; 0.85, Table4[[#This Row],[Performance_Deviation]] * 50 / 1000, 0)</f>
        <v>0</v>
      </c>
    </row>
    <row r="1524" spans="1:14" x14ac:dyDescent="0.3">
      <c r="A1524" s="4" t="s">
        <v>8</v>
      </c>
      <c r="B1524" s="3">
        <v>45293.416666666664</v>
      </c>
      <c r="C1524" s="4">
        <v>660.14898541573803</v>
      </c>
      <c r="D1524" s="4">
        <v>639.869048611484</v>
      </c>
      <c r="E1524" s="4">
        <v>639.869048611484</v>
      </c>
      <c r="F1524" s="4">
        <v>74.537210730510395</v>
      </c>
      <c r="G1524" s="4" t="str">
        <f t="shared" si="46"/>
        <v>OK</v>
      </c>
      <c r="H1524" s="4" t="str">
        <f t="shared" si="47"/>
        <v>NON-ZERO</v>
      </c>
      <c r="I1524">
        <v>692.82032302754999</v>
      </c>
      <c r="J1524">
        <f>IFERROR(Table4[[#This Row],[energy_kwh]]/Table4[[#This Row],[expected_kwh]],0)</f>
        <v>0.92357141865487624</v>
      </c>
      <c r="K1524" t="str">
        <f>IF(Table4[[#This Row],[Performance_Ratio]] &lt; 0.85, "Underperforming", "Performing")</f>
        <v>Performing</v>
      </c>
      <c r="L1524">
        <f>Table4[[#This Row],[energy_kwh]] - Table4[[#This Row],[expected_kwh]]</f>
        <v>-52.951274416065985</v>
      </c>
      <c r="M1524" t="str">
        <f>IF(Table4[[#This Row],[Performance_Deviation]] &lt; 0, "Underperforming", "Outperforming")</f>
        <v>Underperforming</v>
      </c>
      <c r="N1524">
        <f>IF(Table4[[#This Row],[Performance_Ratio]] &lt; 0.85, Table4[[#This Row],[Performance_Deviation]] * 50 / 1000, 0)</f>
        <v>0</v>
      </c>
    </row>
    <row r="1525" spans="1:14" x14ac:dyDescent="0.3">
      <c r="A1525" s="6" t="s">
        <v>8</v>
      </c>
      <c r="B1525" s="5">
        <v>45293.458333333336</v>
      </c>
      <c r="C1525" s="6">
        <v>811.59485605840405</v>
      </c>
      <c r="D1525" s="6">
        <v>786.66246540850204</v>
      </c>
      <c r="E1525" s="6">
        <v>786.66246540850204</v>
      </c>
      <c r="F1525" s="6">
        <v>36.924843728904101</v>
      </c>
      <c r="G1525" s="6" t="str">
        <f t="shared" si="46"/>
        <v>OK</v>
      </c>
      <c r="H1525" s="6" t="str">
        <f t="shared" si="47"/>
        <v>NON-ZERO</v>
      </c>
      <c r="I1525">
        <v>772.74066103125404</v>
      </c>
      <c r="J1525">
        <f>IFERROR(Table4[[#This Row],[energy_kwh]]/Table4[[#This Row],[expected_kwh]],0)</f>
        <v>1.0180161405751171</v>
      </c>
      <c r="K1525" t="str">
        <f>IF(Table4[[#This Row],[Performance_Ratio]] &lt; 0.85, "Underperforming", "Performing")</f>
        <v>Performing</v>
      </c>
      <c r="L1525">
        <f>Table4[[#This Row],[energy_kwh]] - Table4[[#This Row],[expected_kwh]]</f>
        <v>13.921804377248009</v>
      </c>
      <c r="M1525" t="str">
        <f>IF(Table4[[#This Row],[Performance_Deviation]] &lt; 0, "Underperforming", "Outperforming")</f>
        <v>Outperforming</v>
      </c>
      <c r="N1525">
        <f>IF(Table4[[#This Row],[Performance_Ratio]] &lt; 0.85, Table4[[#This Row],[Performance_Deviation]] * 50 / 1000, 0)</f>
        <v>0</v>
      </c>
    </row>
    <row r="1526" spans="1:14" x14ac:dyDescent="0.3">
      <c r="A1526" s="4" t="s">
        <v>8</v>
      </c>
      <c r="B1526" s="3">
        <v>45293.5</v>
      </c>
      <c r="C1526" s="4">
        <v>795.39877304475704</v>
      </c>
      <c r="D1526" s="4">
        <v>770.96392998979104</v>
      </c>
      <c r="E1526" s="4">
        <v>770.96392998979104</v>
      </c>
      <c r="F1526" s="4">
        <v>94.892060493922102</v>
      </c>
      <c r="G1526" s="4" t="str">
        <f t="shared" si="46"/>
        <v>OK</v>
      </c>
      <c r="H1526" s="4" t="str">
        <f t="shared" si="47"/>
        <v>NON-ZERO</v>
      </c>
      <c r="I1526">
        <v>800</v>
      </c>
      <c r="J1526">
        <f>IFERROR(Table4[[#This Row],[energy_kwh]]/Table4[[#This Row],[expected_kwh]],0)</f>
        <v>0.96370491248723877</v>
      </c>
      <c r="K1526" t="str">
        <f>IF(Table4[[#This Row],[Performance_Ratio]] &lt; 0.85, "Underperforming", "Performing")</f>
        <v>Performing</v>
      </c>
      <c r="L1526">
        <f>Table4[[#This Row],[energy_kwh]] - Table4[[#This Row],[expected_kwh]]</f>
        <v>-29.03607001020896</v>
      </c>
      <c r="M1526" t="str">
        <f>IF(Table4[[#This Row],[Performance_Deviation]] &lt; 0, "Underperforming", "Outperforming")</f>
        <v>Underperforming</v>
      </c>
      <c r="N1526">
        <f>IF(Table4[[#This Row],[Performance_Ratio]] &lt; 0.85, Table4[[#This Row],[Performance_Deviation]] * 50 / 1000, 0)</f>
        <v>0</v>
      </c>
    </row>
    <row r="1527" spans="1:14" x14ac:dyDescent="0.3">
      <c r="A1527" s="6" t="s">
        <v>8</v>
      </c>
      <c r="B1527" s="5">
        <v>45293.541666666664</v>
      </c>
      <c r="C1527" s="6">
        <v>700.41806269768801</v>
      </c>
      <c r="D1527" s="6">
        <v>678.90105008102603</v>
      </c>
      <c r="E1527" s="6">
        <v>678.90105008102603</v>
      </c>
      <c r="F1527" s="6">
        <v>47.402513116298898</v>
      </c>
      <c r="G1527" s="6" t="str">
        <f t="shared" si="46"/>
        <v>OK</v>
      </c>
      <c r="H1527" s="6" t="str">
        <f t="shared" si="47"/>
        <v>NON-ZERO</v>
      </c>
      <c r="I1527">
        <v>772.74066103125404</v>
      </c>
      <c r="J1527">
        <f>IFERROR(Table4[[#This Row],[energy_kwh]]/Table4[[#This Row],[expected_kwh]],0)</f>
        <v>0.87856260750534954</v>
      </c>
      <c r="K1527" t="str">
        <f>IF(Table4[[#This Row],[Performance_Ratio]] &lt; 0.85, "Underperforming", "Performing")</f>
        <v>Performing</v>
      </c>
      <c r="L1527">
        <f>Table4[[#This Row],[energy_kwh]] - Table4[[#This Row],[expected_kwh]]</f>
        <v>-93.839610950228007</v>
      </c>
      <c r="M1527" t="str">
        <f>IF(Table4[[#This Row],[Performance_Deviation]] &lt; 0, "Underperforming", "Outperforming")</f>
        <v>Underperforming</v>
      </c>
      <c r="N1527">
        <f>IF(Table4[[#This Row],[Performance_Ratio]] &lt; 0.85, Table4[[#This Row],[Performance_Deviation]] * 50 / 1000, 0)</f>
        <v>0</v>
      </c>
    </row>
    <row r="1528" spans="1:14" x14ac:dyDescent="0.3">
      <c r="A1528" s="4" t="s">
        <v>8</v>
      </c>
      <c r="B1528" s="3">
        <v>45293.583333333336</v>
      </c>
      <c r="C1528" s="4">
        <v>667.47296312650803</v>
      </c>
      <c r="D1528" s="4">
        <v>646.96803195217797</v>
      </c>
      <c r="E1528" s="4">
        <v>646.96803195217797</v>
      </c>
      <c r="F1528" s="4">
        <v>20.682363596058199</v>
      </c>
      <c r="G1528" s="4" t="str">
        <f t="shared" si="46"/>
        <v>OK</v>
      </c>
      <c r="H1528" s="4" t="str">
        <f t="shared" si="47"/>
        <v>NON-ZERO</v>
      </c>
      <c r="I1528">
        <v>692.82032302755101</v>
      </c>
      <c r="J1528">
        <f>IFERROR(Table4[[#This Row],[energy_kwh]]/Table4[[#This Row],[expected_kwh]],0)</f>
        <v>0.93381791851168072</v>
      </c>
      <c r="K1528" t="str">
        <f>IF(Table4[[#This Row],[Performance_Ratio]] &lt; 0.85, "Underperforming", "Performing")</f>
        <v>Performing</v>
      </c>
      <c r="L1528">
        <f>Table4[[#This Row],[energy_kwh]] - Table4[[#This Row],[expected_kwh]]</f>
        <v>-45.852291075373046</v>
      </c>
      <c r="M1528" t="str">
        <f>IF(Table4[[#This Row],[Performance_Deviation]] &lt; 0, "Underperforming", "Outperforming")</f>
        <v>Underperforming</v>
      </c>
      <c r="N1528">
        <f>IF(Table4[[#This Row],[Performance_Ratio]] &lt; 0.85, Table4[[#This Row],[Performance_Deviation]] * 50 / 1000, 0)</f>
        <v>0</v>
      </c>
    </row>
    <row r="1529" spans="1:14" x14ac:dyDescent="0.3">
      <c r="A1529" s="6" t="s">
        <v>8</v>
      </c>
      <c r="B1529" s="5">
        <v>45293.625</v>
      </c>
      <c r="C1529" s="6">
        <v>584.86062439597595</v>
      </c>
      <c r="D1529" s="6">
        <v>566.89356428669305</v>
      </c>
      <c r="E1529" s="6">
        <v>566.89356428669305</v>
      </c>
      <c r="F1529" s="6">
        <v>70.198656227262603</v>
      </c>
      <c r="G1529" s="6" t="str">
        <f t="shared" si="46"/>
        <v>OK</v>
      </c>
      <c r="H1529" s="6" t="str">
        <f t="shared" si="47"/>
        <v>NON-ZERO</v>
      </c>
      <c r="I1529">
        <v>565.68542494923804</v>
      </c>
      <c r="J1529">
        <f>IFERROR(Table4[[#This Row],[energy_kwh]]/Table4[[#This Row],[expected_kwh]],0)</f>
        <v>1.0021357087953318</v>
      </c>
      <c r="K1529" t="str">
        <f>IF(Table4[[#This Row],[Performance_Ratio]] &lt; 0.85, "Underperforming", "Performing")</f>
        <v>Performing</v>
      </c>
      <c r="L1529">
        <f>Table4[[#This Row],[energy_kwh]] - Table4[[#This Row],[expected_kwh]]</f>
        <v>1.2081393374550089</v>
      </c>
      <c r="M1529" t="str">
        <f>IF(Table4[[#This Row],[Performance_Deviation]] &lt; 0, "Underperforming", "Outperforming")</f>
        <v>Outperforming</v>
      </c>
      <c r="N1529">
        <f>IF(Table4[[#This Row],[Performance_Ratio]] &lt; 0.85, Table4[[#This Row],[Performance_Deviation]] * 50 / 1000, 0)</f>
        <v>0</v>
      </c>
    </row>
    <row r="1530" spans="1:14" x14ac:dyDescent="0.3">
      <c r="A1530" s="4" t="s">
        <v>8</v>
      </c>
      <c r="B1530" s="3">
        <v>45293.666666666664</v>
      </c>
      <c r="C1530" s="4">
        <v>377.14027436926</v>
      </c>
      <c r="D1530" s="4">
        <v>365.55443374916001</v>
      </c>
      <c r="E1530" s="4">
        <v>365.55443374916001</v>
      </c>
      <c r="F1530" s="4">
        <v>80.372512541126397</v>
      </c>
      <c r="G1530" s="4" t="str">
        <f t="shared" si="46"/>
        <v>OK</v>
      </c>
      <c r="H1530" s="4" t="str">
        <f t="shared" si="47"/>
        <v>NON-ZERO</v>
      </c>
      <c r="I1530">
        <v>399.99999999999898</v>
      </c>
      <c r="J1530">
        <f>IFERROR(Table4[[#This Row],[energy_kwh]]/Table4[[#This Row],[expected_kwh]],0)</f>
        <v>0.91388608437290242</v>
      </c>
      <c r="K1530" t="str">
        <f>IF(Table4[[#This Row],[Performance_Ratio]] &lt; 0.85, "Underperforming", "Performing")</f>
        <v>Performing</v>
      </c>
      <c r="L1530">
        <f>Table4[[#This Row],[energy_kwh]] - Table4[[#This Row],[expected_kwh]]</f>
        <v>-34.445566250838965</v>
      </c>
      <c r="M1530" t="str">
        <f>IF(Table4[[#This Row],[Performance_Deviation]] &lt; 0, "Underperforming", "Outperforming")</f>
        <v>Underperforming</v>
      </c>
      <c r="N1530">
        <f>IF(Table4[[#This Row],[Performance_Ratio]] &lt; 0.85, Table4[[#This Row],[Performance_Deviation]] * 50 / 1000, 0)</f>
        <v>0</v>
      </c>
    </row>
    <row r="1531" spans="1:14" x14ac:dyDescent="0.3">
      <c r="A1531" s="6" t="s">
        <v>8</v>
      </c>
      <c r="B1531" s="5">
        <v>45293.708333333336</v>
      </c>
      <c r="C1531" s="6">
        <v>211.05066353050501</v>
      </c>
      <c r="D1531" s="6">
        <v>204.56713600345901</v>
      </c>
      <c r="E1531" s="6">
        <v>204.56713600345901</v>
      </c>
      <c r="F1531" s="6">
        <v>57.111946370040897</v>
      </c>
      <c r="G1531" s="6" t="str">
        <f t="shared" si="46"/>
        <v>OK</v>
      </c>
      <c r="H1531" s="6" t="str">
        <f t="shared" si="47"/>
        <v>NON-ZERO</v>
      </c>
      <c r="I1531">
        <v>207.05523608201599</v>
      </c>
      <c r="J1531">
        <f>IFERROR(Table4[[#This Row],[energy_kwh]]/Table4[[#This Row],[expected_kwh]],0)</f>
        <v>0.98798339937864976</v>
      </c>
      <c r="K1531" t="str">
        <f>IF(Table4[[#This Row],[Performance_Ratio]] &lt; 0.85, "Underperforming", "Performing")</f>
        <v>Performing</v>
      </c>
      <c r="L1531">
        <f>Table4[[#This Row],[energy_kwh]] - Table4[[#This Row],[expected_kwh]]</f>
        <v>-2.4881000785569825</v>
      </c>
      <c r="M1531" t="str">
        <f>IF(Table4[[#This Row],[Performance_Deviation]] &lt; 0, "Underperforming", "Outperforming")</f>
        <v>Underperforming</v>
      </c>
      <c r="N1531">
        <f>IF(Table4[[#This Row],[Performance_Ratio]] &lt; 0.85, Table4[[#This Row],[Performance_Deviation]] * 50 / 1000, 0)</f>
        <v>0</v>
      </c>
    </row>
    <row r="1532" spans="1:14" x14ac:dyDescent="0.3">
      <c r="A1532" s="4" t="s">
        <v>8</v>
      </c>
      <c r="B1532" s="3">
        <v>45293.75</v>
      </c>
      <c r="C1532" s="7">
        <v>9.3893782887095701E-14</v>
      </c>
      <c r="D1532" s="7">
        <v>9.1009343123754397E-14</v>
      </c>
      <c r="E1532" s="7">
        <v>9.1009343123754397E-14</v>
      </c>
      <c r="F1532" s="4">
        <v>53.154965983855597</v>
      </c>
      <c r="G1532" s="4" t="str">
        <f t="shared" si="46"/>
        <v>OK</v>
      </c>
      <c r="H1532" s="4" t="str">
        <f t="shared" si="47"/>
        <v>NON-ZERO</v>
      </c>
      <c r="I1532" s="2">
        <v>9.7971743931788194E-14</v>
      </c>
      <c r="J1532">
        <f>IFERROR(Table4[[#This Row],[energy_kwh]]/Table4[[#This Row],[expected_kwh]],0)</f>
        <v>0.92893460370694947</v>
      </c>
      <c r="K1532" t="str">
        <f>IF(Table4[[#This Row],[Performance_Ratio]] &lt; 0.85, "Underperforming", "Performing")</f>
        <v>Performing</v>
      </c>
      <c r="L1532">
        <f>Table4[[#This Row],[energy_kwh]] - Table4[[#This Row],[expected_kwh]]</f>
        <v>-6.9624008080337969E-15</v>
      </c>
      <c r="M1532" t="str">
        <f>IF(Table4[[#This Row],[Performance_Deviation]] &lt; 0, "Underperforming", "Outperforming")</f>
        <v>Underperforming</v>
      </c>
      <c r="N1532">
        <f>IF(Table4[[#This Row],[Performance_Ratio]] &lt; 0.85, Table4[[#This Row],[Performance_Deviation]] * 50 / 1000, 0)</f>
        <v>0</v>
      </c>
    </row>
    <row r="1533" spans="1:14" x14ac:dyDescent="0.3">
      <c r="A1533" s="6" t="s">
        <v>8</v>
      </c>
      <c r="B1533" s="5">
        <v>45293.791666666664</v>
      </c>
      <c r="C1533" s="6">
        <v>0</v>
      </c>
      <c r="D1533" s="6">
        <v>0</v>
      </c>
      <c r="E1533" s="6">
        <v>0</v>
      </c>
      <c r="F1533" s="6">
        <v>63.924075157159898</v>
      </c>
      <c r="G1533" s="6" t="str">
        <f t="shared" si="46"/>
        <v>OK</v>
      </c>
      <c r="H1533" s="6" t="str">
        <f t="shared" si="47"/>
        <v>ZERO</v>
      </c>
      <c r="I1533">
        <v>0</v>
      </c>
      <c r="J1533">
        <f>IFERROR(Table4[[#This Row],[energy_kwh]]/Table4[[#This Row],[expected_kwh]],0)</f>
        <v>0</v>
      </c>
      <c r="K1533" t="str">
        <f>IF(Table4[[#This Row],[Performance_Ratio]] &lt; 0.85, "Underperforming", "Performing")</f>
        <v>Underperforming</v>
      </c>
      <c r="L1533">
        <f>Table4[[#This Row],[energy_kwh]] - Table4[[#This Row],[expected_kwh]]</f>
        <v>0</v>
      </c>
      <c r="M1533" t="str">
        <f>IF(Table4[[#This Row],[Performance_Deviation]] &lt; 0, "Underperforming", "Outperforming")</f>
        <v>Outperforming</v>
      </c>
      <c r="N1533">
        <f>IF(Table4[[#This Row],[Performance_Ratio]] &lt; 0.85, Table4[[#This Row],[Performance_Deviation]] * 50 / 1000, 0)</f>
        <v>0</v>
      </c>
    </row>
    <row r="1534" spans="1:14" x14ac:dyDescent="0.3">
      <c r="A1534" s="4" t="s">
        <v>8</v>
      </c>
      <c r="B1534" s="3">
        <v>45293.833333333336</v>
      </c>
      <c r="C1534" s="4">
        <v>0</v>
      </c>
      <c r="D1534" s="4">
        <v>0</v>
      </c>
      <c r="E1534" s="4">
        <v>0</v>
      </c>
      <c r="F1534" s="4">
        <v>91.638137035859899</v>
      </c>
      <c r="G1534" s="4" t="str">
        <f t="shared" si="46"/>
        <v>OK</v>
      </c>
      <c r="H1534" s="4" t="str">
        <f t="shared" si="47"/>
        <v>ZERO</v>
      </c>
      <c r="I1534">
        <v>0</v>
      </c>
      <c r="J1534">
        <f>IFERROR(Table4[[#This Row],[energy_kwh]]/Table4[[#This Row],[expected_kwh]],0)</f>
        <v>0</v>
      </c>
      <c r="K1534" t="str">
        <f>IF(Table4[[#This Row],[Performance_Ratio]] &lt; 0.85, "Underperforming", "Performing")</f>
        <v>Underperforming</v>
      </c>
      <c r="L1534">
        <f>Table4[[#This Row],[energy_kwh]] - Table4[[#This Row],[expected_kwh]]</f>
        <v>0</v>
      </c>
      <c r="M1534" t="str">
        <f>IF(Table4[[#This Row],[Performance_Deviation]] &lt; 0, "Underperforming", "Outperforming")</f>
        <v>Outperforming</v>
      </c>
      <c r="N1534">
        <f>IF(Table4[[#This Row],[Performance_Ratio]] &lt; 0.85, Table4[[#This Row],[Performance_Deviation]] * 50 / 1000, 0)</f>
        <v>0</v>
      </c>
    </row>
    <row r="1535" spans="1:14" x14ac:dyDescent="0.3">
      <c r="A1535" s="6" t="s">
        <v>8</v>
      </c>
      <c r="B1535" s="5">
        <v>45293.875</v>
      </c>
      <c r="C1535" s="6">
        <v>0</v>
      </c>
      <c r="D1535" s="6">
        <v>0</v>
      </c>
      <c r="E1535" s="6">
        <v>0</v>
      </c>
      <c r="F1535" s="6">
        <v>33.785966711136098</v>
      </c>
      <c r="G1535" s="6" t="str">
        <f t="shared" si="46"/>
        <v>OK</v>
      </c>
      <c r="H1535" s="6" t="str">
        <f t="shared" si="47"/>
        <v>ZERO</v>
      </c>
      <c r="I1535">
        <v>0</v>
      </c>
      <c r="J1535">
        <f>IFERROR(Table4[[#This Row],[energy_kwh]]/Table4[[#This Row],[expected_kwh]],0)</f>
        <v>0</v>
      </c>
      <c r="K1535" t="str">
        <f>IF(Table4[[#This Row],[Performance_Ratio]] &lt; 0.85, "Underperforming", "Performing")</f>
        <v>Underperforming</v>
      </c>
      <c r="L1535">
        <f>Table4[[#This Row],[energy_kwh]] - Table4[[#This Row],[expected_kwh]]</f>
        <v>0</v>
      </c>
      <c r="M1535" t="str">
        <f>IF(Table4[[#This Row],[Performance_Deviation]] &lt; 0, "Underperforming", "Outperforming")</f>
        <v>Outperforming</v>
      </c>
      <c r="N1535">
        <f>IF(Table4[[#This Row],[Performance_Ratio]] &lt; 0.85, Table4[[#This Row],[Performance_Deviation]] * 50 / 1000, 0)</f>
        <v>0</v>
      </c>
    </row>
    <row r="1536" spans="1:14" x14ac:dyDescent="0.3">
      <c r="A1536" s="4" t="s">
        <v>8</v>
      </c>
      <c r="B1536" s="3">
        <v>45293.916666666664</v>
      </c>
      <c r="C1536" s="4">
        <v>0</v>
      </c>
      <c r="D1536" s="4">
        <v>0</v>
      </c>
      <c r="E1536" s="4">
        <v>0</v>
      </c>
      <c r="F1536" s="4">
        <v>62.008698725701102</v>
      </c>
      <c r="G1536" s="4" t="str">
        <f t="shared" si="46"/>
        <v>OK</v>
      </c>
      <c r="H1536" s="4" t="str">
        <f t="shared" si="47"/>
        <v>ZERO</v>
      </c>
      <c r="I1536">
        <v>0</v>
      </c>
      <c r="J1536">
        <f>IFERROR(Table4[[#This Row],[energy_kwh]]/Table4[[#This Row],[expected_kwh]],0)</f>
        <v>0</v>
      </c>
      <c r="K1536" t="str">
        <f>IF(Table4[[#This Row],[Performance_Ratio]] &lt; 0.85, "Underperforming", "Performing")</f>
        <v>Underperforming</v>
      </c>
      <c r="L1536">
        <f>Table4[[#This Row],[energy_kwh]] - Table4[[#This Row],[expected_kwh]]</f>
        <v>0</v>
      </c>
      <c r="M1536" t="str">
        <f>IF(Table4[[#This Row],[Performance_Deviation]] &lt; 0, "Underperforming", "Outperforming")</f>
        <v>Outperforming</v>
      </c>
      <c r="N1536">
        <f>IF(Table4[[#This Row],[Performance_Ratio]] &lt; 0.85, Table4[[#This Row],[Performance_Deviation]] * 50 / 1000, 0)</f>
        <v>0</v>
      </c>
    </row>
    <row r="1537" spans="1:14" x14ac:dyDescent="0.3">
      <c r="A1537" s="6" t="s">
        <v>8</v>
      </c>
      <c r="B1537" s="5">
        <v>45293.958333333336</v>
      </c>
      <c r="C1537" s="6">
        <v>0</v>
      </c>
      <c r="D1537" s="6">
        <v>0</v>
      </c>
      <c r="E1537" s="6">
        <v>0</v>
      </c>
      <c r="F1537" s="6">
        <v>62.158316196742199</v>
      </c>
      <c r="G1537" s="6" t="str">
        <f t="shared" si="46"/>
        <v>OK</v>
      </c>
      <c r="H1537" s="6" t="str">
        <f t="shared" si="47"/>
        <v>ZERO</v>
      </c>
      <c r="I1537">
        <v>0</v>
      </c>
      <c r="J1537">
        <f>IFERROR(Table4[[#This Row],[energy_kwh]]/Table4[[#This Row],[expected_kwh]],0)</f>
        <v>0</v>
      </c>
      <c r="K1537" t="str">
        <f>IF(Table4[[#This Row],[Performance_Ratio]] &lt; 0.85, "Underperforming", "Performing")</f>
        <v>Underperforming</v>
      </c>
      <c r="L1537">
        <f>Table4[[#This Row],[energy_kwh]] - Table4[[#This Row],[expected_kwh]]</f>
        <v>0</v>
      </c>
      <c r="M1537" t="str">
        <f>IF(Table4[[#This Row],[Performance_Deviation]] &lt; 0, "Underperforming", "Outperforming")</f>
        <v>Outperforming</v>
      </c>
      <c r="N1537">
        <f>IF(Table4[[#This Row],[Performance_Ratio]] &lt; 0.85, Table4[[#This Row],[Performance_Deviation]] * 50 / 1000, 0)</f>
        <v>0</v>
      </c>
    </row>
    <row r="1538" spans="1:14" x14ac:dyDescent="0.3">
      <c r="A1538" s="4" t="s">
        <v>8</v>
      </c>
      <c r="B1538" s="3">
        <v>45294</v>
      </c>
      <c r="C1538" s="4">
        <v>0</v>
      </c>
      <c r="D1538" s="4">
        <v>0</v>
      </c>
      <c r="E1538" s="4">
        <v>0</v>
      </c>
      <c r="F1538" s="4">
        <v>62.669105438353697</v>
      </c>
      <c r="G1538" s="4" t="str">
        <f t="shared" ref="G1538:G1601" si="48">IF(D1538 &gt; C1538, "ERROR", "OK")</f>
        <v>OK</v>
      </c>
      <c r="H1538" s="4" t="str">
        <f t="shared" ref="H1538:H1601" si="49">IF(E1538=0,"ZERO","NON-ZERO")</f>
        <v>ZERO</v>
      </c>
      <c r="I1538">
        <v>0</v>
      </c>
      <c r="J1538">
        <f>IFERROR(Table4[[#This Row],[energy_kwh]]/Table4[[#This Row],[expected_kwh]],0)</f>
        <v>0</v>
      </c>
      <c r="K1538" t="str">
        <f>IF(Table4[[#This Row],[Performance_Ratio]] &lt; 0.85, "Underperforming", "Performing")</f>
        <v>Underperforming</v>
      </c>
      <c r="L1538">
        <f>Table4[[#This Row],[energy_kwh]] - Table4[[#This Row],[expected_kwh]]</f>
        <v>0</v>
      </c>
      <c r="M1538" t="str">
        <f>IF(Table4[[#This Row],[Performance_Deviation]] &lt; 0, "Underperforming", "Outperforming")</f>
        <v>Outperforming</v>
      </c>
      <c r="N1538">
        <f>IF(Table4[[#This Row],[Performance_Ratio]] &lt; 0.85, Table4[[#This Row],[Performance_Deviation]] * 50 / 1000, 0)</f>
        <v>0</v>
      </c>
    </row>
    <row r="1539" spans="1:14" x14ac:dyDescent="0.3">
      <c r="A1539" s="6" t="s">
        <v>8</v>
      </c>
      <c r="B1539" s="5">
        <v>45294.041666666664</v>
      </c>
      <c r="C1539" s="6">
        <v>0</v>
      </c>
      <c r="D1539" s="6">
        <v>0</v>
      </c>
      <c r="E1539" s="6">
        <v>0</v>
      </c>
      <c r="F1539" s="6">
        <v>75.4672436083451</v>
      </c>
      <c r="G1539" s="6" t="str">
        <f t="shared" si="48"/>
        <v>OK</v>
      </c>
      <c r="H1539" s="6" t="str">
        <f t="shared" si="49"/>
        <v>ZERO</v>
      </c>
      <c r="I1539">
        <v>0</v>
      </c>
      <c r="J1539">
        <f>IFERROR(Table4[[#This Row],[energy_kwh]]/Table4[[#This Row],[expected_kwh]],0)</f>
        <v>0</v>
      </c>
      <c r="K1539" t="str">
        <f>IF(Table4[[#This Row],[Performance_Ratio]] &lt; 0.85, "Underperforming", "Performing")</f>
        <v>Underperforming</v>
      </c>
      <c r="L1539">
        <f>Table4[[#This Row],[energy_kwh]] - Table4[[#This Row],[expected_kwh]]</f>
        <v>0</v>
      </c>
      <c r="M1539" t="str">
        <f>IF(Table4[[#This Row],[Performance_Deviation]] &lt; 0, "Underperforming", "Outperforming")</f>
        <v>Outperforming</v>
      </c>
      <c r="N1539">
        <f>IF(Table4[[#This Row],[Performance_Ratio]] &lt; 0.85, Table4[[#This Row],[Performance_Deviation]] * 50 / 1000, 0)</f>
        <v>0</v>
      </c>
    </row>
    <row r="1540" spans="1:14" x14ac:dyDescent="0.3">
      <c r="A1540" s="4" t="s">
        <v>8</v>
      </c>
      <c r="B1540" s="3">
        <v>45294.083333333336</v>
      </c>
      <c r="C1540" s="4">
        <v>0</v>
      </c>
      <c r="D1540" s="4">
        <v>0</v>
      </c>
      <c r="E1540" s="4">
        <v>0</v>
      </c>
      <c r="F1540" s="4">
        <v>23.686129275888199</v>
      </c>
      <c r="G1540" s="4" t="str">
        <f t="shared" si="48"/>
        <v>OK</v>
      </c>
      <c r="H1540" s="4" t="str">
        <f t="shared" si="49"/>
        <v>ZERO</v>
      </c>
      <c r="I1540">
        <v>0</v>
      </c>
      <c r="J1540">
        <f>IFERROR(Table4[[#This Row],[energy_kwh]]/Table4[[#This Row],[expected_kwh]],0)</f>
        <v>0</v>
      </c>
      <c r="K1540" t="str">
        <f>IF(Table4[[#This Row],[Performance_Ratio]] &lt; 0.85, "Underperforming", "Performing")</f>
        <v>Underperforming</v>
      </c>
      <c r="L1540">
        <f>Table4[[#This Row],[energy_kwh]] - Table4[[#This Row],[expected_kwh]]</f>
        <v>0</v>
      </c>
      <c r="M1540" t="str">
        <f>IF(Table4[[#This Row],[Performance_Deviation]] &lt; 0, "Underperforming", "Outperforming")</f>
        <v>Outperforming</v>
      </c>
      <c r="N1540">
        <f>IF(Table4[[#This Row],[Performance_Ratio]] &lt; 0.85, Table4[[#This Row],[Performance_Deviation]] * 50 / 1000, 0)</f>
        <v>0</v>
      </c>
    </row>
    <row r="1541" spans="1:14" x14ac:dyDescent="0.3">
      <c r="A1541" s="6" t="s">
        <v>8</v>
      </c>
      <c r="B1541" s="5">
        <v>45294.125</v>
      </c>
      <c r="C1541" s="6">
        <v>0</v>
      </c>
      <c r="D1541" s="6">
        <v>0</v>
      </c>
      <c r="E1541" s="6">
        <v>0</v>
      </c>
      <c r="F1541" s="6">
        <v>54.046912478589398</v>
      </c>
      <c r="G1541" s="6" t="str">
        <f t="shared" si="48"/>
        <v>OK</v>
      </c>
      <c r="H1541" s="6" t="str">
        <f t="shared" si="49"/>
        <v>ZERO</v>
      </c>
      <c r="I1541">
        <v>0</v>
      </c>
      <c r="J1541">
        <f>IFERROR(Table4[[#This Row],[energy_kwh]]/Table4[[#This Row],[expected_kwh]],0)</f>
        <v>0</v>
      </c>
      <c r="K1541" t="str">
        <f>IF(Table4[[#This Row],[Performance_Ratio]] &lt; 0.85, "Underperforming", "Performing")</f>
        <v>Underperforming</v>
      </c>
      <c r="L1541">
        <f>Table4[[#This Row],[energy_kwh]] - Table4[[#This Row],[expected_kwh]]</f>
        <v>0</v>
      </c>
      <c r="M1541" t="str">
        <f>IF(Table4[[#This Row],[Performance_Deviation]] &lt; 0, "Underperforming", "Outperforming")</f>
        <v>Outperforming</v>
      </c>
      <c r="N1541">
        <f>IF(Table4[[#This Row],[Performance_Ratio]] &lt; 0.85, Table4[[#This Row],[Performance_Deviation]] * 50 / 1000, 0)</f>
        <v>0</v>
      </c>
    </row>
    <row r="1542" spans="1:14" x14ac:dyDescent="0.3">
      <c r="A1542" s="4" t="s">
        <v>8</v>
      </c>
      <c r="B1542" s="3">
        <v>45294.166666666664</v>
      </c>
      <c r="C1542" s="4">
        <v>0</v>
      </c>
      <c r="D1542" s="4">
        <v>0</v>
      </c>
      <c r="E1542" s="4">
        <v>0</v>
      </c>
      <c r="F1542" s="4">
        <v>40.423654788581203</v>
      </c>
      <c r="G1542" s="4" t="str">
        <f t="shared" si="48"/>
        <v>OK</v>
      </c>
      <c r="H1542" s="4" t="str">
        <f t="shared" si="49"/>
        <v>ZERO</v>
      </c>
      <c r="I1542">
        <v>0</v>
      </c>
      <c r="J1542">
        <f>IFERROR(Table4[[#This Row],[energy_kwh]]/Table4[[#This Row],[expected_kwh]],0)</f>
        <v>0</v>
      </c>
      <c r="K1542" t="str">
        <f>IF(Table4[[#This Row],[Performance_Ratio]] &lt; 0.85, "Underperforming", "Performing")</f>
        <v>Underperforming</v>
      </c>
      <c r="L1542">
        <f>Table4[[#This Row],[energy_kwh]] - Table4[[#This Row],[expected_kwh]]</f>
        <v>0</v>
      </c>
      <c r="M1542" t="str">
        <f>IF(Table4[[#This Row],[Performance_Deviation]] &lt; 0, "Underperforming", "Outperforming")</f>
        <v>Outperforming</v>
      </c>
      <c r="N1542">
        <f>IF(Table4[[#This Row],[Performance_Ratio]] &lt; 0.85, Table4[[#This Row],[Performance_Deviation]] * 50 / 1000, 0)</f>
        <v>0</v>
      </c>
    </row>
    <row r="1543" spans="1:14" x14ac:dyDescent="0.3">
      <c r="A1543" s="6" t="s">
        <v>8</v>
      </c>
      <c r="B1543" s="5">
        <v>45294.208333333336</v>
      </c>
      <c r="C1543" s="6">
        <v>0</v>
      </c>
      <c r="D1543" s="6">
        <v>0</v>
      </c>
      <c r="E1543" s="6">
        <v>0</v>
      </c>
      <c r="F1543" s="6">
        <v>89.056733829104999</v>
      </c>
      <c r="G1543" s="6" t="str">
        <f t="shared" si="48"/>
        <v>OK</v>
      </c>
      <c r="H1543" s="6" t="str">
        <f t="shared" si="49"/>
        <v>ZERO</v>
      </c>
      <c r="I1543">
        <v>0</v>
      </c>
      <c r="J1543">
        <f>IFERROR(Table4[[#This Row],[energy_kwh]]/Table4[[#This Row],[expected_kwh]],0)</f>
        <v>0</v>
      </c>
      <c r="K1543" t="str">
        <f>IF(Table4[[#This Row],[Performance_Ratio]] &lt; 0.85, "Underperforming", "Performing")</f>
        <v>Underperforming</v>
      </c>
      <c r="L1543">
        <f>Table4[[#This Row],[energy_kwh]] - Table4[[#This Row],[expected_kwh]]</f>
        <v>0</v>
      </c>
      <c r="M1543" t="str">
        <f>IF(Table4[[#This Row],[Performance_Deviation]] &lt; 0, "Underperforming", "Outperforming")</f>
        <v>Outperforming</v>
      </c>
      <c r="N1543">
        <f>IF(Table4[[#This Row],[Performance_Ratio]] &lt; 0.85, Table4[[#This Row],[Performance_Deviation]] * 50 / 1000, 0)</f>
        <v>0</v>
      </c>
    </row>
    <row r="1544" spans="1:14" x14ac:dyDescent="0.3">
      <c r="A1544" s="4" t="s">
        <v>8</v>
      </c>
      <c r="B1544" s="3">
        <v>45294.25</v>
      </c>
      <c r="C1544" s="4">
        <v>0</v>
      </c>
      <c r="D1544" s="4">
        <v>0</v>
      </c>
      <c r="E1544" s="4">
        <v>0</v>
      </c>
      <c r="F1544" s="4">
        <v>80.5330265239634</v>
      </c>
      <c r="G1544" s="4" t="str">
        <f t="shared" si="48"/>
        <v>OK</v>
      </c>
      <c r="H1544" s="4" t="str">
        <f t="shared" si="49"/>
        <v>ZERO</v>
      </c>
      <c r="I1544">
        <v>0</v>
      </c>
      <c r="J1544">
        <f>IFERROR(Table4[[#This Row],[energy_kwh]]/Table4[[#This Row],[expected_kwh]],0)</f>
        <v>0</v>
      </c>
      <c r="K1544" t="str">
        <f>IF(Table4[[#This Row],[Performance_Ratio]] &lt; 0.85, "Underperforming", "Performing")</f>
        <v>Underperforming</v>
      </c>
      <c r="L1544">
        <f>Table4[[#This Row],[energy_kwh]] - Table4[[#This Row],[expected_kwh]]</f>
        <v>0</v>
      </c>
      <c r="M1544" t="str">
        <f>IF(Table4[[#This Row],[Performance_Deviation]] &lt; 0, "Underperforming", "Outperforming")</f>
        <v>Outperforming</v>
      </c>
      <c r="N1544">
        <f>IF(Table4[[#This Row],[Performance_Ratio]] &lt; 0.85, Table4[[#This Row],[Performance_Deviation]] * 50 / 1000, 0)</f>
        <v>0</v>
      </c>
    </row>
    <row r="1545" spans="1:14" x14ac:dyDescent="0.3">
      <c r="A1545" s="6" t="s">
        <v>8</v>
      </c>
      <c r="B1545" s="5">
        <v>45294.291666666664</v>
      </c>
      <c r="C1545" s="6">
        <v>232.02754286421401</v>
      </c>
      <c r="D1545" s="6">
        <v>224.899600520761</v>
      </c>
      <c r="E1545" s="6">
        <v>224.899600520761</v>
      </c>
      <c r="F1545" s="6">
        <v>29.679884362179699</v>
      </c>
      <c r="G1545" s="6" t="str">
        <f t="shared" si="48"/>
        <v>OK</v>
      </c>
      <c r="H1545" s="6" t="str">
        <f t="shared" si="49"/>
        <v>NON-ZERO</v>
      </c>
      <c r="I1545">
        <v>207.05523608201599</v>
      </c>
      <c r="J1545">
        <f>IFERROR(Table4[[#This Row],[energy_kwh]]/Table4[[#This Row],[expected_kwh]],0)</f>
        <v>1.0861816623254905</v>
      </c>
      <c r="K1545" t="str">
        <f>IF(Table4[[#This Row],[Performance_Ratio]] &lt; 0.85, "Underperforming", "Performing")</f>
        <v>Performing</v>
      </c>
      <c r="L1545">
        <f>Table4[[#This Row],[energy_kwh]] - Table4[[#This Row],[expected_kwh]]</f>
        <v>17.844364438745004</v>
      </c>
      <c r="M1545" t="str">
        <f>IF(Table4[[#This Row],[Performance_Deviation]] &lt; 0, "Underperforming", "Outperforming")</f>
        <v>Outperforming</v>
      </c>
      <c r="N1545">
        <f>IF(Table4[[#This Row],[Performance_Ratio]] &lt; 0.85, Table4[[#This Row],[Performance_Deviation]] * 50 / 1000, 0)</f>
        <v>0</v>
      </c>
    </row>
    <row r="1546" spans="1:14" x14ac:dyDescent="0.3">
      <c r="A1546" s="4" t="s">
        <v>8</v>
      </c>
      <c r="B1546" s="3">
        <v>45294.333333333336</v>
      </c>
      <c r="C1546" s="4">
        <v>400.281926315438</v>
      </c>
      <c r="D1546" s="4">
        <v>387.98516853969198</v>
      </c>
      <c r="E1546" s="4">
        <v>387.98516853969198</v>
      </c>
      <c r="F1546" s="4">
        <v>77.3071689934159</v>
      </c>
      <c r="G1546" s="4" t="str">
        <f t="shared" si="48"/>
        <v>OK</v>
      </c>
      <c r="H1546" s="4" t="str">
        <f t="shared" si="49"/>
        <v>NON-ZERO</v>
      </c>
      <c r="I1546">
        <v>399.99999999999898</v>
      </c>
      <c r="J1546">
        <f>IFERROR(Table4[[#This Row],[energy_kwh]]/Table4[[#This Row],[expected_kwh]],0)</f>
        <v>0.96996292134923245</v>
      </c>
      <c r="K1546" t="str">
        <f>IF(Table4[[#This Row],[Performance_Ratio]] &lt; 0.85, "Underperforming", "Performing")</f>
        <v>Performing</v>
      </c>
      <c r="L1546">
        <f>Table4[[#This Row],[energy_kwh]] - Table4[[#This Row],[expected_kwh]]</f>
        <v>-12.014831460306993</v>
      </c>
      <c r="M1546" t="str">
        <f>IF(Table4[[#This Row],[Performance_Deviation]] &lt; 0, "Underperforming", "Outperforming")</f>
        <v>Underperforming</v>
      </c>
      <c r="N1546">
        <f>IF(Table4[[#This Row],[Performance_Ratio]] &lt; 0.85, Table4[[#This Row],[Performance_Deviation]] * 50 / 1000, 0)</f>
        <v>0</v>
      </c>
    </row>
    <row r="1547" spans="1:14" x14ac:dyDescent="0.3">
      <c r="A1547" s="6" t="s">
        <v>8</v>
      </c>
      <c r="B1547" s="5">
        <v>45294.375</v>
      </c>
      <c r="C1547" s="6">
        <v>539.82282596367395</v>
      </c>
      <c r="D1547" s="6">
        <v>523.23933793613105</v>
      </c>
      <c r="E1547" s="6">
        <v>523.23933793613105</v>
      </c>
      <c r="F1547" s="6">
        <v>27.638544885678701</v>
      </c>
      <c r="G1547" s="6" t="str">
        <f t="shared" si="48"/>
        <v>OK</v>
      </c>
      <c r="H1547" s="6" t="str">
        <f t="shared" si="49"/>
        <v>NON-ZERO</v>
      </c>
      <c r="I1547">
        <v>565.68542494923804</v>
      </c>
      <c r="J1547">
        <f>IFERROR(Table4[[#This Row],[energy_kwh]]/Table4[[#This Row],[expected_kwh]],0)</f>
        <v>0.92496521009549448</v>
      </c>
      <c r="K1547" t="str">
        <f>IF(Table4[[#This Row],[Performance_Ratio]] &lt; 0.85, "Underperforming", "Performing")</f>
        <v>Performing</v>
      </c>
      <c r="L1547">
        <f>Table4[[#This Row],[energy_kwh]] - Table4[[#This Row],[expected_kwh]]</f>
        <v>-42.44608701310699</v>
      </c>
      <c r="M1547" t="str">
        <f>IF(Table4[[#This Row],[Performance_Deviation]] &lt; 0, "Underperforming", "Outperforming")</f>
        <v>Underperforming</v>
      </c>
      <c r="N1547">
        <f>IF(Table4[[#This Row],[Performance_Ratio]] &lt; 0.85, Table4[[#This Row],[Performance_Deviation]] * 50 / 1000, 0)</f>
        <v>0</v>
      </c>
    </row>
    <row r="1548" spans="1:14" x14ac:dyDescent="0.3">
      <c r="A1548" s="4" t="s">
        <v>8</v>
      </c>
      <c r="B1548" s="3">
        <v>45294.416666666664</v>
      </c>
      <c r="C1548" s="4">
        <v>617.231553271954</v>
      </c>
      <c r="D1548" s="4">
        <v>598.27005038323398</v>
      </c>
      <c r="E1548" s="4">
        <v>598.27005038323398</v>
      </c>
      <c r="F1548" s="4">
        <v>74.410112633762196</v>
      </c>
      <c r="G1548" s="4" t="str">
        <f t="shared" si="48"/>
        <v>OK</v>
      </c>
      <c r="H1548" s="4" t="str">
        <f t="shared" si="49"/>
        <v>NON-ZERO</v>
      </c>
      <c r="I1548">
        <v>692.82032302754999</v>
      </c>
      <c r="J1548">
        <f>IFERROR(Table4[[#This Row],[energy_kwh]]/Table4[[#This Row],[expected_kwh]],0)</f>
        <v>0.86352843659212897</v>
      </c>
      <c r="K1548" t="str">
        <f>IF(Table4[[#This Row],[Performance_Ratio]] &lt; 0.85, "Underperforming", "Performing")</f>
        <v>Performing</v>
      </c>
      <c r="L1548">
        <f>Table4[[#This Row],[energy_kwh]] - Table4[[#This Row],[expected_kwh]]</f>
        <v>-94.55027264431601</v>
      </c>
      <c r="M1548" t="str">
        <f>IF(Table4[[#This Row],[Performance_Deviation]] &lt; 0, "Underperforming", "Outperforming")</f>
        <v>Underperforming</v>
      </c>
      <c r="N1548">
        <f>IF(Table4[[#This Row],[Performance_Ratio]] &lt; 0.85, Table4[[#This Row],[Performance_Deviation]] * 50 / 1000, 0)</f>
        <v>0</v>
      </c>
    </row>
    <row r="1549" spans="1:14" x14ac:dyDescent="0.3">
      <c r="A1549" s="6" t="s">
        <v>8</v>
      </c>
      <c r="B1549" s="5">
        <v>45294.458333333336</v>
      </c>
      <c r="C1549" s="6">
        <v>768.85074745623399</v>
      </c>
      <c r="D1549" s="6">
        <v>745.23146618066505</v>
      </c>
      <c r="E1549" s="6">
        <v>745.23146618066505</v>
      </c>
      <c r="F1549" s="6">
        <v>56.3804681857021</v>
      </c>
      <c r="G1549" s="6" t="str">
        <f t="shared" si="48"/>
        <v>OK</v>
      </c>
      <c r="H1549" s="6" t="str">
        <f t="shared" si="49"/>
        <v>NON-ZERO</v>
      </c>
      <c r="I1549">
        <v>772.74066103125404</v>
      </c>
      <c r="J1549">
        <f>IFERROR(Table4[[#This Row],[energy_kwh]]/Table4[[#This Row],[expected_kwh]],0)</f>
        <v>0.96440048228615682</v>
      </c>
      <c r="K1549" t="str">
        <f>IF(Table4[[#This Row],[Performance_Ratio]] &lt; 0.85, "Underperforming", "Performing")</f>
        <v>Performing</v>
      </c>
      <c r="L1549">
        <f>Table4[[#This Row],[energy_kwh]] - Table4[[#This Row],[expected_kwh]]</f>
        <v>-27.509194850588983</v>
      </c>
      <c r="M1549" t="str">
        <f>IF(Table4[[#This Row],[Performance_Deviation]] &lt; 0, "Underperforming", "Outperforming")</f>
        <v>Underperforming</v>
      </c>
      <c r="N1549">
        <f>IF(Table4[[#This Row],[Performance_Ratio]] &lt; 0.85, Table4[[#This Row],[Performance_Deviation]] * 50 / 1000, 0)</f>
        <v>0</v>
      </c>
    </row>
    <row r="1550" spans="1:14" x14ac:dyDescent="0.3">
      <c r="A1550" s="4" t="s">
        <v>8</v>
      </c>
      <c r="B1550" s="3">
        <v>45294.5</v>
      </c>
      <c r="C1550" s="4">
        <v>833.96200715826399</v>
      </c>
      <c r="D1550" s="4">
        <v>808.34249220639799</v>
      </c>
      <c r="E1550" s="4">
        <v>808.34249220639799</v>
      </c>
      <c r="F1550" s="4">
        <v>71.965882077248907</v>
      </c>
      <c r="G1550" s="4" t="str">
        <f t="shared" si="48"/>
        <v>OK</v>
      </c>
      <c r="H1550" s="4" t="str">
        <f t="shared" si="49"/>
        <v>NON-ZERO</v>
      </c>
      <c r="I1550">
        <v>800</v>
      </c>
      <c r="J1550">
        <f>IFERROR(Table4[[#This Row],[energy_kwh]]/Table4[[#This Row],[expected_kwh]],0)</f>
        <v>1.0104281152579975</v>
      </c>
      <c r="K1550" t="str">
        <f>IF(Table4[[#This Row],[Performance_Ratio]] &lt; 0.85, "Underperforming", "Performing")</f>
        <v>Performing</v>
      </c>
      <c r="L1550">
        <f>Table4[[#This Row],[energy_kwh]] - Table4[[#This Row],[expected_kwh]]</f>
        <v>8.342492206397992</v>
      </c>
      <c r="M1550" t="str">
        <f>IF(Table4[[#This Row],[Performance_Deviation]] &lt; 0, "Underperforming", "Outperforming")</f>
        <v>Outperforming</v>
      </c>
      <c r="N1550">
        <f>IF(Table4[[#This Row],[Performance_Ratio]] &lt; 0.85, Table4[[#This Row],[Performance_Deviation]] * 50 / 1000, 0)</f>
        <v>0</v>
      </c>
    </row>
    <row r="1551" spans="1:14" x14ac:dyDescent="0.3">
      <c r="A1551" s="6" t="s">
        <v>8</v>
      </c>
      <c r="B1551" s="5">
        <v>45294.541666666664</v>
      </c>
      <c r="C1551" s="6">
        <v>743.26543721541896</v>
      </c>
      <c r="D1551" s="6">
        <v>720.43214287047397</v>
      </c>
      <c r="E1551" s="6">
        <v>720.43214287047397</v>
      </c>
      <c r="F1551" s="6">
        <v>50.901330421374197</v>
      </c>
      <c r="G1551" s="6" t="str">
        <f t="shared" si="48"/>
        <v>OK</v>
      </c>
      <c r="H1551" s="6" t="str">
        <f t="shared" si="49"/>
        <v>NON-ZERO</v>
      </c>
      <c r="I1551">
        <v>772.74066103125404</v>
      </c>
      <c r="J1551">
        <f>IFERROR(Table4[[#This Row],[energy_kwh]]/Table4[[#This Row],[expected_kwh]],0)</f>
        <v>0.93230779639449513</v>
      </c>
      <c r="K1551" t="str">
        <f>IF(Table4[[#This Row],[Performance_Ratio]] &lt; 0.85, "Underperforming", "Performing")</f>
        <v>Performing</v>
      </c>
      <c r="L1551">
        <f>Table4[[#This Row],[energy_kwh]] - Table4[[#This Row],[expected_kwh]]</f>
        <v>-52.308518160780068</v>
      </c>
      <c r="M1551" t="str">
        <f>IF(Table4[[#This Row],[Performance_Deviation]] &lt; 0, "Underperforming", "Outperforming")</f>
        <v>Underperforming</v>
      </c>
      <c r="N1551">
        <f>IF(Table4[[#This Row],[Performance_Ratio]] &lt; 0.85, Table4[[#This Row],[Performance_Deviation]] * 50 / 1000, 0)</f>
        <v>0</v>
      </c>
    </row>
    <row r="1552" spans="1:14" x14ac:dyDescent="0.3">
      <c r="A1552" s="4" t="s">
        <v>8</v>
      </c>
      <c r="B1552" s="3">
        <v>45294.583333333336</v>
      </c>
      <c r="C1552" s="4">
        <v>677.508636817666</v>
      </c>
      <c r="D1552" s="4">
        <v>656.69540731562404</v>
      </c>
      <c r="E1552" s="4">
        <v>656.69540731562404</v>
      </c>
      <c r="F1552" s="4">
        <v>45.349908577136702</v>
      </c>
      <c r="G1552" s="4" t="str">
        <f t="shared" si="48"/>
        <v>OK</v>
      </c>
      <c r="H1552" s="4" t="str">
        <f t="shared" si="49"/>
        <v>NON-ZERO</v>
      </c>
      <c r="I1552">
        <v>692.82032302755101</v>
      </c>
      <c r="J1552">
        <f>IFERROR(Table4[[#This Row],[energy_kwh]]/Table4[[#This Row],[expected_kwh]],0)</f>
        <v>0.94785817547316609</v>
      </c>
      <c r="K1552" t="str">
        <f>IF(Table4[[#This Row],[Performance_Ratio]] &lt; 0.85, "Underperforming", "Performing")</f>
        <v>Performing</v>
      </c>
      <c r="L1552">
        <f>Table4[[#This Row],[energy_kwh]] - Table4[[#This Row],[expected_kwh]]</f>
        <v>-36.124915711926974</v>
      </c>
      <c r="M1552" t="str">
        <f>IF(Table4[[#This Row],[Performance_Deviation]] &lt; 0, "Underperforming", "Outperforming")</f>
        <v>Underperforming</v>
      </c>
      <c r="N1552">
        <f>IF(Table4[[#This Row],[Performance_Ratio]] &lt; 0.85, Table4[[#This Row],[Performance_Deviation]] * 50 / 1000, 0)</f>
        <v>0</v>
      </c>
    </row>
    <row r="1553" spans="1:14" x14ac:dyDescent="0.3">
      <c r="A1553" s="6" t="s">
        <v>8</v>
      </c>
      <c r="B1553" s="5">
        <v>45294.625</v>
      </c>
      <c r="C1553" s="6">
        <v>502.97337335411402</v>
      </c>
      <c r="D1553" s="6">
        <v>487.52190944037397</v>
      </c>
      <c r="E1553" s="6">
        <v>487.52190944037397</v>
      </c>
      <c r="F1553" s="6">
        <v>26.405186321815499</v>
      </c>
      <c r="G1553" s="6" t="str">
        <f t="shared" si="48"/>
        <v>OK</v>
      </c>
      <c r="H1553" s="6" t="str">
        <f t="shared" si="49"/>
        <v>NON-ZERO</v>
      </c>
      <c r="I1553">
        <v>565.68542494923804</v>
      </c>
      <c r="J1553">
        <f>IFERROR(Table4[[#This Row],[energy_kwh]]/Table4[[#This Row],[expected_kwh]],0)</f>
        <v>0.86182512035575587</v>
      </c>
      <c r="K1553" t="str">
        <f>IF(Table4[[#This Row],[Performance_Ratio]] &lt; 0.85, "Underperforming", "Performing")</f>
        <v>Performing</v>
      </c>
      <c r="L1553">
        <f>Table4[[#This Row],[energy_kwh]] - Table4[[#This Row],[expected_kwh]]</f>
        <v>-78.163515508864066</v>
      </c>
      <c r="M1553" t="str">
        <f>IF(Table4[[#This Row],[Performance_Deviation]] &lt; 0, "Underperforming", "Outperforming")</f>
        <v>Underperforming</v>
      </c>
      <c r="N1553">
        <f>IF(Table4[[#This Row],[Performance_Ratio]] &lt; 0.85, Table4[[#This Row],[Performance_Deviation]] * 50 / 1000, 0)</f>
        <v>0</v>
      </c>
    </row>
    <row r="1554" spans="1:14" x14ac:dyDescent="0.3">
      <c r="A1554" s="4" t="s">
        <v>8</v>
      </c>
      <c r="B1554" s="3">
        <v>45294.666666666664</v>
      </c>
      <c r="C1554" s="4">
        <v>424.28098425753302</v>
      </c>
      <c r="D1554" s="4">
        <v>411.246969606172</v>
      </c>
      <c r="E1554" s="4">
        <v>411.246969606172</v>
      </c>
      <c r="F1554" s="4">
        <v>87.106067812347504</v>
      </c>
      <c r="G1554" s="4" t="str">
        <f t="shared" si="48"/>
        <v>OK</v>
      </c>
      <c r="H1554" s="4" t="str">
        <f t="shared" si="49"/>
        <v>NON-ZERO</v>
      </c>
      <c r="I1554">
        <v>399.99999999999898</v>
      </c>
      <c r="J1554">
        <f>IFERROR(Table4[[#This Row],[energy_kwh]]/Table4[[#This Row],[expected_kwh]],0)</f>
        <v>1.0281174240154327</v>
      </c>
      <c r="K1554" t="str">
        <f>IF(Table4[[#This Row],[Performance_Ratio]] &lt; 0.85, "Underperforming", "Performing")</f>
        <v>Performing</v>
      </c>
      <c r="L1554">
        <f>Table4[[#This Row],[energy_kwh]] - Table4[[#This Row],[expected_kwh]]</f>
        <v>11.246969606173025</v>
      </c>
      <c r="M1554" t="str">
        <f>IF(Table4[[#This Row],[Performance_Deviation]] &lt; 0, "Underperforming", "Outperforming")</f>
        <v>Outperforming</v>
      </c>
      <c r="N1554">
        <f>IF(Table4[[#This Row],[Performance_Ratio]] &lt; 0.85, Table4[[#This Row],[Performance_Deviation]] * 50 / 1000, 0)</f>
        <v>0</v>
      </c>
    </row>
    <row r="1555" spans="1:14" x14ac:dyDescent="0.3">
      <c r="A1555" s="6" t="s">
        <v>8</v>
      </c>
      <c r="B1555" s="5">
        <v>45294.708333333336</v>
      </c>
      <c r="C1555" s="6">
        <v>192.21430629170999</v>
      </c>
      <c r="D1555" s="6">
        <v>186.309436223608</v>
      </c>
      <c r="E1555" s="6">
        <v>186.309436223608</v>
      </c>
      <c r="F1555" s="6">
        <v>87.394768292672694</v>
      </c>
      <c r="G1555" s="6" t="str">
        <f t="shared" si="48"/>
        <v>OK</v>
      </c>
      <c r="H1555" s="6" t="str">
        <f t="shared" si="49"/>
        <v>NON-ZERO</v>
      </c>
      <c r="I1555">
        <v>207.05523608201599</v>
      </c>
      <c r="J1555">
        <f>IFERROR(Table4[[#This Row],[energy_kwh]]/Table4[[#This Row],[expected_kwh]],0)</f>
        <v>0.89980548064869781</v>
      </c>
      <c r="K1555" t="str">
        <f>IF(Table4[[#This Row],[Performance_Ratio]] &lt; 0.85, "Underperforming", "Performing")</f>
        <v>Performing</v>
      </c>
      <c r="L1555">
        <f>Table4[[#This Row],[energy_kwh]] - Table4[[#This Row],[expected_kwh]]</f>
        <v>-20.745799858407992</v>
      </c>
      <c r="M1555" t="str">
        <f>IF(Table4[[#This Row],[Performance_Deviation]] &lt; 0, "Underperforming", "Outperforming")</f>
        <v>Underperforming</v>
      </c>
      <c r="N1555">
        <f>IF(Table4[[#This Row],[Performance_Ratio]] &lt; 0.85, Table4[[#This Row],[Performance_Deviation]] * 50 / 1000, 0)</f>
        <v>0</v>
      </c>
    </row>
    <row r="1556" spans="1:14" x14ac:dyDescent="0.3">
      <c r="A1556" s="4" t="s">
        <v>8</v>
      </c>
      <c r="B1556" s="3">
        <v>45294.75</v>
      </c>
      <c r="C1556" s="7">
        <v>9.5198029789098506E-14</v>
      </c>
      <c r="D1556" s="7">
        <v>9.2273523244872697E-14</v>
      </c>
      <c r="E1556" s="7">
        <v>9.2273523244872697E-14</v>
      </c>
      <c r="F1556" s="4">
        <v>84.874623215583199</v>
      </c>
      <c r="G1556" s="4" t="str">
        <f t="shared" si="48"/>
        <v>OK</v>
      </c>
      <c r="H1556" s="4" t="str">
        <f t="shared" si="49"/>
        <v>NON-ZERO</v>
      </c>
      <c r="I1556" s="2">
        <v>9.7971743931788194E-14</v>
      </c>
      <c r="J1556">
        <f>IFERROR(Table4[[#This Row],[energy_kwh]]/Table4[[#This Row],[expected_kwh]],0)</f>
        <v>0.94183812129665856</v>
      </c>
      <c r="K1556" t="str">
        <f>IF(Table4[[#This Row],[Performance_Ratio]] &lt; 0.85, "Underperforming", "Performing")</f>
        <v>Performing</v>
      </c>
      <c r="L1556">
        <f>Table4[[#This Row],[energy_kwh]] - Table4[[#This Row],[expected_kwh]]</f>
        <v>-5.6982206869154975E-15</v>
      </c>
      <c r="M1556" t="str">
        <f>IF(Table4[[#This Row],[Performance_Deviation]] &lt; 0, "Underperforming", "Outperforming")</f>
        <v>Underperforming</v>
      </c>
      <c r="N1556">
        <f>IF(Table4[[#This Row],[Performance_Ratio]] &lt; 0.85, Table4[[#This Row],[Performance_Deviation]] * 50 / 1000, 0)</f>
        <v>0</v>
      </c>
    </row>
    <row r="1557" spans="1:14" x14ac:dyDescent="0.3">
      <c r="A1557" s="6" t="s">
        <v>8</v>
      </c>
      <c r="B1557" s="5">
        <v>45294.791666666664</v>
      </c>
      <c r="C1557" s="6">
        <v>0</v>
      </c>
      <c r="D1557" s="6">
        <v>0</v>
      </c>
      <c r="E1557" s="6">
        <v>0</v>
      </c>
      <c r="F1557" s="6">
        <v>37.9527377256534</v>
      </c>
      <c r="G1557" s="6" t="str">
        <f t="shared" si="48"/>
        <v>OK</v>
      </c>
      <c r="H1557" s="6" t="str">
        <f t="shared" si="49"/>
        <v>ZERO</v>
      </c>
      <c r="I1557">
        <v>0</v>
      </c>
      <c r="J1557">
        <f>IFERROR(Table4[[#This Row],[energy_kwh]]/Table4[[#This Row],[expected_kwh]],0)</f>
        <v>0</v>
      </c>
      <c r="K1557" t="str">
        <f>IF(Table4[[#This Row],[Performance_Ratio]] &lt; 0.85, "Underperforming", "Performing")</f>
        <v>Underperforming</v>
      </c>
      <c r="L1557">
        <f>Table4[[#This Row],[energy_kwh]] - Table4[[#This Row],[expected_kwh]]</f>
        <v>0</v>
      </c>
      <c r="M1557" t="str">
        <f>IF(Table4[[#This Row],[Performance_Deviation]] &lt; 0, "Underperforming", "Outperforming")</f>
        <v>Outperforming</v>
      </c>
      <c r="N1557">
        <f>IF(Table4[[#This Row],[Performance_Ratio]] &lt; 0.85, Table4[[#This Row],[Performance_Deviation]] * 50 / 1000, 0)</f>
        <v>0</v>
      </c>
    </row>
    <row r="1558" spans="1:14" x14ac:dyDescent="0.3">
      <c r="A1558" s="4" t="s">
        <v>8</v>
      </c>
      <c r="B1558" s="3">
        <v>45294.833333333336</v>
      </c>
      <c r="C1558" s="4">
        <v>0</v>
      </c>
      <c r="D1558" s="4">
        <v>0</v>
      </c>
      <c r="E1558" s="4">
        <v>0</v>
      </c>
      <c r="F1558" s="4">
        <v>42.213257416924797</v>
      </c>
      <c r="G1558" s="4" t="str">
        <f t="shared" si="48"/>
        <v>OK</v>
      </c>
      <c r="H1558" s="4" t="str">
        <f t="shared" si="49"/>
        <v>ZERO</v>
      </c>
      <c r="I1558">
        <v>0</v>
      </c>
      <c r="J1558">
        <f>IFERROR(Table4[[#This Row],[energy_kwh]]/Table4[[#This Row],[expected_kwh]],0)</f>
        <v>0</v>
      </c>
      <c r="K1558" t="str">
        <f>IF(Table4[[#This Row],[Performance_Ratio]] &lt; 0.85, "Underperforming", "Performing")</f>
        <v>Underperforming</v>
      </c>
      <c r="L1558">
        <f>Table4[[#This Row],[energy_kwh]] - Table4[[#This Row],[expected_kwh]]</f>
        <v>0</v>
      </c>
      <c r="M1558" t="str">
        <f>IF(Table4[[#This Row],[Performance_Deviation]] &lt; 0, "Underperforming", "Outperforming")</f>
        <v>Outperforming</v>
      </c>
      <c r="N1558">
        <f>IF(Table4[[#This Row],[Performance_Ratio]] &lt; 0.85, Table4[[#This Row],[Performance_Deviation]] * 50 / 1000, 0)</f>
        <v>0</v>
      </c>
    </row>
    <row r="1559" spans="1:14" x14ac:dyDescent="0.3">
      <c r="A1559" s="6" t="s">
        <v>8</v>
      </c>
      <c r="B1559" s="5">
        <v>45294.875</v>
      </c>
      <c r="C1559" s="6">
        <v>0</v>
      </c>
      <c r="D1559" s="6">
        <v>0</v>
      </c>
      <c r="E1559" s="6">
        <v>0</v>
      </c>
      <c r="F1559" s="6">
        <v>46.003907092693296</v>
      </c>
      <c r="G1559" s="6" t="str">
        <f t="shared" si="48"/>
        <v>OK</v>
      </c>
      <c r="H1559" s="6" t="str">
        <f t="shared" si="49"/>
        <v>ZERO</v>
      </c>
      <c r="I1559">
        <v>0</v>
      </c>
      <c r="J1559">
        <f>IFERROR(Table4[[#This Row],[energy_kwh]]/Table4[[#This Row],[expected_kwh]],0)</f>
        <v>0</v>
      </c>
      <c r="K1559" t="str">
        <f>IF(Table4[[#This Row],[Performance_Ratio]] &lt; 0.85, "Underperforming", "Performing")</f>
        <v>Underperforming</v>
      </c>
      <c r="L1559">
        <f>Table4[[#This Row],[energy_kwh]] - Table4[[#This Row],[expected_kwh]]</f>
        <v>0</v>
      </c>
      <c r="M1559" t="str">
        <f>IF(Table4[[#This Row],[Performance_Deviation]] &lt; 0, "Underperforming", "Outperforming")</f>
        <v>Outperforming</v>
      </c>
      <c r="N1559">
        <f>IF(Table4[[#This Row],[Performance_Ratio]] &lt; 0.85, Table4[[#This Row],[Performance_Deviation]] * 50 / 1000, 0)</f>
        <v>0</v>
      </c>
    </row>
    <row r="1560" spans="1:14" x14ac:dyDescent="0.3">
      <c r="A1560" s="4" t="s">
        <v>8</v>
      </c>
      <c r="B1560" s="3">
        <v>45294.916666666664</v>
      </c>
      <c r="C1560" s="4">
        <v>0</v>
      </c>
      <c r="D1560" s="4">
        <v>0</v>
      </c>
      <c r="E1560" s="4">
        <v>0</v>
      </c>
      <c r="F1560" s="4">
        <v>75.833162587816503</v>
      </c>
      <c r="G1560" s="4" t="str">
        <f t="shared" si="48"/>
        <v>OK</v>
      </c>
      <c r="H1560" s="4" t="str">
        <f t="shared" si="49"/>
        <v>ZERO</v>
      </c>
      <c r="I1560">
        <v>0</v>
      </c>
      <c r="J1560">
        <f>IFERROR(Table4[[#This Row],[energy_kwh]]/Table4[[#This Row],[expected_kwh]],0)</f>
        <v>0</v>
      </c>
      <c r="K1560" t="str">
        <f>IF(Table4[[#This Row],[Performance_Ratio]] &lt; 0.85, "Underperforming", "Performing")</f>
        <v>Underperforming</v>
      </c>
      <c r="L1560">
        <f>Table4[[#This Row],[energy_kwh]] - Table4[[#This Row],[expected_kwh]]</f>
        <v>0</v>
      </c>
      <c r="M1560" t="str">
        <f>IF(Table4[[#This Row],[Performance_Deviation]] &lt; 0, "Underperforming", "Outperforming")</f>
        <v>Outperforming</v>
      </c>
      <c r="N1560">
        <f>IF(Table4[[#This Row],[Performance_Ratio]] &lt; 0.85, Table4[[#This Row],[Performance_Deviation]] * 50 / 1000, 0)</f>
        <v>0</v>
      </c>
    </row>
    <row r="1561" spans="1:14" x14ac:dyDescent="0.3">
      <c r="A1561" s="6" t="s">
        <v>8</v>
      </c>
      <c r="B1561" s="5">
        <v>45294.958333333336</v>
      </c>
      <c r="C1561" s="6">
        <v>0</v>
      </c>
      <c r="D1561" s="6">
        <v>0</v>
      </c>
      <c r="E1561" s="6">
        <v>0</v>
      </c>
      <c r="F1561" s="6">
        <v>45.922027777711897</v>
      </c>
      <c r="G1561" s="6" t="str">
        <f t="shared" si="48"/>
        <v>OK</v>
      </c>
      <c r="H1561" s="6" t="str">
        <f t="shared" si="49"/>
        <v>ZERO</v>
      </c>
      <c r="I1561">
        <v>0</v>
      </c>
      <c r="J1561">
        <f>IFERROR(Table4[[#This Row],[energy_kwh]]/Table4[[#This Row],[expected_kwh]],0)</f>
        <v>0</v>
      </c>
      <c r="K1561" t="str">
        <f>IF(Table4[[#This Row],[Performance_Ratio]] &lt; 0.85, "Underperforming", "Performing")</f>
        <v>Underperforming</v>
      </c>
      <c r="L1561">
        <f>Table4[[#This Row],[energy_kwh]] - Table4[[#This Row],[expected_kwh]]</f>
        <v>0</v>
      </c>
      <c r="M1561" t="str">
        <f>IF(Table4[[#This Row],[Performance_Deviation]] &lt; 0, "Underperforming", "Outperforming")</f>
        <v>Outperforming</v>
      </c>
      <c r="N1561">
        <f>IF(Table4[[#This Row],[Performance_Ratio]] &lt; 0.85, Table4[[#This Row],[Performance_Deviation]] * 50 / 1000, 0)</f>
        <v>0</v>
      </c>
    </row>
    <row r="1562" spans="1:14" x14ac:dyDescent="0.3">
      <c r="A1562" s="4" t="s">
        <v>8</v>
      </c>
      <c r="B1562" s="3">
        <v>45295</v>
      </c>
      <c r="C1562" s="4">
        <v>0</v>
      </c>
      <c r="D1562" s="4">
        <v>0</v>
      </c>
      <c r="E1562" s="4">
        <v>0</v>
      </c>
      <c r="F1562" s="4">
        <v>84.405872639718496</v>
      </c>
      <c r="G1562" s="4" t="str">
        <f t="shared" si="48"/>
        <v>OK</v>
      </c>
      <c r="H1562" s="4" t="str">
        <f t="shared" si="49"/>
        <v>ZERO</v>
      </c>
      <c r="I1562">
        <v>0</v>
      </c>
      <c r="J1562">
        <f>IFERROR(Table4[[#This Row],[energy_kwh]]/Table4[[#This Row],[expected_kwh]],0)</f>
        <v>0</v>
      </c>
      <c r="K1562" t="str">
        <f>IF(Table4[[#This Row],[Performance_Ratio]] &lt; 0.85, "Underperforming", "Performing")</f>
        <v>Underperforming</v>
      </c>
      <c r="L1562">
        <f>Table4[[#This Row],[energy_kwh]] - Table4[[#This Row],[expected_kwh]]</f>
        <v>0</v>
      </c>
      <c r="M1562" t="str">
        <f>IF(Table4[[#This Row],[Performance_Deviation]] &lt; 0, "Underperforming", "Outperforming")</f>
        <v>Outperforming</v>
      </c>
      <c r="N1562">
        <f>IF(Table4[[#This Row],[Performance_Ratio]] &lt; 0.85, Table4[[#This Row],[Performance_Deviation]] * 50 / 1000, 0)</f>
        <v>0</v>
      </c>
    </row>
    <row r="1563" spans="1:14" x14ac:dyDescent="0.3">
      <c r="A1563" s="6" t="s">
        <v>8</v>
      </c>
      <c r="B1563" s="5">
        <v>45295.041666666664</v>
      </c>
      <c r="C1563" s="6">
        <v>0</v>
      </c>
      <c r="D1563" s="6">
        <v>0</v>
      </c>
      <c r="E1563" s="6">
        <v>0</v>
      </c>
      <c r="F1563" s="6">
        <v>61.647186899613601</v>
      </c>
      <c r="G1563" s="6" t="str">
        <f t="shared" si="48"/>
        <v>OK</v>
      </c>
      <c r="H1563" s="6" t="str">
        <f t="shared" si="49"/>
        <v>ZERO</v>
      </c>
      <c r="I1563">
        <v>0</v>
      </c>
      <c r="J1563">
        <f>IFERROR(Table4[[#This Row],[energy_kwh]]/Table4[[#This Row],[expected_kwh]],0)</f>
        <v>0</v>
      </c>
      <c r="K1563" t="str">
        <f>IF(Table4[[#This Row],[Performance_Ratio]] &lt; 0.85, "Underperforming", "Performing")</f>
        <v>Underperforming</v>
      </c>
      <c r="L1563">
        <f>Table4[[#This Row],[energy_kwh]] - Table4[[#This Row],[expected_kwh]]</f>
        <v>0</v>
      </c>
      <c r="M1563" t="str">
        <f>IF(Table4[[#This Row],[Performance_Deviation]] &lt; 0, "Underperforming", "Outperforming")</f>
        <v>Outperforming</v>
      </c>
      <c r="N1563">
        <f>IF(Table4[[#This Row],[Performance_Ratio]] &lt; 0.85, Table4[[#This Row],[Performance_Deviation]] * 50 / 1000, 0)</f>
        <v>0</v>
      </c>
    </row>
    <row r="1564" spans="1:14" x14ac:dyDescent="0.3">
      <c r="A1564" s="4" t="s">
        <v>8</v>
      </c>
      <c r="B1564" s="3">
        <v>45295.083333333336</v>
      </c>
      <c r="C1564" s="4">
        <v>0</v>
      </c>
      <c r="D1564" s="4">
        <v>0</v>
      </c>
      <c r="E1564" s="4">
        <v>0</v>
      </c>
      <c r="F1564" s="4">
        <v>43.202642156000898</v>
      </c>
      <c r="G1564" s="4" t="str">
        <f t="shared" si="48"/>
        <v>OK</v>
      </c>
      <c r="H1564" s="4" t="str">
        <f t="shared" si="49"/>
        <v>ZERO</v>
      </c>
      <c r="I1564">
        <v>0</v>
      </c>
      <c r="J1564">
        <f>IFERROR(Table4[[#This Row],[energy_kwh]]/Table4[[#This Row],[expected_kwh]],0)</f>
        <v>0</v>
      </c>
      <c r="K1564" t="str">
        <f>IF(Table4[[#This Row],[Performance_Ratio]] &lt; 0.85, "Underperforming", "Performing")</f>
        <v>Underperforming</v>
      </c>
      <c r="L1564">
        <f>Table4[[#This Row],[energy_kwh]] - Table4[[#This Row],[expected_kwh]]</f>
        <v>0</v>
      </c>
      <c r="M1564" t="str">
        <f>IF(Table4[[#This Row],[Performance_Deviation]] &lt; 0, "Underperforming", "Outperforming")</f>
        <v>Outperforming</v>
      </c>
      <c r="N1564">
        <f>IF(Table4[[#This Row],[Performance_Ratio]] &lt; 0.85, Table4[[#This Row],[Performance_Deviation]] * 50 / 1000, 0)</f>
        <v>0</v>
      </c>
    </row>
    <row r="1565" spans="1:14" x14ac:dyDescent="0.3">
      <c r="A1565" s="6" t="s">
        <v>8</v>
      </c>
      <c r="B1565" s="5">
        <v>45295.125</v>
      </c>
      <c r="C1565" s="6">
        <v>0</v>
      </c>
      <c r="D1565" s="6">
        <v>0</v>
      </c>
      <c r="E1565" s="6">
        <v>0</v>
      </c>
      <c r="F1565" s="6">
        <v>47.949284742061003</v>
      </c>
      <c r="G1565" s="6" t="str">
        <f t="shared" si="48"/>
        <v>OK</v>
      </c>
      <c r="H1565" s="6" t="str">
        <f t="shared" si="49"/>
        <v>ZERO</v>
      </c>
      <c r="I1565">
        <v>0</v>
      </c>
      <c r="J1565">
        <f>IFERROR(Table4[[#This Row],[energy_kwh]]/Table4[[#This Row],[expected_kwh]],0)</f>
        <v>0</v>
      </c>
      <c r="K1565" t="str">
        <f>IF(Table4[[#This Row],[Performance_Ratio]] &lt; 0.85, "Underperforming", "Performing")</f>
        <v>Underperforming</v>
      </c>
      <c r="L1565">
        <f>Table4[[#This Row],[energy_kwh]] - Table4[[#This Row],[expected_kwh]]</f>
        <v>0</v>
      </c>
      <c r="M1565" t="str">
        <f>IF(Table4[[#This Row],[Performance_Deviation]] &lt; 0, "Underperforming", "Outperforming")</f>
        <v>Outperforming</v>
      </c>
      <c r="N1565">
        <f>IF(Table4[[#This Row],[Performance_Ratio]] &lt; 0.85, Table4[[#This Row],[Performance_Deviation]] * 50 / 1000, 0)</f>
        <v>0</v>
      </c>
    </row>
    <row r="1566" spans="1:14" x14ac:dyDescent="0.3">
      <c r="A1566" s="4" t="s">
        <v>8</v>
      </c>
      <c r="B1566" s="3">
        <v>45295.166666666664</v>
      </c>
      <c r="C1566" s="4">
        <v>0</v>
      </c>
      <c r="D1566" s="4">
        <v>0</v>
      </c>
      <c r="E1566" s="4">
        <v>0</v>
      </c>
      <c r="F1566" s="4">
        <v>36.333560132567598</v>
      </c>
      <c r="G1566" s="4" t="str">
        <f t="shared" si="48"/>
        <v>OK</v>
      </c>
      <c r="H1566" s="4" t="str">
        <f t="shared" si="49"/>
        <v>ZERO</v>
      </c>
      <c r="I1566">
        <v>0</v>
      </c>
      <c r="J1566">
        <f>IFERROR(Table4[[#This Row],[energy_kwh]]/Table4[[#This Row],[expected_kwh]],0)</f>
        <v>0</v>
      </c>
      <c r="K1566" t="str">
        <f>IF(Table4[[#This Row],[Performance_Ratio]] &lt; 0.85, "Underperforming", "Performing")</f>
        <v>Underperforming</v>
      </c>
      <c r="L1566">
        <f>Table4[[#This Row],[energy_kwh]] - Table4[[#This Row],[expected_kwh]]</f>
        <v>0</v>
      </c>
      <c r="M1566" t="str">
        <f>IF(Table4[[#This Row],[Performance_Deviation]] &lt; 0, "Underperforming", "Outperforming")</f>
        <v>Outperforming</v>
      </c>
      <c r="N1566">
        <f>IF(Table4[[#This Row],[Performance_Ratio]] &lt; 0.85, Table4[[#This Row],[Performance_Deviation]] * 50 / 1000, 0)</f>
        <v>0</v>
      </c>
    </row>
    <row r="1567" spans="1:14" x14ac:dyDescent="0.3">
      <c r="A1567" s="6" t="s">
        <v>8</v>
      </c>
      <c r="B1567" s="5">
        <v>45295.208333333336</v>
      </c>
      <c r="C1567" s="6">
        <v>0</v>
      </c>
      <c r="D1567" s="6">
        <v>0</v>
      </c>
      <c r="E1567" s="6">
        <v>0</v>
      </c>
      <c r="F1567" s="6">
        <v>62.140771718113399</v>
      </c>
      <c r="G1567" s="6" t="str">
        <f t="shared" si="48"/>
        <v>OK</v>
      </c>
      <c r="H1567" s="6" t="str">
        <f t="shared" si="49"/>
        <v>ZERO</v>
      </c>
      <c r="I1567">
        <v>0</v>
      </c>
      <c r="J1567">
        <f>IFERROR(Table4[[#This Row],[energy_kwh]]/Table4[[#This Row],[expected_kwh]],0)</f>
        <v>0</v>
      </c>
      <c r="K1567" t="str">
        <f>IF(Table4[[#This Row],[Performance_Ratio]] &lt; 0.85, "Underperforming", "Performing")</f>
        <v>Underperforming</v>
      </c>
      <c r="L1567">
        <f>Table4[[#This Row],[energy_kwh]] - Table4[[#This Row],[expected_kwh]]</f>
        <v>0</v>
      </c>
      <c r="M1567" t="str">
        <f>IF(Table4[[#This Row],[Performance_Deviation]] &lt; 0, "Underperforming", "Outperforming")</f>
        <v>Outperforming</v>
      </c>
      <c r="N1567">
        <f>IF(Table4[[#This Row],[Performance_Ratio]] &lt; 0.85, Table4[[#This Row],[Performance_Deviation]] * 50 / 1000, 0)</f>
        <v>0</v>
      </c>
    </row>
    <row r="1568" spans="1:14" x14ac:dyDescent="0.3">
      <c r="A1568" s="4" t="s">
        <v>8</v>
      </c>
      <c r="B1568" s="3">
        <v>45295.25</v>
      </c>
      <c r="C1568" s="4">
        <v>0</v>
      </c>
      <c r="D1568" s="4">
        <v>0</v>
      </c>
      <c r="E1568" s="4">
        <v>0</v>
      </c>
      <c r="F1568" s="4">
        <v>42.1026027414146</v>
      </c>
      <c r="G1568" s="4" t="str">
        <f t="shared" si="48"/>
        <v>OK</v>
      </c>
      <c r="H1568" s="4" t="str">
        <f t="shared" si="49"/>
        <v>ZERO</v>
      </c>
      <c r="I1568">
        <v>0</v>
      </c>
      <c r="J1568">
        <f>IFERROR(Table4[[#This Row],[energy_kwh]]/Table4[[#This Row],[expected_kwh]],0)</f>
        <v>0</v>
      </c>
      <c r="K1568" t="str">
        <f>IF(Table4[[#This Row],[Performance_Ratio]] &lt; 0.85, "Underperforming", "Performing")</f>
        <v>Underperforming</v>
      </c>
      <c r="L1568">
        <f>Table4[[#This Row],[energy_kwh]] - Table4[[#This Row],[expected_kwh]]</f>
        <v>0</v>
      </c>
      <c r="M1568" t="str">
        <f>IF(Table4[[#This Row],[Performance_Deviation]] &lt; 0, "Underperforming", "Outperforming")</f>
        <v>Outperforming</v>
      </c>
      <c r="N1568">
        <f>IF(Table4[[#This Row],[Performance_Ratio]] &lt; 0.85, Table4[[#This Row],[Performance_Deviation]] * 50 / 1000, 0)</f>
        <v>0</v>
      </c>
    </row>
    <row r="1569" spans="1:14" x14ac:dyDescent="0.3">
      <c r="A1569" s="6" t="s">
        <v>8</v>
      </c>
      <c r="B1569" s="5">
        <v>45295.291666666664</v>
      </c>
      <c r="C1569" s="6">
        <v>214.44849878116301</v>
      </c>
      <c r="D1569" s="6">
        <v>207.860588931828</v>
      </c>
      <c r="E1569" s="6">
        <v>207.860588931828</v>
      </c>
      <c r="F1569" s="6">
        <v>48.421693235938001</v>
      </c>
      <c r="G1569" s="6" t="str">
        <f t="shared" si="48"/>
        <v>OK</v>
      </c>
      <c r="H1569" s="6" t="str">
        <f t="shared" si="49"/>
        <v>NON-ZERO</v>
      </c>
      <c r="I1569">
        <v>207.05523608201599</v>
      </c>
      <c r="J1569">
        <f>IFERROR(Table4[[#This Row],[energy_kwh]]/Table4[[#This Row],[expected_kwh]],0)</f>
        <v>1.0038895555845446</v>
      </c>
      <c r="K1569" t="str">
        <f>IF(Table4[[#This Row],[Performance_Ratio]] &lt; 0.85, "Underperforming", "Performing")</f>
        <v>Performing</v>
      </c>
      <c r="L1569">
        <f>Table4[[#This Row],[energy_kwh]] - Table4[[#This Row],[expected_kwh]]</f>
        <v>0.80535284981201016</v>
      </c>
      <c r="M1569" t="str">
        <f>IF(Table4[[#This Row],[Performance_Deviation]] &lt; 0, "Underperforming", "Outperforming")</f>
        <v>Outperforming</v>
      </c>
      <c r="N1569">
        <f>IF(Table4[[#This Row],[Performance_Ratio]] &lt; 0.85, Table4[[#This Row],[Performance_Deviation]] * 50 / 1000, 0)</f>
        <v>0</v>
      </c>
    </row>
    <row r="1570" spans="1:14" x14ac:dyDescent="0.3">
      <c r="A1570" s="4" t="s">
        <v>8</v>
      </c>
      <c r="B1570" s="3">
        <v>45295.333333333336</v>
      </c>
      <c r="C1570" s="4">
        <v>369.21896953206499</v>
      </c>
      <c r="D1570" s="4">
        <v>357.87647331611402</v>
      </c>
      <c r="E1570" s="4">
        <v>357.87647331611402</v>
      </c>
      <c r="F1570" s="4">
        <v>60.8812559644917</v>
      </c>
      <c r="G1570" s="4" t="str">
        <f t="shared" si="48"/>
        <v>OK</v>
      </c>
      <c r="H1570" s="4" t="str">
        <f t="shared" si="49"/>
        <v>NON-ZERO</v>
      </c>
      <c r="I1570">
        <v>399.99999999999898</v>
      </c>
      <c r="J1570">
        <f>IFERROR(Table4[[#This Row],[energy_kwh]]/Table4[[#This Row],[expected_kwh]],0)</f>
        <v>0.8946911832902873</v>
      </c>
      <c r="K1570" t="str">
        <f>IF(Table4[[#This Row],[Performance_Ratio]] &lt; 0.85, "Underperforming", "Performing")</f>
        <v>Performing</v>
      </c>
      <c r="L1570">
        <f>Table4[[#This Row],[energy_kwh]] - Table4[[#This Row],[expected_kwh]]</f>
        <v>-42.123526683884961</v>
      </c>
      <c r="M1570" t="str">
        <f>IF(Table4[[#This Row],[Performance_Deviation]] &lt; 0, "Underperforming", "Outperforming")</f>
        <v>Underperforming</v>
      </c>
      <c r="N1570">
        <f>IF(Table4[[#This Row],[Performance_Ratio]] &lt; 0.85, Table4[[#This Row],[Performance_Deviation]] * 50 / 1000, 0)</f>
        <v>0</v>
      </c>
    </row>
    <row r="1571" spans="1:14" x14ac:dyDescent="0.3">
      <c r="A1571" s="6" t="s">
        <v>8</v>
      </c>
      <c r="B1571" s="5">
        <v>45295.375</v>
      </c>
      <c r="C1571" s="6">
        <v>463.43205282706299</v>
      </c>
      <c r="D1571" s="6">
        <v>449.19530786186499</v>
      </c>
      <c r="E1571" s="6">
        <v>449.19530786186499</v>
      </c>
      <c r="F1571" s="6">
        <v>27.391013855970598</v>
      </c>
      <c r="G1571" s="6" t="str">
        <f t="shared" si="48"/>
        <v>OK</v>
      </c>
      <c r="H1571" s="6" t="str">
        <f t="shared" si="49"/>
        <v>NON-ZERO</v>
      </c>
      <c r="I1571">
        <v>565.68542494923804</v>
      </c>
      <c r="J1571">
        <f>IFERROR(Table4[[#This Row],[energy_kwh]]/Table4[[#This Row],[expected_kwh]],0)</f>
        <v>0.79407262066575901</v>
      </c>
      <c r="K1571" t="str">
        <f>IF(Table4[[#This Row],[Performance_Ratio]] &lt; 0.85, "Underperforming", "Performing")</f>
        <v>Underperforming</v>
      </c>
      <c r="L1571">
        <f>Table4[[#This Row],[energy_kwh]] - Table4[[#This Row],[expected_kwh]]</f>
        <v>-116.49011708737305</v>
      </c>
      <c r="M1571" t="str">
        <f>IF(Table4[[#This Row],[Performance_Deviation]] &lt; 0, "Underperforming", "Outperforming")</f>
        <v>Underperforming</v>
      </c>
      <c r="N1571">
        <f>IF(Table4[[#This Row],[Performance_Ratio]] &lt; 0.85, Table4[[#This Row],[Performance_Deviation]] * 50 / 1000, 0)</f>
        <v>-5.8245058543686525</v>
      </c>
    </row>
    <row r="1572" spans="1:14" x14ac:dyDescent="0.3">
      <c r="A1572" s="4" t="s">
        <v>8</v>
      </c>
      <c r="B1572" s="3">
        <v>45295.416666666664</v>
      </c>
      <c r="C1572" s="4">
        <v>695.25453020395798</v>
      </c>
      <c r="D1572" s="4">
        <v>673.89614255676997</v>
      </c>
      <c r="E1572" s="4">
        <v>673.89614255676997</v>
      </c>
      <c r="F1572" s="4">
        <v>51.133038264119897</v>
      </c>
      <c r="G1572" s="4" t="str">
        <f t="shared" si="48"/>
        <v>OK</v>
      </c>
      <c r="H1572" s="4" t="str">
        <f t="shared" si="49"/>
        <v>NON-ZERO</v>
      </c>
      <c r="I1572">
        <v>692.82032302754999</v>
      </c>
      <c r="J1572">
        <f>IFERROR(Table4[[#This Row],[energy_kwh]]/Table4[[#This Row],[expected_kwh]],0)</f>
        <v>0.97268529827750516</v>
      </c>
      <c r="K1572" t="str">
        <f>IF(Table4[[#This Row],[Performance_Ratio]] &lt; 0.85, "Underperforming", "Performing")</f>
        <v>Performing</v>
      </c>
      <c r="L1572">
        <f>Table4[[#This Row],[energy_kwh]] - Table4[[#This Row],[expected_kwh]]</f>
        <v>-18.924180470780016</v>
      </c>
      <c r="M1572" t="str">
        <f>IF(Table4[[#This Row],[Performance_Deviation]] &lt; 0, "Underperforming", "Outperforming")</f>
        <v>Underperforming</v>
      </c>
      <c r="N1572">
        <f>IF(Table4[[#This Row],[Performance_Ratio]] &lt; 0.85, Table4[[#This Row],[Performance_Deviation]] * 50 / 1000, 0)</f>
        <v>0</v>
      </c>
    </row>
    <row r="1573" spans="1:14" x14ac:dyDescent="0.3">
      <c r="A1573" s="6" t="s">
        <v>8</v>
      </c>
      <c r="B1573" s="5">
        <v>45295.458333333336</v>
      </c>
      <c r="C1573" s="6">
        <v>681.06822062213303</v>
      </c>
      <c r="D1573" s="6">
        <v>660.14563984303197</v>
      </c>
      <c r="E1573" s="6">
        <v>660.14563984303197</v>
      </c>
      <c r="F1573" s="6">
        <v>37.305094265529</v>
      </c>
      <c r="G1573" s="6" t="str">
        <f t="shared" si="48"/>
        <v>OK</v>
      </c>
      <c r="H1573" s="6" t="str">
        <f t="shared" si="49"/>
        <v>NON-ZERO</v>
      </c>
      <c r="I1573">
        <v>772.74066103125404</v>
      </c>
      <c r="J1573">
        <f>IFERROR(Table4[[#This Row],[energy_kwh]]/Table4[[#This Row],[expected_kwh]],0)</f>
        <v>0.85429132066383129</v>
      </c>
      <c r="K1573" t="str">
        <f>IF(Table4[[#This Row],[Performance_Ratio]] &lt; 0.85, "Underperforming", "Performing")</f>
        <v>Performing</v>
      </c>
      <c r="L1573">
        <f>Table4[[#This Row],[energy_kwh]] - Table4[[#This Row],[expected_kwh]]</f>
        <v>-112.59502118822206</v>
      </c>
      <c r="M1573" t="str">
        <f>IF(Table4[[#This Row],[Performance_Deviation]] &lt; 0, "Underperforming", "Outperforming")</f>
        <v>Underperforming</v>
      </c>
      <c r="N1573">
        <f>IF(Table4[[#This Row],[Performance_Ratio]] &lt; 0.85, Table4[[#This Row],[Performance_Deviation]] * 50 / 1000, 0)</f>
        <v>0</v>
      </c>
    </row>
    <row r="1574" spans="1:14" x14ac:dyDescent="0.3">
      <c r="A1574" s="4" t="s">
        <v>8</v>
      </c>
      <c r="B1574" s="3">
        <v>45295.5</v>
      </c>
      <c r="C1574" s="4">
        <v>814.53539040654903</v>
      </c>
      <c r="D1574" s="4">
        <v>789.51266582890003</v>
      </c>
      <c r="E1574" s="4">
        <v>789.51266582890003</v>
      </c>
      <c r="F1574" s="4">
        <v>52.075181436812599</v>
      </c>
      <c r="G1574" s="4" t="str">
        <f t="shared" si="48"/>
        <v>OK</v>
      </c>
      <c r="H1574" s="4" t="str">
        <f t="shared" si="49"/>
        <v>NON-ZERO</v>
      </c>
      <c r="I1574">
        <v>800</v>
      </c>
      <c r="J1574">
        <f>IFERROR(Table4[[#This Row],[energy_kwh]]/Table4[[#This Row],[expected_kwh]],0)</f>
        <v>0.98689083228612506</v>
      </c>
      <c r="K1574" t="str">
        <f>IF(Table4[[#This Row],[Performance_Ratio]] &lt; 0.85, "Underperforming", "Performing")</f>
        <v>Performing</v>
      </c>
      <c r="L1574">
        <f>Table4[[#This Row],[energy_kwh]] - Table4[[#This Row],[expected_kwh]]</f>
        <v>-10.487334171099974</v>
      </c>
      <c r="M1574" t="str">
        <f>IF(Table4[[#This Row],[Performance_Deviation]] &lt; 0, "Underperforming", "Outperforming")</f>
        <v>Underperforming</v>
      </c>
      <c r="N1574">
        <f>IF(Table4[[#This Row],[Performance_Ratio]] &lt; 0.85, Table4[[#This Row],[Performance_Deviation]] * 50 / 1000, 0)</f>
        <v>0</v>
      </c>
    </row>
    <row r="1575" spans="1:14" x14ac:dyDescent="0.3">
      <c r="A1575" s="6" t="s">
        <v>8</v>
      </c>
      <c r="B1575" s="5">
        <v>45295.541666666664</v>
      </c>
      <c r="C1575" s="6">
        <v>693.70522676563996</v>
      </c>
      <c r="D1575" s="6">
        <v>672.39443409551598</v>
      </c>
      <c r="E1575" s="6">
        <v>672.39443409551598</v>
      </c>
      <c r="F1575" s="6">
        <v>45.3019308767959</v>
      </c>
      <c r="G1575" s="6" t="str">
        <f t="shared" si="48"/>
        <v>OK</v>
      </c>
      <c r="H1575" s="6" t="str">
        <f t="shared" si="49"/>
        <v>NON-ZERO</v>
      </c>
      <c r="I1575">
        <v>772.74066103125404</v>
      </c>
      <c r="J1575">
        <f>IFERROR(Table4[[#This Row],[energy_kwh]]/Table4[[#This Row],[expected_kwh]],0)</f>
        <v>0.87014242682425702</v>
      </c>
      <c r="K1575" t="str">
        <f>IF(Table4[[#This Row],[Performance_Ratio]] &lt; 0.85, "Underperforming", "Performing")</f>
        <v>Performing</v>
      </c>
      <c r="L1575">
        <f>Table4[[#This Row],[energy_kwh]] - Table4[[#This Row],[expected_kwh]]</f>
        <v>-100.34622693573806</v>
      </c>
      <c r="M1575" t="str">
        <f>IF(Table4[[#This Row],[Performance_Deviation]] &lt; 0, "Underperforming", "Outperforming")</f>
        <v>Underperforming</v>
      </c>
      <c r="N1575">
        <f>IF(Table4[[#This Row],[Performance_Ratio]] &lt; 0.85, Table4[[#This Row],[Performance_Deviation]] * 50 / 1000, 0)</f>
        <v>0</v>
      </c>
    </row>
    <row r="1576" spans="1:14" x14ac:dyDescent="0.3">
      <c r="A1576" s="4" t="s">
        <v>8</v>
      </c>
      <c r="B1576" s="3">
        <v>45295.583333333336</v>
      </c>
      <c r="C1576" s="4">
        <v>649.44100095051397</v>
      </c>
      <c r="D1576" s="4">
        <v>629.49001602387204</v>
      </c>
      <c r="E1576" s="4">
        <v>629.49001602387204</v>
      </c>
      <c r="F1576" s="4">
        <v>45.844744679522798</v>
      </c>
      <c r="G1576" s="4" t="str">
        <f t="shared" si="48"/>
        <v>OK</v>
      </c>
      <c r="H1576" s="4" t="str">
        <f t="shared" si="49"/>
        <v>NON-ZERO</v>
      </c>
      <c r="I1576">
        <v>692.82032302755101</v>
      </c>
      <c r="J1576">
        <f>IFERROR(Table4[[#This Row],[energy_kwh]]/Table4[[#This Row],[expected_kwh]],0)</f>
        <v>0.90859057550891076</v>
      </c>
      <c r="K1576" t="str">
        <f>IF(Table4[[#This Row],[Performance_Ratio]] &lt; 0.85, "Underperforming", "Performing")</f>
        <v>Performing</v>
      </c>
      <c r="L1576">
        <f>Table4[[#This Row],[energy_kwh]] - Table4[[#This Row],[expected_kwh]]</f>
        <v>-63.330307003678968</v>
      </c>
      <c r="M1576" t="str">
        <f>IF(Table4[[#This Row],[Performance_Deviation]] &lt; 0, "Underperforming", "Outperforming")</f>
        <v>Underperforming</v>
      </c>
      <c r="N1576">
        <f>IF(Table4[[#This Row],[Performance_Ratio]] &lt; 0.85, Table4[[#This Row],[Performance_Deviation]] * 50 / 1000, 0)</f>
        <v>0</v>
      </c>
    </row>
    <row r="1577" spans="1:14" x14ac:dyDescent="0.3">
      <c r="A1577" s="6" t="s">
        <v>8</v>
      </c>
      <c r="B1577" s="5">
        <v>45295.625</v>
      </c>
      <c r="C1577" s="6">
        <v>591.70878434775398</v>
      </c>
      <c r="D1577" s="6">
        <v>573.53134710525501</v>
      </c>
      <c r="E1577" s="6">
        <v>573.53134710525501</v>
      </c>
      <c r="F1577" s="6">
        <v>90.783059025861206</v>
      </c>
      <c r="G1577" s="6" t="str">
        <f t="shared" si="48"/>
        <v>OK</v>
      </c>
      <c r="H1577" s="6" t="str">
        <f t="shared" si="49"/>
        <v>NON-ZERO</v>
      </c>
      <c r="I1577">
        <v>565.68542494923804</v>
      </c>
      <c r="J1577">
        <f>IFERROR(Table4[[#This Row],[energy_kwh]]/Table4[[#This Row],[expected_kwh]],0)</f>
        <v>1.0138697619029535</v>
      </c>
      <c r="K1577" t="str">
        <f>IF(Table4[[#This Row],[Performance_Ratio]] &lt; 0.85, "Underperforming", "Performing")</f>
        <v>Performing</v>
      </c>
      <c r="L1577">
        <f>Table4[[#This Row],[energy_kwh]] - Table4[[#This Row],[expected_kwh]]</f>
        <v>7.8459221560169681</v>
      </c>
      <c r="M1577" t="str">
        <f>IF(Table4[[#This Row],[Performance_Deviation]] &lt; 0, "Underperforming", "Outperforming")</f>
        <v>Outperforming</v>
      </c>
      <c r="N1577">
        <f>IF(Table4[[#This Row],[Performance_Ratio]] &lt; 0.85, Table4[[#This Row],[Performance_Deviation]] * 50 / 1000, 0)</f>
        <v>0</v>
      </c>
    </row>
    <row r="1578" spans="1:14" x14ac:dyDescent="0.3">
      <c r="A1578" s="4" t="s">
        <v>8</v>
      </c>
      <c r="B1578" s="3">
        <v>45295.666666666664</v>
      </c>
      <c r="C1578" s="4">
        <v>384.904898580652</v>
      </c>
      <c r="D1578" s="4">
        <v>373.08052682319499</v>
      </c>
      <c r="E1578" s="4">
        <v>373.08052682319499</v>
      </c>
      <c r="F1578" s="4">
        <v>94.592319251339305</v>
      </c>
      <c r="G1578" s="4" t="str">
        <f t="shared" si="48"/>
        <v>OK</v>
      </c>
      <c r="H1578" s="4" t="str">
        <f t="shared" si="49"/>
        <v>NON-ZERO</v>
      </c>
      <c r="I1578">
        <v>399.99999999999898</v>
      </c>
      <c r="J1578">
        <f>IFERROR(Table4[[#This Row],[energy_kwh]]/Table4[[#This Row],[expected_kwh]],0)</f>
        <v>0.93270131705798986</v>
      </c>
      <c r="K1578" t="str">
        <f>IF(Table4[[#This Row],[Performance_Ratio]] &lt; 0.85, "Underperforming", "Performing")</f>
        <v>Performing</v>
      </c>
      <c r="L1578">
        <f>Table4[[#This Row],[energy_kwh]] - Table4[[#This Row],[expected_kwh]]</f>
        <v>-26.91947317680399</v>
      </c>
      <c r="M1578" t="str">
        <f>IF(Table4[[#This Row],[Performance_Deviation]] &lt; 0, "Underperforming", "Outperforming")</f>
        <v>Underperforming</v>
      </c>
      <c r="N1578">
        <f>IF(Table4[[#This Row],[Performance_Ratio]] &lt; 0.85, Table4[[#This Row],[Performance_Deviation]] * 50 / 1000, 0)</f>
        <v>0</v>
      </c>
    </row>
    <row r="1579" spans="1:14" x14ac:dyDescent="0.3">
      <c r="A1579" s="6" t="s">
        <v>8</v>
      </c>
      <c r="B1579" s="5">
        <v>45295.708333333336</v>
      </c>
      <c r="C1579" s="6">
        <v>182.711887851303</v>
      </c>
      <c r="D1579" s="6">
        <v>177.09893438038799</v>
      </c>
      <c r="E1579" s="6">
        <v>177.09893438038799</v>
      </c>
      <c r="F1579" s="6">
        <v>94.462409876148101</v>
      </c>
      <c r="G1579" s="6" t="str">
        <f t="shared" si="48"/>
        <v>OK</v>
      </c>
      <c r="H1579" s="6" t="str">
        <f t="shared" si="49"/>
        <v>NON-ZERO</v>
      </c>
      <c r="I1579">
        <v>207.05523608201599</v>
      </c>
      <c r="J1579">
        <f>IFERROR(Table4[[#This Row],[energy_kwh]]/Table4[[#This Row],[expected_kwh]],0)</f>
        <v>0.85532217263145127</v>
      </c>
      <c r="K1579" t="str">
        <f>IF(Table4[[#This Row],[Performance_Ratio]] &lt; 0.85, "Underperforming", "Performing")</f>
        <v>Performing</v>
      </c>
      <c r="L1579">
        <f>Table4[[#This Row],[energy_kwh]] - Table4[[#This Row],[expected_kwh]]</f>
        <v>-29.956301701628007</v>
      </c>
      <c r="M1579" t="str">
        <f>IF(Table4[[#This Row],[Performance_Deviation]] &lt; 0, "Underperforming", "Outperforming")</f>
        <v>Underperforming</v>
      </c>
      <c r="N1579">
        <f>IF(Table4[[#This Row],[Performance_Ratio]] &lt; 0.85, Table4[[#This Row],[Performance_Deviation]] * 50 / 1000, 0)</f>
        <v>0</v>
      </c>
    </row>
    <row r="1580" spans="1:14" x14ac:dyDescent="0.3">
      <c r="A1580" s="4" t="s">
        <v>8</v>
      </c>
      <c r="B1580" s="3">
        <v>45295.75</v>
      </c>
      <c r="C1580" s="7">
        <v>8.2035026302691302E-14</v>
      </c>
      <c r="D1580" s="7">
        <v>7.9514890415326201E-14</v>
      </c>
      <c r="E1580" s="7">
        <v>7.9514890415326201E-14</v>
      </c>
      <c r="F1580" s="4">
        <v>26.4843130340114</v>
      </c>
      <c r="G1580" s="4" t="str">
        <f t="shared" si="48"/>
        <v>OK</v>
      </c>
      <c r="H1580" s="4" t="str">
        <f t="shared" si="49"/>
        <v>NON-ZERO</v>
      </c>
      <c r="I1580" s="2">
        <v>9.7971743931788194E-14</v>
      </c>
      <c r="J1580">
        <f>IFERROR(Table4[[#This Row],[energy_kwh]]/Table4[[#This Row],[expected_kwh]],0)</f>
        <v>0.81161044219737088</v>
      </c>
      <c r="K1580" t="str">
        <f>IF(Table4[[#This Row],[Performance_Ratio]] &lt; 0.85, "Underperforming", "Performing")</f>
        <v>Underperforming</v>
      </c>
      <c r="L1580">
        <f>Table4[[#This Row],[energy_kwh]] - Table4[[#This Row],[expected_kwh]]</f>
        <v>-1.8456853516461993E-14</v>
      </c>
      <c r="M1580" t="str">
        <f>IF(Table4[[#This Row],[Performance_Deviation]] &lt; 0, "Underperforming", "Outperforming")</f>
        <v>Underperforming</v>
      </c>
      <c r="N1580">
        <f>IF(Table4[[#This Row],[Performance_Ratio]] &lt; 0.85, Table4[[#This Row],[Performance_Deviation]] * 50 / 1000, 0)</f>
        <v>-9.2284267582309977E-16</v>
      </c>
    </row>
    <row r="1581" spans="1:14" x14ac:dyDescent="0.3">
      <c r="A1581" s="6" t="s">
        <v>8</v>
      </c>
      <c r="B1581" s="5">
        <v>45295.791666666664</v>
      </c>
      <c r="C1581" s="6">
        <v>0</v>
      </c>
      <c r="D1581" s="6">
        <v>0</v>
      </c>
      <c r="E1581" s="6">
        <v>0</v>
      </c>
      <c r="F1581" s="6">
        <v>82.764756666994401</v>
      </c>
      <c r="G1581" s="6" t="str">
        <f t="shared" si="48"/>
        <v>OK</v>
      </c>
      <c r="H1581" s="6" t="str">
        <f t="shared" si="49"/>
        <v>ZERO</v>
      </c>
      <c r="I1581">
        <v>0</v>
      </c>
      <c r="J1581">
        <f>IFERROR(Table4[[#This Row],[energy_kwh]]/Table4[[#This Row],[expected_kwh]],0)</f>
        <v>0</v>
      </c>
      <c r="K1581" t="str">
        <f>IF(Table4[[#This Row],[Performance_Ratio]] &lt; 0.85, "Underperforming", "Performing")</f>
        <v>Underperforming</v>
      </c>
      <c r="L1581">
        <f>Table4[[#This Row],[energy_kwh]] - Table4[[#This Row],[expected_kwh]]</f>
        <v>0</v>
      </c>
      <c r="M1581" t="str">
        <f>IF(Table4[[#This Row],[Performance_Deviation]] &lt; 0, "Underperforming", "Outperforming")</f>
        <v>Outperforming</v>
      </c>
      <c r="N1581">
        <f>IF(Table4[[#This Row],[Performance_Ratio]] &lt; 0.85, Table4[[#This Row],[Performance_Deviation]] * 50 / 1000, 0)</f>
        <v>0</v>
      </c>
    </row>
    <row r="1582" spans="1:14" x14ac:dyDescent="0.3">
      <c r="A1582" s="4" t="s">
        <v>8</v>
      </c>
      <c r="B1582" s="3">
        <v>45295.833333333336</v>
      </c>
      <c r="C1582" s="4">
        <v>0</v>
      </c>
      <c r="D1582" s="4">
        <v>0</v>
      </c>
      <c r="E1582" s="4">
        <v>0</v>
      </c>
      <c r="F1582" s="4">
        <v>41.3889947007535</v>
      </c>
      <c r="G1582" s="4" t="str">
        <f t="shared" si="48"/>
        <v>OK</v>
      </c>
      <c r="H1582" s="4" t="str">
        <f t="shared" si="49"/>
        <v>ZERO</v>
      </c>
      <c r="I1582">
        <v>0</v>
      </c>
      <c r="J1582">
        <f>IFERROR(Table4[[#This Row],[energy_kwh]]/Table4[[#This Row],[expected_kwh]],0)</f>
        <v>0</v>
      </c>
      <c r="K1582" t="str">
        <f>IF(Table4[[#This Row],[Performance_Ratio]] &lt; 0.85, "Underperforming", "Performing")</f>
        <v>Underperforming</v>
      </c>
      <c r="L1582">
        <f>Table4[[#This Row],[energy_kwh]] - Table4[[#This Row],[expected_kwh]]</f>
        <v>0</v>
      </c>
      <c r="M1582" t="str">
        <f>IF(Table4[[#This Row],[Performance_Deviation]] &lt; 0, "Underperforming", "Outperforming")</f>
        <v>Outperforming</v>
      </c>
      <c r="N1582">
        <f>IF(Table4[[#This Row],[Performance_Ratio]] &lt; 0.85, Table4[[#This Row],[Performance_Deviation]] * 50 / 1000, 0)</f>
        <v>0</v>
      </c>
    </row>
    <row r="1583" spans="1:14" x14ac:dyDescent="0.3">
      <c r="A1583" s="6" t="s">
        <v>8</v>
      </c>
      <c r="B1583" s="5">
        <v>45295.875</v>
      </c>
      <c r="C1583" s="6">
        <v>0</v>
      </c>
      <c r="D1583" s="6">
        <v>0</v>
      </c>
      <c r="E1583" s="6">
        <v>0</v>
      </c>
      <c r="F1583" s="6">
        <v>93.131537728076097</v>
      </c>
      <c r="G1583" s="6" t="str">
        <f t="shared" si="48"/>
        <v>OK</v>
      </c>
      <c r="H1583" s="6" t="str">
        <f t="shared" si="49"/>
        <v>ZERO</v>
      </c>
      <c r="I1583">
        <v>0</v>
      </c>
      <c r="J1583">
        <f>IFERROR(Table4[[#This Row],[energy_kwh]]/Table4[[#This Row],[expected_kwh]],0)</f>
        <v>0</v>
      </c>
      <c r="K1583" t="str">
        <f>IF(Table4[[#This Row],[Performance_Ratio]] &lt; 0.85, "Underperforming", "Performing")</f>
        <v>Underperforming</v>
      </c>
      <c r="L1583">
        <f>Table4[[#This Row],[energy_kwh]] - Table4[[#This Row],[expected_kwh]]</f>
        <v>0</v>
      </c>
      <c r="M1583" t="str">
        <f>IF(Table4[[#This Row],[Performance_Deviation]] &lt; 0, "Underperforming", "Outperforming")</f>
        <v>Outperforming</v>
      </c>
      <c r="N1583">
        <f>IF(Table4[[#This Row],[Performance_Ratio]] &lt; 0.85, Table4[[#This Row],[Performance_Deviation]] * 50 / 1000, 0)</f>
        <v>0</v>
      </c>
    </row>
    <row r="1584" spans="1:14" x14ac:dyDescent="0.3">
      <c r="A1584" s="4" t="s">
        <v>8</v>
      </c>
      <c r="B1584" s="3">
        <v>45295.916666666664</v>
      </c>
      <c r="C1584" s="4">
        <v>0</v>
      </c>
      <c r="D1584" s="4">
        <v>0</v>
      </c>
      <c r="E1584" s="4">
        <v>0</v>
      </c>
      <c r="F1584" s="4">
        <v>85.251869414012404</v>
      </c>
      <c r="G1584" s="4" t="str">
        <f t="shared" si="48"/>
        <v>OK</v>
      </c>
      <c r="H1584" s="4" t="str">
        <f t="shared" si="49"/>
        <v>ZERO</v>
      </c>
      <c r="I1584">
        <v>0</v>
      </c>
      <c r="J1584">
        <f>IFERROR(Table4[[#This Row],[energy_kwh]]/Table4[[#This Row],[expected_kwh]],0)</f>
        <v>0</v>
      </c>
      <c r="K1584" t="str">
        <f>IF(Table4[[#This Row],[Performance_Ratio]] &lt; 0.85, "Underperforming", "Performing")</f>
        <v>Underperforming</v>
      </c>
      <c r="L1584">
        <f>Table4[[#This Row],[energy_kwh]] - Table4[[#This Row],[expected_kwh]]</f>
        <v>0</v>
      </c>
      <c r="M1584" t="str">
        <f>IF(Table4[[#This Row],[Performance_Deviation]] &lt; 0, "Underperforming", "Outperforming")</f>
        <v>Outperforming</v>
      </c>
      <c r="N1584">
        <f>IF(Table4[[#This Row],[Performance_Ratio]] &lt; 0.85, Table4[[#This Row],[Performance_Deviation]] * 50 / 1000, 0)</f>
        <v>0</v>
      </c>
    </row>
    <row r="1585" spans="1:14" x14ac:dyDescent="0.3">
      <c r="A1585" s="6" t="s">
        <v>8</v>
      </c>
      <c r="B1585" s="5">
        <v>45295.958333333336</v>
      </c>
      <c r="C1585" s="6">
        <v>0</v>
      </c>
      <c r="D1585" s="6">
        <v>0</v>
      </c>
      <c r="E1585" s="6">
        <v>0</v>
      </c>
      <c r="F1585" s="6">
        <v>52.237344313475099</v>
      </c>
      <c r="G1585" s="6" t="str">
        <f t="shared" si="48"/>
        <v>OK</v>
      </c>
      <c r="H1585" s="6" t="str">
        <f t="shared" si="49"/>
        <v>ZERO</v>
      </c>
      <c r="I1585">
        <v>0</v>
      </c>
      <c r="J1585">
        <f>IFERROR(Table4[[#This Row],[energy_kwh]]/Table4[[#This Row],[expected_kwh]],0)</f>
        <v>0</v>
      </c>
      <c r="K1585" t="str">
        <f>IF(Table4[[#This Row],[Performance_Ratio]] &lt; 0.85, "Underperforming", "Performing")</f>
        <v>Underperforming</v>
      </c>
      <c r="L1585">
        <f>Table4[[#This Row],[energy_kwh]] - Table4[[#This Row],[expected_kwh]]</f>
        <v>0</v>
      </c>
      <c r="M1585" t="str">
        <f>IF(Table4[[#This Row],[Performance_Deviation]] &lt; 0, "Underperforming", "Outperforming")</f>
        <v>Outperforming</v>
      </c>
      <c r="N1585">
        <f>IF(Table4[[#This Row],[Performance_Ratio]] &lt; 0.85, Table4[[#This Row],[Performance_Deviation]] * 50 / 1000, 0)</f>
        <v>0</v>
      </c>
    </row>
    <row r="1586" spans="1:14" x14ac:dyDescent="0.3">
      <c r="A1586" s="4" t="s">
        <v>8</v>
      </c>
      <c r="B1586" s="3">
        <v>45296</v>
      </c>
      <c r="C1586" s="4">
        <v>0</v>
      </c>
      <c r="D1586" s="4">
        <v>0</v>
      </c>
      <c r="E1586" s="4">
        <v>0</v>
      </c>
      <c r="F1586" s="4">
        <v>24.105873669469599</v>
      </c>
      <c r="G1586" s="4" t="str">
        <f t="shared" si="48"/>
        <v>OK</v>
      </c>
      <c r="H1586" s="4" t="str">
        <f t="shared" si="49"/>
        <v>ZERO</v>
      </c>
      <c r="I1586">
        <v>0</v>
      </c>
      <c r="J1586">
        <f>IFERROR(Table4[[#This Row],[energy_kwh]]/Table4[[#This Row],[expected_kwh]],0)</f>
        <v>0</v>
      </c>
      <c r="K1586" t="str">
        <f>IF(Table4[[#This Row],[Performance_Ratio]] &lt; 0.85, "Underperforming", "Performing")</f>
        <v>Underperforming</v>
      </c>
      <c r="L1586">
        <f>Table4[[#This Row],[energy_kwh]] - Table4[[#This Row],[expected_kwh]]</f>
        <v>0</v>
      </c>
      <c r="M1586" t="str">
        <f>IF(Table4[[#This Row],[Performance_Deviation]] &lt; 0, "Underperforming", "Outperforming")</f>
        <v>Outperforming</v>
      </c>
      <c r="N1586">
        <f>IF(Table4[[#This Row],[Performance_Ratio]] &lt; 0.85, Table4[[#This Row],[Performance_Deviation]] * 50 / 1000, 0)</f>
        <v>0</v>
      </c>
    </row>
    <row r="1587" spans="1:14" x14ac:dyDescent="0.3">
      <c r="A1587" s="6" t="s">
        <v>8</v>
      </c>
      <c r="B1587" s="5">
        <v>45296.041666666664</v>
      </c>
      <c r="C1587" s="6">
        <v>0</v>
      </c>
      <c r="D1587" s="6">
        <v>0</v>
      </c>
      <c r="E1587" s="6">
        <v>0</v>
      </c>
      <c r="F1587" s="6">
        <v>57.735016606123899</v>
      </c>
      <c r="G1587" s="6" t="str">
        <f t="shared" si="48"/>
        <v>OK</v>
      </c>
      <c r="H1587" s="6" t="str">
        <f t="shared" si="49"/>
        <v>ZERO</v>
      </c>
      <c r="I1587">
        <v>0</v>
      </c>
      <c r="J1587">
        <f>IFERROR(Table4[[#This Row],[energy_kwh]]/Table4[[#This Row],[expected_kwh]],0)</f>
        <v>0</v>
      </c>
      <c r="K1587" t="str">
        <f>IF(Table4[[#This Row],[Performance_Ratio]] &lt; 0.85, "Underperforming", "Performing")</f>
        <v>Underperforming</v>
      </c>
      <c r="L1587">
        <f>Table4[[#This Row],[energy_kwh]] - Table4[[#This Row],[expected_kwh]]</f>
        <v>0</v>
      </c>
      <c r="M1587" t="str">
        <f>IF(Table4[[#This Row],[Performance_Deviation]] &lt; 0, "Underperforming", "Outperforming")</f>
        <v>Outperforming</v>
      </c>
      <c r="N1587">
        <f>IF(Table4[[#This Row],[Performance_Ratio]] &lt; 0.85, Table4[[#This Row],[Performance_Deviation]] * 50 / 1000, 0)</f>
        <v>0</v>
      </c>
    </row>
    <row r="1588" spans="1:14" x14ac:dyDescent="0.3">
      <c r="A1588" s="4" t="s">
        <v>8</v>
      </c>
      <c r="B1588" s="3">
        <v>45296.083333333336</v>
      </c>
      <c r="C1588" s="4">
        <v>0</v>
      </c>
      <c r="D1588" s="4">
        <v>0</v>
      </c>
      <c r="E1588" s="4">
        <v>0</v>
      </c>
      <c r="F1588" s="4">
        <v>80.382003259964407</v>
      </c>
      <c r="G1588" s="4" t="str">
        <f t="shared" si="48"/>
        <v>OK</v>
      </c>
      <c r="H1588" s="4" t="str">
        <f t="shared" si="49"/>
        <v>ZERO</v>
      </c>
      <c r="I1588">
        <v>0</v>
      </c>
      <c r="J1588">
        <f>IFERROR(Table4[[#This Row],[energy_kwh]]/Table4[[#This Row],[expected_kwh]],0)</f>
        <v>0</v>
      </c>
      <c r="K1588" t="str">
        <f>IF(Table4[[#This Row],[Performance_Ratio]] &lt; 0.85, "Underperforming", "Performing")</f>
        <v>Underperforming</v>
      </c>
      <c r="L1588">
        <f>Table4[[#This Row],[energy_kwh]] - Table4[[#This Row],[expected_kwh]]</f>
        <v>0</v>
      </c>
      <c r="M1588" t="str">
        <f>IF(Table4[[#This Row],[Performance_Deviation]] &lt; 0, "Underperforming", "Outperforming")</f>
        <v>Outperforming</v>
      </c>
      <c r="N1588">
        <f>IF(Table4[[#This Row],[Performance_Ratio]] &lt; 0.85, Table4[[#This Row],[Performance_Deviation]] * 50 / 1000, 0)</f>
        <v>0</v>
      </c>
    </row>
    <row r="1589" spans="1:14" x14ac:dyDescent="0.3">
      <c r="A1589" s="6" t="s">
        <v>8</v>
      </c>
      <c r="B1589" s="5">
        <v>45296.125</v>
      </c>
      <c r="C1589" s="6">
        <v>0</v>
      </c>
      <c r="D1589" s="6">
        <v>0</v>
      </c>
      <c r="E1589" s="6">
        <v>0</v>
      </c>
      <c r="F1589" s="6">
        <v>81.941616982010999</v>
      </c>
      <c r="G1589" s="6" t="str">
        <f t="shared" si="48"/>
        <v>OK</v>
      </c>
      <c r="H1589" s="6" t="str">
        <f t="shared" si="49"/>
        <v>ZERO</v>
      </c>
      <c r="I1589">
        <v>0</v>
      </c>
      <c r="J1589">
        <f>IFERROR(Table4[[#This Row],[energy_kwh]]/Table4[[#This Row],[expected_kwh]],0)</f>
        <v>0</v>
      </c>
      <c r="K1589" t="str">
        <f>IF(Table4[[#This Row],[Performance_Ratio]] &lt; 0.85, "Underperforming", "Performing")</f>
        <v>Underperforming</v>
      </c>
      <c r="L1589">
        <f>Table4[[#This Row],[energy_kwh]] - Table4[[#This Row],[expected_kwh]]</f>
        <v>0</v>
      </c>
      <c r="M1589" t="str">
        <f>IF(Table4[[#This Row],[Performance_Deviation]] &lt; 0, "Underperforming", "Outperforming")</f>
        <v>Outperforming</v>
      </c>
      <c r="N1589">
        <f>IF(Table4[[#This Row],[Performance_Ratio]] &lt; 0.85, Table4[[#This Row],[Performance_Deviation]] * 50 / 1000, 0)</f>
        <v>0</v>
      </c>
    </row>
    <row r="1590" spans="1:14" x14ac:dyDescent="0.3">
      <c r="A1590" s="4" t="s">
        <v>8</v>
      </c>
      <c r="B1590" s="3">
        <v>45296.166666666664</v>
      </c>
      <c r="C1590" s="4">
        <v>0</v>
      </c>
      <c r="D1590" s="4">
        <v>0</v>
      </c>
      <c r="E1590" s="4">
        <v>0</v>
      </c>
      <c r="F1590" s="4">
        <v>41.418471217897697</v>
      </c>
      <c r="G1590" s="4" t="str">
        <f t="shared" si="48"/>
        <v>OK</v>
      </c>
      <c r="H1590" s="4" t="str">
        <f t="shared" si="49"/>
        <v>ZERO</v>
      </c>
      <c r="I1590">
        <v>0</v>
      </c>
      <c r="J1590">
        <f>IFERROR(Table4[[#This Row],[energy_kwh]]/Table4[[#This Row],[expected_kwh]],0)</f>
        <v>0</v>
      </c>
      <c r="K1590" t="str">
        <f>IF(Table4[[#This Row],[Performance_Ratio]] &lt; 0.85, "Underperforming", "Performing")</f>
        <v>Underperforming</v>
      </c>
      <c r="L1590">
        <f>Table4[[#This Row],[energy_kwh]] - Table4[[#This Row],[expected_kwh]]</f>
        <v>0</v>
      </c>
      <c r="M1590" t="str">
        <f>IF(Table4[[#This Row],[Performance_Deviation]] &lt; 0, "Underperforming", "Outperforming")</f>
        <v>Outperforming</v>
      </c>
      <c r="N1590">
        <f>IF(Table4[[#This Row],[Performance_Ratio]] &lt; 0.85, Table4[[#This Row],[Performance_Deviation]] * 50 / 1000, 0)</f>
        <v>0</v>
      </c>
    </row>
    <row r="1591" spans="1:14" x14ac:dyDescent="0.3">
      <c r="A1591" s="6" t="s">
        <v>8</v>
      </c>
      <c r="B1591" s="5">
        <v>45296.208333333336</v>
      </c>
      <c r="C1591" s="6">
        <v>0</v>
      </c>
      <c r="D1591" s="6">
        <v>0</v>
      </c>
      <c r="E1591" s="6">
        <v>0</v>
      </c>
      <c r="F1591" s="6">
        <v>27.353340358320398</v>
      </c>
      <c r="G1591" s="6" t="str">
        <f t="shared" si="48"/>
        <v>OK</v>
      </c>
      <c r="H1591" s="6" t="str">
        <f t="shared" si="49"/>
        <v>ZERO</v>
      </c>
      <c r="I1591">
        <v>0</v>
      </c>
      <c r="J1591">
        <f>IFERROR(Table4[[#This Row],[energy_kwh]]/Table4[[#This Row],[expected_kwh]],0)</f>
        <v>0</v>
      </c>
      <c r="K1591" t="str">
        <f>IF(Table4[[#This Row],[Performance_Ratio]] &lt; 0.85, "Underperforming", "Performing")</f>
        <v>Underperforming</v>
      </c>
      <c r="L1591">
        <f>Table4[[#This Row],[energy_kwh]] - Table4[[#This Row],[expected_kwh]]</f>
        <v>0</v>
      </c>
      <c r="M1591" t="str">
        <f>IF(Table4[[#This Row],[Performance_Deviation]] &lt; 0, "Underperforming", "Outperforming")</f>
        <v>Outperforming</v>
      </c>
      <c r="N1591">
        <f>IF(Table4[[#This Row],[Performance_Ratio]] &lt; 0.85, Table4[[#This Row],[Performance_Deviation]] * 50 / 1000, 0)</f>
        <v>0</v>
      </c>
    </row>
    <row r="1592" spans="1:14" x14ac:dyDescent="0.3">
      <c r="A1592" s="4" t="s">
        <v>8</v>
      </c>
      <c r="B1592" s="3">
        <v>45296.25</v>
      </c>
      <c r="C1592" s="4">
        <v>0</v>
      </c>
      <c r="D1592" s="4">
        <v>0</v>
      </c>
      <c r="E1592" s="4">
        <v>0</v>
      </c>
      <c r="F1592" s="4">
        <v>54.826268741160597</v>
      </c>
      <c r="G1592" s="4" t="str">
        <f t="shared" si="48"/>
        <v>OK</v>
      </c>
      <c r="H1592" s="4" t="str">
        <f t="shared" si="49"/>
        <v>ZERO</v>
      </c>
      <c r="I1592">
        <v>0</v>
      </c>
      <c r="J1592">
        <f>IFERROR(Table4[[#This Row],[energy_kwh]]/Table4[[#This Row],[expected_kwh]],0)</f>
        <v>0</v>
      </c>
      <c r="K1592" t="str">
        <f>IF(Table4[[#This Row],[Performance_Ratio]] &lt; 0.85, "Underperforming", "Performing")</f>
        <v>Underperforming</v>
      </c>
      <c r="L1592">
        <f>Table4[[#This Row],[energy_kwh]] - Table4[[#This Row],[expected_kwh]]</f>
        <v>0</v>
      </c>
      <c r="M1592" t="str">
        <f>IF(Table4[[#This Row],[Performance_Deviation]] &lt; 0, "Underperforming", "Outperforming")</f>
        <v>Outperforming</v>
      </c>
      <c r="N1592">
        <f>IF(Table4[[#This Row],[Performance_Ratio]] &lt; 0.85, Table4[[#This Row],[Performance_Deviation]] * 50 / 1000, 0)</f>
        <v>0</v>
      </c>
    </row>
    <row r="1593" spans="1:14" x14ac:dyDescent="0.3">
      <c r="A1593" s="6" t="s">
        <v>8</v>
      </c>
      <c r="B1593" s="5">
        <v>45296.291666666664</v>
      </c>
      <c r="C1593" s="6">
        <v>197.30793609205401</v>
      </c>
      <c r="D1593" s="6">
        <v>191.24658848215901</v>
      </c>
      <c r="E1593" s="6">
        <v>191.24658848215901</v>
      </c>
      <c r="F1593" s="6">
        <v>75.460599041308498</v>
      </c>
      <c r="G1593" s="6" t="str">
        <f t="shared" si="48"/>
        <v>OK</v>
      </c>
      <c r="H1593" s="6" t="str">
        <f t="shared" si="49"/>
        <v>NON-ZERO</v>
      </c>
      <c r="I1593">
        <v>207.05523608201599</v>
      </c>
      <c r="J1593">
        <f>IFERROR(Table4[[#This Row],[energy_kwh]]/Table4[[#This Row],[expected_kwh]],0)</f>
        <v>0.92365009502297701</v>
      </c>
      <c r="K1593" t="str">
        <f>IF(Table4[[#This Row],[Performance_Ratio]] &lt; 0.85, "Underperforming", "Performing")</f>
        <v>Performing</v>
      </c>
      <c r="L1593">
        <f>Table4[[#This Row],[energy_kwh]] - Table4[[#This Row],[expected_kwh]]</f>
        <v>-15.808647599856982</v>
      </c>
      <c r="M1593" t="str">
        <f>IF(Table4[[#This Row],[Performance_Deviation]] &lt; 0, "Underperforming", "Outperforming")</f>
        <v>Underperforming</v>
      </c>
      <c r="N1593">
        <f>IF(Table4[[#This Row],[Performance_Ratio]] &lt; 0.85, Table4[[#This Row],[Performance_Deviation]] * 50 / 1000, 0)</f>
        <v>0</v>
      </c>
    </row>
    <row r="1594" spans="1:14" x14ac:dyDescent="0.3">
      <c r="A1594" s="4" t="s">
        <v>8</v>
      </c>
      <c r="B1594" s="3">
        <v>45296.333333333336</v>
      </c>
      <c r="C1594" s="4">
        <v>328.51425189658801</v>
      </c>
      <c r="D1594" s="4">
        <v>318.42221447027299</v>
      </c>
      <c r="E1594" s="4">
        <v>318.42221447027299</v>
      </c>
      <c r="F1594" s="4">
        <v>23.905430466595199</v>
      </c>
      <c r="G1594" s="4" t="str">
        <f t="shared" si="48"/>
        <v>OK</v>
      </c>
      <c r="H1594" s="4" t="str">
        <f t="shared" si="49"/>
        <v>NON-ZERO</v>
      </c>
      <c r="I1594">
        <v>399.99999999999898</v>
      </c>
      <c r="J1594">
        <f>IFERROR(Table4[[#This Row],[energy_kwh]]/Table4[[#This Row],[expected_kwh]],0)</f>
        <v>0.79605553617568447</v>
      </c>
      <c r="K1594" t="str">
        <f>IF(Table4[[#This Row],[Performance_Ratio]] &lt; 0.85, "Underperforming", "Performing")</f>
        <v>Underperforming</v>
      </c>
      <c r="L1594">
        <f>Table4[[#This Row],[energy_kwh]] - Table4[[#This Row],[expected_kwh]]</f>
        <v>-81.577785529725986</v>
      </c>
      <c r="M1594" t="str">
        <f>IF(Table4[[#This Row],[Performance_Deviation]] &lt; 0, "Underperforming", "Outperforming")</f>
        <v>Underperforming</v>
      </c>
      <c r="N1594">
        <f>IF(Table4[[#This Row],[Performance_Ratio]] &lt; 0.85, Table4[[#This Row],[Performance_Deviation]] * 50 / 1000, 0)</f>
        <v>-4.0788892764862998</v>
      </c>
    </row>
    <row r="1595" spans="1:14" x14ac:dyDescent="0.3">
      <c r="A1595" s="6" t="s">
        <v>8</v>
      </c>
      <c r="B1595" s="5">
        <v>45296.375</v>
      </c>
      <c r="C1595" s="6">
        <v>505.139959662205</v>
      </c>
      <c r="D1595" s="6">
        <v>489.62193769205601</v>
      </c>
      <c r="E1595" s="6">
        <v>489.62193769205601</v>
      </c>
      <c r="F1595" s="6">
        <v>55.7859781991787</v>
      </c>
      <c r="G1595" s="6" t="str">
        <f t="shared" si="48"/>
        <v>OK</v>
      </c>
      <c r="H1595" s="6" t="str">
        <f t="shared" si="49"/>
        <v>NON-ZERO</v>
      </c>
      <c r="I1595">
        <v>565.68542494923804</v>
      </c>
      <c r="J1595">
        <f>IFERROR(Table4[[#This Row],[energy_kwh]]/Table4[[#This Row],[expected_kwh]],0)</f>
        <v>0.8655374808993751</v>
      </c>
      <c r="K1595" t="str">
        <f>IF(Table4[[#This Row],[Performance_Ratio]] &lt; 0.85, "Underperforming", "Performing")</f>
        <v>Performing</v>
      </c>
      <c r="L1595">
        <f>Table4[[#This Row],[energy_kwh]] - Table4[[#This Row],[expected_kwh]]</f>
        <v>-76.063487257182032</v>
      </c>
      <c r="M1595" t="str">
        <f>IF(Table4[[#This Row],[Performance_Deviation]] &lt; 0, "Underperforming", "Outperforming")</f>
        <v>Underperforming</v>
      </c>
      <c r="N1595">
        <f>IF(Table4[[#This Row],[Performance_Ratio]] &lt; 0.85, Table4[[#This Row],[Performance_Deviation]] * 50 / 1000, 0)</f>
        <v>0</v>
      </c>
    </row>
    <row r="1596" spans="1:14" x14ac:dyDescent="0.3">
      <c r="A1596" s="4" t="s">
        <v>8</v>
      </c>
      <c r="B1596" s="3">
        <v>45296.416666666664</v>
      </c>
      <c r="C1596" s="4">
        <v>640.64373919621801</v>
      </c>
      <c r="D1596" s="4">
        <v>620.96300828248604</v>
      </c>
      <c r="E1596" s="4">
        <v>620.96300828248604</v>
      </c>
      <c r="F1596" s="4">
        <v>73.233878766797901</v>
      </c>
      <c r="G1596" s="4" t="str">
        <f t="shared" si="48"/>
        <v>OK</v>
      </c>
      <c r="H1596" s="4" t="str">
        <f t="shared" si="49"/>
        <v>NON-ZERO</v>
      </c>
      <c r="I1596">
        <v>692.82032302754999</v>
      </c>
      <c r="J1596">
        <f>IFERROR(Table4[[#This Row],[energy_kwh]]/Table4[[#This Row],[expected_kwh]],0)</f>
        <v>0.89628289997173405</v>
      </c>
      <c r="K1596" t="str">
        <f>IF(Table4[[#This Row],[Performance_Ratio]] &lt; 0.85, "Underperforming", "Performing")</f>
        <v>Performing</v>
      </c>
      <c r="L1596">
        <f>Table4[[#This Row],[energy_kwh]] - Table4[[#This Row],[expected_kwh]]</f>
        <v>-71.857314745063945</v>
      </c>
      <c r="M1596" t="str">
        <f>IF(Table4[[#This Row],[Performance_Deviation]] &lt; 0, "Underperforming", "Outperforming")</f>
        <v>Underperforming</v>
      </c>
      <c r="N1596">
        <f>IF(Table4[[#This Row],[Performance_Ratio]] &lt; 0.85, Table4[[#This Row],[Performance_Deviation]] * 50 / 1000, 0)</f>
        <v>0</v>
      </c>
    </row>
    <row r="1597" spans="1:14" x14ac:dyDescent="0.3">
      <c r="A1597" s="6" t="s">
        <v>8</v>
      </c>
      <c r="B1597" s="5">
        <v>45296.458333333336</v>
      </c>
      <c r="C1597" s="6">
        <v>706.80242323326104</v>
      </c>
      <c r="D1597" s="6">
        <v>685.08928151383998</v>
      </c>
      <c r="E1597" s="6">
        <v>685.08928151383998</v>
      </c>
      <c r="F1597" s="6">
        <v>93.143340146296893</v>
      </c>
      <c r="G1597" s="6" t="str">
        <f t="shared" si="48"/>
        <v>OK</v>
      </c>
      <c r="H1597" s="6" t="str">
        <f t="shared" si="49"/>
        <v>NON-ZERO</v>
      </c>
      <c r="I1597">
        <v>772.74066103125404</v>
      </c>
      <c r="J1597">
        <f>IFERROR(Table4[[#This Row],[energy_kwh]]/Table4[[#This Row],[expected_kwh]],0)</f>
        <v>0.88657076825692116</v>
      </c>
      <c r="K1597" t="str">
        <f>IF(Table4[[#This Row],[Performance_Ratio]] &lt; 0.85, "Underperforming", "Performing")</f>
        <v>Performing</v>
      </c>
      <c r="L1597">
        <f>Table4[[#This Row],[energy_kwh]] - Table4[[#This Row],[expected_kwh]]</f>
        <v>-87.651379517414057</v>
      </c>
      <c r="M1597" t="str">
        <f>IF(Table4[[#This Row],[Performance_Deviation]] &lt; 0, "Underperforming", "Outperforming")</f>
        <v>Underperforming</v>
      </c>
      <c r="N1597">
        <f>IF(Table4[[#This Row],[Performance_Ratio]] &lt; 0.85, Table4[[#This Row],[Performance_Deviation]] * 50 / 1000, 0)</f>
        <v>0</v>
      </c>
    </row>
    <row r="1598" spans="1:14" x14ac:dyDescent="0.3">
      <c r="A1598" s="4" t="s">
        <v>8</v>
      </c>
      <c r="B1598" s="3">
        <v>45296.5</v>
      </c>
      <c r="C1598" s="4">
        <v>730.63584248183099</v>
      </c>
      <c r="D1598" s="4">
        <v>708.19053234759997</v>
      </c>
      <c r="E1598" s="4">
        <v>708.19053234759997</v>
      </c>
      <c r="F1598" s="4">
        <v>50.375082394066098</v>
      </c>
      <c r="G1598" s="4" t="str">
        <f t="shared" si="48"/>
        <v>OK</v>
      </c>
      <c r="H1598" s="4" t="str">
        <f t="shared" si="49"/>
        <v>NON-ZERO</v>
      </c>
      <c r="I1598">
        <v>800</v>
      </c>
      <c r="J1598">
        <f>IFERROR(Table4[[#This Row],[energy_kwh]]/Table4[[#This Row],[expected_kwh]],0)</f>
        <v>0.88523816543449996</v>
      </c>
      <c r="K1598" t="str">
        <f>IF(Table4[[#This Row],[Performance_Ratio]] &lt; 0.85, "Underperforming", "Performing")</f>
        <v>Performing</v>
      </c>
      <c r="L1598">
        <f>Table4[[#This Row],[energy_kwh]] - Table4[[#This Row],[expected_kwh]]</f>
        <v>-91.809467652400031</v>
      </c>
      <c r="M1598" t="str">
        <f>IF(Table4[[#This Row],[Performance_Deviation]] &lt; 0, "Underperforming", "Outperforming")</f>
        <v>Underperforming</v>
      </c>
      <c r="N1598">
        <f>IF(Table4[[#This Row],[Performance_Ratio]] &lt; 0.85, Table4[[#This Row],[Performance_Deviation]] * 50 / 1000, 0)</f>
        <v>0</v>
      </c>
    </row>
    <row r="1599" spans="1:14" x14ac:dyDescent="0.3">
      <c r="A1599" s="6" t="s">
        <v>8</v>
      </c>
      <c r="B1599" s="5">
        <v>45296.541666666664</v>
      </c>
      <c r="C1599" s="6">
        <v>763.24923042771695</v>
      </c>
      <c r="D1599" s="6">
        <v>739.80202911266599</v>
      </c>
      <c r="E1599" s="6">
        <v>739.80202911266599</v>
      </c>
      <c r="F1599" s="6">
        <v>58.3644230607119</v>
      </c>
      <c r="G1599" s="6" t="str">
        <f t="shared" si="48"/>
        <v>OK</v>
      </c>
      <c r="H1599" s="6" t="str">
        <f t="shared" si="49"/>
        <v>NON-ZERO</v>
      </c>
      <c r="I1599">
        <v>772.74066103125404</v>
      </c>
      <c r="J1599">
        <f>IFERROR(Table4[[#This Row],[energy_kwh]]/Table4[[#This Row],[expected_kwh]],0)</f>
        <v>0.95737427369923811</v>
      </c>
      <c r="K1599" t="str">
        <f>IF(Table4[[#This Row],[Performance_Ratio]] &lt; 0.85, "Underperforming", "Performing")</f>
        <v>Performing</v>
      </c>
      <c r="L1599">
        <f>Table4[[#This Row],[energy_kwh]] - Table4[[#This Row],[expected_kwh]]</f>
        <v>-32.938631918588044</v>
      </c>
      <c r="M1599" t="str">
        <f>IF(Table4[[#This Row],[Performance_Deviation]] &lt; 0, "Underperforming", "Outperforming")</f>
        <v>Underperforming</v>
      </c>
      <c r="N1599">
        <f>IF(Table4[[#This Row],[Performance_Ratio]] &lt; 0.85, Table4[[#This Row],[Performance_Deviation]] * 50 / 1000, 0)</f>
        <v>0</v>
      </c>
    </row>
    <row r="1600" spans="1:14" x14ac:dyDescent="0.3">
      <c r="A1600" s="4" t="s">
        <v>8</v>
      </c>
      <c r="B1600" s="3">
        <v>45296.583333333336</v>
      </c>
      <c r="C1600" s="4">
        <v>638.78120943537795</v>
      </c>
      <c r="D1600" s="4">
        <v>619.15769588724197</v>
      </c>
      <c r="E1600" s="4">
        <v>619.15769588724197</v>
      </c>
      <c r="F1600" s="4">
        <v>92.601662903430395</v>
      </c>
      <c r="G1600" s="4" t="str">
        <f t="shared" si="48"/>
        <v>OK</v>
      </c>
      <c r="H1600" s="4" t="str">
        <f t="shared" si="49"/>
        <v>NON-ZERO</v>
      </c>
      <c r="I1600">
        <v>692.82032302755101</v>
      </c>
      <c r="J1600">
        <f>IFERROR(Table4[[#This Row],[energy_kwh]]/Table4[[#This Row],[expected_kwh]],0)</f>
        <v>0.89367715597831887</v>
      </c>
      <c r="K1600" t="str">
        <f>IF(Table4[[#This Row],[Performance_Ratio]] &lt; 0.85, "Underperforming", "Performing")</f>
        <v>Performing</v>
      </c>
      <c r="L1600">
        <f>Table4[[#This Row],[energy_kwh]] - Table4[[#This Row],[expected_kwh]]</f>
        <v>-73.662627140309041</v>
      </c>
      <c r="M1600" t="str">
        <f>IF(Table4[[#This Row],[Performance_Deviation]] &lt; 0, "Underperforming", "Outperforming")</f>
        <v>Underperforming</v>
      </c>
      <c r="N1600">
        <f>IF(Table4[[#This Row],[Performance_Ratio]] &lt; 0.85, Table4[[#This Row],[Performance_Deviation]] * 50 / 1000, 0)</f>
        <v>0</v>
      </c>
    </row>
    <row r="1601" spans="1:14" x14ac:dyDescent="0.3">
      <c r="A1601" s="6" t="s">
        <v>8</v>
      </c>
      <c r="B1601" s="5">
        <v>45296.625</v>
      </c>
      <c r="C1601" s="6">
        <v>496.60960114752299</v>
      </c>
      <c r="D1601" s="6">
        <v>481.35363385808699</v>
      </c>
      <c r="E1601" s="6">
        <v>481.35363385808699</v>
      </c>
      <c r="F1601" s="6">
        <v>29.086659594573899</v>
      </c>
      <c r="G1601" s="6" t="str">
        <f t="shared" si="48"/>
        <v>OK</v>
      </c>
      <c r="H1601" s="6" t="str">
        <f t="shared" si="49"/>
        <v>NON-ZERO</v>
      </c>
      <c r="I1601">
        <v>565.68542494923804</v>
      </c>
      <c r="J1601">
        <f>IFERROR(Table4[[#This Row],[energy_kwh]]/Table4[[#This Row],[expected_kwh]],0)</f>
        <v>0.85092104662459955</v>
      </c>
      <c r="K1601" t="str">
        <f>IF(Table4[[#This Row],[Performance_Ratio]] &lt; 0.85, "Underperforming", "Performing")</f>
        <v>Performing</v>
      </c>
      <c r="L1601">
        <f>Table4[[#This Row],[energy_kwh]] - Table4[[#This Row],[expected_kwh]]</f>
        <v>-84.331791091151047</v>
      </c>
      <c r="M1601" t="str">
        <f>IF(Table4[[#This Row],[Performance_Deviation]] &lt; 0, "Underperforming", "Outperforming")</f>
        <v>Underperforming</v>
      </c>
      <c r="N1601">
        <f>IF(Table4[[#This Row],[Performance_Ratio]] &lt; 0.85, Table4[[#This Row],[Performance_Deviation]] * 50 / 1000, 0)</f>
        <v>0</v>
      </c>
    </row>
    <row r="1602" spans="1:14" x14ac:dyDescent="0.3">
      <c r="A1602" s="4" t="s">
        <v>8</v>
      </c>
      <c r="B1602" s="3">
        <v>45296.666666666664</v>
      </c>
      <c r="C1602" s="4">
        <v>370.05673616759202</v>
      </c>
      <c r="D1602" s="4">
        <v>358.688503557584</v>
      </c>
      <c r="E1602" s="4">
        <v>358.688503557584</v>
      </c>
      <c r="F1602" s="4">
        <v>25.380150781056798</v>
      </c>
      <c r="G1602" s="4" t="str">
        <f t="shared" ref="G1602:G1665" si="50">IF(D1602 &gt; C1602, "ERROR", "OK")</f>
        <v>OK</v>
      </c>
      <c r="H1602" s="4" t="str">
        <f t="shared" ref="H1602:H1665" si="51">IF(E1602=0,"ZERO","NON-ZERO")</f>
        <v>NON-ZERO</v>
      </c>
      <c r="I1602">
        <v>399.99999999999898</v>
      </c>
      <c r="J1602">
        <f>IFERROR(Table4[[#This Row],[energy_kwh]]/Table4[[#This Row],[expected_kwh]],0)</f>
        <v>0.89672125889396226</v>
      </c>
      <c r="K1602" t="str">
        <f>IF(Table4[[#This Row],[Performance_Ratio]] &lt; 0.85, "Underperforming", "Performing")</f>
        <v>Performing</v>
      </c>
      <c r="L1602">
        <f>Table4[[#This Row],[energy_kwh]] - Table4[[#This Row],[expected_kwh]]</f>
        <v>-41.311496442414978</v>
      </c>
      <c r="M1602" t="str">
        <f>IF(Table4[[#This Row],[Performance_Deviation]] &lt; 0, "Underperforming", "Outperforming")</f>
        <v>Underperforming</v>
      </c>
      <c r="N1602">
        <f>IF(Table4[[#This Row],[Performance_Ratio]] &lt; 0.85, Table4[[#This Row],[Performance_Deviation]] * 50 / 1000, 0)</f>
        <v>0</v>
      </c>
    </row>
    <row r="1603" spans="1:14" x14ac:dyDescent="0.3">
      <c r="A1603" s="6" t="s">
        <v>8</v>
      </c>
      <c r="B1603" s="5">
        <v>45296.708333333336</v>
      </c>
      <c r="C1603" s="6">
        <v>177.86569935910401</v>
      </c>
      <c r="D1603" s="6">
        <v>172.40162197303499</v>
      </c>
      <c r="E1603" s="6">
        <v>172.40162197303499</v>
      </c>
      <c r="F1603" s="6">
        <v>88.130758045142699</v>
      </c>
      <c r="G1603" s="6" t="str">
        <f t="shared" si="50"/>
        <v>OK</v>
      </c>
      <c r="H1603" s="6" t="str">
        <f t="shared" si="51"/>
        <v>NON-ZERO</v>
      </c>
      <c r="I1603">
        <v>207.05523608201599</v>
      </c>
      <c r="J1603">
        <f>IFERROR(Table4[[#This Row],[energy_kwh]]/Table4[[#This Row],[expected_kwh]],0)</f>
        <v>0.83263589578939956</v>
      </c>
      <c r="K1603" t="str">
        <f>IF(Table4[[#This Row],[Performance_Ratio]] &lt; 0.85, "Underperforming", "Performing")</f>
        <v>Underperforming</v>
      </c>
      <c r="L1603">
        <f>Table4[[#This Row],[energy_kwh]] - Table4[[#This Row],[expected_kwh]]</f>
        <v>-34.653614108981003</v>
      </c>
      <c r="M1603" t="str">
        <f>IF(Table4[[#This Row],[Performance_Deviation]] &lt; 0, "Underperforming", "Outperforming")</f>
        <v>Underperforming</v>
      </c>
      <c r="N1603">
        <f>IF(Table4[[#This Row],[Performance_Ratio]] &lt; 0.85, Table4[[#This Row],[Performance_Deviation]] * 50 / 1000, 0)</f>
        <v>-1.7326807054490501</v>
      </c>
    </row>
    <row r="1604" spans="1:14" x14ac:dyDescent="0.3">
      <c r="A1604" s="4" t="s">
        <v>8</v>
      </c>
      <c r="B1604" s="3">
        <v>45296.75</v>
      </c>
      <c r="C1604" s="7">
        <v>1.00562822950288E-13</v>
      </c>
      <c r="D1604" s="7">
        <v>9.7473508660113403E-14</v>
      </c>
      <c r="E1604" s="7">
        <v>9.7473508660113403E-14</v>
      </c>
      <c r="F1604" s="4">
        <v>67.541709637433101</v>
      </c>
      <c r="G1604" s="4" t="str">
        <f t="shared" si="50"/>
        <v>OK</v>
      </c>
      <c r="H1604" s="4" t="str">
        <f t="shared" si="51"/>
        <v>NON-ZERO</v>
      </c>
      <c r="I1604" s="2">
        <v>9.7971743931788194E-14</v>
      </c>
      <c r="J1604">
        <f>IFERROR(Table4[[#This Row],[energy_kwh]]/Table4[[#This Row],[expected_kwh]],0)</f>
        <v>0.99491450032754669</v>
      </c>
      <c r="K1604" t="str">
        <f>IF(Table4[[#This Row],[Performance_Ratio]] &lt; 0.85, "Underperforming", "Performing")</f>
        <v>Performing</v>
      </c>
      <c r="L1604">
        <f>Table4[[#This Row],[energy_kwh]] - Table4[[#This Row],[expected_kwh]]</f>
        <v>-4.9823527167479119E-16</v>
      </c>
      <c r="M1604" t="str">
        <f>IF(Table4[[#This Row],[Performance_Deviation]] &lt; 0, "Underperforming", "Outperforming")</f>
        <v>Underperforming</v>
      </c>
      <c r="N1604">
        <f>IF(Table4[[#This Row],[Performance_Ratio]] &lt; 0.85, Table4[[#This Row],[Performance_Deviation]] * 50 / 1000, 0)</f>
        <v>0</v>
      </c>
    </row>
    <row r="1605" spans="1:14" x14ac:dyDescent="0.3">
      <c r="A1605" s="6" t="s">
        <v>8</v>
      </c>
      <c r="B1605" s="5">
        <v>45296.791666666664</v>
      </c>
      <c r="C1605" s="6">
        <v>0</v>
      </c>
      <c r="D1605" s="6">
        <v>0</v>
      </c>
      <c r="E1605" s="6">
        <v>0</v>
      </c>
      <c r="F1605" s="6">
        <v>91.832499363216598</v>
      </c>
      <c r="G1605" s="6" t="str">
        <f t="shared" si="50"/>
        <v>OK</v>
      </c>
      <c r="H1605" s="6" t="str">
        <f t="shared" si="51"/>
        <v>ZERO</v>
      </c>
      <c r="I1605">
        <v>0</v>
      </c>
      <c r="J1605">
        <f>IFERROR(Table4[[#This Row],[energy_kwh]]/Table4[[#This Row],[expected_kwh]],0)</f>
        <v>0</v>
      </c>
      <c r="K1605" t="str">
        <f>IF(Table4[[#This Row],[Performance_Ratio]] &lt; 0.85, "Underperforming", "Performing")</f>
        <v>Underperforming</v>
      </c>
      <c r="L1605">
        <f>Table4[[#This Row],[energy_kwh]] - Table4[[#This Row],[expected_kwh]]</f>
        <v>0</v>
      </c>
      <c r="M1605" t="str">
        <f>IF(Table4[[#This Row],[Performance_Deviation]] &lt; 0, "Underperforming", "Outperforming")</f>
        <v>Outperforming</v>
      </c>
      <c r="N1605">
        <f>IF(Table4[[#This Row],[Performance_Ratio]] &lt; 0.85, Table4[[#This Row],[Performance_Deviation]] * 50 / 1000, 0)</f>
        <v>0</v>
      </c>
    </row>
    <row r="1606" spans="1:14" x14ac:dyDescent="0.3">
      <c r="A1606" s="4" t="s">
        <v>8</v>
      </c>
      <c r="B1606" s="3">
        <v>45296.833333333336</v>
      </c>
      <c r="C1606" s="4">
        <v>0</v>
      </c>
      <c r="D1606" s="4">
        <v>0</v>
      </c>
      <c r="E1606" s="4">
        <v>0</v>
      </c>
      <c r="F1606" s="4">
        <v>33.473841346650602</v>
      </c>
      <c r="G1606" s="4" t="str">
        <f t="shared" si="50"/>
        <v>OK</v>
      </c>
      <c r="H1606" s="4" t="str">
        <f t="shared" si="51"/>
        <v>ZERO</v>
      </c>
      <c r="I1606">
        <v>0</v>
      </c>
      <c r="J1606">
        <f>IFERROR(Table4[[#This Row],[energy_kwh]]/Table4[[#This Row],[expected_kwh]],0)</f>
        <v>0</v>
      </c>
      <c r="K1606" t="str">
        <f>IF(Table4[[#This Row],[Performance_Ratio]] &lt; 0.85, "Underperforming", "Performing")</f>
        <v>Underperforming</v>
      </c>
      <c r="L1606">
        <f>Table4[[#This Row],[energy_kwh]] - Table4[[#This Row],[expected_kwh]]</f>
        <v>0</v>
      </c>
      <c r="M1606" t="str">
        <f>IF(Table4[[#This Row],[Performance_Deviation]] &lt; 0, "Underperforming", "Outperforming")</f>
        <v>Outperforming</v>
      </c>
      <c r="N1606">
        <f>IF(Table4[[#This Row],[Performance_Ratio]] &lt; 0.85, Table4[[#This Row],[Performance_Deviation]] * 50 / 1000, 0)</f>
        <v>0</v>
      </c>
    </row>
    <row r="1607" spans="1:14" x14ac:dyDescent="0.3">
      <c r="A1607" s="6" t="s">
        <v>8</v>
      </c>
      <c r="B1607" s="5">
        <v>45296.875</v>
      </c>
      <c r="C1607" s="6">
        <v>0</v>
      </c>
      <c r="D1607" s="6">
        <v>0</v>
      </c>
      <c r="E1607" s="6">
        <v>0</v>
      </c>
      <c r="F1607" s="6">
        <v>57.730445020370603</v>
      </c>
      <c r="G1607" s="6" t="str">
        <f t="shared" si="50"/>
        <v>OK</v>
      </c>
      <c r="H1607" s="6" t="str">
        <f t="shared" si="51"/>
        <v>ZERO</v>
      </c>
      <c r="I1607">
        <v>0</v>
      </c>
      <c r="J1607">
        <f>IFERROR(Table4[[#This Row],[energy_kwh]]/Table4[[#This Row],[expected_kwh]],0)</f>
        <v>0</v>
      </c>
      <c r="K1607" t="str">
        <f>IF(Table4[[#This Row],[Performance_Ratio]] &lt; 0.85, "Underperforming", "Performing")</f>
        <v>Underperforming</v>
      </c>
      <c r="L1607">
        <f>Table4[[#This Row],[energy_kwh]] - Table4[[#This Row],[expected_kwh]]</f>
        <v>0</v>
      </c>
      <c r="M1607" t="str">
        <f>IF(Table4[[#This Row],[Performance_Deviation]] &lt; 0, "Underperforming", "Outperforming")</f>
        <v>Outperforming</v>
      </c>
      <c r="N1607">
        <f>IF(Table4[[#This Row],[Performance_Ratio]] &lt; 0.85, Table4[[#This Row],[Performance_Deviation]] * 50 / 1000, 0)</f>
        <v>0</v>
      </c>
    </row>
    <row r="1608" spans="1:14" x14ac:dyDescent="0.3">
      <c r="A1608" s="4" t="s">
        <v>8</v>
      </c>
      <c r="B1608" s="3">
        <v>45296.916666666664</v>
      </c>
      <c r="C1608" s="4">
        <v>0</v>
      </c>
      <c r="D1608" s="4">
        <v>0</v>
      </c>
      <c r="E1608" s="4">
        <v>0</v>
      </c>
      <c r="F1608" s="4">
        <v>52.6008611237352</v>
      </c>
      <c r="G1608" s="4" t="str">
        <f t="shared" si="50"/>
        <v>OK</v>
      </c>
      <c r="H1608" s="4" t="str">
        <f t="shared" si="51"/>
        <v>ZERO</v>
      </c>
      <c r="I1608">
        <v>0</v>
      </c>
      <c r="J1608">
        <f>IFERROR(Table4[[#This Row],[energy_kwh]]/Table4[[#This Row],[expected_kwh]],0)</f>
        <v>0</v>
      </c>
      <c r="K1608" t="str">
        <f>IF(Table4[[#This Row],[Performance_Ratio]] &lt; 0.85, "Underperforming", "Performing")</f>
        <v>Underperforming</v>
      </c>
      <c r="L1608">
        <f>Table4[[#This Row],[energy_kwh]] - Table4[[#This Row],[expected_kwh]]</f>
        <v>0</v>
      </c>
      <c r="M1608" t="str">
        <f>IF(Table4[[#This Row],[Performance_Deviation]] &lt; 0, "Underperforming", "Outperforming")</f>
        <v>Outperforming</v>
      </c>
      <c r="N1608">
        <f>IF(Table4[[#This Row],[Performance_Ratio]] &lt; 0.85, Table4[[#This Row],[Performance_Deviation]] * 50 / 1000, 0)</f>
        <v>0</v>
      </c>
    </row>
    <row r="1609" spans="1:14" x14ac:dyDescent="0.3">
      <c r="A1609" s="6" t="s">
        <v>8</v>
      </c>
      <c r="B1609" s="5">
        <v>45296.958333333336</v>
      </c>
      <c r="C1609" s="6">
        <v>0</v>
      </c>
      <c r="D1609" s="6">
        <v>0</v>
      </c>
      <c r="E1609" s="6">
        <v>0</v>
      </c>
      <c r="F1609" s="6">
        <v>77.657313554086997</v>
      </c>
      <c r="G1609" s="6" t="str">
        <f t="shared" si="50"/>
        <v>OK</v>
      </c>
      <c r="H1609" s="6" t="str">
        <f t="shared" si="51"/>
        <v>ZERO</v>
      </c>
      <c r="I1609">
        <v>0</v>
      </c>
      <c r="J1609">
        <f>IFERROR(Table4[[#This Row],[energy_kwh]]/Table4[[#This Row],[expected_kwh]],0)</f>
        <v>0</v>
      </c>
      <c r="K1609" t="str">
        <f>IF(Table4[[#This Row],[Performance_Ratio]] &lt; 0.85, "Underperforming", "Performing")</f>
        <v>Underperforming</v>
      </c>
      <c r="L1609">
        <f>Table4[[#This Row],[energy_kwh]] - Table4[[#This Row],[expected_kwh]]</f>
        <v>0</v>
      </c>
      <c r="M1609" t="str">
        <f>IF(Table4[[#This Row],[Performance_Deviation]] &lt; 0, "Underperforming", "Outperforming")</f>
        <v>Outperforming</v>
      </c>
      <c r="N1609">
        <f>IF(Table4[[#This Row],[Performance_Ratio]] &lt; 0.85, Table4[[#This Row],[Performance_Deviation]] * 50 / 1000, 0)</f>
        <v>0</v>
      </c>
    </row>
    <row r="1610" spans="1:14" x14ac:dyDescent="0.3">
      <c r="A1610" s="4" t="s">
        <v>8</v>
      </c>
      <c r="B1610" s="3">
        <v>45297</v>
      </c>
      <c r="C1610" s="4">
        <v>0</v>
      </c>
      <c r="D1610" s="4">
        <v>0</v>
      </c>
      <c r="E1610" s="4">
        <v>0</v>
      </c>
      <c r="F1610" s="4">
        <v>54.911522932977398</v>
      </c>
      <c r="G1610" s="4" t="str">
        <f t="shared" si="50"/>
        <v>OK</v>
      </c>
      <c r="H1610" s="4" t="str">
        <f t="shared" si="51"/>
        <v>ZERO</v>
      </c>
      <c r="I1610">
        <v>0</v>
      </c>
      <c r="J1610">
        <f>IFERROR(Table4[[#This Row],[energy_kwh]]/Table4[[#This Row],[expected_kwh]],0)</f>
        <v>0</v>
      </c>
      <c r="K1610" t="str">
        <f>IF(Table4[[#This Row],[Performance_Ratio]] &lt; 0.85, "Underperforming", "Performing")</f>
        <v>Underperforming</v>
      </c>
      <c r="L1610">
        <f>Table4[[#This Row],[energy_kwh]] - Table4[[#This Row],[expected_kwh]]</f>
        <v>0</v>
      </c>
      <c r="M1610" t="str">
        <f>IF(Table4[[#This Row],[Performance_Deviation]] &lt; 0, "Underperforming", "Outperforming")</f>
        <v>Outperforming</v>
      </c>
      <c r="N1610">
        <f>IF(Table4[[#This Row],[Performance_Ratio]] &lt; 0.85, Table4[[#This Row],[Performance_Deviation]] * 50 / 1000, 0)</f>
        <v>0</v>
      </c>
    </row>
    <row r="1611" spans="1:14" x14ac:dyDescent="0.3">
      <c r="A1611" s="6" t="s">
        <v>8</v>
      </c>
      <c r="B1611" s="5">
        <v>45297.041666666664</v>
      </c>
      <c r="C1611" s="6">
        <v>0</v>
      </c>
      <c r="D1611" s="6">
        <v>0</v>
      </c>
      <c r="E1611" s="6">
        <v>0</v>
      </c>
      <c r="F1611" s="6">
        <v>35.515390656671499</v>
      </c>
      <c r="G1611" s="6" t="str">
        <f t="shared" si="50"/>
        <v>OK</v>
      </c>
      <c r="H1611" s="6" t="str">
        <f t="shared" si="51"/>
        <v>ZERO</v>
      </c>
      <c r="I1611">
        <v>0</v>
      </c>
      <c r="J1611">
        <f>IFERROR(Table4[[#This Row],[energy_kwh]]/Table4[[#This Row],[expected_kwh]],0)</f>
        <v>0</v>
      </c>
      <c r="K1611" t="str">
        <f>IF(Table4[[#This Row],[Performance_Ratio]] &lt; 0.85, "Underperforming", "Performing")</f>
        <v>Underperforming</v>
      </c>
      <c r="L1611">
        <f>Table4[[#This Row],[energy_kwh]] - Table4[[#This Row],[expected_kwh]]</f>
        <v>0</v>
      </c>
      <c r="M1611" t="str">
        <f>IF(Table4[[#This Row],[Performance_Deviation]] &lt; 0, "Underperforming", "Outperforming")</f>
        <v>Outperforming</v>
      </c>
      <c r="N1611">
        <f>IF(Table4[[#This Row],[Performance_Ratio]] &lt; 0.85, Table4[[#This Row],[Performance_Deviation]] * 50 / 1000, 0)</f>
        <v>0</v>
      </c>
    </row>
    <row r="1612" spans="1:14" x14ac:dyDescent="0.3">
      <c r="A1612" s="4" t="s">
        <v>8</v>
      </c>
      <c r="B1612" s="3">
        <v>45297.083333333336</v>
      </c>
      <c r="C1612" s="4">
        <v>0</v>
      </c>
      <c r="D1612" s="4">
        <v>0</v>
      </c>
      <c r="E1612" s="4">
        <v>0</v>
      </c>
      <c r="F1612" s="4">
        <v>87.5570121838049</v>
      </c>
      <c r="G1612" s="4" t="str">
        <f t="shared" si="50"/>
        <v>OK</v>
      </c>
      <c r="H1612" s="4" t="str">
        <f t="shared" si="51"/>
        <v>ZERO</v>
      </c>
      <c r="I1612">
        <v>0</v>
      </c>
      <c r="J1612">
        <f>IFERROR(Table4[[#This Row],[energy_kwh]]/Table4[[#This Row],[expected_kwh]],0)</f>
        <v>0</v>
      </c>
      <c r="K1612" t="str">
        <f>IF(Table4[[#This Row],[Performance_Ratio]] &lt; 0.85, "Underperforming", "Performing")</f>
        <v>Underperforming</v>
      </c>
      <c r="L1612">
        <f>Table4[[#This Row],[energy_kwh]] - Table4[[#This Row],[expected_kwh]]</f>
        <v>0</v>
      </c>
      <c r="M1612" t="str">
        <f>IF(Table4[[#This Row],[Performance_Deviation]] &lt; 0, "Underperforming", "Outperforming")</f>
        <v>Outperforming</v>
      </c>
      <c r="N1612">
        <f>IF(Table4[[#This Row],[Performance_Ratio]] &lt; 0.85, Table4[[#This Row],[Performance_Deviation]] * 50 / 1000, 0)</f>
        <v>0</v>
      </c>
    </row>
    <row r="1613" spans="1:14" x14ac:dyDescent="0.3">
      <c r="A1613" s="6" t="s">
        <v>8</v>
      </c>
      <c r="B1613" s="5">
        <v>45297.125</v>
      </c>
      <c r="C1613" s="6">
        <v>0</v>
      </c>
      <c r="D1613" s="6">
        <v>0</v>
      </c>
      <c r="E1613" s="6">
        <v>0</v>
      </c>
      <c r="F1613" s="6">
        <v>56.880345726424203</v>
      </c>
      <c r="G1613" s="6" t="str">
        <f t="shared" si="50"/>
        <v>OK</v>
      </c>
      <c r="H1613" s="6" t="str">
        <f t="shared" si="51"/>
        <v>ZERO</v>
      </c>
      <c r="I1613">
        <v>0</v>
      </c>
      <c r="J1613">
        <f>IFERROR(Table4[[#This Row],[energy_kwh]]/Table4[[#This Row],[expected_kwh]],0)</f>
        <v>0</v>
      </c>
      <c r="K1613" t="str">
        <f>IF(Table4[[#This Row],[Performance_Ratio]] &lt; 0.85, "Underperforming", "Performing")</f>
        <v>Underperforming</v>
      </c>
      <c r="L1613">
        <f>Table4[[#This Row],[energy_kwh]] - Table4[[#This Row],[expected_kwh]]</f>
        <v>0</v>
      </c>
      <c r="M1613" t="str">
        <f>IF(Table4[[#This Row],[Performance_Deviation]] &lt; 0, "Underperforming", "Outperforming")</f>
        <v>Outperforming</v>
      </c>
      <c r="N1613">
        <f>IF(Table4[[#This Row],[Performance_Ratio]] &lt; 0.85, Table4[[#This Row],[Performance_Deviation]] * 50 / 1000, 0)</f>
        <v>0</v>
      </c>
    </row>
    <row r="1614" spans="1:14" x14ac:dyDescent="0.3">
      <c r="A1614" s="4" t="s">
        <v>8</v>
      </c>
      <c r="B1614" s="3">
        <v>45297.166666666664</v>
      </c>
      <c r="C1614" s="4">
        <v>0</v>
      </c>
      <c r="D1614" s="4">
        <v>0</v>
      </c>
      <c r="E1614" s="4">
        <v>0</v>
      </c>
      <c r="F1614" s="4">
        <v>68.252729380231997</v>
      </c>
      <c r="G1614" s="4" t="str">
        <f t="shared" si="50"/>
        <v>OK</v>
      </c>
      <c r="H1614" s="4" t="str">
        <f t="shared" si="51"/>
        <v>ZERO</v>
      </c>
      <c r="I1614">
        <v>0</v>
      </c>
      <c r="J1614">
        <f>IFERROR(Table4[[#This Row],[energy_kwh]]/Table4[[#This Row],[expected_kwh]],0)</f>
        <v>0</v>
      </c>
      <c r="K1614" t="str">
        <f>IF(Table4[[#This Row],[Performance_Ratio]] &lt; 0.85, "Underperforming", "Performing")</f>
        <v>Underperforming</v>
      </c>
      <c r="L1614">
        <f>Table4[[#This Row],[energy_kwh]] - Table4[[#This Row],[expected_kwh]]</f>
        <v>0</v>
      </c>
      <c r="M1614" t="str">
        <f>IF(Table4[[#This Row],[Performance_Deviation]] &lt; 0, "Underperforming", "Outperforming")</f>
        <v>Outperforming</v>
      </c>
      <c r="N1614">
        <f>IF(Table4[[#This Row],[Performance_Ratio]] &lt; 0.85, Table4[[#This Row],[Performance_Deviation]] * 50 / 1000, 0)</f>
        <v>0</v>
      </c>
    </row>
    <row r="1615" spans="1:14" x14ac:dyDescent="0.3">
      <c r="A1615" s="6" t="s">
        <v>8</v>
      </c>
      <c r="B1615" s="5">
        <v>45297.208333333336</v>
      </c>
      <c r="C1615" s="6">
        <v>0</v>
      </c>
      <c r="D1615" s="6">
        <v>0</v>
      </c>
      <c r="E1615" s="6">
        <v>0</v>
      </c>
      <c r="F1615" s="6">
        <v>37.323448289604698</v>
      </c>
      <c r="G1615" s="6" t="str">
        <f t="shared" si="50"/>
        <v>OK</v>
      </c>
      <c r="H1615" s="6" t="str">
        <f t="shared" si="51"/>
        <v>ZERO</v>
      </c>
      <c r="I1615">
        <v>0</v>
      </c>
      <c r="J1615">
        <f>IFERROR(Table4[[#This Row],[energy_kwh]]/Table4[[#This Row],[expected_kwh]],0)</f>
        <v>0</v>
      </c>
      <c r="K1615" t="str">
        <f>IF(Table4[[#This Row],[Performance_Ratio]] &lt; 0.85, "Underperforming", "Performing")</f>
        <v>Underperforming</v>
      </c>
      <c r="L1615">
        <f>Table4[[#This Row],[energy_kwh]] - Table4[[#This Row],[expected_kwh]]</f>
        <v>0</v>
      </c>
      <c r="M1615" t="str">
        <f>IF(Table4[[#This Row],[Performance_Deviation]] &lt; 0, "Underperforming", "Outperforming")</f>
        <v>Outperforming</v>
      </c>
      <c r="N1615">
        <f>IF(Table4[[#This Row],[Performance_Ratio]] &lt; 0.85, Table4[[#This Row],[Performance_Deviation]] * 50 / 1000, 0)</f>
        <v>0</v>
      </c>
    </row>
    <row r="1616" spans="1:14" x14ac:dyDescent="0.3">
      <c r="A1616" s="4" t="s">
        <v>8</v>
      </c>
      <c r="B1616" s="3">
        <v>45297.25</v>
      </c>
      <c r="C1616" s="4">
        <v>0</v>
      </c>
      <c r="D1616" s="4">
        <v>0</v>
      </c>
      <c r="E1616" s="4">
        <v>0</v>
      </c>
      <c r="F1616" s="4">
        <v>93.339027012633593</v>
      </c>
      <c r="G1616" s="4" t="str">
        <f t="shared" si="50"/>
        <v>OK</v>
      </c>
      <c r="H1616" s="4" t="str">
        <f t="shared" si="51"/>
        <v>ZERO</v>
      </c>
      <c r="I1616">
        <v>0</v>
      </c>
      <c r="J1616">
        <f>IFERROR(Table4[[#This Row],[energy_kwh]]/Table4[[#This Row],[expected_kwh]],0)</f>
        <v>0</v>
      </c>
      <c r="K1616" t="str">
        <f>IF(Table4[[#This Row],[Performance_Ratio]] &lt; 0.85, "Underperforming", "Performing")</f>
        <v>Underperforming</v>
      </c>
      <c r="L1616">
        <f>Table4[[#This Row],[energy_kwh]] - Table4[[#This Row],[expected_kwh]]</f>
        <v>0</v>
      </c>
      <c r="M1616" t="str">
        <f>IF(Table4[[#This Row],[Performance_Deviation]] &lt; 0, "Underperforming", "Outperforming")</f>
        <v>Outperforming</v>
      </c>
      <c r="N1616">
        <f>IF(Table4[[#This Row],[Performance_Ratio]] &lt; 0.85, Table4[[#This Row],[Performance_Deviation]] * 50 / 1000, 0)</f>
        <v>0</v>
      </c>
    </row>
    <row r="1617" spans="1:14" x14ac:dyDescent="0.3">
      <c r="A1617" s="6" t="s">
        <v>8</v>
      </c>
      <c r="B1617" s="5">
        <v>45297.291666666664</v>
      </c>
      <c r="C1617" s="6">
        <v>201.91354025447001</v>
      </c>
      <c r="D1617" s="6">
        <v>195.71070736863999</v>
      </c>
      <c r="E1617" s="6">
        <v>195.71070736863999</v>
      </c>
      <c r="F1617" s="6">
        <v>41.8900382777299</v>
      </c>
      <c r="G1617" s="6" t="str">
        <f t="shared" si="50"/>
        <v>OK</v>
      </c>
      <c r="H1617" s="6" t="str">
        <f t="shared" si="51"/>
        <v>NON-ZERO</v>
      </c>
      <c r="I1617">
        <v>207.05523608201599</v>
      </c>
      <c r="J1617">
        <f>IFERROR(Table4[[#This Row],[energy_kwh]]/Table4[[#This Row],[expected_kwh]],0)</f>
        <v>0.94521013364336093</v>
      </c>
      <c r="K1617" t="str">
        <f>IF(Table4[[#This Row],[Performance_Ratio]] &lt; 0.85, "Underperforming", "Performing")</f>
        <v>Performing</v>
      </c>
      <c r="L1617">
        <f>Table4[[#This Row],[energy_kwh]] - Table4[[#This Row],[expected_kwh]]</f>
        <v>-11.344528713376008</v>
      </c>
      <c r="M1617" t="str">
        <f>IF(Table4[[#This Row],[Performance_Deviation]] &lt; 0, "Underperforming", "Outperforming")</f>
        <v>Underperforming</v>
      </c>
      <c r="N1617">
        <f>IF(Table4[[#This Row],[Performance_Ratio]] &lt; 0.85, Table4[[#This Row],[Performance_Deviation]] * 50 / 1000, 0)</f>
        <v>0</v>
      </c>
    </row>
    <row r="1618" spans="1:14" x14ac:dyDescent="0.3">
      <c r="A1618" s="4" t="s">
        <v>8</v>
      </c>
      <c r="B1618" s="3">
        <v>45297.333333333336</v>
      </c>
      <c r="C1618" s="4">
        <v>368.375092127416</v>
      </c>
      <c r="D1618" s="4">
        <v>357.05852002982999</v>
      </c>
      <c r="E1618" s="4">
        <v>357.05852002982999</v>
      </c>
      <c r="F1618" s="4">
        <v>50.895991145919702</v>
      </c>
      <c r="G1618" s="4" t="str">
        <f t="shared" si="50"/>
        <v>OK</v>
      </c>
      <c r="H1618" s="4" t="str">
        <f t="shared" si="51"/>
        <v>NON-ZERO</v>
      </c>
      <c r="I1618">
        <v>399.99999999999898</v>
      </c>
      <c r="J1618">
        <f>IFERROR(Table4[[#This Row],[energy_kwh]]/Table4[[#This Row],[expected_kwh]],0)</f>
        <v>0.89264630007457724</v>
      </c>
      <c r="K1618" t="str">
        <f>IF(Table4[[#This Row],[Performance_Ratio]] &lt; 0.85, "Underperforming", "Performing")</f>
        <v>Performing</v>
      </c>
      <c r="L1618">
        <f>Table4[[#This Row],[energy_kwh]] - Table4[[#This Row],[expected_kwh]]</f>
        <v>-42.941479970168984</v>
      </c>
      <c r="M1618" t="str">
        <f>IF(Table4[[#This Row],[Performance_Deviation]] &lt; 0, "Underperforming", "Outperforming")</f>
        <v>Underperforming</v>
      </c>
      <c r="N1618">
        <f>IF(Table4[[#This Row],[Performance_Ratio]] &lt; 0.85, Table4[[#This Row],[Performance_Deviation]] * 50 / 1000, 0)</f>
        <v>0</v>
      </c>
    </row>
    <row r="1619" spans="1:14" x14ac:dyDescent="0.3">
      <c r="A1619" s="6" t="s">
        <v>8</v>
      </c>
      <c r="B1619" s="5">
        <v>45297.375</v>
      </c>
      <c r="C1619" s="6">
        <v>492.80439598790701</v>
      </c>
      <c r="D1619" s="6">
        <v>477.66532552308001</v>
      </c>
      <c r="E1619" s="6">
        <v>477.66532552308001</v>
      </c>
      <c r="F1619" s="6">
        <v>35.770713342639603</v>
      </c>
      <c r="G1619" s="6" t="str">
        <f t="shared" si="50"/>
        <v>OK</v>
      </c>
      <c r="H1619" s="6" t="str">
        <f t="shared" si="51"/>
        <v>NON-ZERO</v>
      </c>
      <c r="I1619">
        <v>565.68542494923804</v>
      </c>
      <c r="J1619">
        <f>IFERROR(Table4[[#This Row],[energy_kwh]]/Table4[[#This Row],[expected_kwh]],0)</f>
        <v>0.84440097703762385</v>
      </c>
      <c r="K1619" t="str">
        <f>IF(Table4[[#This Row],[Performance_Ratio]] &lt; 0.85, "Underperforming", "Performing")</f>
        <v>Underperforming</v>
      </c>
      <c r="L1619">
        <f>Table4[[#This Row],[energy_kwh]] - Table4[[#This Row],[expected_kwh]]</f>
        <v>-88.020099426158026</v>
      </c>
      <c r="M1619" t="str">
        <f>IF(Table4[[#This Row],[Performance_Deviation]] &lt; 0, "Underperforming", "Outperforming")</f>
        <v>Underperforming</v>
      </c>
      <c r="N1619">
        <f>IF(Table4[[#This Row],[Performance_Ratio]] &lt; 0.85, Table4[[#This Row],[Performance_Deviation]] * 50 / 1000, 0)</f>
        <v>-4.4010049713079011</v>
      </c>
    </row>
    <row r="1620" spans="1:14" x14ac:dyDescent="0.3">
      <c r="A1620" s="4" t="s">
        <v>8</v>
      </c>
      <c r="B1620" s="3">
        <v>45297.416666666664</v>
      </c>
      <c r="C1620" s="4">
        <v>755.13727933180303</v>
      </c>
      <c r="D1620" s="4">
        <v>731.93927912016795</v>
      </c>
      <c r="E1620" s="4">
        <v>731.93927912016795</v>
      </c>
      <c r="F1620" s="4">
        <v>68.686547362315395</v>
      </c>
      <c r="G1620" s="4" t="str">
        <f t="shared" si="50"/>
        <v>OK</v>
      </c>
      <c r="H1620" s="4" t="str">
        <f t="shared" si="51"/>
        <v>NON-ZERO</v>
      </c>
      <c r="I1620">
        <v>692.82032302754999</v>
      </c>
      <c r="J1620">
        <f>IFERROR(Table4[[#This Row],[energy_kwh]]/Table4[[#This Row],[expected_kwh]],0)</f>
        <v>1.0564633495762255</v>
      </c>
      <c r="K1620" t="str">
        <f>IF(Table4[[#This Row],[Performance_Ratio]] &lt; 0.85, "Underperforming", "Performing")</f>
        <v>Performing</v>
      </c>
      <c r="L1620">
        <f>Table4[[#This Row],[energy_kwh]] - Table4[[#This Row],[expected_kwh]]</f>
        <v>39.118956092617964</v>
      </c>
      <c r="M1620" t="str">
        <f>IF(Table4[[#This Row],[Performance_Deviation]] &lt; 0, "Underperforming", "Outperforming")</f>
        <v>Outperforming</v>
      </c>
      <c r="N1620">
        <f>IF(Table4[[#This Row],[Performance_Ratio]] &lt; 0.85, Table4[[#This Row],[Performance_Deviation]] * 50 / 1000, 0)</f>
        <v>0</v>
      </c>
    </row>
    <row r="1621" spans="1:14" x14ac:dyDescent="0.3">
      <c r="A1621" s="6" t="s">
        <v>8</v>
      </c>
      <c r="B1621" s="5">
        <v>45297.458333333336</v>
      </c>
      <c r="C1621" s="6">
        <v>795.76698662737294</v>
      </c>
      <c r="D1621" s="6">
        <v>771.32083196192002</v>
      </c>
      <c r="E1621" s="6">
        <v>771.32083196192002</v>
      </c>
      <c r="F1621" s="6">
        <v>44.042241827069297</v>
      </c>
      <c r="G1621" s="6" t="str">
        <f t="shared" si="50"/>
        <v>OK</v>
      </c>
      <c r="H1621" s="6" t="str">
        <f t="shared" si="51"/>
        <v>NON-ZERO</v>
      </c>
      <c r="I1621">
        <v>772.74066103125404</v>
      </c>
      <c r="J1621">
        <f>IFERROR(Table4[[#This Row],[energy_kwh]]/Table4[[#This Row],[expected_kwh]],0)</f>
        <v>0.9981626059803308</v>
      </c>
      <c r="K1621" t="str">
        <f>IF(Table4[[#This Row],[Performance_Ratio]] &lt; 0.85, "Underperforming", "Performing")</f>
        <v>Performing</v>
      </c>
      <c r="L1621">
        <f>Table4[[#This Row],[energy_kwh]] - Table4[[#This Row],[expected_kwh]]</f>
        <v>-1.4198290693340141</v>
      </c>
      <c r="M1621" t="str">
        <f>IF(Table4[[#This Row],[Performance_Deviation]] &lt; 0, "Underperforming", "Outperforming")</f>
        <v>Underperforming</v>
      </c>
      <c r="N1621">
        <f>IF(Table4[[#This Row],[Performance_Ratio]] &lt; 0.85, Table4[[#This Row],[Performance_Deviation]] * 50 / 1000, 0)</f>
        <v>0</v>
      </c>
    </row>
    <row r="1622" spans="1:14" x14ac:dyDescent="0.3">
      <c r="A1622" s="4" t="s">
        <v>8</v>
      </c>
      <c r="B1622" s="3">
        <v>45297.5</v>
      </c>
      <c r="C1622" s="4">
        <v>751.35508205546</v>
      </c>
      <c r="D1622" s="4">
        <v>728.27327186068396</v>
      </c>
      <c r="E1622" s="4">
        <v>728.27327186068396</v>
      </c>
      <c r="F1622" s="4">
        <v>55.637814951697102</v>
      </c>
      <c r="G1622" s="4" t="str">
        <f t="shared" si="50"/>
        <v>OK</v>
      </c>
      <c r="H1622" s="4" t="str">
        <f t="shared" si="51"/>
        <v>NON-ZERO</v>
      </c>
      <c r="I1622">
        <v>800</v>
      </c>
      <c r="J1622">
        <f>IFERROR(Table4[[#This Row],[energy_kwh]]/Table4[[#This Row],[expected_kwh]],0)</f>
        <v>0.910341589825855</v>
      </c>
      <c r="K1622" t="str">
        <f>IF(Table4[[#This Row],[Performance_Ratio]] &lt; 0.85, "Underperforming", "Performing")</f>
        <v>Performing</v>
      </c>
      <c r="L1622">
        <f>Table4[[#This Row],[energy_kwh]] - Table4[[#This Row],[expected_kwh]]</f>
        <v>-71.726728139316037</v>
      </c>
      <c r="M1622" t="str">
        <f>IF(Table4[[#This Row],[Performance_Deviation]] &lt; 0, "Underperforming", "Outperforming")</f>
        <v>Underperforming</v>
      </c>
      <c r="N1622">
        <f>IF(Table4[[#This Row],[Performance_Ratio]] &lt; 0.85, Table4[[#This Row],[Performance_Deviation]] * 50 / 1000, 0)</f>
        <v>0</v>
      </c>
    </row>
    <row r="1623" spans="1:14" x14ac:dyDescent="0.3">
      <c r="A1623" s="6" t="s">
        <v>8</v>
      </c>
      <c r="B1623" s="5">
        <v>45297.541666666664</v>
      </c>
      <c r="C1623" s="6">
        <v>687.53533381288196</v>
      </c>
      <c r="D1623" s="6">
        <v>666.41408174940102</v>
      </c>
      <c r="E1623" s="6">
        <v>666.41408174940102</v>
      </c>
      <c r="F1623" s="6">
        <v>57.346144443669701</v>
      </c>
      <c r="G1623" s="6" t="str">
        <f t="shared" si="50"/>
        <v>OK</v>
      </c>
      <c r="H1623" s="6" t="str">
        <f t="shared" si="51"/>
        <v>NON-ZERO</v>
      </c>
      <c r="I1623">
        <v>772.74066103125404</v>
      </c>
      <c r="J1623">
        <f>IFERROR(Table4[[#This Row],[energy_kwh]]/Table4[[#This Row],[expected_kwh]],0)</f>
        <v>0.86240328140626654</v>
      </c>
      <c r="K1623" t="str">
        <f>IF(Table4[[#This Row],[Performance_Ratio]] &lt; 0.85, "Underperforming", "Performing")</f>
        <v>Performing</v>
      </c>
      <c r="L1623">
        <f>Table4[[#This Row],[energy_kwh]] - Table4[[#This Row],[expected_kwh]]</f>
        <v>-106.32657928185301</v>
      </c>
      <c r="M1623" t="str">
        <f>IF(Table4[[#This Row],[Performance_Deviation]] &lt; 0, "Underperforming", "Outperforming")</f>
        <v>Underperforming</v>
      </c>
      <c r="N1623">
        <f>IF(Table4[[#This Row],[Performance_Ratio]] &lt; 0.85, Table4[[#This Row],[Performance_Deviation]] * 50 / 1000, 0)</f>
        <v>0</v>
      </c>
    </row>
    <row r="1624" spans="1:14" x14ac:dyDescent="0.3">
      <c r="A1624" s="4" t="s">
        <v>8</v>
      </c>
      <c r="B1624" s="3">
        <v>45297.583333333336</v>
      </c>
      <c r="C1624" s="4">
        <v>704.60267938898699</v>
      </c>
      <c r="D1624" s="4">
        <v>682.95711433352005</v>
      </c>
      <c r="E1624" s="4">
        <v>682.95711433352005</v>
      </c>
      <c r="F1624" s="4">
        <v>23.522331680575</v>
      </c>
      <c r="G1624" s="4" t="str">
        <f t="shared" si="50"/>
        <v>OK</v>
      </c>
      <c r="H1624" s="4" t="str">
        <f t="shared" si="51"/>
        <v>NON-ZERO</v>
      </c>
      <c r="I1624">
        <v>692.82032302755101</v>
      </c>
      <c r="J1624">
        <f>IFERROR(Table4[[#This Row],[energy_kwh]]/Table4[[#This Row],[expected_kwh]],0)</f>
        <v>0.98576368451356944</v>
      </c>
      <c r="K1624" t="str">
        <f>IF(Table4[[#This Row],[Performance_Ratio]] &lt; 0.85, "Underperforming", "Performing")</f>
        <v>Performing</v>
      </c>
      <c r="L1624">
        <f>Table4[[#This Row],[energy_kwh]] - Table4[[#This Row],[expected_kwh]]</f>
        <v>-9.8632086940309591</v>
      </c>
      <c r="M1624" t="str">
        <f>IF(Table4[[#This Row],[Performance_Deviation]] &lt; 0, "Underperforming", "Outperforming")</f>
        <v>Underperforming</v>
      </c>
      <c r="N1624">
        <f>IF(Table4[[#This Row],[Performance_Ratio]] &lt; 0.85, Table4[[#This Row],[Performance_Deviation]] * 50 / 1000, 0)</f>
        <v>0</v>
      </c>
    </row>
    <row r="1625" spans="1:14" x14ac:dyDescent="0.3">
      <c r="A1625" s="6" t="s">
        <v>8</v>
      </c>
      <c r="B1625" s="5">
        <v>45297.625</v>
      </c>
      <c r="C1625" s="6">
        <v>514.32001711425505</v>
      </c>
      <c r="D1625" s="6">
        <v>498.51998155459802</v>
      </c>
      <c r="E1625" s="6">
        <v>498.51998155459802</v>
      </c>
      <c r="F1625" s="6">
        <v>30.237725906268601</v>
      </c>
      <c r="G1625" s="6" t="str">
        <f t="shared" si="50"/>
        <v>OK</v>
      </c>
      <c r="H1625" s="6" t="str">
        <f t="shared" si="51"/>
        <v>NON-ZERO</v>
      </c>
      <c r="I1625">
        <v>565.68542494923804</v>
      </c>
      <c r="J1625">
        <f>IFERROR(Table4[[#This Row],[energy_kwh]]/Table4[[#This Row],[expected_kwh]],0)</f>
        <v>0.88126714878562207</v>
      </c>
      <c r="K1625" t="str">
        <f>IF(Table4[[#This Row],[Performance_Ratio]] &lt; 0.85, "Underperforming", "Performing")</f>
        <v>Performing</v>
      </c>
      <c r="L1625">
        <f>Table4[[#This Row],[energy_kwh]] - Table4[[#This Row],[expected_kwh]]</f>
        <v>-67.165443394640022</v>
      </c>
      <c r="M1625" t="str">
        <f>IF(Table4[[#This Row],[Performance_Deviation]] &lt; 0, "Underperforming", "Outperforming")</f>
        <v>Underperforming</v>
      </c>
      <c r="N1625">
        <f>IF(Table4[[#This Row],[Performance_Ratio]] &lt; 0.85, Table4[[#This Row],[Performance_Deviation]] * 50 / 1000, 0)</f>
        <v>0</v>
      </c>
    </row>
    <row r="1626" spans="1:14" x14ac:dyDescent="0.3">
      <c r="A1626" s="4" t="s">
        <v>8</v>
      </c>
      <c r="B1626" s="3">
        <v>45297.666666666664</v>
      </c>
      <c r="C1626" s="4">
        <v>391.56345583470102</v>
      </c>
      <c r="D1626" s="4">
        <v>379.53453158484803</v>
      </c>
      <c r="E1626" s="4">
        <v>379.53453158484803</v>
      </c>
      <c r="F1626" s="4">
        <v>55.532996938581697</v>
      </c>
      <c r="G1626" s="4" t="str">
        <f t="shared" si="50"/>
        <v>OK</v>
      </c>
      <c r="H1626" s="4" t="str">
        <f t="shared" si="51"/>
        <v>NON-ZERO</v>
      </c>
      <c r="I1626">
        <v>399.99999999999898</v>
      </c>
      <c r="J1626">
        <f>IFERROR(Table4[[#This Row],[energy_kwh]]/Table4[[#This Row],[expected_kwh]],0)</f>
        <v>0.94883632896212244</v>
      </c>
      <c r="K1626" t="str">
        <f>IF(Table4[[#This Row],[Performance_Ratio]] &lt; 0.85, "Underperforming", "Performing")</f>
        <v>Performing</v>
      </c>
      <c r="L1626">
        <f>Table4[[#This Row],[energy_kwh]] - Table4[[#This Row],[expected_kwh]]</f>
        <v>-20.465468415150951</v>
      </c>
      <c r="M1626" t="str">
        <f>IF(Table4[[#This Row],[Performance_Deviation]] &lt; 0, "Underperforming", "Outperforming")</f>
        <v>Underperforming</v>
      </c>
      <c r="N1626">
        <f>IF(Table4[[#This Row],[Performance_Ratio]] &lt; 0.85, Table4[[#This Row],[Performance_Deviation]] * 50 / 1000, 0)</f>
        <v>0</v>
      </c>
    </row>
    <row r="1627" spans="1:14" x14ac:dyDescent="0.3">
      <c r="A1627" s="6" t="s">
        <v>8</v>
      </c>
      <c r="B1627" s="5">
        <v>45297.708333333336</v>
      </c>
      <c r="C1627" s="6">
        <v>192.456429178939</v>
      </c>
      <c r="D1627" s="6">
        <v>186.54412103706801</v>
      </c>
      <c r="E1627" s="6">
        <v>186.54412103706801</v>
      </c>
      <c r="F1627" s="6">
        <v>81.454867322486905</v>
      </c>
      <c r="G1627" s="6" t="str">
        <f t="shared" si="50"/>
        <v>OK</v>
      </c>
      <c r="H1627" s="6" t="str">
        <f t="shared" si="51"/>
        <v>NON-ZERO</v>
      </c>
      <c r="I1627">
        <v>207.05523608201599</v>
      </c>
      <c r="J1627">
        <f>IFERROR(Table4[[#This Row],[energy_kwh]]/Table4[[#This Row],[expected_kwh]],0)</f>
        <v>0.90093892126049213</v>
      </c>
      <c r="K1627" t="str">
        <f>IF(Table4[[#This Row],[Performance_Ratio]] &lt; 0.85, "Underperforming", "Performing")</f>
        <v>Performing</v>
      </c>
      <c r="L1627">
        <f>Table4[[#This Row],[energy_kwh]] - Table4[[#This Row],[expected_kwh]]</f>
        <v>-20.511115044947985</v>
      </c>
      <c r="M1627" t="str">
        <f>IF(Table4[[#This Row],[Performance_Deviation]] &lt; 0, "Underperforming", "Outperforming")</f>
        <v>Underperforming</v>
      </c>
      <c r="N1627">
        <f>IF(Table4[[#This Row],[Performance_Ratio]] &lt; 0.85, Table4[[#This Row],[Performance_Deviation]] * 50 / 1000, 0)</f>
        <v>0</v>
      </c>
    </row>
    <row r="1628" spans="1:14" x14ac:dyDescent="0.3">
      <c r="A1628" s="4" t="s">
        <v>8</v>
      </c>
      <c r="B1628" s="3">
        <v>45297.75</v>
      </c>
      <c r="C1628" s="7">
        <v>9.7322997039387199E-14</v>
      </c>
      <c r="D1628" s="7">
        <v>9.4333210986294403E-14</v>
      </c>
      <c r="E1628" s="7">
        <v>9.4333210986294403E-14</v>
      </c>
      <c r="F1628" s="4">
        <v>91.698504411955398</v>
      </c>
      <c r="G1628" s="4" t="str">
        <f t="shared" si="50"/>
        <v>OK</v>
      </c>
      <c r="H1628" s="4" t="str">
        <f t="shared" si="51"/>
        <v>NON-ZERO</v>
      </c>
      <c r="I1628" s="2">
        <v>9.7971743931788194E-14</v>
      </c>
      <c r="J1628">
        <f>IFERROR(Table4[[#This Row],[energy_kwh]]/Table4[[#This Row],[expected_kwh]],0)</f>
        <v>0.96286140473290871</v>
      </c>
      <c r="K1628" t="str">
        <f>IF(Table4[[#This Row],[Performance_Ratio]] &lt; 0.85, "Underperforming", "Performing")</f>
        <v>Performing</v>
      </c>
      <c r="L1628">
        <f>Table4[[#This Row],[energy_kwh]] - Table4[[#This Row],[expected_kwh]]</f>
        <v>-3.6385329454937913E-15</v>
      </c>
      <c r="M1628" t="str">
        <f>IF(Table4[[#This Row],[Performance_Deviation]] &lt; 0, "Underperforming", "Outperforming")</f>
        <v>Underperforming</v>
      </c>
      <c r="N1628">
        <f>IF(Table4[[#This Row],[Performance_Ratio]] &lt; 0.85, Table4[[#This Row],[Performance_Deviation]] * 50 / 1000, 0)</f>
        <v>0</v>
      </c>
    </row>
    <row r="1629" spans="1:14" x14ac:dyDescent="0.3">
      <c r="A1629" s="6" t="s">
        <v>8</v>
      </c>
      <c r="B1629" s="5">
        <v>45297.791666666664</v>
      </c>
      <c r="C1629" s="6">
        <v>0</v>
      </c>
      <c r="D1629" s="6">
        <v>0</v>
      </c>
      <c r="E1629" s="6">
        <v>0</v>
      </c>
      <c r="F1629" s="6">
        <v>91.527771986878093</v>
      </c>
      <c r="G1629" s="6" t="str">
        <f t="shared" si="50"/>
        <v>OK</v>
      </c>
      <c r="H1629" s="6" t="str">
        <f t="shared" si="51"/>
        <v>ZERO</v>
      </c>
      <c r="I1629">
        <v>0</v>
      </c>
      <c r="J1629">
        <f>IFERROR(Table4[[#This Row],[energy_kwh]]/Table4[[#This Row],[expected_kwh]],0)</f>
        <v>0</v>
      </c>
      <c r="K1629" t="str">
        <f>IF(Table4[[#This Row],[Performance_Ratio]] &lt; 0.85, "Underperforming", "Performing")</f>
        <v>Underperforming</v>
      </c>
      <c r="L1629">
        <f>Table4[[#This Row],[energy_kwh]] - Table4[[#This Row],[expected_kwh]]</f>
        <v>0</v>
      </c>
      <c r="M1629" t="str">
        <f>IF(Table4[[#This Row],[Performance_Deviation]] &lt; 0, "Underperforming", "Outperforming")</f>
        <v>Outperforming</v>
      </c>
      <c r="N1629">
        <f>IF(Table4[[#This Row],[Performance_Ratio]] &lt; 0.85, Table4[[#This Row],[Performance_Deviation]] * 50 / 1000, 0)</f>
        <v>0</v>
      </c>
    </row>
    <row r="1630" spans="1:14" x14ac:dyDescent="0.3">
      <c r="A1630" s="4" t="s">
        <v>8</v>
      </c>
      <c r="B1630" s="3">
        <v>45297.833333333336</v>
      </c>
      <c r="C1630" s="4">
        <v>0</v>
      </c>
      <c r="D1630" s="4">
        <v>0</v>
      </c>
      <c r="E1630" s="4">
        <v>0</v>
      </c>
      <c r="F1630" s="4">
        <v>47.163620209561302</v>
      </c>
      <c r="G1630" s="4" t="str">
        <f t="shared" si="50"/>
        <v>OK</v>
      </c>
      <c r="H1630" s="4" t="str">
        <f t="shared" si="51"/>
        <v>ZERO</v>
      </c>
      <c r="I1630">
        <v>0</v>
      </c>
      <c r="J1630">
        <f>IFERROR(Table4[[#This Row],[energy_kwh]]/Table4[[#This Row],[expected_kwh]],0)</f>
        <v>0</v>
      </c>
      <c r="K1630" t="str">
        <f>IF(Table4[[#This Row],[Performance_Ratio]] &lt; 0.85, "Underperforming", "Performing")</f>
        <v>Underperforming</v>
      </c>
      <c r="L1630">
        <f>Table4[[#This Row],[energy_kwh]] - Table4[[#This Row],[expected_kwh]]</f>
        <v>0</v>
      </c>
      <c r="M1630" t="str">
        <f>IF(Table4[[#This Row],[Performance_Deviation]] &lt; 0, "Underperforming", "Outperforming")</f>
        <v>Outperforming</v>
      </c>
      <c r="N1630">
        <f>IF(Table4[[#This Row],[Performance_Ratio]] &lt; 0.85, Table4[[#This Row],[Performance_Deviation]] * 50 / 1000, 0)</f>
        <v>0</v>
      </c>
    </row>
    <row r="1631" spans="1:14" x14ac:dyDescent="0.3">
      <c r="A1631" s="6" t="s">
        <v>8</v>
      </c>
      <c r="B1631" s="5">
        <v>45297.875</v>
      </c>
      <c r="C1631" s="6">
        <v>0</v>
      </c>
      <c r="D1631" s="6">
        <v>0</v>
      </c>
      <c r="E1631" s="6">
        <v>0</v>
      </c>
      <c r="F1631" s="6">
        <v>34.919733484627798</v>
      </c>
      <c r="G1631" s="6" t="str">
        <f t="shared" si="50"/>
        <v>OK</v>
      </c>
      <c r="H1631" s="6" t="str">
        <f t="shared" si="51"/>
        <v>ZERO</v>
      </c>
      <c r="I1631">
        <v>0</v>
      </c>
      <c r="J1631">
        <f>IFERROR(Table4[[#This Row],[energy_kwh]]/Table4[[#This Row],[expected_kwh]],0)</f>
        <v>0</v>
      </c>
      <c r="K1631" t="str">
        <f>IF(Table4[[#This Row],[Performance_Ratio]] &lt; 0.85, "Underperforming", "Performing")</f>
        <v>Underperforming</v>
      </c>
      <c r="L1631">
        <f>Table4[[#This Row],[energy_kwh]] - Table4[[#This Row],[expected_kwh]]</f>
        <v>0</v>
      </c>
      <c r="M1631" t="str">
        <f>IF(Table4[[#This Row],[Performance_Deviation]] &lt; 0, "Underperforming", "Outperforming")</f>
        <v>Outperforming</v>
      </c>
      <c r="N1631">
        <f>IF(Table4[[#This Row],[Performance_Ratio]] &lt; 0.85, Table4[[#This Row],[Performance_Deviation]] * 50 / 1000, 0)</f>
        <v>0</v>
      </c>
    </row>
    <row r="1632" spans="1:14" x14ac:dyDescent="0.3">
      <c r="A1632" s="4" t="s">
        <v>8</v>
      </c>
      <c r="B1632" s="3">
        <v>45297.916666666664</v>
      </c>
      <c r="C1632" s="4">
        <v>0</v>
      </c>
      <c r="D1632" s="4">
        <v>0</v>
      </c>
      <c r="E1632" s="4">
        <v>0</v>
      </c>
      <c r="F1632" s="4">
        <v>52.703523058893403</v>
      </c>
      <c r="G1632" s="4" t="str">
        <f t="shared" si="50"/>
        <v>OK</v>
      </c>
      <c r="H1632" s="4" t="str">
        <f t="shared" si="51"/>
        <v>ZERO</v>
      </c>
      <c r="I1632">
        <v>0</v>
      </c>
      <c r="J1632">
        <f>IFERROR(Table4[[#This Row],[energy_kwh]]/Table4[[#This Row],[expected_kwh]],0)</f>
        <v>0</v>
      </c>
      <c r="K1632" t="str">
        <f>IF(Table4[[#This Row],[Performance_Ratio]] &lt; 0.85, "Underperforming", "Performing")</f>
        <v>Underperforming</v>
      </c>
      <c r="L1632">
        <f>Table4[[#This Row],[energy_kwh]] - Table4[[#This Row],[expected_kwh]]</f>
        <v>0</v>
      </c>
      <c r="M1632" t="str">
        <f>IF(Table4[[#This Row],[Performance_Deviation]] &lt; 0, "Underperforming", "Outperforming")</f>
        <v>Outperforming</v>
      </c>
      <c r="N1632">
        <f>IF(Table4[[#This Row],[Performance_Ratio]] &lt; 0.85, Table4[[#This Row],[Performance_Deviation]] * 50 / 1000, 0)</f>
        <v>0</v>
      </c>
    </row>
    <row r="1633" spans="1:14" x14ac:dyDescent="0.3">
      <c r="A1633" s="6" t="s">
        <v>8</v>
      </c>
      <c r="B1633" s="5">
        <v>45297.958333333336</v>
      </c>
      <c r="C1633" s="6">
        <v>0</v>
      </c>
      <c r="D1633" s="6">
        <v>0</v>
      </c>
      <c r="E1633" s="6">
        <v>0</v>
      </c>
      <c r="F1633" s="6">
        <v>77.843230552488293</v>
      </c>
      <c r="G1633" s="6" t="str">
        <f t="shared" si="50"/>
        <v>OK</v>
      </c>
      <c r="H1633" s="6" t="str">
        <f t="shared" si="51"/>
        <v>ZERO</v>
      </c>
      <c r="I1633">
        <v>0</v>
      </c>
      <c r="J1633">
        <f>IFERROR(Table4[[#This Row],[energy_kwh]]/Table4[[#This Row],[expected_kwh]],0)</f>
        <v>0</v>
      </c>
      <c r="K1633" t="str">
        <f>IF(Table4[[#This Row],[Performance_Ratio]] &lt; 0.85, "Underperforming", "Performing")</f>
        <v>Underperforming</v>
      </c>
      <c r="L1633">
        <f>Table4[[#This Row],[energy_kwh]] - Table4[[#This Row],[expected_kwh]]</f>
        <v>0</v>
      </c>
      <c r="M1633" t="str">
        <f>IF(Table4[[#This Row],[Performance_Deviation]] &lt; 0, "Underperforming", "Outperforming")</f>
        <v>Outperforming</v>
      </c>
      <c r="N1633">
        <f>IF(Table4[[#This Row],[Performance_Ratio]] &lt; 0.85, Table4[[#This Row],[Performance_Deviation]] * 50 / 1000, 0)</f>
        <v>0</v>
      </c>
    </row>
    <row r="1634" spans="1:14" x14ac:dyDescent="0.3">
      <c r="A1634" s="4" t="s">
        <v>8</v>
      </c>
      <c r="B1634" s="3">
        <v>45298</v>
      </c>
      <c r="C1634" s="4">
        <v>0</v>
      </c>
      <c r="D1634" s="4">
        <v>0</v>
      </c>
      <c r="E1634" s="4">
        <v>0</v>
      </c>
      <c r="F1634" s="4">
        <v>42.740614531975602</v>
      </c>
      <c r="G1634" s="4" t="str">
        <f t="shared" si="50"/>
        <v>OK</v>
      </c>
      <c r="H1634" s="4" t="str">
        <f t="shared" si="51"/>
        <v>ZERO</v>
      </c>
      <c r="I1634">
        <v>0</v>
      </c>
      <c r="J1634">
        <f>IFERROR(Table4[[#This Row],[energy_kwh]]/Table4[[#This Row],[expected_kwh]],0)</f>
        <v>0</v>
      </c>
      <c r="K1634" t="str">
        <f>IF(Table4[[#This Row],[Performance_Ratio]] &lt; 0.85, "Underperforming", "Performing")</f>
        <v>Underperforming</v>
      </c>
      <c r="L1634">
        <f>Table4[[#This Row],[energy_kwh]] - Table4[[#This Row],[expected_kwh]]</f>
        <v>0</v>
      </c>
      <c r="M1634" t="str">
        <f>IF(Table4[[#This Row],[Performance_Deviation]] &lt; 0, "Underperforming", "Outperforming")</f>
        <v>Outperforming</v>
      </c>
      <c r="N1634">
        <f>IF(Table4[[#This Row],[Performance_Ratio]] &lt; 0.85, Table4[[#This Row],[Performance_Deviation]] * 50 / 1000, 0)</f>
        <v>0</v>
      </c>
    </row>
    <row r="1635" spans="1:14" x14ac:dyDescent="0.3">
      <c r="A1635" s="6" t="s">
        <v>8</v>
      </c>
      <c r="B1635" s="5">
        <v>45298.041666666664</v>
      </c>
      <c r="C1635" s="6">
        <v>0</v>
      </c>
      <c r="D1635" s="6">
        <v>0</v>
      </c>
      <c r="E1635" s="6">
        <v>0</v>
      </c>
      <c r="F1635" s="6">
        <v>31.802868751243199</v>
      </c>
      <c r="G1635" s="6" t="str">
        <f t="shared" si="50"/>
        <v>OK</v>
      </c>
      <c r="H1635" s="6" t="str">
        <f t="shared" si="51"/>
        <v>ZERO</v>
      </c>
      <c r="I1635">
        <v>0</v>
      </c>
      <c r="J1635">
        <f>IFERROR(Table4[[#This Row],[energy_kwh]]/Table4[[#This Row],[expected_kwh]],0)</f>
        <v>0</v>
      </c>
      <c r="K1635" t="str">
        <f>IF(Table4[[#This Row],[Performance_Ratio]] &lt; 0.85, "Underperforming", "Performing")</f>
        <v>Underperforming</v>
      </c>
      <c r="L1635">
        <f>Table4[[#This Row],[energy_kwh]] - Table4[[#This Row],[expected_kwh]]</f>
        <v>0</v>
      </c>
      <c r="M1635" t="str">
        <f>IF(Table4[[#This Row],[Performance_Deviation]] &lt; 0, "Underperforming", "Outperforming")</f>
        <v>Outperforming</v>
      </c>
      <c r="N1635">
        <f>IF(Table4[[#This Row],[Performance_Ratio]] &lt; 0.85, Table4[[#This Row],[Performance_Deviation]] * 50 / 1000, 0)</f>
        <v>0</v>
      </c>
    </row>
    <row r="1636" spans="1:14" x14ac:dyDescent="0.3">
      <c r="A1636" s="4" t="s">
        <v>8</v>
      </c>
      <c r="B1636" s="3">
        <v>45298.083333333336</v>
      </c>
      <c r="C1636" s="4">
        <v>0</v>
      </c>
      <c r="D1636" s="4">
        <v>0</v>
      </c>
      <c r="E1636" s="4">
        <v>0</v>
      </c>
      <c r="F1636" s="4">
        <v>63.480283620482901</v>
      </c>
      <c r="G1636" s="4" t="str">
        <f t="shared" si="50"/>
        <v>OK</v>
      </c>
      <c r="H1636" s="4" t="str">
        <f t="shared" si="51"/>
        <v>ZERO</v>
      </c>
      <c r="I1636">
        <v>0</v>
      </c>
      <c r="J1636">
        <f>IFERROR(Table4[[#This Row],[energy_kwh]]/Table4[[#This Row],[expected_kwh]],0)</f>
        <v>0</v>
      </c>
      <c r="K1636" t="str">
        <f>IF(Table4[[#This Row],[Performance_Ratio]] &lt; 0.85, "Underperforming", "Performing")</f>
        <v>Underperforming</v>
      </c>
      <c r="L1636">
        <f>Table4[[#This Row],[energy_kwh]] - Table4[[#This Row],[expected_kwh]]</f>
        <v>0</v>
      </c>
      <c r="M1636" t="str">
        <f>IF(Table4[[#This Row],[Performance_Deviation]] &lt; 0, "Underperforming", "Outperforming")</f>
        <v>Outperforming</v>
      </c>
      <c r="N1636">
        <f>IF(Table4[[#This Row],[Performance_Ratio]] &lt; 0.85, Table4[[#This Row],[Performance_Deviation]] * 50 / 1000, 0)</f>
        <v>0</v>
      </c>
    </row>
    <row r="1637" spans="1:14" x14ac:dyDescent="0.3">
      <c r="A1637" s="6" t="s">
        <v>8</v>
      </c>
      <c r="B1637" s="5">
        <v>45298.125</v>
      </c>
      <c r="C1637" s="6">
        <v>0</v>
      </c>
      <c r="D1637" s="6">
        <v>0</v>
      </c>
      <c r="E1637" s="6">
        <v>0</v>
      </c>
      <c r="F1637" s="6">
        <v>45.921512667559199</v>
      </c>
      <c r="G1637" s="6" t="str">
        <f t="shared" si="50"/>
        <v>OK</v>
      </c>
      <c r="H1637" s="6" t="str">
        <f t="shared" si="51"/>
        <v>ZERO</v>
      </c>
      <c r="I1637">
        <v>0</v>
      </c>
      <c r="J1637">
        <f>IFERROR(Table4[[#This Row],[energy_kwh]]/Table4[[#This Row],[expected_kwh]],0)</f>
        <v>0</v>
      </c>
      <c r="K1637" t="str">
        <f>IF(Table4[[#This Row],[Performance_Ratio]] &lt; 0.85, "Underperforming", "Performing")</f>
        <v>Underperforming</v>
      </c>
      <c r="L1637">
        <f>Table4[[#This Row],[energy_kwh]] - Table4[[#This Row],[expected_kwh]]</f>
        <v>0</v>
      </c>
      <c r="M1637" t="str">
        <f>IF(Table4[[#This Row],[Performance_Deviation]] &lt; 0, "Underperforming", "Outperforming")</f>
        <v>Outperforming</v>
      </c>
      <c r="N1637">
        <f>IF(Table4[[#This Row],[Performance_Ratio]] &lt; 0.85, Table4[[#This Row],[Performance_Deviation]] * 50 / 1000, 0)</f>
        <v>0</v>
      </c>
    </row>
    <row r="1638" spans="1:14" x14ac:dyDescent="0.3">
      <c r="A1638" s="4" t="s">
        <v>8</v>
      </c>
      <c r="B1638" s="3">
        <v>45298.166666666664</v>
      </c>
      <c r="C1638" s="4">
        <v>0</v>
      </c>
      <c r="D1638" s="4">
        <v>0</v>
      </c>
      <c r="E1638" s="4">
        <v>0</v>
      </c>
      <c r="F1638" s="4">
        <v>77.507626725375104</v>
      </c>
      <c r="G1638" s="4" t="str">
        <f t="shared" si="50"/>
        <v>OK</v>
      </c>
      <c r="H1638" s="4" t="str">
        <f t="shared" si="51"/>
        <v>ZERO</v>
      </c>
      <c r="I1638">
        <v>0</v>
      </c>
      <c r="J1638">
        <f>IFERROR(Table4[[#This Row],[energy_kwh]]/Table4[[#This Row],[expected_kwh]],0)</f>
        <v>0</v>
      </c>
      <c r="K1638" t="str">
        <f>IF(Table4[[#This Row],[Performance_Ratio]] &lt; 0.85, "Underperforming", "Performing")</f>
        <v>Underperforming</v>
      </c>
      <c r="L1638">
        <f>Table4[[#This Row],[energy_kwh]] - Table4[[#This Row],[expected_kwh]]</f>
        <v>0</v>
      </c>
      <c r="M1638" t="str">
        <f>IF(Table4[[#This Row],[Performance_Deviation]] &lt; 0, "Underperforming", "Outperforming")</f>
        <v>Outperforming</v>
      </c>
      <c r="N1638">
        <f>IF(Table4[[#This Row],[Performance_Ratio]] &lt; 0.85, Table4[[#This Row],[Performance_Deviation]] * 50 / 1000, 0)</f>
        <v>0</v>
      </c>
    </row>
    <row r="1639" spans="1:14" x14ac:dyDescent="0.3">
      <c r="A1639" s="6" t="s">
        <v>8</v>
      </c>
      <c r="B1639" s="5">
        <v>45298.208333333336</v>
      </c>
      <c r="C1639" s="6">
        <v>0</v>
      </c>
      <c r="D1639" s="6">
        <v>0</v>
      </c>
      <c r="E1639" s="6">
        <v>0</v>
      </c>
      <c r="F1639" s="6">
        <v>60.016582516518397</v>
      </c>
      <c r="G1639" s="6" t="str">
        <f t="shared" si="50"/>
        <v>OK</v>
      </c>
      <c r="H1639" s="6" t="str">
        <f t="shared" si="51"/>
        <v>ZERO</v>
      </c>
      <c r="I1639">
        <v>0</v>
      </c>
      <c r="J1639">
        <f>IFERROR(Table4[[#This Row],[energy_kwh]]/Table4[[#This Row],[expected_kwh]],0)</f>
        <v>0</v>
      </c>
      <c r="K1639" t="str">
        <f>IF(Table4[[#This Row],[Performance_Ratio]] &lt; 0.85, "Underperforming", "Performing")</f>
        <v>Underperforming</v>
      </c>
      <c r="L1639">
        <f>Table4[[#This Row],[energy_kwh]] - Table4[[#This Row],[expected_kwh]]</f>
        <v>0</v>
      </c>
      <c r="M1639" t="str">
        <f>IF(Table4[[#This Row],[Performance_Deviation]] &lt; 0, "Underperforming", "Outperforming")</f>
        <v>Outperforming</v>
      </c>
      <c r="N1639">
        <f>IF(Table4[[#This Row],[Performance_Ratio]] &lt; 0.85, Table4[[#This Row],[Performance_Deviation]] * 50 / 1000, 0)</f>
        <v>0</v>
      </c>
    </row>
    <row r="1640" spans="1:14" x14ac:dyDescent="0.3">
      <c r="A1640" s="4" t="s">
        <v>8</v>
      </c>
      <c r="B1640" s="3">
        <v>45298.25</v>
      </c>
      <c r="C1640" s="4">
        <v>0</v>
      </c>
      <c r="D1640" s="4">
        <v>0</v>
      </c>
      <c r="E1640" s="4">
        <v>0</v>
      </c>
      <c r="F1640" s="4">
        <v>34.364099153761103</v>
      </c>
      <c r="G1640" s="4" t="str">
        <f t="shared" si="50"/>
        <v>OK</v>
      </c>
      <c r="H1640" s="4" t="str">
        <f t="shared" si="51"/>
        <v>ZERO</v>
      </c>
      <c r="I1640">
        <v>0</v>
      </c>
      <c r="J1640">
        <f>IFERROR(Table4[[#This Row],[energy_kwh]]/Table4[[#This Row],[expected_kwh]],0)</f>
        <v>0</v>
      </c>
      <c r="K1640" t="str">
        <f>IF(Table4[[#This Row],[Performance_Ratio]] &lt; 0.85, "Underperforming", "Performing")</f>
        <v>Underperforming</v>
      </c>
      <c r="L1640">
        <f>Table4[[#This Row],[energy_kwh]] - Table4[[#This Row],[expected_kwh]]</f>
        <v>0</v>
      </c>
      <c r="M1640" t="str">
        <f>IF(Table4[[#This Row],[Performance_Deviation]] &lt; 0, "Underperforming", "Outperforming")</f>
        <v>Outperforming</v>
      </c>
      <c r="N1640">
        <f>IF(Table4[[#This Row],[Performance_Ratio]] &lt; 0.85, Table4[[#This Row],[Performance_Deviation]] * 50 / 1000, 0)</f>
        <v>0</v>
      </c>
    </row>
    <row r="1641" spans="1:14" x14ac:dyDescent="0.3">
      <c r="A1641" s="6" t="s">
        <v>8</v>
      </c>
      <c r="B1641" s="5">
        <v>45298.291666666664</v>
      </c>
      <c r="C1641" s="6">
        <v>185.378814947113</v>
      </c>
      <c r="D1641" s="6">
        <v>179.68393282954401</v>
      </c>
      <c r="E1641" s="6">
        <v>179.68393282954401</v>
      </c>
      <c r="F1641" s="6">
        <v>38.101227787812398</v>
      </c>
      <c r="G1641" s="6" t="str">
        <f t="shared" si="50"/>
        <v>OK</v>
      </c>
      <c r="H1641" s="6" t="str">
        <f t="shared" si="51"/>
        <v>NON-ZERO</v>
      </c>
      <c r="I1641">
        <v>207.05523608201599</v>
      </c>
      <c r="J1641">
        <f>IFERROR(Table4[[#This Row],[energy_kwh]]/Table4[[#This Row],[expected_kwh]],0)</f>
        <v>0.86780675644623628</v>
      </c>
      <c r="K1641" t="str">
        <f>IF(Table4[[#This Row],[Performance_Ratio]] &lt; 0.85, "Underperforming", "Performing")</f>
        <v>Performing</v>
      </c>
      <c r="L1641">
        <f>Table4[[#This Row],[energy_kwh]] - Table4[[#This Row],[expected_kwh]]</f>
        <v>-27.371303252471989</v>
      </c>
      <c r="M1641" t="str">
        <f>IF(Table4[[#This Row],[Performance_Deviation]] &lt; 0, "Underperforming", "Outperforming")</f>
        <v>Underperforming</v>
      </c>
      <c r="N1641">
        <f>IF(Table4[[#This Row],[Performance_Ratio]] &lt; 0.85, Table4[[#This Row],[Performance_Deviation]] * 50 / 1000, 0)</f>
        <v>0</v>
      </c>
    </row>
    <row r="1642" spans="1:14" x14ac:dyDescent="0.3">
      <c r="A1642" s="4" t="s">
        <v>8</v>
      </c>
      <c r="B1642" s="3">
        <v>45298.333333333336</v>
      </c>
      <c r="C1642" s="4">
        <v>373.849939565054</v>
      </c>
      <c r="D1642" s="4">
        <v>362.36517882747802</v>
      </c>
      <c r="E1642" s="4">
        <v>362.36517882747802</v>
      </c>
      <c r="F1642" s="4">
        <v>81.259502718076007</v>
      </c>
      <c r="G1642" s="4" t="str">
        <f t="shared" si="50"/>
        <v>OK</v>
      </c>
      <c r="H1642" s="4" t="str">
        <f t="shared" si="51"/>
        <v>NON-ZERO</v>
      </c>
      <c r="I1642">
        <v>399.99999999999898</v>
      </c>
      <c r="J1642">
        <f>IFERROR(Table4[[#This Row],[energy_kwh]]/Table4[[#This Row],[expected_kwh]],0)</f>
        <v>0.90591294706869741</v>
      </c>
      <c r="K1642" t="str">
        <f>IF(Table4[[#This Row],[Performance_Ratio]] &lt; 0.85, "Underperforming", "Performing")</f>
        <v>Performing</v>
      </c>
      <c r="L1642">
        <f>Table4[[#This Row],[energy_kwh]] - Table4[[#This Row],[expected_kwh]]</f>
        <v>-37.634821172520958</v>
      </c>
      <c r="M1642" t="str">
        <f>IF(Table4[[#This Row],[Performance_Deviation]] &lt; 0, "Underperforming", "Outperforming")</f>
        <v>Underperforming</v>
      </c>
      <c r="N1642">
        <f>IF(Table4[[#This Row],[Performance_Ratio]] &lt; 0.85, Table4[[#This Row],[Performance_Deviation]] * 50 / 1000, 0)</f>
        <v>0</v>
      </c>
    </row>
    <row r="1643" spans="1:14" x14ac:dyDescent="0.3">
      <c r="A1643" s="6" t="s">
        <v>8</v>
      </c>
      <c r="B1643" s="5">
        <v>45298.375</v>
      </c>
      <c r="C1643" s="6">
        <v>511.87328844458199</v>
      </c>
      <c r="D1643" s="6">
        <v>496.14841698256799</v>
      </c>
      <c r="E1643" s="6">
        <v>496.14841698256799</v>
      </c>
      <c r="F1643" s="6">
        <v>65.285230913281495</v>
      </c>
      <c r="G1643" s="6" t="str">
        <f t="shared" si="50"/>
        <v>OK</v>
      </c>
      <c r="H1643" s="6" t="str">
        <f t="shared" si="51"/>
        <v>NON-ZERO</v>
      </c>
      <c r="I1643">
        <v>565.68542494923804</v>
      </c>
      <c r="J1643">
        <f>IFERROR(Table4[[#This Row],[energy_kwh]]/Table4[[#This Row],[expected_kwh]],0)</f>
        <v>0.87707477530836153</v>
      </c>
      <c r="K1643" t="str">
        <f>IF(Table4[[#This Row],[Performance_Ratio]] &lt; 0.85, "Underperforming", "Performing")</f>
        <v>Performing</v>
      </c>
      <c r="L1643">
        <f>Table4[[#This Row],[energy_kwh]] - Table4[[#This Row],[expected_kwh]]</f>
        <v>-69.537007966670046</v>
      </c>
      <c r="M1643" t="str">
        <f>IF(Table4[[#This Row],[Performance_Deviation]] &lt; 0, "Underperforming", "Outperforming")</f>
        <v>Underperforming</v>
      </c>
      <c r="N1643">
        <f>IF(Table4[[#This Row],[Performance_Ratio]] &lt; 0.85, Table4[[#This Row],[Performance_Deviation]] * 50 / 1000, 0)</f>
        <v>0</v>
      </c>
    </row>
    <row r="1644" spans="1:14" x14ac:dyDescent="0.3">
      <c r="A1644" s="4" t="s">
        <v>8</v>
      </c>
      <c r="B1644" s="3">
        <v>45298.416666666664</v>
      </c>
      <c r="C1644" s="4">
        <v>630.16650604571998</v>
      </c>
      <c r="D1644" s="4">
        <v>610.80763827329395</v>
      </c>
      <c r="E1644" s="4">
        <v>610.80763827329395</v>
      </c>
      <c r="F1644" s="4">
        <v>31.417116043764999</v>
      </c>
      <c r="G1644" s="4" t="str">
        <f t="shared" si="50"/>
        <v>OK</v>
      </c>
      <c r="H1644" s="4" t="str">
        <f t="shared" si="51"/>
        <v>NON-ZERO</v>
      </c>
      <c r="I1644">
        <v>692.82032302754999</v>
      </c>
      <c r="J1644">
        <f>IFERROR(Table4[[#This Row],[energy_kwh]]/Table4[[#This Row],[expected_kwh]],0)</f>
        <v>0.88162488595041577</v>
      </c>
      <c r="K1644" t="str">
        <f>IF(Table4[[#This Row],[Performance_Ratio]] &lt; 0.85, "Underperforming", "Performing")</f>
        <v>Performing</v>
      </c>
      <c r="L1644">
        <f>Table4[[#This Row],[energy_kwh]] - Table4[[#This Row],[expected_kwh]]</f>
        <v>-82.012684754256043</v>
      </c>
      <c r="M1644" t="str">
        <f>IF(Table4[[#This Row],[Performance_Deviation]] &lt; 0, "Underperforming", "Outperforming")</f>
        <v>Underperforming</v>
      </c>
      <c r="N1644">
        <f>IF(Table4[[#This Row],[Performance_Ratio]] &lt; 0.85, Table4[[#This Row],[Performance_Deviation]] * 50 / 1000, 0)</f>
        <v>0</v>
      </c>
    </row>
    <row r="1645" spans="1:14" x14ac:dyDescent="0.3">
      <c r="A1645" s="6" t="s">
        <v>8</v>
      </c>
      <c r="B1645" s="5">
        <v>45298.458333333336</v>
      </c>
      <c r="C1645" s="6">
        <v>733.65130595025801</v>
      </c>
      <c r="D1645" s="6">
        <v>711.11336004754696</v>
      </c>
      <c r="E1645" s="6">
        <v>711.11336004754696</v>
      </c>
      <c r="F1645" s="6">
        <v>63.933370319828498</v>
      </c>
      <c r="G1645" s="6" t="str">
        <f t="shared" si="50"/>
        <v>OK</v>
      </c>
      <c r="H1645" s="6" t="str">
        <f t="shared" si="51"/>
        <v>NON-ZERO</v>
      </c>
      <c r="I1645">
        <v>772.74066103125404</v>
      </c>
      <c r="J1645">
        <f>IFERROR(Table4[[#This Row],[energy_kwh]]/Table4[[#This Row],[expected_kwh]],0)</f>
        <v>0.92024840403575647</v>
      </c>
      <c r="K1645" t="str">
        <f>IF(Table4[[#This Row],[Performance_Ratio]] &lt; 0.85, "Underperforming", "Performing")</f>
        <v>Performing</v>
      </c>
      <c r="L1645">
        <f>Table4[[#This Row],[energy_kwh]] - Table4[[#This Row],[expected_kwh]]</f>
        <v>-61.627300983707073</v>
      </c>
      <c r="M1645" t="str">
        <f>IF(Table4[[#This Row],[Performance_Deviation]] &lt; 0, "Underperforming", "Outperforming")</f>
        <v>Underperforming</v>
      </c>
      <c r="N1645">
        <f>IF(Table4[[#This Row],[Performance_Ratio]] &lt; 0.85, Table4[[#This Row],[Performance_Deviation]] * 50 / 1000, 0)</f>
        <v>0</v>
      </c>
    </row>
    <row r="1646" spans="1:14" x14ac:dyDescent="0.3">
      <c r="A1646" s="4" t="s">
        <v>8</v>
      </c>
      <c r="B1646" s="3">
        <v>45298.5</v>
      </c>
      <c r="C1646" s="4">
        <v>685.19762689962499</v>
      </c>
      <c r="D1646" s="4">
        <v>664.14818975901096</v>
      </c>
      <c r="E1646" s="4">
        <v>664.14818975901096</v>
      </c>
      <c r="F1646" s="4">
        <v>53.647444371330003</v>
      </c>
      <c r="G1646" s="4" t="str">
        <f t="shared" si="50"/>
        <v>OK</v>
      </c>
      <c r="H1646" s="4" t="str">
        <f t="shared" si="51"/>
        <v>NON-ZERO</v>
      </c>
      <c r="I1646">
        <v>800</v>
      </c>
      <c r="J1646">
        <f>IFERROR(Table4[[#This Row],[energy_kwh]]/Table4[[#This Row],[expected_kwh]],0)</f>
        <v>0.83018523719876369</v>
      </c>
      <c r="K1646" t="str">
        <f>IF(Table4[[#This Row],[Performance_Ratio]] &lt; 0.85, "Underperforming", "Performing")</f>
        <v>Underperforming</v>
      </c>
      <c r="L1646">
        <f>Table4[[#This Row],[energy_kwh]] - Table4[[#This Row],[expected_kwh]]</f>
        <v>-135.85181024098904</v>
      </c>
      <c r="M1646" t="str">
        <f>IF(Table4[[#This Row],[Performance_Deviation]] &lt; 0, "Underperforming", "Outperforming")</f>
        <v>Underperforming</v>
      </c>
      <c r="N1646">
        <f>IF(Table4[[#This Row],[Performance_Ratio]] &lt; 0.85, Table4[[#This Row],[Performance_Deviation]] * 50 / 1000, 0)</f>
        <v>-6.7925905120494514</v>
      </c>
    </row>
    <row r="1647" spans="1:14" x14ac:dyDescent="0.3">
      <c r="A1647" s="6" t="s">
        <v>8</v>
      </c>
      <c r="B1647" s="5">
        <v>45298.541666666664</v>
      </c>
      <c r="C1647" s="6">
        <v>849.62358673922597</v>
      </c>
      <c r="D1647" s="6">
        <v>823.52294426740002</v>
      </c>
      <c r="E1647" s="6">
        <v>823.52294426740002</v>
      </c>
      <c r="F1647" s="6">
        <v>78.797888787919206</v>
      </c>
      <c r="G1647" s="6" t="str">
        <f t="shared" si="50"/>
        <v>OK</v>
      </c>
      <c r="H1647" s="6" t="str">
        <f t="shared" si="51"/>
        <v>NON-ZERO</v>
      </c>
      <c r="I1647">
        <v>772.74066103125404</v>
      </c>
      <c r="J1647">
        <f>IFERROR(Table4[[#This Row],[energy_kwh]]/Table4[[#This Row],[expected_kwh]],0)</f>
        <v>1.0657171102765253</v>
      </c>
      <c r="K1647" t="str">
        <f>IF(Table4[[#This Row],[Performance_Ratio]] &lt; 0.85, "Underperforming", "Performing")</f>
        <v>Performing</v>
      </c>
      <c r="L1647">
        <f>Table4[[#This Row],[energy_kwh]] - Table4[[#This Row],[expected_kwh]]</f>
        <v>50.782283236145986</v>
      </c>
      <c r="M1647" t="str">
        <f>IF(Table4[[#This Row],[Performance_Deviation]] &lt; 0, "Underperforming", "Outperforming")</f>
        <v>Outperforming</v>
      </c>
      <c r="N1647">
        <f>IF(Table4[[#This Row],[Performance_Ratio]] &lt; 0.85, Table4[[#This Row],[Performance_Deviation]] * 50 / 1000, 0)</f>
        <v>0</v>
      </c>
    </row>
    <row r="1648" spans="1:14" x14ac:dyDescent="0.3">
      <c r="A1648" s="4" t="s">
        <v>8</v>
      </c>
      <c r="B1648" s="3">
        <v>45298.583333333336</v>
      </c>
      <c r="C1648" s="4">
        <v>737.73434706104103</v>
      </c>
      <c r="D1648" s="4">
        <v>715.070969145974</v>
      </c>
      <c r="E1648" s="4">
        <v>715.070969145974</v>
      </c>
      <c r="F1648" s="4">
        <v>48.729410481575201</v>
      </c>
      <c r="G1648" s="4" t="str">
        <f t="shared" si="50"/>
        <v>OK</v>
      </c>
      <c r="H1648" s="4" t="str">
        <f t="shared" si="51"/>
        <v>NON-ZERO</v>
      </c>
      <c r="I1648">
        <v>692.82032302755101</v>
      </c>
      <c r="J1648">
        <f>IFERROR(Table4[[#This Row],[energy_kwh]]/Table4[[#This Row],[expected_kwh]],0)</f>
        <v>1.0321160413152866</v>
      </c>
      <c r="K1648" t="str">
        <f>IF(Table4[[#This Row],[Performance_Ratio]] &lt; 0.85, "Underperforming", "Performing")</f>
        <v>Performing</v>
      </c>
      <c r="L1648">
        <f>Table4[[#This Row],[energy_kwh]] - Table4[[#This Row],[expected_kwh]]</f>
        <v>22.250646118422992</v>
      </c>
      <c r="M1648" t="str">
        <f>IF(Table4[[#This Row],[Performance_Deviation]] &lt; 0, "Underperforming", "Outperforming")</f>
        <v>Outperforming</v>
      </c>
      <c r="N1648">
        <f>IF(Table4[[#This Row],[Performance_Ratio]] &lt; 0.85, Table4[[#This Row],[Performance_Deviation]] * 50 / 1000, 0)</f>
        <v>0</v>
      </c>
    </row>
    <row r="1649" spans="1:14" x14ac:dyDescent="0.3">
      <c r="A1649" s="6" t="s">
        <v>8</v>
      </c>
      <c r="B1649" s="5">
        <v>45298.625</v>
      </c>
      <c r="C1649" s="6">
        <v>490.61522347622201</v>
      </c>
      <c r="D1649" s="6">
        <v>475.54340492145002</v>
      </c>
      <c r="E1649" s="6">
        <v>475.54340492145002</v>
      </c>
      <c r="F1649" s="6">
        <v>35.389035717860502</v>
      </c>
      <c r="G1649" s="6" t="str">
        <f t="shared" si="50"/>
        <v>OK</v>
      </c>
      <c r="H1649" s="6" t="str">
        <f t="shared" si="51"/>
        <v>NON-ZERO</v>
      </c>
      <c r="I1649">
        <v>565.68542494923804</v>
      </c>
      <c r="J1649">
        <f>IFERROR(Table4[[#This Row],[energy_kwh]]/Table4[[#This Row],[expected_kwh]],0)</f>
        <v>0.84064991592124383</v>
      </c>
      <c r="K1649" t="str">
        <f>IF(Table4[[#This Row],[Performance_Ratio]] &lt; 0.85, "Underperforming", "Performing")</f>
        <v>Underperforming</v>
      </c>
      <c r="L1649">
        <f>Table4[[#This Row],[energy_kwh]] - Table4[[#This Row],[expected_kwh]]</f>
        <v>-90.142020027788021</v>
      </c>
      <c r="M1649" t="str">
        <f>IF(Table4[[#This Row],[Performance_Deviation]] &lt; 0, "Underperforming", "Outperforming")</f>
        <v>Underperforming</v>
      </c>
      <c r="N1649">
        <f>IF(Table4[[#This Row],[Performance_Ratio]] &lt; 0.85, Table4[[#This Row],[Performance_Deviation]] * 50 / 1000, 0)</f>
        <v>-4.5071010013894011</v>
      </c>
    </row>
    <row r="1650" spans="1:14" x14ac:dyDescent="0.3">
      <c r="A1650" s="4" t="s">
        <v>8</v>
      </c>
      <c r="B1650" s="3">
        <v>45298.666666666664</v>
      </c>
      <c r="C1650" s="4">
        <v>409.53377879974602</v>
      </c>
      <c r="D1650" s="4">
        <v>396.95280187370298</v>
      </c>
      <c r="E1650" s="4">
        <v>396.95280187370298</v>
      </c>
      <c r="F1650" s="4">
        <v>56.284767243709702</v>
      </c>
      <c r="G1650" s="4" t="str">
        <f t="shared" si="50"/>
        <v>OK</v>
      </c>
      <c r="H1650" s="4" t="str">
        <f t="shared" si="51"/>
        <v>NON-ZERO</v>
      </c>
      <c r="I1650">
        <v>399.99999999999898</v>
      </c>
      <c r="J1650">
        <f>IFERROR(Table4[[#This Row],[energy_kwh]]/Table4[[#This Row],[expected_kwh]],0)</f>
        <v>0.99238200468425997</v>
      </c>
      <c r="K1650" t="str">
        <f>IF(Table4[[#This Row],[Performance_Ratio]] &lt; 0.85, "Underperforming", "Performing")</f>
        <v>Performing</v>
      </c>
      <c r="L1650">
        <f>Table4[[#This Row],[energy_kwh]] - Table4[[#This Row],[expected_kwh]]</f>
        <v>-3.0471981262959957</v>
      </c>
      <c r="M1650" t="str">
        <f>IF(Table4[[#This Row],[Performance_Deviation]] &lt; 0, "Underperforming", "Outperforming")</f>
        <v>Underperforming</v>
      </c>
      <c r="N1650">
        <f>IF(Table4[[#This Row],[Performance_Ratio]] &lt; 0.85, Table4[[#This Row],[Performance_Deviation]] * 50 / 1000, 0)</f>
        <v>0</v>
      </c>
    </row>
    <row r="1651" spans="1:14" x14ac:dyDescent="0.3">
      <c r="A1651" s="6" t="s">
        <v>8</v>
      </c>
      <c r="B1651" s="5">
        <v>45298.708333333336</v>
      </c>
      <c r="C1651" s="6">
        <v>196.18039019357201</v>
      </c>
      <c r="D1651" s="6">
        <v>190.15368106691301</v>
      </c>
      <c r="E1651" s="6">
        <v>190.15368106691301</v>
      </c>
      <c r="F1651" s="6">
        <v>80.199218311416402</v>
      </c>
      <c r="G1651" s="6" t="str">
        <f t="shared" si="50"/>
        <v>OK</v>
      </c>
      <c r="H1651" s="6" t="str">
        <f t="shared" si="51"/>
        <v>NON-ZERO</v>
      </c>
      <c r="I1651">
        <v>207.05523608201599</v>
      </c>
      <c r="J1651">
        <f>IFERROR(Table4[[#This Row],[energy_kwh]]/Table4[[#This Row],[expected_kwh]],0)</f>
        <v>0.91837175753233224</v>
      </c>
      <c r="K1651" t="str">
        <f>IF(Table4[[#This Row],[Performance_Ratio]] &lt; 0.85, "Underperforming", "Performing")</f>
        <v>Performing</v>
      </c>
      <c r="L1651">
        <f>Table4[[#This Row],[energy_kwh]] - Table4[[#This Row],[expected_kwh]]</f>
        <v>-16.901555015102986</v>
      </c>
      <c r="M1651" t="str">
        <f>IF(Table4[[#This Row],[Performance_Deviation]] &lt; 0, "Underperforming", "Outperforming")</f>
        <v>Underperforming</v>
      </c>
      <c r="N1651">
        <f>IF(Table4[[#This Row],[Performance_Ratio]] &lt; 0.85, Table4[[#This Row],[Performance_Deviation]] * 50 / 1000, 0)</f>
        <v>0</v>
      </c>
    </row>
    <row r="1652" spans="1:14" x14ac:dyDescent="0.3">
      <c r="A1652" s="4" t="s">
        <v>8</v>
      </c>
      <c r="B1652" s="3">
        <v>45298.75</v>
      </c>
      <c r="C1652" s="7">
        <v>9.5804164810856304E-14</v>
      </c>
      <c r="D1652" s="7">
        <v>9.2861037651878899E-14</v>
      </c>
      <c r="E1652" s="7">
        <v>9.2861037651878899E-14</v>
      </c>
      <c r="F1652" s="4">
        <v>59.017286682731701</v>
      </c>
      <c r="G1652" s="4" t="str">
        <f t="shared" si="50"/>
        <v>OK</v>
      </c>
      <c r="H1652" s="4" t="str">
        <f t="shared" si="51"/>
        <v>NON-ZERO</v>
      </c>
      <c r="I1652" s="2">
        <v>9.7971743931788194E-14</v>
      </c>
      <c r="J1652">
        <f>IFERROR(Table4[[#This Row],[energy_kwh]]/Table4[[#This Row],[expected_kwh]],0)</f>
        <v>0.94783489529932663</v>
      </c>
      <c r="K1652" t="str">
        <f>IF(Table4[[#This Row],[Performance_Ratio]] &lt; 0.85, "Underperforming", "Performing")</f>
        <v>Performing</v>
      </c>
      <c r="L1652">
        <f>Table4[[#This Row],[energy_kwh]] - Table4[[#This Row],[expected_kwh]]</f>
        <v>-5.1107062799092956E-15</v>
      </c>
      <c r="M1652" t="str">
        <f>IF(Table4[[#This Row],[Performance_Deviation]] &lt; 0, "Underperforming", "Outperforming")</f>
        <v>Underperforming</v>
      </c>
      <c r="N1652">
        <f>IF(Table4[[#This Row],[Performance_Ratio]] &lt; 0.85, Table4[[#This Row],[Performance_Deviation]] * 50 / 1000, 0)</f>
        <v>0</v>
      </c>
    </row>
    <row r="1653" spans="1:14" x14ac:dyDescent="0.3">
      <c r="A1653" s="6" t="s">
        <v>8</v>
      </c>
      <c r="B1653" s="5">
        <v>45298.791666666664</v>
      </c>
      <c r="C1653" s="6">
        <v>0</v>
      </c>
      <c r="D1653" s="6">
        <v>0</v>
      </c>
      <c r="E1653" s="6">
        <v>0</v>
      </c>
      <c r="F1653" s="6">
        <v>29.826096398784902</v>
      </c>
      <c r="G1653" s="6" t="str">
        <f t="shared" si="50"/>
        <v>OK</v>
      </c>
      <c r="H1653" s="6" t="str">
        <f t="shared" si="51"/>
        <v>ZERO</v>
      </c>
      <c r="I1653">
        <v>0</v>
      </c>
      <c r="J1653">
        <f>IFERROR(Table4[[#This Row],[energy_kwh]]/Table4[[#This Row],[expected_kwh]],0)</f>
        <v>0</v>
      </c>
      <c r="K1653" t="str">
        <f>IF(Table4[[#This Row],[Performance_Ratio]] &lt; 0.85, "Underperforming", "Performing")</f>
        <v>Underperforming</v>
      </c>
      <c r="L1653">
        <f>Table4[[#This Row],[energy_kwh]] - Table4[[#This Row],[expected_kwh]]</f>
        <v>0</v>
      </c>
      <c r="M1653" t="str">
        <f>IF(Table4[[#This Row],[Performance_Deviation]] &lt; 0, "Underperforming", "Outperforming")</f>
        <v>Outperforming</v>
      </c>
      <c r="N1653">
        <f>IF(Table4[[#This Row],[Performance_Ratio]] &lt; 0.85, Table4[[#This Row],[Performance_Deviation]] * 50 / 1000, 0)</f>
        <v>0</v>
      </c>
    </row>
    <row r="1654" spans="1:14" x14ac:dyDescent="0.3">
      <c r="A1654" s="4" t="s">
        <v>8</v>
      </c>
      <c r="B1654" s="3">
        <v>45298.833333333336</v>
      </c>
      <c r="C1654" s="4">
        <v>0</v>
      </c>
      <c r="D1654" s="4">
        <v>0</v>
      </c>
      <c r="E1654" s="4">
        <v>0</v>
      </c>
      <c r="F1654" s="4">
        <v>33.719219447156298</v>
      </c>
      <c r="G1654" s="4" t="str">
        <f t="shared" si="50"/>
        <v>OK</v>
      </c>
      <c r="H1654" s="4" t="str">
        <f t="shared" si="51"/>
        <v>ZERO</v>
      </c>
      <c r="I1654">
        <v>0</v>
      </c>
      <c r="J1654">
        <f>IFERROR(Table4[[#This Row],[energy_kwh]]/Table4[[#This Row],[expected_kwh]],0)</f>
        <v>0</v>
      </c>
      <c r="K1654" t="str">
        <f>IF(Table4[[#This Row],[Performance_Ratio]] &lt; 0.85, "Underperforming", "Performing")</f>
        <v>Underperforming</v>
      </c>
      <c r="L1654">
        <f>Table4[[#This Row],[energy_kwh]] - Table4[[#This Row],[expected_kwh]]</f>
        <v>0</v>
      </c>
      <c r="M1654" t="str">
        <f>IF(Table4[[#This Row],[Performance_Deviation]] &lt; 0, "Underperforming", "Outperforming")</f>
        <v>Outperforming</v>
      </c>
      <c r="N1654">
        <f>IF(Table4[[#This Row],[Performance_Ratio]] &lt; 0.85, Table4[[#This Row],[Performance_Deviation]] * 50 / 1000, 0)</f>
        <v>0</v>
      </c>
    </row>
    <row r="1655" spans="1:14" x14ac:dyDescent="0.3">
      <c r="A1655" s="6" t="s">
        <v>8</v>
      </c>
      <c r="B1655" s="5">
        <v>45298.875</v>
      </c>
      <c r="C1655" s="6">
        <v>0</v>
      </c>
      <c r="D1655" s="6">
        <v>0</v>
      </c>
      <c r="E1655" s="6">
        <v>0</v>
      </c>
      <c r="F1655" s="6">
        <v>66.737931839913998</v>
      </c>
      <c r="G1655" s="6" t="str">
        <f t="shared" si="50"/>
        <v>OK</v>
      </c>
      <c r="H1655" s="6" t="str">
        <f t="shared" si="51"/>
        <v>ZERO</v>
      </c>
      <c r="I1655">
        <v>0</v>
      </c>
      <c r="J1655">
        <f>IFERROR(Table4[[#This Row],[energy_kwh]]/Table4[[#This Row],[expected_kwh]],0)</f>
        <v>0</v>
      </c>
      <c r="K1655" t="str">
        <f>IF(Table4[[#This Row],[Performance_Ratio]] &lt; 0.85, "Underperforming", "Performing")</f>
        <v>Underperforming</v>
      </c>
      <c r="L1655">
        <f>Table4[[#This Row],[energy_kwh]] - Table4[[#This Row],[expected_kwh]]</f>
        <v>0</v>
      </c>
      <c r="M1655" t="str">
        <f>IF(Table4[[#This Row],[Performance_Deviation]] &lt; 0, "Underperforming", "Outperforming")</f>
        <v>Outperforming</v>
      </c>
      <c r="N1655">
        <f>IF(Table4[[#This Row],[Performance_Ratio]] &lt; 0.85, Table4[[#This Row],[Performance_Deviation]] * 50 / 1000, 0)</f>
        <v>0</v>
      </c>
    </row>
    <row r="1656" spans="1:14" x14ac:dyDescent="0.3">
      <c r="A1656" s="4" t="s">
        <v>8</v>
      </c>
      <c r="B1656" s="3">
        <v>45298.916666666664</v>
      </c>
      <c r="C1656" s="4">
        <v>0</v>
      </c>
      <c r="D1656" s="4">
        <v>0</v>
      </c>
      <c r="E1656" s="4">
        <v>0</v>
      </c>
      <c r="F1656" s="4">
        <v>67.805345919588703</v>
      </c>
      <c r="G1656" s="4" t="str">
        <f t="shared" si="50"/>
        <v>OK</v>
      </c>
      <c r="H1656" s="4" t="str">
        <f t="shared" si="51"/>
        <v>ZERO</v>
      </c>
      <c r="I1656">
        <v>0</v>
      </c>
      <c r="J1656">
        <f>IFERROR(Table4[[#This Row],[energy_kwh]]/Table4[[#This Row],[expected_kwh]],0)</f>
        <v>0</v>
      </c>
      <c r="K1656" t="str">
        <f>IF(Table4[[#This Row],[Performance_Ratio]] &lt; 0.85, "Underperforming", "Performing")</f>
        <v>Underperforming</v>
      </c>
      <c r="L1656">
        <f>Table4[[#This Row],[energy_kwh]] - Table4[[#This Row],[expected_kwh]]</f>
        <v>0</v>
      </c>
      <c r="M1656" t="str">
        <f>IF(Table4[[#This Row],[Performance_Deviation]] &lt; 0, "Underperforming", "Outperforming")</f>
        <v>Outperforming</v>
      </c>
      <c r="N1656">
        <f>IF(Table4[[#This Row],[Performance_Ratio]] &lt; 0.85, Table4[[#This Row],[Performance_Deviation]] * 50 / 1000, 0)</f>
        <v>0</v>
      </c>
    </row>
    <row r="1657" spans="1:14" x14ac:dyDescent="0.3">
      <c r="A1657" s="6" t="s">
        <v>8</v>
      </c>
      <c r="B1657" s="5">
        <v>45298.958333333336</v>
      </c>
      <c r="C1657" s="6">
        <v>0</v>
      </c>
      <c r="D1657" s="6">
        <v>0</v>
      </c>
      <c r="E1657" s="6">
        <v>0</v>
      </c>
      <c r="F1657" s="6">
        <v>45.170693318067599</v>
      </c>
      <c r="G1657" s="6" t="str">
        <f t="shared" si="50"/>
        <v>OK</v>
      </c>
      <c r="H1657" s="6" t="str">
        <f t="shared" si="51"/>
        <v>ZERO</v>
      </c>
      <c r="I1657">
        <v>0</v>
      </c>
      <c r="J1657">
        <f>IFERROR(Table4[[#This Row],[energy_kwh]]/Table4[[#This Row],[expected_kwh]],0)</f>
        <v>0</v>
      </c>
      <c r="K1657" t="str">
        <f>IF(Table4[[#This Row],[Performance_Ratio]] &lt; 0.85, "Underperforming", "Performing")</f>
        <v>Underperforming</v>
      </c>
      <c r="L1657">
        <f>Table4[[#This Row],[energy_kwh]] - Table4[[#This Row],[expected_kwh]]</f>
        <v>0</v>
      </c>
      <c r="M1657" t="str">
        <f>IF(Table4[[#This Row],[Performance_Deviation]] &lt; 0, "Underperforming", "Outperforming")</f>
        <v>Outperforming</v>
      </c>
      <c r="N1657">
        <f>IF(Table4[[#This Row],[Performance_Ratio]] &lt; 0.85, Table4[[#This Row],[Performance_Deviation]] * 50 / 1000, 0)</f>
        <v>0</v>
      </c>
    </row>
    <row r="1658" spans="1:14" x14ac:dyDescent="0.3">
      <c r="A1658" s="4" t="s">
        <v>8</v>
      </c>
      <c r="B1658" s="3">
        <v>45299</v>
      </c>
      <c r="C1658" s="4">
        <v>0</v>
      </c>
      <c r="D1658" s="4">
        <v>0</v>
      </c>
      <c r="E1658" s="4">
        <v>0</v>
      </c>
      <c r="F1658" s="4">
        <v>21.3768787999417</v>
      </c>
      <c r="G1658" s="4" t="str">
        <f t="shared" si="50"/>
        <v>OK</v>
      </c>
      <c r="H1658" s="4" t="str">
        <f t="shared" si="51"/>
        <v>ZERO</v>
      </c>
      <c r="I1658">
        <v>0</v>
      </c>
      <c r="J1658">
        <f>IFERROR(Table4[[#This Row],[energy_kwh]]/Table4[[#This Row],[expected_kwh]],0)</f>
        <v>0</v>
      </c>
      <c r="K1658" t="str">
        <f>IF(Table4[[#This Row],[Performance_Ratio]] &lt; 0.85, "Underperforming", "Performing")</f>
        <v>Underperforming</v>
      </c>
      <c r="L1658">
        <f>Table4[[#This Row],[energy_kwh]] - Table4[[#This Row],[expected_kwh]]</f>
        <v>0</v>
      </c>
      <c r="M1658" t="str">
        <f>IF(Table4[[#This Row],[Performance_Deviation]] &lt; 0, "Underperforming", "Outperforming")</f>
        <v>Outperforming</v>
      </c>
      <c r="N1658">
        <f>IF(Table4[[#This Row],[Performance_Ratio]] &lt; 0.85, Table4[[#This Row],[Performance_Deviation]] * 50 / 1000, 0)</f>
        <v>0</v>
      </c>
    </row>
    <row r="1659" spans="1:14" x14ac:dyDescent="0.3">
      <c r="A1659" s="6" t="s">
        <v>8</v>
      </c>
      <c r="B1659" s="5">
        <v>45299.041666666664</v>
      </c>
      <c r="C1659" s="6">
        <v>0</v>
      </c>
      <c r="D1659" s="6">
        <v>0</v>
      </c>
      <c r="E1659" s="6">
        <v>0</v>
      </c>
      <c r="F1659" s="6">
        <v>43.238533756495997</v>
      </c>
      <c r="G1659" s="6" t="str">
        <f t="shared" si="50"/>
        <v>OK</v>
      </c>
      <c r="H1659" s="6" t="str">
        <f t="shared" si="51"/>
        <v>ZERO</v>
      </c>
      <c r="I1659">
        <v>0</v>
      </c>
      <c r="J1659">
        <f>IFERROR(Table4[[#This Row],[energy_kwh]]/Table4[[#This Row],[expected_kwh]],0)</f>
        <v>0</v>
      </c>
      <c r="K1659" t="str">
        <f>IF(Table4[[#This Row],[Performance_Ratio]] &lt; 0.85, "Underperforming", "Performing")</f>
        <v>Underperforming</v>
      </c>
      <c r="L1659">
        <f>Table4[[#This Row],[energy_kwh]] - Table4[[#This Row],[expected_kwh]]</f>
        <v>0</v>
      </c>
      <c r="M1659" t="str">
        <f>IF(Table4[[#This Row],[Performance_Deviation]] &lt; 0, "Underperforming", "Outperforming")</f>
        <v>Outperforming</v>
      </c>
      <c r="N1659">
        <f>IF(Table4[[#This Row],[Performance_Ratio]] &lt; 0.85, Table4[[#This Row],[Performance_Deviation]] * 50 / 1000, 0)</f>
        <v>0</v>
      </c>
    </row>
    <row r="1660" spans="1:14" x14ac:dyDescent="0.3">
      <c r="A1660" s="4" t="s">
        <v>8</v>
      </c>
      <c r="B1660" s="3">
        <v>45299.083333333336</v>
      </c>
      <c r="C1660" s="4">
        <v>0</v>
      </c>
      <c r="D1660" s="4">
        <v>0</v>
      </c>
      <c r="E1660" s="4">
        <v>0</v>
      </c>
      <c r="F1660" s="4">
        <v>64.436224542619698</v>
      </c>
      <c r="G1660" s="4" t="str">
        <f t="shared" si="50"/>
        <v>OK</v>
      </c>
      <c r="H1660" s="4" t="str">
        <f t="shared" si="51"/>
        <v>ZERO</v>
      </c>
      <c r="I1660">
        <v>0</v>
      </c>
      <c r="J1660">
        <f>IFERROR(Table4[[#This Row],[energy_kwh]]/Table4[[#This Row],[expected_kwh]],0)</f>
        <v>0</v>
      </c>
      <c r="K1660" t="str">
        <f>IF(Table4[[#This Row],[Performance_Ratio]] &lt; 0.85, "Underperforming", "Performing")</f>
        <v>Underperforming</v>
      </c>
      <c r="L1660">
        <f>Table4[[#This Row],[energy_kwh]] - Table4[[#This Row],[expected_kwh]]</f>
        <v>0</v>
      </c>
      <c r="M1660" t="str">
        <f>IF(Table4[[#This Row],[Performance_Deviation]] &lt; 0, "Underperforming", "Outperforming")</f>
        <v>Outperforming</v>
      </c>
      <c r="N1660">
        <f>IF(Table4[[#This Row],[Performance_Ratio]] &lt; 0.85, Table4[[#This Row],[Performance_Deviation]] * 50 / 1000, 0)</f>
        <v>0</v>
      </c>
    </row>
    <row r="1661" spans="1:14" x14ac:dyDescent="0.3">
      <c r="A1661" s="6" t="s">
        <v>8</v>
      </c>
      <c r="B1661" s="5">
        <v>45299.125</v>
      </c>
      <c r="C1661" s="6">
        <v>0</v>
      </c>
      <c r="D1661" s="6">
        <v>0</v>
      </c>
      <c r="E1661" s="6">
        <v>0</v>
      </c>
      <c r="F1661" s="6">
        <v>37.747484860250601</v>
      </c>
      <c r="G1661" s="6" t="str">
        <f t="shared" si="50"/>
        <v>OK</v>
      </c>
      <c r="H1661" s="6" t="str">
        <f t="shared" si="51"/>
        <v>ZERO</v>
      </c>
      <c r="I1661">
        <v>0</v>
      </c>
      <c r="J1661">
        <f>IFERROR(Table4[[#This Row],[energy_kwh]]/Table4[[#This Row],[expected_kwh]],0)</f>
        <v>0</v>
      </c>
      <c r="K1661" t="str">
        <f>IF(Table4[[#This Row],[Performance_Ratio]] &lt; 0.85, "Underperforming", "Performing")</f>
        <v>Underperforming</v>
      </c>
      <c r="L1661">
        <f>Table4[[#This Row],[energy_kwh]] - Table4[[#This Row],[expected_kwh]]</f>
        <v>0</v>
      </c>
      <c r="M1661" t="str">
        <f>IF(Table4[[#This Row],[Performance_Deviation]] &lt; 0, "Underperforming", "Outperforming")</f>
        <v>Outperforming</v>
      </c>
      <c r="N1661">
        <f>IF(Table4[[#This Row],[Performance_Ratio]] &lt; 0.85, Table4[[#This Row],[Performance_Deviation]] * 50 / 1000, 0)</f>
        <v>0</v>
      </c>
    </row>
    <row r="1662" spans="1:14" x14ac:dyDescent="0.3">
      <c r="A1662" s="4" t="s">
        <v>8</v>
      </c>
      <c r="B1662" s="3">
        <v>45299.166666666664</v>
      </c>
      <c r="C1662" s="4">
        <v>0</v>
      </c>
      <c r="D1662" s="4">
        <v>0</v>
      </c>
      <c r="E1662" s="4">
        <v>0</v>
      </c>
      <c r="F1662" s="4">
        <v>38.355880972769498</v>
      </c>
      <c r="G1662" s="4" t="str">
        <f t="shared" si="50"/>
        <v>OK</v>
      </c>
      <c r="H1662" s="4" t="str">
        <f t="shared" si="51"/>
        <v>ZERO</v>
      </c>
      <c r="I1662">
        <v>0</v>
      </c>
      <c r="J1662">
        <f>IFERROR(Table4[[#This Row],[energy_kwh]]/Table4[[#This Row],[expected_kwh]],0)</f>
        <v>0</v>
      </c>
      <c r="K1662" t="str">
        <f>IF(Table4[[#This Row],[Performance_Ratio]] &lt; 0.85, "Underperforming", "Performing")</f>
        <v>Underperforming</v>
      </c>
      <c r="L1662">
        <f>Table4[[#This Row],[energy_kwh]] - Table4[[#This Row],[expected_kwh]]</f>
        <v>0</v>
      </c>
      <c r="M1662" t="str">
        <f>IF(Table4[[#This Row],[Performance_Deviation]] &lt; 0, "Underperforming", "Outperforming")</f>
        <v>Outperforming</v>
      </c>
      <c r="N1662">
        <f>IF(Table4[[#This Row],[Performance_Ratio]] &lt; 0.85, Table4[[#This Row],[Performance_Deviation]] * 50 / 1000, 0)</f>
        <v>0</v>
      </c>
    </row>
    <row r="1663" spans="1:14" x14ac:dyDescent="0.3">
      <c r="A1663" s="6" t="s">
        <v>8</v>
      </c>
      <c r="B1663" s="5">
        <v>45299.208333333336</v>
      </c>
      <c r="C1663" s="6">
        <v>0</v>
      </c>
      <c r="D1663" s="6">
        <v>0</v>
      </c>
      <c r="E1663" s="6">
        <v>0</v>
      </c>
      <c r="F1663" s="6">
        <v>74.025002687449401</v>
      </c>
      <c r="G1663" s="6" t="str">
        <f t="shared" si="50"/>
        <v>OK</v>
      </c>
      <c r="H1663" s="6" t="str">
        <f t="shared" si="51"/>
        <v>ZERO</v>
      </c>
      <c r="I1663">
        <v>0</v>
      </c>
      <c r="J1663">
        <f>IFERROR(Table4[[#This Row],[energy_kwh]]/Table4[[#This Row],[expected_kwh]],0)</f>
        <v>0</v>
      </c>
      <c r="K1663" t="str">
        <f>IF(Table4[[#This Row],[Performance_Ratio]] &lt; 0.85, "Underperforming", "Performing")</f>
        <v>Underperforming</v>
      </c>
      <c r="L1663">
        <f>Table4[[#This Row],[energy_kwh]] - Table4[[#This Row],[expected_kwh]]</f>
        <v>0</v>
      </c>
      <c r="M1663" t="str">
        <f>IF(Table4[[#This Row],[Performance_Deviation]] &lt; 0, "Underperforming", "Outperforming")</f>
        <v>Outperforming</v>
      </c>
      <c r="N1663">
        <f>IF(Table4[[#This Row],[Performance_Ratio]] &lt; 0.85, Table4[[#This Row],[Performance_Deviation]] * 50 / 1000, 0)</f>
        <v>0</v>
      </c>
    </row>
    <row r="1664" spans="1:14" x14ac:dyDescent="0.3">
      <c r="A1664" s="4" t="s">
        <v>8</v>
      </c>
      <c r="B1664" s="3">
        <v>45299.25</v>
      </c>
      <c r="C1664" s="4">
        <v>0</v>
      </c>
      <c r="D1664" s="4">
        <v>0</v>
      </c>
      <c r="E1664" s="4">
        <v>0</v>
      </c>
      <c r="F1664" s="4">
        <v>88.106276529488994</v>
      </c>
      <c r="G1664" s="4" t="str">
        <f t="shared" si="50"/>
        <v>OK</v>
      </c>
      <c r="H1664" s="4" t="str">
        <f t="shared" si="51"/>
        <v>ZERO</v>
      </c>
      <c r="I1664">
        <v>0</v>
      </c>
      <c r="J1664">
        <f>IFERROR(Table4[[#This Row],[energy_kwh]]/Table4[[#This Row],[expected_kwh]],0)</f>
        <v>0</v>
      </c>
      <c r="K1664" t="str">
        <f>IF(Table4[[#This Row],[Performance_Ratio]] &lt; 0.85, "Underperforming", "Performing")</f>
        <v>Underperforming</v>
      </c>
      <c r="L1664">
        <f>Table4[[#This Row],[energy_kwh]] - Table4[[#This Row],[expected_kwh]]</f>
        <v>0</v>
      </c>
      <c r="M1664" t="str">
        <f>IF(Table4[[#This Row],[Performance_Deviation]] &lt; 0, "Underperforming", "Outperforming")</f>
        <v>Outperforming</v>
      </c>
      <c r="N1664">
        <f>IF(Table4[[#This Row],[Performance_Ratio]] &lt; 0.85, Table4[[#This Row],[Performance_Deviation]] * 50 / 1000, 0)</f>
        <v>0</v>
      </c>
    </row>
    <row r="1665" spans="1:14" x14ac:dyDescent="0.3">
      <c r="A1665" s="6" t="s">
        <v>8</v>
      </c>
      <c r="B1665" s="5">
        <v>45299.291666666664</v>
      </c>
      <c r="C1665" s="6">
        <v>207.84315707019201</v>
      </c>
      <c r="D1665" s="6">
        <v>201.45816491887399</v>
      </c>
      <c r="E1665" s="6">
        <v>201.45816491887399</v>
      </c>
      <c r="F1665" s="6">
        <v>71.942960005818605</v>
      </c>
      <c r="G1665" s="6" t="str">
        <f t="shared" si="50"/>
        <v>OK</v>
      </c>
      <c r="H1665" s="6" t="str">
        <f t="shared" si="51"/>
        <v>NON-ZERO</v>
      </c>
      <c r="I1665">
        <v>207.05523608201599</v>
      </c>
      <c r="J1665">
        <f>IFERROR(Table4[[#This Row],[energy_kwh]]/Table4[[#This Row],[expected_kwh]],0)</f>
        <v>0.97296822205971667</v>
      </c>
      <c r="K1665" t="str">
        <f>IF(Table4[[#This Row],[Performance_Ratio]] &lt; 0.85, "Underperforming", "Performing")</f>
        <v>Performing</v>
      </c>
      <c r="L1665">
        <f>Table4[[#This Row],[energy_kwh]] - Table4[[#This Row],[expected_kwh]]</f>
        <v>-5.5970711631420045</v>
      </c>
      <c r="M1665" t="str">
        <f>IF(Table4[[#This Row],[Performance_Deviation]] &lt; 0, "Underperforming", "Outperforming")</f>
        <v>Underperforming</v>
      </c>
      <c r="N1665">
        <f>IF(Table4[[#This Row],[Performance_Ratio]] &lt; 0.85, Table4[[#This Row],[Performance_Deviation]] * 50 / 1000, 0)</f>
        <v>0</v>
      </c>
    </row>
    <row r="1666" spans="1:14" x14ac:dyDescent="0.3">
      <c r="A1666" s="4" t="s">
        <v>8</v>
      </c>
      <c r="B1666" s="3">
        <v>45299.333333333336</v>
      </c>
      <c r="C1666" s="4">
        <v>403.995894857655</v>
      </c>
      <c r="D1666" s="4">
        <v>391.58504306829502</v>
      </c>
      <c r="E1666" s="4">
        <v>391.58504306829502</v>
      </c>
      <c r="F1666" s="4">
        <v>85.959702013391905</v>
      </c>
      <c r="G1666" s="4" t="str">
        <f t="shared" ref="G1666:G1729" si="52">IF(D1666 &gt; C1666, "ERROR", "OK")</f>
        <v>OK</v>
      </c>
      <c r="H1666" s="4" t="str">
        <f t="shared" ref="H1666:H1729" si="53">IF(E1666=0,"ZERO","NON-ZERO")</f>
        <v>NON-ZERO</v>
      </c>
      <c r="I1666">
        <v>399.99999999999898</v>
      </c>
      <c r="J1666">
        <f>IFERROR(Table4[[#This Row],[energy_kwh]]/Table4[[#This Row],[expected_kwh]],0)</f>
        <v>0.97896260767074006</v>
      </c>
      <c r="K1666" t="str">
        <f>IF(Table4[[#This Row],[Performance_Ratio]] &lt; 0.85, "Underperforming", "Performing")</f>
        <v>Performing</v>
      </c>
      <c r="L1666">
        <f>Table4[[#This Row],[energy_kwh]] - Table4[[#This Row],[expected_kwh]]</f>
        <v>-8.414956931703955</v>
      </c>
      <c r="M1666" t="str">
        <f>IF(Table4[[#This Row],[Performance_Deviation]] &lt; 0, "Underperforming", "Outperforming")</f>
        <v>Underperforming</v>
      </c>
      <c r="N1666">
        <f>IF(Table4[[#This Row],[Performance_Ratio]] &lt; 0.85, Table4[[#This Row],[Performance_Deviation]] * 50 / 1000, 0)</f>
        <v>0</v>
      </c>
    </row>
    <row r="1667" spans="1:14" x14ac:dyDescent="0.3">
      <c r="A1667" s="6" t="s">
        <v>8</v>
      </c>
      <c r="B1667" s="5">
        <v>45299.375</v>
      </c>
      <c r="C1667" s="6">
        <v>543.38909462458605</v>
      </c>
      <c r="D1667" s="6">
        <v>526.696049959574</v>
      </c>
      <c r="E1667" s="6">
        <v>526.696049959574</v>
      </c>
      <c r="F1667" s="6">
        <v>25.2845508250218</v>
      </c>
      <c r="G1667" s="6" t="str">
        <f t="shared" si="52"/>
        <v>OK</v>
      </c>
      <c r="H1667" s="6" t="str">
        <f t="shared" si="53"/>
        <v>NON-ZERO</v>
      </c>
      <c r="I1667">
        <v>565.68542494923804</v>
      </c>
      <c r="J1667">
        <f>IFERROR(Table4[[#This Row],[energy_kwh]]/Table4[[#This Row],[expected_kwh]],0)</f>
        <v>0.93107587137645842</v>
      </c>
      <c r="K1667" t="str">
        <f>IF(Table4[[#This Row],[Performance_Ratio]] &lt; 0.85, "Underperforming", "Performing")</f>
        <v>Performing</v>
      </c>
      <c r="L1667">
        <f>Table4[[#This Row],[energy_kwh]] - Table4[[#This Row],[expected_kwh]]</f>
        <v>-38.989374989664043</v>
      </c>
      <c r="M1667" t="str">
        <f>IF(Table4[[#This Row],[Performance_Deviation]] &lt; 0, "Underperforming", "Outperforming")</f>
        <v>Underperforming</v>
      </c>
      <c r="N1667">
        <f>IF(Table4[[#This Row],[Performance_Ratio]] &lt; 0.85, Table4[[#This Row],[Performance_Deviation]] * 50 / 1000, 0)</f>
        <v>0</v>
      </c>
    </row>
    <row r="1668" spans="1:14" x14ac:dyDescent="0.3">
      <c r="A1668" s="4" t="s">
        <v>8</v>
      </c>
      <c r="B1668" s="3">
        <v>45299.416666666664</v>
      </c>
      <c r="C1668" s="4">
        <v>612.76408695607904</v>
      </c>
      <c r="D1668" s="4">
        <v>593.93982571517199</v>
      </c>
      <c r="E1668" s="4">
        <v>593.93982571517199</v>
      </c>
      <c r="F1668" s="4">
        <v>54.565155145223898</v>
      </c>
      <c r="G1668" s="4" t="str">
        <f t="shared" si="52"/>
        <v>OK</v>
      </c>
      <c r="H1668" s="4" t="str">
        <f t="shared" si="53"/>
        <v>NON-ZERO</v>
      </c>
      <c r="I1668">
        <v>692.82032302754999</v>
      </c>
      <c r="J1668">
        <f>IFERROR(Table4[[#This Row],[energy_kwh]]/Table4[[#This Row],[expected_kwh]],0)</f>
        <v>0.85727829564773605</v>
      </c>
      <c r="K1668" t="str">
        <f>IF(Table4[[#This Row],[Performance_Ratio]] &lt; 0.85, "Underperforming", "Performing")</f>
        <v>Performing</v>
      </c>
      <c r="L1668">
        <f>Table4[[#This Row],[energy_kwh]] - Table4[[#This Row],[expected_kwh]]</f>
        <v>-98.880497312377997</v>
      </c>
      <c r="M1668" t="str">
        <f>IF(Table4[[#This Row],[Performance_Deviation]] &lt; 0, "Underperforming", "Outperforming")</f>
        <v>Underperforming</v>
      </c>
      <c r="N1668">
        <f>IF(Table4[[#This Row],[Performance_Ratio]] &lt; 0.85, Table4[[#This Row],[Performance_Deviation]] * 50 / 1000, 0)</f>
        <v>0</v>
      </c>
    </row>
    <row r="1669" spans="1:14" x14ac:dyDescent="0.3">
      <c r="A1669" s="6" t="s">
        <v>8</v>
      </c>
      <c r="B1669" s="5">
        <v>45299.458333333336</v>
      </c>
      <c r="C1669" s="6">
        <v>670.06739382946398</v>
      </c>
      <c r="D1669" s="6">
        <v>649.48276111523705</v>
      </c>
      <c r="E1669" s="6">
        <v>649.48276111523705</v>
      </c>
      <c r="F1669" s="6">
        <v>56.483179035640497</v>
      </c>
      <c r="G1669" s="6" t="str">
        <f t="shared" si="52"/>
        <v>OK</v>
      </c>
      <c r="H1669" s="6" t="str">
        <f t="shared" si="53"/>
        <v>NON-ZERO</v>
      </c>
      <c r="I1669">
        <v>772.74066103125404</v>
      </c>
      <c r="J1669">
        <f>IFERROR(Table4[[#This Row],[energy_kwh]]/Table4[[#This Row],[expected_kwh]],0)</f>
        <v>0.84049254021197195</v>
      </c>
      <c r="K1669" t="str">
        <f>IF(Table4[[#This Row],[Performance_Ratio]] &lt; 0.85, "Underperforming", "Performing")</f>
        <v>Underperforming</v>
      </c>
      <c r="L1669">
        <f>Table4[[#This Row],[energy_kwh]] - Table4[[#This Row],[expected_kwh]]</f>
        <v>-123.25789991601698</v>
      </c>
      <c r="M1669" t="str">
        <f>IF(Table4[[#This Row],[Performance_Deviation]] &lt; 0, "Underperforming", "Outperforming")</f>
        <v>Underperforming</v>
      </c>
      <c r="N1669">
        <f>IF(Table4[[#This Row],[Performance_Ratio]] &lt; 0.85, Table4[[#This Row],[Performance_Deviation]] * 50 / 1000, 0)</f>
        <v>-6.1628949958008485</v>
      </c>
    </row>
    <row r="1670" spans="1:14" x14ac:dyDescent="0.3">
      <c r="A1670" s="4" t="s">
        <v>8</v>
      </c>
      <c r="B1670" s="3">
        <v>45299.5</v>
      </c>
      <c r="C1670" s="4">
        <v>794.28544083478698</v>
      </c>
      <c r="D1670" s="4">
        <v>769.884799615102</v>
      </c>
      <c r="E1670" s="4">
        <v>769.884799615102</v>
      </c>
      <c r="F1670" s="4">
        <v>29.471260443842599</v>
      </c>
      <c r="G1670" s="4" t="str">
        <f t="shared" si="52"/>
        <v>OK</v>
      </c>
      <c r="H1670" s="4" t="str">
        <f t="shared" si="53"/>
        <v>NON-ZERO</v>
      </c>
      <c r="I1670">
        <v>800</v>
      </c>
      <c r="J1670">
        <f>IFERROR(Table4[[#This Row],[energy_kwh]]/Table4[[#This Row],[expected_kwh]],0)</f>
        <v>0.96235599951887751</v>
      </c>
      <c r="K1670" t="str">
        <f>IF(Table4[[#This Row],[Performance_Ratio]] &lt; 0.85, "Underperforming", "Performing")</f>
        <v>Performing</v>
      </c>
      <c r="L1670">
        <f>Table4[[#This Row],[energy_kwh]] - Table4[[#This Row],[expected_kwh]]</f>
        <v>-30.115200384898003</v>
      </c>
      <c r="M1670" t="str">
        <f>IF(Table4[[#This Row],[Performance_Deviation]] &lt; 0, "Underperforming", "Outperforming")</f>
        <v>Underperforming</v>
      </c>
      <c r="N1670">
        <f>IF(Table4[[#This Row],[Performance_Ratio]] &lt; 0.85, Table4[[#This Row],[Performance_Deviation]] * 50 / 1000, 0)</f>
        <v>0</v>
      </c>
    </row>
    <row r="1671" spans="1:14" x14ac:dyDescent="0.3">
      <c r="A1671" s="6" t="s">
        <v>8</v>
      </c>
      <c r="B1671" s="5">
        <v>45299.541666666664</v>
      </c>
      <c r="C1671" s="6">
        <v>755.63730958623</v>
      </c>
      <c r="D1671" s="6">
        <v>732.42394832400703</v>
      </c>
      <c r="E1671" s="6">
        <v>732.42394832400703</v>
      </c>
      <c r="F1671" s="6">
        <v>78.100470288634796</v>
      </c>
      <c r="G1671" s="6" t="str">
        <f t="shared" si="52"/>
        <v>OK</v>
      </c>
      <c r="H1671" s="6" t="str">
        <f t="shared" si="53"/>
        <v>NON-ZERO</v>
      </c>
      <c r="I1671">
        <v>772.74066103125404</v>
      </c>
      <c r="J1671">
        <f>IFERROR(Table4[[#This Row],[energy_kwh]]/Table4[[#This Row],[expected_kwh]],0)</f>
        <v>0.94782633457718823</v>
      </c>
      <c r="K1671" t="str">
        <f>IF(Table4[[#This Row],[Performance_Ratio]] &lt; 0.85, "Underperforming", "Performing")</f>
        <v>Performing</v>
      </c>
      <c r="L1671">
        <f>Table4[[#This Row],[energy_kwh]] - Table4[[#This Row],[expected_kwh]]</f>
        <v>-40.316712707247007</v>
      </c>
      <c r="M1671" t="str">
        <f>IF(Table4[[#This Row],[Performance_Deviation]] &lt; 0, "Underperforming", "Outperforming")</f>
        <v>Underperforming</v>
      </c>
      <c r="N1671">
        <f>IF(Table4[[#This Row],[Performance_Ratio]] &lt; 0.85, Table4[[#This Row],[Performance_Deviation]] * 50 / 1000, 0)</f>
        <v>0</v>
      </c>
    </row>
    <row r="1672" spans="1:14" x14ac:dyDescent="0.3">
      <c r="A1672" s="4" t="s">
        <v>8</v>
      </c>
      <c r="B1672" s="3">
        <v>45299.583333333336</v>
      </c>
      <c r="C1672" s="4">
        <v>668.10519860385</v>
      </c>
      <c r="D1672" s="4">
        <v>647.58084500244797</v>
      </c>
      <c r="E1672" s="4">
        <v>647.58084500244797</v>
      </c>
      <c r="F1672" s="4">
        <v>36.429437979491198</v>
      </c>
      <c r="G1672" s="4" t="str">
        <f t="shared" si="52"/>
        <v>OK</v>
      </c>
      <c r="H1672" s="4" t="str">
        <f t="shared" si="53"/>
        <v>NON-ZERO</v>
      </c>
      <c r="I1672">
        <v>692.82032302755101</v>
      </c>
      <c r="J1672">
        <f>IFERROR(Table4[[#This Row],[energy_kwh]]/Table4[[#This Row],[expected_kwh]],0)</f>
        <v>0.93470243796052155</v>
      </c>
      <c r="K1672" t="str">
        <f>IF(Table4[[#This Row],[Performance_Ratio]] &lt; 0.85, "Underperforming", "Performing")</f>
        <v>Performing</v>
      </c>
      <c r="L1672">
        <f>Table4[[#This Row],[energy_kwh]] - Table4[[#This Row],[expected_kwh]]</f>
        <v>-45.23947802510304</v>
      </c>
      <c r="M1672" t="str">
        <f>IF(Table4[[#This Row],[Performance_Deviation]] &lt; 0, "Underperforming", "Outperforming")</f>
        <v>Underperforming</v>
      </c>
      <c r="N1672">
        <f>IF(Table4[[#This Row],[Performance_Ratio]] &lt; 0.85, Table4[[#This Row],[Performance_Deviation]] * 50 / 1000, 0)</f>
        <v>0</v>
      </c>
    </row>
    <row r="1673" spans="1:14" x14ac:dyDescent="0.3">
      <c r="A1673" s="6" t="s">
        <v>8</v>
      </c>
      <c r="B1673" s="5">
        <v>45299.625</v>
      </c>
      <c r="C1673" s="6">
        <v>533.00524487669895</v>
      </c>
      <c r="D1673" s="6">
        <v>516.63119459223503</v>
      </c>
      <c r="E1673" s="6">
        <v>516.63119459223503</v>
      </c>
      <c r="F1673" s="6">
        <v>77.748021365495006</v>
      </c>
      <c r="G1673" s="6" t="str">
        <f t="shared" si="52"/>
        <v>OK</v>
      </c>
      <c r="H1673" s="6" t="str">
        <f t="shared" si="53"/>
        <v>NON-ZERO</v>
      </c>
      <c r="I1673">
        <v>565.68542494923804</v>
      </c>
      <c r="J1673">
        <f>IFERROR(Table4[[#This Row],[energy_kwh]]/Table4[[#This Row],[expected_kwh]],0)</f>
        <v>0.91328355267169048</v>
      </c>
      <c r="K1673" t="str">
        <f>IF(Table4[[#This Row],[Performance_Ratio]] &lt; 0.85, "Underperforming", "Performing")</f>
        <v>Performing</v>
      </c>
      <c r="L1673">
        <f>Table4[[#This Row],[energy_kwh]] - Table4[[#This Row],[expected_kwh]]</f>
        <v>-49.054230357003007</v>
      </c>
      <c r="M1673" t="str">
        <f>IF(Table4[[#This Row],[Performance_Deviation]] &lt; 0, "Underperforming", "Outperforming")</f>
        <v>Underperforming</v>
      </c>
      <c r="N1673">
        <f>IF(Table4[[#This Row],[Performance_Ratio]] &lt; 0.85, Table4[[#This Row],[Performance_Deviation]] * 50 / 1000, 0)</f>
        <v>0</v>
      </c>
    </row>
    <row r="1674" spans="1:14" x14ac:dyDescent="0.3">
      <c r="A1674" s="4" t="s">
        <v>8</v>
      </c>
      <c r="B1674" s="3">
        <v>45299.666666666664</v>
      </c>
      <c r="C1674" s="4">
        <v>371.05427802396503</v>
      </c>
      <c r="D1674" s="4">
        <v>359.655400686397</v>
      </c>
      <c r="E1674" s="4">
        <v>359.655400686397</v>
      </c>
      <c r="F1674" s="4">
        <v>54.635486117151402</v>
      </c>
      <c r="G1674" s="4" t="str">
        <f t="shared" si="52"/>
        <v>OK</v>
      </c>
      <c r="H1674" s="4" t="str">
        <f t="shared" si="53"/>
        <v>NON-ZERO</v>
      </c>
      <c r="I1674">
        <v>399.99999999999898</v>
      </c>
      <c r="J1674">
        <f>IFERROR(Table4[[#This Row],[energy_kwh]]/Table4[[#This Row],[expected_kwh]],0)</f>
        <v>0.89913850171599485</v>
      </c>
      <c r="K1674" t="str">
        <f>IF(Table4[[#This Row],[Performance_Ratio]] &lt; 0.85, "Underperforming", "Performing")</f>
        <v>Performing</v>
      </c>
      <c r="L1674">
        <f>Table4[[#This Row],[energy_kwh]] - Table4[[#This Row],[expected_kwh]]</f>
        <v>-40.344599313601975</v>
      </c>
      <c r="M1674" t="str">
        <f>IF(Table4[[#This Row],[Performance_Deviation]] &lt; 0, "Underperforming", "Outperforming")</f>
        <v>Underperforming</v>
      </c>
      <c r="N1674">
        <f>IF(Table4[[#This Row],[Performance_Ratio]] &lt; 0.85, Table4[[#This Row],[Performance_Deviation]] * 50 / 1000, 0)</f>
        <v>0</v>
      </c>
    </row>
    <row r="1675" spans="1:14" x14ac:dyDescent="0.3">
      <c r="A1675" s="6" t="s">
        <v>8</v>
      </c>
      <c r="B1675" s="5">
        <v>45299.708333333336</v>
      </c>
      <c r="C1675" s="6">
        <v>204.57080812571201</v>
      </c>
      <c r="D1675" s="6">
        <v>198.28634332694901</v>
      </c>
      <c r="E1675" s="6">
        <v>198.28634332694901</v>
      </c>
      <c r="F1675" s="6">
        <v>74.741683827769805</v>
      </c>
      <c r="G1675" s="6" t="str">
        <f t="shared" si="52"/>
        <v>OK</v>
      </c>
      <c r="H1675" s="6" t="str">
        <f t="shared" si="53"/>
        <v>NON-ZERO</v>
      </c>
      <c r="I1675">
        <v>207.05523608201599</v>
      </c>
      <c r="J1675">
        <f>IFERROR(Table4[[#This Row],[energy_kwh]]/Table4[[#This Row],[expected_kwh]],0)</f>
        <v>0.95764950009960836</v>
      </c>
      <c r="K1675" t="str">
        <f>IF(Table4[[#This Row],[Performance_Ratio]] &lt; 0.85, "Underperforming", "Performing")</f>
        <v>Performing</v>
      </c>
      <c r="L1675">
        <f>Table4[[#This Row],[energy_kwh]] - Table4[[#This Row],[expected_kwh]]</f>
        <v>-8.768892755066986</v>
      </c>
      <c r="M1675" t="str">
        <f>IF(Table4[[#This Row],[Performance_Deviation]] &lt; 0, "Underperforming", "Outperforming")</f>
        <v>Underperforming</v>
      </c>
      <c r="N1675">
        <f>IF(Table4[[#This Row],[Performance_Ratio]] &lt; 0.85, Table4[[#This Row],[Performance_Deviation]] * 50 / 1000, 0)</f>
        <v>0</v>
      </c>
    </row>
    <row r="1676" spans="1:14" x14ac:dyDescent="0.3">
      <c r="A1676" s="4" t="s">
        <v>8</v>
      </c>
      <c r="B1676" s="3">
        <v>45299.75</v>
      </c>
      <c r="C1676" s="7">
        <v>1.05229732397189E-13</v>
      </c>
      <c r="D1676" s="7">
        <v>1.0199704951788401E-13</v>
      </c>
      <c r="E1676" s="7">
        <v>1.0199704951788401E-13</v>
      </c>
      <c r="F1676" s="4">
        <v>23.897457359838501</v>
      </c>
      <c r="G1676" s="4" t="str">
        <f t="shared" si="52"/>
        <v>OK</v>
      </c>
      <c r="H1676" s="4" t="str">
        <f t="shared" si="53"/>
        <v>NON-ZERO</v>
      </c>
      <c r="I1676" s="2">
        <v>9.7971743931788194E-14</v>
      </c>
      <c r="J1676">
        <f>IFERROR(Table4[[#This Row],[energy_kwh]]/Table4[[#This Row],[expected_kwh]],0)</f>
        <v>1.0410863931226781</v>
      </c>
      <c r="K1676" t="str">
        <f>IF(Table4[[#This Row],[Performance_Ratio]] &lt; 0.85, "Underperforming", "Performing")</f>
        <v>Performing</v>
      </c>
      <c r="L1676">
        <f>Table4[[#This Row],[energy_kwh]] - Table4[[#This Row],[expected_kwh]]</f>
        <v>4.0253055860958113E-15</v>
      </c>
      <c r="M1676" t="str">
        <f>IF(Table4[[#This Row],[Performance_Deviation]] &lt; 0, "Underperforming", "Outperforming")</f>
        <v>Outperforming</v>
      </c>
      <c r="N1676">
        <f>IF(Table4[[#This Row],[Performance_Ratio]] &lt; 0.85, Table4[[#This Row],[Performance_Deviation]] * 50 / 1000, 0)</f>
        <v>0</v>
      </c>
    </row>
    <row r="1677" spans="1:14" x14ac:dyDescent="0.3">
      <c r="A1677" s="6" t="s">
        <v>8</v>
      </c>
      <c r="B1677" s="5">
        <v>45299.791666666664</v>
      </c>
      <c r="C1677" s="6">
        <v>0</v>
      </c>
      <c r="D1677" s="6">
        <v>0</v>
      </c>
      <c r="E1677" s="6">
        <v>0</v>
      </c>
      <c r="F1677" s="6">
        <v>39.681206127216001</v>
      </c>
      <c r="G1677" s="6" t="str">
        <f t="shared" si="52"/>
        <v>OK</v>
      </c>
      <c r="H1677" s="6" t="str">
        <f t="shared" si="53"/>
        <v>ZERO</v>
      </c>
      <c r="I1677">
        <v>0</v>
      </c>
      <c r="J1677">
        <f>IFERROR(Table4[[#This Row],[energy_kwh]]/Table4[[#This Row],[expected_kwh]],0)</f>
        <v>0</v>
      </c>
      <c r="K1677" t="str">
        <f>IF(Table4[[#This Row],[Performance_Ratio]] &lt; 0.85, "Underperforming", "Performing")</f>
        <v>Underperforming</v>
      </c>
      <c r="L1677">
        <f>Table4[[#This Row],[energy_kwh]] - Table4[[#This Row],[expected_kwh]]</f>
        <v>0</v>
      </c>
      <c r="M1677" t="str">
        <f>IF(Table4[[#This Row],[Performance_Deviation]] &lt; 0, "Underperforming", "Outperforming")</f>
        <v>Outperforming</v>
      </c>
      <c r="N1677">
        <f>IF(Table4[[#This Row],[Performance_Ratio]] &lt; 0.85, Table4[[#This Row],[Performance_Deviation]] * 50 / 1000, 0)</f>
        <v>0</v>
      </c>
    </row>
    <row r="1678" spans="1:14" x14ac:dyDescent="0.3">
      <c r="A1678" s="4" t="s">
        <v>8</v>
      </c>
      <c r="B1678" s="3">
        <v>45299.833333333336</v>
      </c>
      <c r="C1678" s="4">
        <v>0</v>
      </c>
      <c r="D1678" s="4">
        <v>0</v>
      </c>
      <c r="E1678" s="4">
        <v>0</v>
      </c>
      <c r="F1678" s="4">
        <v>76.229431008765701</v>
      </c>
      <c r="G1678" s="4" t="str">
        <f t="shared" si="52"/>
        <v>OK</v>
      </c>
      <c r="H1678" s="4" t="str">
        <f t="shared" si="53"/>
        <v>ZERO</v>
      </c>
      <c r="I1678">
        <v>0</v>
      </c>
      <c r="J1678">
        <f>IFERROR(Table4[[#This Row],[energy_kwh]]/Table4[[#This Row],[expected_kwh]],0)</f>
        <v>0</v>
      </c>
      <c r="K1678" t="str">
        <f>IF(Table4[[#This Row],[Performance_Ratio]] &lt; 0.85, "Underperforming", "Performing")</f>
        <v>Underperforming</v>
      </c>
      <c r="L1678">
        <f>Table4[[#This Row],[energy_kwh]] - Table4[[#This Row],[expected_kwh]]</f>
        <v>0</v>
      </c>
      <c r="M1678" t="str">
        <f>IF(Table4[[#This Row],[Performance_Deviation]] &lt; 0, "Underperforming", "Outperforming")</f>
        <v>Outperforming</v>
      </c>
      <c r="N1678">
        <f>IF(Table4[[#This Row],[Performance_Ratio]] &lt; 0.85, Table4[[#This Row],[Performance_Deviation]] * 50 / 1000, 0)</f>
        <v>0</v>
      </c>
    </row>
    <row r="1679" spans="1:14" x14ac:dyDescent="0.3">
      <c r="A1679" s="6" t="s">
        <v>8</v>
      </c>
      <c r="B1679" s="5">
        <v>45299.875</v>
      </c>
      <c r="C1679" s="6">
        <v>0</v>
      </c>
      <c r="D1679" s="6">
        <v>0</v>
      </c>
      <c r="E1679" s="6">
        <v>0</v>
      </c>
      <c r="F1679" s="6">
        <v>94.376460529455102</v>
      </c>
      <c r="G1679" s="6" t="str">
        <f t="shared" si="52"/>
        <v>OK</v>
      </c>
      <c r="H1679" s="6" t="str">
        <f t="shared" si="53"/>
        <v>ZERO</v>
      </c>
      <c r="I1679">
        <v>0</v>
      </c>
      <c r="J1679">
        <f>IFERROR(Table4[[#This Row],[energy_kwh]]/Table4[[#This Row],[expected_kwh]],0)</f>
        <v>0</v>
      </c>
      <c r="K1679" t="str">
        <f>IF(Table4[[#This Row],[Performance_Ratio]] &lt; 0.85, "Underperforming", "Performing")</f>
        <v>Underperforming</v>
      </c>
      <c r="L1679">
        <f>Table4[[#This Row],[energy_kwh]] - Table4[[#This Row],[expected_kwh]]</f>
        <v>0</v>
      </c>
      <c r="M1679" t="str">
        <f>IF(Table4[[#This Row],[Performance_Deviation]] &lt; 0, "Underperforming", "Outperforming")</f>
        <v>Outperforming</v>
      </c>
      <c r="N1679">
        <f>IF(Table4[[#This Row],[Performance_Ratio]] &lt; 0.85, Table4[[#This Row],[Performance_Deviation]] * 50 / 1000, 0)</f>
        <v>0</v>
      </c>
    </row>
    <row r="1680" spans="1:14" x14ac:dyDescent="0.3">
      <c r="A1680" s="4" t="s">
        <v>8</v>
      </c>
      <c r="B1680" s="3">
        <v>45299.916666666664</v>
      </c>
      <c r="C1680" s="4">
        <v>0</v>
      </c>
      <c r="D1680" s="4">
        <v>0</v>
      </c>
      <c r="E1680" s="4">
        <v>0</v>
      </c>
      <c r="F1680" s="4">
        <v>50.717069544688101</v>
      </c>
      <c r="G1680" s="4" t="str">
        <f t="shared" si="52"/>
        <v>OK</v>
      </c>
      <c r="H1680" s="4" t="str">
        <f t="shared" si="53"/>
        <v>ZERO</v>
      </c>
      <c r="I1680">
        <v>0</v>
      </c>
      <c r="J1680">
        <f>IFERROR(Table4[[#This Row],[energy_kwh]]/Table4[[#This Row],[expected_kwh]],0)</f>
        <v>0</v>
      </c>
      <c r="K1680" t="str">
        <f>IF(Table4[[#This Row],[Performance_Ratio]] &lt; 0.85, "Underperforming", "Performing")</f>
        <v>Underperforming</v>
      </c>
      <c r="L1680">
        <f>Table4[[#This Row],[energy_kwh]] - Table4[[#This Row],[expected_kwh]]</f>
        <v>0</v>
      </c>
      <c r="M1680" t="str">
        <f>IF(Table4[[#This Row],[Performance_Deviation]] &lt; 0, "Underperforming", "Outperforming")</f>
        <v>Outperforming</v>
      </c>
      <c r="N1680">
        <f>IF(Table4[[#This Row],[Performance_Ratio]] &lt; 0.85, Table4[[#This Row],[Performance_Deviation]] * 50 / 1000, 0)</f>
        <v>0</v>
      </c>
    </row>
    <row r="1681" spans="1:14" x14ac:dyDescent="0.3">
      <c r="A1681" s="6" t="s">
        <v>8</v>
      </c>
      <c r="B1681" s="5">
        <v>45299.958333333336</v>
      </c>
      <c r="C1681" s="6">
        <v>0</v>
      </c>
      <c r="D1681" s="6">
        <v>0</v>
      </c>
      <c r="E1681" s="6">
        <v>0</v>
      </c>
      <c r="F1681" s="6">
        <v>37.107528342678798</v>
      </c>
      <c r="G1681" s="6" t="str">
        <f t="shared" si="52"/>
        <v>OK</v>
      </c>
      <c r="H1681" s="6" t="str">
        <f t="shared" si="53"/>
        <v>ZERO</v>
      </c>
      <c r="I1681">
        <v>0</v>
      </c>
      <c r="J1681">
        <f>IFERROR(Table4[[#This Row],[energy_kwh]]/Table4[[#This Row],[expected_kwh]],0)</f>
        <v>0</v>
      </c>
      <c r="K1681" t="str">
        <f>IF(Table4[[#This Row],[Performance_Ratio]] &lt; 0.85, "Underperforming", "Performing")</f>
        <v>Underperforming</v>
      </c>
      <c r="L1681">
        <f>Table4[[#This Row],[energy_kwh]] - Table4[[#This Row],[expected_kwh]]</f>
        <v>0</v>
      </c>
      <c r="M1681" t="str">
        <f>IF(Table4[[#This Row],[Performance_Deviation]] &lt; 0, "Underperforming", "Outperforming")</f>
        <v>Outperforming</v>
      </c>
      <c r="N1681">
        <f>IF(Table4[[#This Row],[Performance_Ratio]] &lt; 0.85, Table4[[#This Row],[Performance_Deviation]] * 50 / 1000, 0)</f>
        <v>0</v>
      </c>
    </row>
    <row r="1682" spans="1:14" x14ac:dyDescent="0.3">
      <c r="A1682" s="4" t="s">
        <v>8</v>
      </c>
      <c r="B1682" s="3">
        <v>45300</v>
      </c>
      <c r="C1682" s="4">
        <v>0</v>
      </c>
      <c r="D1682" s="4">
        <v>0</v>
      </c>
      <c r="E1682" s="4">
        <v>0</v>
      </c>
      <c r="F1682" s="4">
        <v>65.380344007830701</v>
      </c>
      <c r="G1682" s="4" t="str">
        <f t="shared" si="52"/>
        <v>OK</v>
      </c>
      <c r="H1682" s="4" t="str">
        <f t="shared" si="53"/>
        <v>ZERO</v>
      </c>
      <c r="I1682">
        <v>0</v>
      </c>
      <c r="J1682">
        <f>IFERROR(Table4[[#This Row],[energy_kwh]]/Table4[[#This Row],[expected_kwh]],0)</f>
        <v>0</v>
      </c>
      <c r="K1682" t="str">
        <f>IF(Table4[[#This Row],[Performance_Ratio]] &lt; 0.85, "Underperforming", "Performing")</f>
        <v>Underperforming</v>
      </c>
      <c r="L1682">
        <f>Table4[[#This Row],[energy_kwh]] - Table4[[#This Row],[expected_kwh]]</f>
        <v>0</v>
      </c>
      <c r="M1682" t="str">
        <f>IF(Table4[[#This Row],[Performance_Deviation]] &lt; 0, "Underperforming", "Outperforming")</f>
        <v>Outperforming</v>
      </c>
      <c r="N1682">
        <f>IF(Table4[[#This Row],[Performance_Ratio]] &lt; 0.85, Table4[[#This Row],[Performance_Deviation]] * 50 / 1000, 0)</f>
        <v>0</v>
      </c>
    </row>
    <row r="1683" spans="1:14" x14ac:dyDescent="0.3">
      <c r="A1683" s="6" t="s">
        <v>8</v>
      </c>
      <c r="B1683" s="5">
        <v>45300.041666666664</v>
      </c>
      <c r="C1683" s="6">
        <v>0</v>
      </c>
      <c r="D1683" s="6">
        <v>0</v>
      </c>
      <c r="E1683" s="6">
        <v>0</v>
      </c>
      <c r="F1683" s="6">
        <v>57.869960306705003</v>
      </c>
      <c r="G1683" s="6" t="str">
        <f t="shared" si="52"/>
        <v>OK</v>
      </c>
      <c r="H1683" s="6" t="str">
        <f t="shared" si="53"/>
        <v>ZERO</v>
      </c>
      <c r="I1683">
        <v>0</v>
      </c>
      <c r="J1683">
        <f>IFERROR(Table4[[#This Row],[energy_kwh]]/Table4[[#This Row],[expected_kwh]],0)</f>
        <v>0</v>
      </c>
      <c r="K1683" t="str">
        <f>IF(Table4[[#This Row],[Performance_Ratio]] &lt; 0.85, "Underperforming", "Performing")</f>
        <v>Underperforming</v>
      </c>
      <c r="L1683">
        <f>Table4[[#This Row],[energy_kwh]] - Table4[[#This Row],[expected_kwh]]</f>
        <v>0</v>
      </c>
      <c r="M1683" t="str">
        <f>IF(Table4[[#This Row],[Performance_Deviation]] &lt; 0, "Underperforming", "Outperforming")</f>
        <v>Outperforming</v>
      </c>
      <c r="N1683">
        <f>IF(Table4[[#This Row],[Performance_Ratio]] &lt; 0.85, Table4[[#This Row],[Performance_Deviation]] * 50 / 1000, 0)</f>
        <v>0</v>
      </c>
    </row>
    <row r="1684" spans="1:14" x14ac:dyDescent="0.3">
      <c r="A1684" s="4" t="s">
        <v>8</v>
      </c>
      <c r="B1684" s="3">
        <v>45300.083333333336</v>
      </c>
      <c r="C1684" s="4">
        <v>0</v>
      </c>
      <c r="D1684" s="4">
        <v>0</v>
      </c>
      <c r="E1684" s="4">
        <v>0</v>
      </c>
      <c r="F1684" s="4">
        <v>77.461782618708298</v>
      </c>
      <c r="G1684" s="4" t="str">
        <f t="shared" si="52"/>
        <v>OK</v>
      </c>
      <c r="H1684" s="4" t="str">
        <f t="shared" si="53"/>
        <v>ZERO</v>
      </c>
      <c r="I1684">
        <v>0</v>
      </c>
      <c r="J1684">
        <f>IFERROR(Table4[[#This Row],[energy_kwh]]/Table4[[#This Row],[expected_kwh]],0)</f>
        <v>0</v>
      </c>
      <c r="K1684" t="str">
        <f>IF(Table4[[#This Row],[Performance_Ratio]] &lt; 0.85, "Underperforming", "Performing")</f>
        <v>Underperforming</v>
      </c>
      <c r="L1684">
        <f>Table4[[#This Row],[energy_kwh]] - Table4[[#This Row],[expected_kwh]]</f>
        <v>0</v>
      </c>
      <c r="M1684" t="str">
        <f>IF(Table4[[#This Row],[Performance_Deviation]] &lt; 0, "Underperforming", "Outperforming")</f>
        <v>Outperforming</v>
      </c>
      <c r="N1684">
        <f>IF(Table4[[#This Row],[Performance_Ratio]] &lt; 0.85, Table4[[#This Row],[Performance_Deviation]] * 50 / 1000, 0)</f>
        <v>0</v>
      </c>
    </row>
    <row r="1685" spans="1:14" x14ac:dyDescent="0.3">
      <c r="A1685" s="6" t="s">
        <v>8</v>
      </c>
      <c r="B1685" s="5">
        <v>45300.125</v>
      </c>
      <c r="C1685" s="6">
        <v>0</v>
      </c>
      <c r="D1685" s="6">
        <v>0</v>
      </c>
      <c r="E1685" s="6">
        <v>0</v>
      </c>
      <c r="F1685" s="6">
        <v>47.676329930837902</v>
      </c>
      <c r="G1685" s="6" t="str">
        <f t="shared" si="52"/>
        <v>OK</v>
      </c>
      <c r="H1685" s="6" t="str">
        <f t="shared" si="53"/>
        <v>ZERO</v>
      </c>
      <c r="I1685">
        <v>0</v>
      </c>
      <c r="J1685">
        <f>IFERROR(Table4[[#This Row],[energy_kwh]]/Table4[[#This Row],[expected_kwh]],0)</f>
        <v>0</v>
      </c>
      <c r="K1685" t="str">
        <f>IF(Table4[[#This Row],[Performance_Ratio]] &lt; 0.85, "Underperforming", "Performing")</f>
        <v>Underperforming</v>
      </c>
      <c r="L1685">
        <f>Table4[[#This Row],[energy_kwh]] - Table4[[#This Row],[expected_kwh]]</f>
        <v>0</v>
      </c>
      <c r="M1685" t="str">
        <f>IF(Table4[[#This Row],[Performance_Deviation]] &lt; 0, "Underperforming", "Outperforming")</f>
        <v>Outperforming</v>
      </c>
      <c r="N1685">
        <f>IF(Table4[[#This Row],[Performance_Ratio]] &lt; 0.85, Table4[[#This Row],[Performance_Deviation]] * 50 / 1000, 0)</f>
        <v>0</v>
      </c>
    </row>
    <row r="1686" spans="1:14" x14ac:dyDescent="0.3">
      <c r="A1686" s="4" t="s">
        <v>8</v>
      </c>
      <c r="B1686" s="3">
        <v>45300.166666666664</v>
      </c>
      <c r="C1686" s="4">
        <v>0</v>
      </c>
      <c r="D1686" s="4">
        <v>0</v>
      </c>
      <c r="E1686" s="4">
        <v>0</v>
      </c>
      <c r="F1686" s="4">
        <v>33.768472051635896</v>
      </c>
      <c r="G1686" s="4" t="str">
        <f t="shared" si="52"/>
        <v>OK</v>
      </c>
      <c r="H1686" s="4" t="str">
        <f t="shared" si="53"/>
        <v>ZERO</v>
      </c>
      <c r="I1686">
        <v>0</v>
      </c>
      <c r="J1686">
        <f>IFERROR(Table4[[#This Row],[energy_kwh]]/Table4[[#This Row],[expected_kwh]],0)</f>
        <v>0</v>
      </c>
      <c r="K1686" t="str">
        <f>IF(Table4[[#This Row],[Performance_Ratio]] &lt; 0.85, "Underperforming", "Performing")</f>
        <v>Underperforming</v>
      </c>
      <c r="L1686">
        <f>Table4[[#This Row],[energy_kwh]] - Table4[[#This Row],[expected_kwh]]</f>
        <v>0</v>
      </c>
      <c r="M1686" t="str">
        <f>IF(Table4[[#This Row],[Performance_Deviation]] &lt; 0, "Underperforming", "Outperforming")</f>
        <v>Outperforming</v>
      </c>
      <c r="N1686">
        <f>IF(Table4[[#This Row],[Performance_Ratio]] &lt; 0.85, Table4[[#This Row],[Performance_Deviation]] * 50 / 1000, 0)</f>
        <v>0</v>
      </c>
    </row>
    <row r="1687" spans="1:14" x14ac:dyDescent="0.3">
      <c r="A1687" s="6" t="s">
        <v>8</v>
      </c>
      <c r="B1687" s="5">
        <v>45300.208333333336</v>
      </c>
      <c r="C1687" s="6">
        <v>0</v>
      </c>
      <c r="D1687" s="6">
        <v>0</v>
      </c>
      <c r="E1687" s="6">
        <v>0</v>
      </c>
      <c r="F1687" s="6">
        <v>48.737335141934402</v>
      </c>
      <c r="G1687" s="6" t="str">
        <f t="shared" si="52"/>
        <v>OK</v>
      </c>
      <c r="H1687" s="6" t="str">
        <f t="shared" si="53"/>
        <v>ZERO</v>
      </c>
      <c r="I1687">
        <v>0</v>
      </c>
      <c r="J1687">
        <f>IFERROR(Table4[[#This Row],[energy_kwh]]/Table4[[#This Row],[expected_kwh]],0)</f>
        <v>0</v>
      </c>
      <c r="K1687" t="str">
        <f>IF(Table4[[#This Row],[Performance_Ratio]] &lt; 0.85, "Underperforming", "Performing")</f>
        <v>Underperforming</v>
      </c>
      <c r="L1687">
        <f>Table4[[#This Row],[energy_kwh]] - Table4[[#This Row],[expected_kwh]]</f>
        <v>0</v>
      </c>
      <c r="M1687" t="str">
        <f>IF(Table4[[#This Row],[Performance_Deviation]] &lt; 0, "Underperforming", "Outperforming")</f>
        <v>Outperforming</v>
      </c>
      <c r="N1687">
        <f>IF(Table4[[#This Row],[Performance_Ratio]] &lt; 0.85, Table4[[#This Row],[Performance_Deviation]] * 50 / 1000, 0)</f>
        <v>0</v>
      </c>
    </row>
    <row r="1688" spans="1:14" x14ac:dyDescent="0.3">
      <c r="A1688" s="4" t="s">
        <v>8</v>
      </c>
      <c r="B1688" s="3">
        <v>45300.25</v>
      </c>
      <c r="C1688" s="4">
        <v>0</v>
      </c>
      <c r="D1688" s="4">
        <v>0</v>
      </c>
      <c r="E1688" s="4">
        <v>0</v>
      </c>
      <c r="F1688" s="4">
        <v>58.183503889064099</v>
      </c>
      <c r="G1688" s="4" t="str">
        <f t="shared" si="52"/>
        <v>OK</v>
      </c>
      <c r="H1688" s="4" t="str">
        <f t="shared" si="53"/>
        <v>ZERO</v>
      </c>
      <c r="I1688">
        <v>0</v>
      </c>
      <c r="J1688">
        <f>IFERROR(Table4[[#This Row],[energy_kwh]]/Table4[[#This Row],[expected_kwh]],0)</f>
        <v>0</v>
      </c>
      <c r="K1688" t="str">
        <f>IF(Table4[[#This Row],[Performance_Ratio]] &lt; 0.85, "Underperforming", "Performing")</f>
        <v>Underperforming</v>
      </c>
      <c r="L1688">
        <f>Table4[[#This Row],[energy_kwh]] - Table4[[#This Row],[expected_kwh]]</f>
        <v>0</v>
      </c>
      <c r="M1688" t="str">
        <f>IF(Table4[[#This Row],[Performance_Deviation]] &lt; 0, "Underperforming", "Outperforming")</f>
        <v>Outperforming</v>
      </c>
      <c r="N1688">
        <f>IF(Table4[[#This Row],[Performance_Ratio]] &lt; 0.85, Table4[[#This Row],[Performance_Deviation]] * 50 / 1000, 0)</f>
        <v>0</v>
      </c>
    </row>
    <row r="1689" spans="1:14" x14ac:dyDescent="0.3">
      <c r="A1689" s="6" t="s">
        <v>8</v>
      </c>
      <c r="B1689" s="5">
        <v>45300.291666666664</v>
      </c>
      <c r="C1689" s="6">
        <v>217.338175810899</v>
      </c>
      <c r="D1689" s="6">
        <v>210.66149438296199</v>
      </c>
      <c r="E1689" s="6">
        <v>210.66149438296199</v>
      </c>
      <c r="F1689" s="6">
        <v>62.431047991335902</v>
      </c>
      <c r="G1689" s="6" t="str">
        <f t="shared" si="52"/>
        <v>OK</v>
      </c>
      <c r="H1689" s="6" t="str">
        <f t="shared" si="53"/>
        <v>NON-ZERO</v>
      </c>
      <c r="I1689">
        <v>207.05523608201599</v>
      </c>
      <c r="J1689">
        <f>IFERROR(Table4[[#This Row],[energy_kwh]]/Table4[[#This Row],[expected_kwh]],0)</f>
        <v>1.0174168901457654</v>
      </c>
      <c r="K1689" t="str">
        <f>IF(Table4[[#This Row],[Performance_Ratio]] &lt; 0.85, "Underperforming", "Performing")</f>
        <v>Performing</v>
      </c>
      <c r="L1689">
        <f>Table4[[#This Row],[energy_kwh]] - Table4[[#This Row],[expected_kwh]]</f>
        <v>3.6062583009459956</v>
      </c>
      <c r="M1689" t="str">
        <f>IF(Table4[[#This Row],[Performance_Deviation]] &lt; 0, "Underperforming", "Outperforming")</f>
        <v>Outperforming</v>
      </c>
      <c r="N1689">
        <f>IF(Table4[[#This Row],[Performance_Ratio]] &lt; 0.85, Table4[[#This Row],[Performance_Deviation]] * 50 / 1000, 0)</f>
        <v>0</v>
      </c>
    </row>
    <row r="1690" spans="1:14" x14ac:dyDescent="0.3">
      <c r="A1690" s="4" t="s">
        <v>8</v>
      </c>
      <c r="B1690" s="3">
        <v>45300.333333333336</v>
      </c>
      <c r="C1690" s="4">
        <v>387.99118254820701</v>
      </c>
      <c r="D1690" s="4">
        <v>376.07199939937499</v>
      </c>
      <c r="E1690" s="4">
        <v>376.07199939937499</v>
      </c>
      <c r="F1690" s="4">
        <v>38.353669776777501</v>
      </c>
      <c r="G1690" s="4" t="str">
        <f t="shared" si="52"/>
        <v>OK</v>
      </c>
      <c r="H1690" s="4" t="str">
        <f t="shared" si="53"/>
        <v>NON-ZERO</v>
      </c>
      <c r="I1690">
        <v>399.99999999999898</v>
      </c>
      <c r="J1690">
        <f>IFERROR(Table4[[#This Row],[energy_kwh]]/Table4[[#This Row],[expected_kwh]],0)</f>
        <v>0.94017999849843992</v>
      </c>
      <c r="K1690" t="str">
        <f>IF(Table4[[#This Row],[Performance_Ratio]] &lt; 0.85, "Underperforming", "Performing")</f>
        <v>Performing</v>
      </c>
      <c r="L1690">
        <f>Table4[[#This Row],[energy_kwh]] - Table4[[#This Row],[expected_kwh]]</f>
        <v>-23.928000600623989</v>
      </c>
      <c r="M1690" t="str">
        <f>IF(Table4[[#This Row],[Performance_Deviation]] &lt; 0, "Underperforming", "Outperforming")</f>
        <v>Underperforming</v>
      </c>
      <c r="N1690">
        <f>IF(Table4[[#This Row],[Performance_Ratio]] &lt; 0.85, Table4[[#This Row],[Performance_Deviation]] * 50 / 1000, 0)</f>
        <v>0</v>
      </c>
    </row>
    <row r="1691" spans="1:14" x14ac:dyDescent="0.3">
      <c r="A1691" s="6" t="s">
        <v>8</v>
      </c>
      <c r="B1691" s="5">
        <v>45300.375</v>
      </c>
      <c r="C1691" s="6">
        <v>542.94462308732295</v>
      </c>
      <c r="D1691" s="6">
        <v>526.26523269564302</v>
      </c>
      <c r="E1691" s="6">
        <v>526.26523269564302</v>
      </c>
      <c r="F1691" s="6">
        <v>87.131387957473507</v>
      </c>
      <c r="G1691" s="6" t="str">
        <f t="shared" si="52"/>
        <v>OK</v>
      </c>
      <c r="H1691" s="6" t="str">
        <f t="shared" si="53"/>
        <v>NON-ZERO</v>
      </c>
      <c r="I1691">
        <v>565.68542494923804</v>
      </c>
      <c r="J1691">
        <f>IFERROR(Table4[[#This Row],[energy_kwh]]/Table4[[#This Row],[expected_kwh]],0)</f>
        <v>0.93031428685451389</v>
      </c>
      <c r="K1691" t="str">
        <f>IF(Table4[[#This Row],[Performance_Ratio]] &lt; 0.85, "Underperforming", "Performing")</f>
        <v>Performing</v>
      </c>
      <c r="L1691">
        <f>Table4[[#This Row],[energy_kwh]] - Table4[[#This Row],[expected_kwh]]</f>
        <v>-39.420192253595019</v>
      </c>
      <c r="M1691" t="str">
        <f>IF(Table4[[#This Row],[Performance_Deviation]] &lt; 0, "Underperforming", "Outperforming")</f>
        <v>Underperforming</v>
      </c>
      <c r="N1691">
        <f>IF(Table4[[#This Row],[Performance_Ratio]] &lt; 0.85, Table4[[#This Row],[Performance_Deviation]] * 50 / 1000, 0)</f>
        <v>0</v>
      </c>
    </row>
    <row r="1692" spans="1:14" x14ac:dyDescent="0.3">
      <c r="A1692" s="4" t="s">
        <v>8</v>
      </c>
      <c r="B1692" s="3">
        <v>45300.416666666664</v>
      </c>
      <c r="C1692" s="4">
        <v>650.309026453397</v>
      </c>
      <c r="D1692" s="4">
        <v>630.33137557295902</v>
      </c>
      <c r="E1692" s="4">
        <v>630.33137557295902</v>
      </c>
      <c r="F1692" s="4">
        <v>60.790844087083798</v>
      </c>
      <c r="G1692" s="4" t="str">
        <f t="shared" si="52"/>
        <v>OK</v>
      </c>
      <c r="H1692" s="4" t="str">
        <f t="shared" si="53"/>
        <v>NON-ZERO</v>
      </c>
      <c r="I1692">
        <v>692.82032302754999</v>
      </c>
      <c r="J1692">
        <f>IFERROR(Table4[[#This Row],[energy_kwh]]/Table4[[#This Row],[expected_kwh]],0)</f>
        <v>0.90980497341428868</v>
      </c>
      <c r="K1692" t="str">
        <f>IF(Table4[[#This Row],[Performance_Ratio]] &lt; 0.85, "Underperforming", "Performing")</f>
        <v>Performing</v>
      </c>
      <c r="L1692">
        <f>Table4[[#This Row],[energy_kwh]] - Table4[[#This Row],[expected_kwh]]</f>
        <v>-62.488947454590971</v>
      </c>
      <c r="M1692" t="str">
        <f>IF(Table4[[#This Row],[Performance_Deviation]] &lt; 0, "Underperforming", "Outperforming")</f>
        <v>Underperforming</v>
      </c>
      <c r="N1692">
        <f>IF(Table4[[#This Row],[Performance_Ratio]] &lt; 0.85, Table4[[#This Row],[Performance_Deviation]] * 50 / 1000, 0)</f>
        <v>0</v>
      </c>
    </row>
    <row r="1693" spans="1:14" x14ac:dyDescent="0.3">
      <c r="A1693" s="6" t="s">
        <v>8</v>
      </c>
      <c r="B1693" s="5">
        <v>45300.458333333336</v>
      </c>
      <c r="C1693" s="6">
        <v>732.73254709047296</v>
      </c>
      <c r="D1693" s="6">
        <v>710.22282568257503</v>
      </c>
      <c r="E1693" s="6">
        <v>710.22282568257503</v>
      </c>
      <c r="F1693" s="6">
        <v>65.987777055733702</v>
      </c>
      <c r="G1693" s="6" t="str">
        <f t="shared" si="52"/>
        <v>OK</v>
      </c>
      <c r="H1693" s="6" t="str">
        <f t="shared" si="53"/>
        <v>NON-ZERO</v>
      </c>
      <c r="I1693">
        <v>772.74066103125404</v>
      </c>
      <c r="J1693">
        <f>IFERROR(Table4[[#This Row],[energy_kwh]]/Table4[[#This Row],[expected_kwh]],0)</f>
        <v>0.91909596776589131</v>
      </c>
      <c r="K1693" t="str">
        <f>IF(Table4[[#This Row],[Performance_Ratio]] &lt; 0.85, "Underperforming", "Performing")</f>
        <v>Performing</v>
      </c>
      <c r="L1693">
        <f>Table4[[#This Row],[energy_kwh]] - Table4[[#This Row],[expected_kwh]]</f>
        <v>-62.517835348679</v>
      </c>
      <c r="M1693" t="str">
        <f>IF(Table4[[#This Row],[Performance_Deviation]] &lt; 0, "Underperforming", "Outperforming")</f>
        <v>Underperforming</v>
      </c>
      <c r="N1693">
        <f>IF(Table4[[#This Row],[Performance_Ratio]] &lt; 0.85, Table4[[#This Row],[Performance_Deviation]] * 50 / 1000, 0)</f>
        <v>0</v>
      </c>
    </row>
    <row r="1694" spans="1:14" x14ac:dyDescent="0.3">
      <c r="A1694" s="4" t="s">
        <v>8</v>
      </c>
      <c r="B1694" s="3">
        <v>45300.5</v>
      </c>
      <c r="C1694" s="4">
        <v>780.934880120093</v>
      </c>
      <c r="D1694" s="4">
        <v>756.94437136077204</v>
      </c>
      <c r="E1694" s="4">
        <v>756.94437136077204</v>
      </c>
      <c r="F1694" s="4">
        <v>87.918660317984902</v>
      </c>
      <c r="G1694" s="4" t="str">
        <f t="shared" si="52"/>
        <v>OK</v>
      </c>
      <c r="H1694" s="4" t="str">
        <f t="shared" si="53"/>
        <v>NON-ZERO</v>
      </c>
      <c r="I1694">
        <v>800</v>
      </c>
      <c r="J1694">
        <f>IFERROR(Table4[[#This Row],[energy_kwh]]/Table4[[#This Row],[expected_kwh]],0)</f>
        <v>0.94618046420096502</v>
      </c>
      <c r="K1694" t="str">
        <f>IF(Table4[[#This Row],[Performance_Ratio]] &lt; 0.85, "Underperforming", "Performing")</f>
        <v>Performing</v>
      </c>
      <c r="L1694">
        <f>Table4[[#This Row],[energy_kwh]] - Table4[[#This Row],[expected_kwh]]</f>
        <v>-43.055628639227962</v>
      </c>
      <c r="M1694" t="str">
        <f>IF(Table4[[#This Row],[Performance_Deviation]] &lt; 0, "Underperforming", "Outperforming")</f>
        <v>Underperforming</v>
      </c>
      <c r="N1694">
        <f>IF(Table4[[#This Row],[Performance_Ratio]] &lt; 0.85, Table4[[#This Row],[Performance_Deviation]] * 50 / 1000, 0)</f>
        <v>0</v>
      </c>
    </row>
    <row r="1695" spans="1:14" x14ac:dyDescent="0.3">
      <c r="A1695" s="6" t="s">
        <v>8</v>
      </c>
      <c r="B1695" s="5">
        <v>45300.541666666664</v>
      </c>
      <c r="C1695" s="6">
        <v>780.16696338348299</v>
      </c>
      <c r="D1695" s="6">
        <v>756.200045212399</v>
      </c>
      <c r="E1695" s="6">
        <v>756.200045212399</v>
      </c>
      <c r="F1695" s="6">
        <v>41.338396980683299</v>
      </c>
      <c r="G1695" s="6" t="str">
        <f t="shared" si="52"/>
        <v>OK</v>
      </c>
      <c r="H1695" s="6" t="str">
        <f t="shared" si="53"/>
        <v>NON-ZERO</v>
      </c>
      <c r="I1695">
        <v>772.74066103125404</v>
      </c>
      <c r="J1695">
        <f>IFERROR(Table4[[#This Row],[energy_kwh]]/Table4[[#This Row],[expected_kwh]],0)</f>
        <v>0.97859486804178142</v>
      </c>
      <c r="K1695" t="str">
        <f>IF(Table4[[#This Row],[Performance_Ratio]] &lt; 0.85, "Underperforming", "Performing")</f>
        <v>Performing</v>
      </c>
      <c r="L1695">
        <f>Table4[[#This Row],[energy_kwh]] - Table4[[#This Row],[expected_kwh]]</f>
        <v>-16.540615818855031</v>
      </c>
      <c r="M1695" t="str">
        <f>IF(Table4[[#This Row],[Performance_Deviation]] &lt; 0, "Underperforming", "Outperforming")</f>
        <v>Underperforming</v>
      </c>
      <c r="N1695">
        <f>IF(Table4[[#This Row],[Performance_Ratio]] &lt; 0.85, Table4[[#This Row],[Performance_Deviation]] * 50 / 1000, 0)</f>
        <v>0</v>
      </c>
    </row>
    <row r="1696" spans="1:14" x14ac:dyDescent="0.3">
      <c r="A1696" s="4" t="s">
        <v>8</v>
      </c>
      <c r="B1696" s="3">
        <v>45300.583333333336</v>
      </c>
      <c r="C1696" s="4">
        <v>664.41746684685995</v>
      </c>
      <c r="D1696" s="4">
        <v>644.00640125867199</v>
      </c>
      <c r="E1696" s="4">
        <v>644.00640125867199</v>
      </c>
      <c r="F1696" s="4">
        <v>80.931024321792506</v>
      </c>
      <c r="G1696" s="4" t="str">
        <f t="shared" si="52"/>
        <v>OK</v>
      </c>
      <c r="H1696" s="4" t="str">
        <f t="shared" si="53"/>
        <v>NON-ZERO</v>
      </c>
      <c r="I1696">
        <v>692.82032302755101</v>
      </c>
      <c r="J1696">
        <f>IFERROR(Table4[[#This Row],[energy_kwh]]/Table4[[#This Row],[expected_kwh]],0)</f>
        <v>0.92954317281634091</v>
      </c>
      <c r="K1696" t="str">
        <f>IF(Table4[[#This Row],[Performance_Ratio]] &lt; 0.85, "Underperforming", "Performing")</f>
        <v>Performing</v>
      </c>
      <c r="L1696">
        <f>Table4[[#This Row],[energy_kwh]] - Table4[[#This Row],[expected_kwh]]</f>
        <v>-48.813921768879027</v>
      </c>
      <c r="M1696" t="str">
        <f>IF(Table4[[#This Row],[Performance_Deviation]] &lt; 0, "Underperforming", "Outperforming")</f>
        <v>Underperforming</v>
      </c>
      <c r="N1696">
        <f>IF(Table4[[#This Row],[Performance_Ratio]] &lt; 0.85, Table4[[#This Row],[Performance_Deviation]] * 50 / 1000, 0)</f>
        <v>0</v>
      </c>
    </row>
    <row r="1697" spans="1:14" x14ac:dyDescent="0.3">
      <c r="A1697" s="6" t="s">
        <v>8</v>
      </c>
      <c r="B1697" s="5">
        <v>45300.625</v>
      </c>
      <c r="C1697" s="6">
        <v>523.71346359832796</v>
      </c>
      <c r="D1697" s="6">
        <v>507.62485908639002</v>
      </c>
      <c r="E1697" s="6">
        <v>507.62485908639002</v>
      </c>
      <c r="F1697" s="6">
        <v>39.896381681453903</v>
      </c>
      <c r="G1697" s="6" t="str">
        <f t="shared" si="52"/>
        <v>OK</v>
      </c>
      <c r="H1697" s="6" t="str">
        <f t="shared" si="53"/>
        <v>NON-ZERO</v>
      </c>
      <c r="I1697">
        <v>565.68542494923804</v>
      </c>
      <c r="J1697">
        <f>IFERROR(Table4[[#This Row],[energy_kwh]]/Table4[[#This Row],[expected_kwh]],0)</f>
        <v>0.89736245039713003</v>
      </c>
      <c r="K1697" t="str">
        <f>IF(Table4[[#This Row],[Performance_Ratio]] &lt; 0.85, "Underperforming", "Performing")</f>
        <v>Performing</v>
      </c>
      <c r="L1697">
        <f>Table4[[#This Row],[energy_kwh]] - Table4[[#This Row],[expected_kwh]]</f>
        <v>-58.060565862848023</v>
      </c>
      <c r="M1697" t="str">
        <f>IF(Table4[[#This Row],[Performance_Deviation]] &lt; 0, "Underperforming", "Outperforming")</f>
        <v>Underperforming</v>
      </c>
      <c r="N1697">
        <f>IF(Table4[[#This Row],[Performance_Ratio]] &lt; 0.85, Table4[[#This Row],[Performance_Deviation]] * 50 / 1000, 0)</f>
        <v>0</v>
      </c>
    </row>
    <row r="1698" spans="1:14" x14ac:dyDescent="0.3">
      <c r="A1698" s="4" t="s">
        <v>8</v>
      </c>
      <c r="B1698" s="3">
        <v>45300.666666666664</v>
      </c>
      <c r="C1698" s="4">
        <v>372.01913624830303</v>
      </c>
      <c r="D1698" s="4">
        <v>360.59061823227199</v>
      </c>
      <c r="E1698" s="4">
        <v>360.59061823227199</v>
      </c>
      <c r="F1698" s="4">
        <v>23.2910816276557</v>
      </c>
      <c r="G1698" s="4" t="str">
        <f t="shared" si="52"/>
        <v>OK</v>
      </c>
      <c r="H1698" s="4" t="str">
        <f t="shared" si="53"/>
        <v>NON-ZERO</v>
      </c>
      <c r="I1698">
        <v>399.99999999999898</v>
      </c>
      <c r="J1698">
        <f>IFERROR(Table4[[#This Row],[energy_kwh]]/Table4[[#This Row],[expected_kwh]],0)</f>
        <v>0.90147654558068224</v>
      </c>
      <c r="K1698" t="str">
        <f>IF(Table4[[#This Row],[Performance_Ratio]] &lt; 0.85, "Underperforming", "Performing")</f>
        <v>Performing</v>
      </c>
      <c r="L1698">
        <f>Table4[[#This Row],[energy_kwh]] - Table4[[#This Row],[expected_kwh]]</f>
        <v>-39.409381767726984</v>
      </c>
      <c r="M1698" t="str">
        <f>IF(Table4[[#This Row],[Performance_Deviation]] &lt; 0, "Underperforming", "Outperforming")</f>
        <v>Underperforming</v>
      </c>
      <c r="N1698">
        <f>IF(Table4[[#This Row],[Performance_Ratio]] &lt; 0.85, Table4[[#This Row],[Performance_Deviation]] * 50 / 1000, 0)</f>
        <v>0</v>
      </c>
    </row>
    <row r="1699" spans="1:14" x14ac:dyDescent="0.3">
      <c r="A1699" s="6" t="s">
        <v>8</v>
      </c>
      <c r="B1699" s="5">
        <v>45300.708333333336</v>
      </c>
      <c r="C1699" s="6">
        <v>206.00790620328999</v>
      </c>
      <c r="D1699" s="6">
        <v>199.67929340333501</v>
      </c>
      <c r="E1699" s="6">
        <v>199.67929340333501</v>
      </c>
      <c r="F1699" s="6">
        <v>39.221928152691298</v>
      </c>
      <c r="G1699" s="6" t="str">
        <f t="shared" si="52"/>
        <v>OK</v>
      </c>
      <c r="H1699" s="6" t="str">
        <f t="shared" si="53"/>
        <v>NON-ZERO</v>
      </c>
      <c r="I1699">
        <v>207.05523608201599</v>
      </c>
      <c r="J1699">
        <f>IFERROR(Table4[[#This Row],[energy_kwh]]/Table4[[#This Row],[expected_kwh]],0)</f>
        <v>0.96437693236717126</v>
      </c>
      <c r="K1699" t="str">
        <f>IF(Table4[[#This Row],[Performance_Ratio]] &lt; 0.85, "Underperforming", "Performing")</f>
        <v>Performing</v>
      </c>
      <c r="L1699">
        <f>Table4[[#This Row],[energy_kwh]] - Table4[[#This Row],[expected_kwh]]</f>
        <v>-7.3759426786809854</v>
      </c>
      <c r="M1699" t="str">
        <f>IF(Table4[[#This Row],[Performance_Deviation]] &lt; 0, "Underperforming", "Outperforming")</f>
        <v>Underperforming</v>
      </c>
      <c r="N1699">
        <f>IF(Table4[[#This Row],[Performance_Ratio]] &lt; 0.85, Table4[[#This Row],[Performance_Deviation]] * 50 / 1000, 0)</f>
        <v>0</v>
      </c>
    </row>
    <row r="1700" spans="1:14" x14ac:dyDescent="0.3">
      <c r="A1700" s="4" t="s">
        <v>8</v>
      </c>
      <c r="B1700" s="3">
        <v>45300.75</v>
      </c>
      <c r="C1700" s="4">
        <v>0</v>
      </c>
      <c r="D1700" s="4">
        <v>0</v>
      </c>
      <c r="E1700" s="4">
        <v>0</v>
      </c>
      <c r="F1700" s="4">
        <v>25.943720459744601</v>
      </c>
      <c r="G1700" s="4" t="str">
        <f t="shared" si="52"/>
        <v>OK</v>
      </c>
      <c r="H1700" s="4" t="str">
        <f t="shared" si="53"/>
        <v>ZERO</v>
      </c>
      <c r="I1700" s="2">
        <v>9.7971743931788194E-14</v>
      </c>
      <c r="J1700">
        <f>IFERROR(Table4[[#This Row],[energy_kwh]]/Table4[[#This Row],[expected_kwh]],0)</f>
        <v>0</v>
      </c>
      <c r="K1700" t="str">
        <f>IF(Table4[[#This Row],[Performance_Ratio]] &lt; 0.85, "Underperforming", "Performing")</f>
        <v>Underperforming</v>
      </c>
      <c r="L1700">
        <f>Table4[[#This Row],[energy_kwh]] - Table4[[#This Row],[expected_kwh]]</f>
        <v>-9.7971743931788194E-14</v>
      </c>
      <c r="M1700" t="str">
        <f>IF(Table4[[#This Row],[Performance_Deviation]] &lt; 0, "Underperforming", "Outperforming")</f>
        <v>Underperforming</v>
      </c>
      <c r="N1700">
        <f>IF(Table4[[#This Row],[Performance_Ratio]] &lt; 0.85, Table4[[#This Row],[Performance_Deviation]] * 50 / 1000, 0)</f>
        <v>-4.8985871965894099E-15</v>
      </c>
    </row>
    <row r="1701" spans="1:14" x14ac:dyDescent="0.3">
      <c r="A1701" s="6" t="s">
        <v>8</v>
      </c>
      <c r="B1701" s="5">
        <v>45300.791666666664</v>
      </c>
      <c r="C1701" s="6">
        <v>0</v>
      </c>
      <c r="D1701" s="6">
        <v>0</v>
      </c>
      <c r="E1701" s="6">
        <v>0</v>
      </c>
      <c r="F1701" s="6">
        <v>56.364405478707702</v>
      </c>
      <c r="G1701" s="6" t="str">
        <f t="shared" si="52"/>
        <v>OK</v>
      </c>
      <c r="H1701" s="6" t="str">
        <f t="shared" si="53"/>
        <v>ZERO</v>
      </c>
      <c r="I1701">
        <v>0</v>
      </c>
      <c r="J1701">
        <f>IFERROR(Table4[[#This Row],[energy_kwh]]/Table4[[#This Row],[expected_kwh]],0)</f>
        <v>0</v>
      </c>
      <c r="K1701" t="str">
        <f>IF(Table4[[#This Row],[Performance_Ratio]] &lt; 0.85, "Underperforming", "Performing")</f>
        <v>Underperforming</v>
      </c>
      <c r="L1701">
        <f>Table4[[#This Row],[energy_kwh]] - Table4[[#This Row],[expected_kwh]]</f>
        <v>0</v>
      </c>
      <c r="M1701" t="str">
        <f>IF(Table4[[#This Row],[Performance_Deviation]] &lt; 0, "Underperforming", "Outperforming")</f>
        <v>Outperforming</v>
      </c>
      <c r="N1701">
        <f>IF(Table4[[#This Row],[Performance_Ratio]] &lt; 0.85, Table4[[#This Row],[Performance_Deviation]] * 50 / 1000, 0)</f>
        <v>0</v>
      </c>
    </row>
    <row r="1702" spans="1:14" x14ac:dyDescent="0.3">
      <c r="A1702" s="4" t="s">
        <v>8</v>
      </c>
      <c r="B1702" s="3">
        <v>45300.833333333336</v>
      </c>
      <c r="C1702" s="4">
        <v>0</v>
      </c>
      <c r="D1702" s="4">
        <v>0</v>
      </c>
      <c r="E1702" s="4">
        <v>0</v>
      </c>
      <c r="F1702" s="4">
        <v>21.757471652554099</v>
      </c>
      <c r="G1702" s="4" t="str">
        <f t="shared" si="52"/>
        <v>OK</v>
      </c>
      <c r="H1702" s="4" t="str">
        <f t="shared" si="53"/>
        <v>ZERO</v>
      </c>
      <c r="I1702">
        <v>0</v>
      </c>
      <c r="J1702">
        <f>IFERROR(Table4[[#This Row],[energy_kwh]]/Table4[[#This Row],[expected_kwh]],0)</f>
        <v>0</v>
      </c>
      <c r="K1702" t="str">
        <f>IF(Table4[[#This Row],[Performance_Ratio]] &lt; 0.85, "Underperforming", "Performing")</f>
        <v>Underperforming</v>
      </c>
      <c r="L1702">
        <f>Table4[[#This Row],[energy_kwh]] - Table4[[#This Row],[expected_kwh]]</f>
        <v>0</v>
      </c>
      <c r="M1702" t="str">
        <f>IF(Table4[[#This Row],[Performance_Deviation]] &lt; 0, "Underperforming", "Outperforming")</f>
        <v>Outperforming</v>
      </c>
      <c r="N1702">
        <f>IF(Table4[[#This Row],[Performance_Ratio]] &lt; 0.85, Table4[[#This Row],[Performance_Deviation]] * 50 / 1000, 0)</f>
        <v>0</v>
      </c>
    </row>
    <row r="1703" spans="1:14" x14ac:dyDescent="0.3">
      <c r="A1703" s="6" t="s">
        <v>8</v>
      </c>
      <c r="B1703" s="5">
        <v>45300.875</v>
      </c>
      <c r="C1703" s="6">
        <v>0</v>
      </c>
      <c r="D1703" s="6">
        <v>0</v>
      </c>
      <c r="E1703" s="6">
        <v>0</v>
      </c>
      <c r="F1703" s="6">
        <v>42.6092139808</v>
      </c>
      <c r="G1703" s="6" t="str">
        <f t="shared" si="52"/>
        <v>OK</v>
      </c>
      <c r="H1703" s="6" t="str">
        <f t="shared" si="53"/>
        <v>ZERO</v>
      </c>
      <c r="I1703">
        <v>0</v>
      </c>
      <c r="J1703">
        <f>IFERROR(Table4[[#This Row],[energy_kwh]]/Table4[[#This Row],[expected_kwh]],0)</f>
        <v>0</v>
      </c>
      <c r="K1703" t="str">
        <f>IF(Table4[[#This Row],[Performance_Ratio]] &lt; 0.85, "Underperforming", "Performing")</f>
        <v>Underperforming</v>
      </c>
      <c r="L1703">
        <f>Table4[[#This Row],[energy_kwh]] - Table4[[#This Row],[expected_kwh]]</f>
        <v>0</v>
      </c>
      <c r="M1703" t="str">
        <f>IF(Table4[[#This Row],[Performance_Deviation]] &lt; 0, "Underperforming", "Outperforming")</f>
        <v>Outperforming</v>
      </c>
      <c r="N1703">
        <f>IF(Table4[[#This Row],[Performance_Ratio]] &lt; 0.85, Table4[[#This Row],[Performance_Deviation]] * 50 / 1000, 0)</f>
        <v>0</v>
      </c>
    </row>
    <row r="1704" spans="1:14" x14ac:dyDescent="0.3">
      <c r="A1704" s="4" t="s">
        <v>8</v>
      </c>
      <c r="B1704" s="3">
        <v>45300.916666666664</v>
      </c>
      <c r="C1704" s="4">
        <v>0</v>
      </c>
      <c r="D1704" s="4">
        <v>0</v>
      </c>
      <c r="E1704" s="4">
        <v>0</v>
      </c>
      <c r="F1704" s="4">
        <v>24.018241970555501</v>
      </c>
      <c r="G1704" s="4" t="str">
        <f t="shared" si="52"/>
        <v>OK</v>
      </c>
      <c r="H1704" s="4" t="str">
        <f t="shared" si="53"/>
        <v>ZERO</v>
      </c>
      <c r="I1704">
        <v>0</v>
      </c>
      <c r="J1704">
        <f>IFERROR(Table4[[#This Row],[energy_kwh]]/Table4[[#This Row],[expected_kwh]],0)</f>
        <v>0</v>
      </c>
      <c r="K1704" t="str">
        <f>IF(Table4[[#This Row],[Performance_Ratio]] &lt; 0.85, "Underperforming", "Performing")</f>
        <v>Underperforming</v>
      </c>
      <c r="L1704">
        <f>Table4[[#This Row],[energy_kwh]] - Table4[[#This Row],[expected_kwh]]</f>
        <v>0</v>
      </c>
      <c r="M1704" t="str">
        <f>IF(Table4[[#This Row],[Performance_Deviation]] &lt; 0, "Underperforming", "Outperforming")</f>
        <v>Outperforming</v>
      </c>
      <c r="N1704">
        <f>IF(Table4[[#This Row],[Performance_Ratio]] &lt; 0.85, Table4[[#This Row],[Performance_Deviation]] * 50 / 1000, 0)</f>
        <v>0</v>
      </c>
    </row>
    <row r="1705" spans="1:14" x14ac:dyDescent="0.3">
      <c r="A1705" s="6" t="s">
        <v>8</v>
      </c>
      <c r="B1705" s="5">
        <v>45300.958333333336</v>
      </c>
      <c r="C1705" s="6">
        <v>0</v>
      </c>
      <c r="D1705" s="6">
        <v>0</v>
      </c>
      <c r="E1705" s="6">
        <v>0</v>
      </c>
      <c r="F1705" s="6">
        <v>35.586788109412602</v>
      </c>
      <c r="G1705" s="6" t="str">
        <f t="shared" si="52"/>
        <v>OK</v>
      </c>
      <c r="H1705" s="6" t="str">
        <f t="shared" si="53"/>
        <v>ZERO</v>
      </c>
      <c r="I1705">
        <v>0</v>
      </c>
      <c r="J1705">
        <f>IFERROR(Table4[[#This Row],[energy_kwh]]/Table4[[#This Row],[expected_kwh]],0)</f>
        <v>0</v>
      </c>
      <c r="K1705" t="str">
        <f>IF(Table4[[#This Row],[Performance_Ratio]] &lt; 0.85, "Underperforming", "Performing")</f>
        <v>Underperforming</v>
      </c>
      <c r="L1705">
        <f>Table4[[#This Row],[energy_kwh]] - Table4[[#This Row],[expected_kwh]]</f>
        <v>0</v>
      </c>
      <c r="M1705" t="str">
        <f>IF(Table4[[#This Row],[Performance_Deviation]] &lt; 0, "Underperforming", "Outperforming")</f>
        <v>Outperforming</v>
      </c>
      <c r="N1705">
        <f>IF(Table4[[#This Row],[Performance_Ratio]] &lt; 0.85, Table4[[#This Row],[Performance_Deviation]] * 50 / 1000, 0)</f>
        <v>0</v>
      </c>
    </row>
    <row r="1706" spans="1:14" x14ac:dyDescent="0.3">
      <c r="A1706" s="4" t="s">
        <v>8</v>
      </c>
      <c r="B1706" s="3">
        <v>45301</v>
      </c>
      <c r="C1706" s="4">
        <v>0</v>
      </c>
      <c r="D1706" s="4">
        <v>0</v>
      </c>
      <c r="E1706" s="4">
        <v>0</v>
      </c>
      <c r="F1706" s="4">
        <v>83.1848080126681</v>
      </c>
      <c r="G1706" s="4" t="str">
        <f t="shared" si="52"/>
        <v>OK</v>
      </c>
      <c r="H1706" s="4" t="str">
        <f t="shared" si="53"/>
        <v>ZERO</v>
      </c>
      <c r="I1706">
        <v>0</v>
      </c>
      <c r="J1706">
        <f>IFERROR(Table4[[#This Row],[energy_kwh]]/Table4[[#This Row],[expected_kwh]],0)</f>
        <v>0</v>
      </c>
      <c r="K1706" t="str">
        <f>IF(Table4[[#This Row],[Performance_Ratio]] &lt; 0.85, "Underperforming", "Performing")</f>
        <v>Underperforming</v>
      </c>
      <c r="L1706">
        <f>Table4[[#This Row],[energy_kwh]] - Table4[[#This Row],[expected_kwh]]</f>
        <v>0</v>
      </c>
      <c r="M1706" t="str">
        <f>IF(Table4[[#This Row],[Performance_Deviation]] &lt; 0, "Underperforming", "Outperforming")</f>
        <v>Outperforming</v>
      </c>
      <c r="N1706">
        <f>IF(Table4[[#This Row],[Performance_Ratio]] &lt; 0.85, Table4[[#This Row],[Performance_Deviation]] * 50 / 1000, 0)</f>
        <v>0</v>
      </c>
    </row>
    <row r="1707" spans="1:14" x14ac:dyDescent="0.3">
      <c r="A1707" s="6" t="s">
        <v>8</v>
      </c>
      <c r="B1707" s="5">
        <v>45301.041666666664</v>
      </c>
      <c r="C1707" s="6">
        <v>0</v>
      </c>
      <c r="D1707" s="6">
        <v>0</v>
      </c>
      <c r="E1707" s="6">
        <v>0</v>
      </c>
      <c r="F1707" s="6">
        <v>27.959751448176402</v>
      </c>
      <c r="G1707" s="6" t="str">
        <f t="shared" si="52"/>
        <v>OK</v>
      </c>
      <c r="H1707" s="6" t="str">
        <f t="shared" si="53"/>
        <v>ZERO</v>
      </c>
      <c r="I1707">
        <v>0</v>
      </c>
      <c r="J1707">
        <f>IFERROR(Table4[[#This Row],[energy_kwh]]/Table4[[#This Row],[expected_kwh]],0)</f>
        <v>0</v>
      </c>
      <c r="K1707" t="str">
        <f>IF(Table4[[#This Row],[Performance_Ratio]] &lt; 0.85, "Underperforming", "Performing")</f>
        <v>Underperforming</v>
      </c>
      <c r="L1707">
        <f>Table4[[#This Row],[energy_kwh]] - Table4[[#This Row],[expected_kwh]]</f>
        <v>0</v>
      </c>
      <c r="M1707" t="str">
        <f>IF(Table4[[#This Row],[Performance_Deviation]] &lt; 0, "Underperforming", "Outperforming")</f>
        <v>Outperforming</v>
      </c>
      <c r="N1707">
        <f>IF(Table4[[#This Row],[Performance_Ratio]] &lt; 0.85, Table4[[#This Row],[Performance_Deviation]] * 50 / 1000, 0)</f>
        <v>0</v>
      </c>
    </row>
    <row r="1708" spans="1:14" x14ac:dyDescent="0.3">
      <c r="A1708" s="4" t="s">
        <v>8</v>
      </c>
      <c r="B1708" s="3">
        <v>45301.083333333336</v>
      </c>
      <c r="C1708" s="4">
        <v>0</v>
      </c>
      <c r="D1708" s="4">
        <v>0</v>
      </c>
      <c r="E1708" s="4">
        <v>0</v>
      </c>
      <c r="F1708" s="4">
        <v>56.560087659798</v>
      </c>
      <c r="G1708" s="4" t="str">
        <f t="shared" si="52"/>
        <v>OK</v>
      </c>
      <c r="H1708" s="4" t="str">
        <f t="shared" si="53"/>
        <v>ZERO</v>
      </c>
      <c r="I1708">
        <v>0</v>
      </c>
      <c r="J1708">
        <f>IFERROR(Table4[[#This Row],[energy_kwh]]/Table4[[#This Row],[expected_kwh]],0)</f>
        <v>0</v>
      </c>
      <c r="K1708" t="str">
        <f>IF(Table4[[#This Row],[Performance_Ratio]] &lt; 0.85, "Underperforming", "Performing")</f>
        <v>Underperforming</v>
      </c>
      <c r="L1708">
        <f>Table4[[#This Row],[energy_kwh]] - Table4[[#This Row],[expected_kwh]]</f>
        <v>0</v>
      </c>
      <c r="M1708" t="str">
        <f>IF(Table4[[#This Row],[Performance_Deviation]] &lt; 0, "Underperforming", "Outperforming")</f>
        <v>Outperforming</v>
      </c>
      <c r="N1708">
        <f>IF(Table4[[#This Row],[Performance_Ratio]] &lt; 0.85, Table4[[#This Row],[Performance_Deviation]] * 50 / 1000, 0)</f>
        <v>0</v>
      </c>
    </row>
    <row r="1709" spans="1:14" x14ac:dyDescent="0.3">
      <c r="A1709" s="6" t="s">
        <v>8</v>
      </c>
      <c r="B1709" s="5">
        <v>45301.125</v>
      </c>
      <c r="C1709" s="6">
        <v>0</v>
      </c>
      <c r="D1709" s="6">
        <v>0</v>
      </c>
      <c r="E1709" s="6">
        <v>0</v>
      </c>
      <c r="F1709" s="6">
        <v>29.6777306667068</v>
      </c>
      <c r="G1709" s="6" t="str">
        <f t="shared" si="52"/>
        <v>OK</v>
      </c>
      <c r="H1709" s="6" t="str">
        <f t="shared" si="53"/>
        <v>ZERO</v>
      </c>
      <c r="I1709">
        <v>0</v>
      </c>
      <c r="J1709">
        <f>IFERROR(Table4[[#This Row],[energy_kwh]]/Table4[[#This Row],[expected_kwh]],0)</f>
        <v>0</v>
      </c>
      <c r="K1709" t="str">
        <f>IF(Table4[[#This Row],[Performance_Ratio]] &lt; 0.85, "Underperforming", "Performing")</f>
        <v>Underperforming</v>
      </c>
      <c r="L1709">
        <f>Table4[[#This Row],[energy_kwh]] - Table4[[#This Row],[expected_kwh]]</f>
        <v>0</v>
      </c>
      <c r="M1709" t="str">
        <f>IF(Table4[[#This Row],[Performance_Deviation]] &lt; 0, "Underperforming", "Outperforming")</f>
        <v>Outperforming</v>
      </c>
      <c r="N1709">
        <f>IF(Table4[[#This Row],[Performance_Ratio]] &lt; 0.85, Table4[[#This Row],[Performance_Deviation]] * 50 / 1000, 0)</f>
        <v>0</v>
      </c>
    </row>
    <row r="1710" spans="1:14" x14ac:dyDescent="0.3">
      <c r="A1710" s="4" t="s">
        <v>8</v>
      </c>
      <c r="B1710" s="3">
        <v>45301.166666666664</v>
      </c>
      <c r="C1710" s="4">
        <v>0</v>
      </c>
      <c r="D1710" s="4">
        <v>0</v>
      </c>
      <c r="E1710" s="4">
        <v>0</v>
      </c>
      <c r="F1710" s="4">
        <v>88.529562050484401</v>
      </c>
      <c r="G1710" s="4" t="str">
        <f t="shared" si="52"/>
        <v>OK</v>
      </c>
      <c r="H1710" s="4" t="str">
        <f t="shared" si="53"/>
        <v>ZERO</v>
      </c>
      <c r="I1710">
        <v>0</v>
      </c>
      <c r="J1710">
        <f>IFERROR(Table4[[#This Row],[energy_kwh]]/Table4[[#This Row],[expected_kwh]],0)</f>
        <v>0</v>
      </c>
      <c r="K1710" t="str">
        <f>IF(Table4[[#This Row],[Performance_Ratio]] &lt; 0.85, "Underperforming", "Performing")</f>
        <v>Underperforming</v>
      </c>
      <c r="L1710">
        <f>Table4[[#This Row],[energy_kwh]] - Table4[[#This Row],[expected_kwh]]</f>
        <v>0</v>
      </c>
      <c r="M1710" t="str">
        <f>IF(Table4[[#This Row],[Performance_Deviation]] &lt; 0, "Underperforming", "Outperforming")</f>
        <v>Outperforming</v>
      </c>
      <c r="N1710">
        <f>IF(Table4[[#This Row],[Performance_Ratio]] &lt; 0.85, Table4[[#This Row],[Performance_Deviation]] * 50 / 1000, 0)</f>
        <v>0</v>
      </c>
    </row>
    <row r="1711" spans="1:14" x14ac:dyDescent="0.3">
      <c r="A1711" s="6" t="s">
        <v>8</v>
      </c>
      <c r="B1711" s="5">
        <v>45301.208333333336</v>
      </c>
      <c r="C1711" s="6">
        <v>0</v>
      </c>
      <c r="D1711" s="6">
        <v>0</v>
      </c>
      <c r="E1711" s="6">
        <v>0</v>
      </c>
      <c r="F1711" s="6">
        <v>79.196799100782798</v>
      </c>
      <c r="G1711" s="6" t="str">
        <f t="shared" si="52"/>
        <v>OK</v>
      </c>
      <c r="H1711" s="6" t="str">
        <f t="shared" si="53"/>
        <v>ZERO</v>
      </c>
      <c r="I1711">
        <v>0</v>
      </c>
      <c r="J1711">
        <f>IFERROR(Table4[[#This Row],[energy_kwh]]/Table4[[#This Row],[expected_kwh]],0)</f>
        <v>0</v>
      </c>
      <c r="K1711" t="str">
        <f>IF(Table4[[#This Row],[Performance_Ratio]] &lt; 0.85, "Underperforming", "Performing")</f>
        <v>Underperforming</v>
      </c>
      <c r="L1711">
        <f>Table4[[#This Row],[energy_kwh]] - Table4[[#This Row],[expected_kwh]]</f>
        <v>0</v>
      </c>
      <c r="M1711" t="str">
        <f>IF(Table4[[#This Row],[Performance_Deviation]] &lt; 0, "Underperforming", "Outperforming")</f>
        <v>Outperforming</v>
      </c>
      <c r="N1711">
        <f>IF(Table4[[#This Row],[Performance_Ratio]] &lt; 0.85, Table4[[#This Row],[Performance_Deviation]] * 50 / 1000, 0)</f>
        <v>0</v>
      </c>
    </row>
    <row r="1712" spans="1:14" x14ac:dyDescent="0.3">
      <c r="A1712" s="4" t="s">
        <v>8</v>
      </c>
      <c r="B1712" s="3">
        <v>45301.25</v>
      </c>
      <c r="C1712" s="4">
        <v>0</v>
      </c>
      <c r="D1712" s="4">
        <v>0</v>
      </c>
      <c r="E1712" s="4">
        <v>0</v>
      </c>
      <c r="F1712" s="4">
        <v>94.201213553152897</v>
      </c>
      <c r="G1712" s="4" t="str">
        <f t="shared" si="52"/>
        <v>OK</v>
      </c>
      <c r="H1712" s="4" t="str">
        <f t="shared" si="53"/>
        <v>ZERO</v>
      </c>
      <c r="I1712">
        <v>0</v>
      </c>
      <c r="J1712">
        <f>IFERROR(Table4[[#This Row],[energy_kwh]]/Table4[[#This Row],[expected_kwh]],0)</f>
        <v>0</v>
      </c>
      <c r="K1712" t="str">
        <f>IF(Table4[[#This Row],[Performance_Ratio]] &lt; 0.85, "Underperforming", "Performing")</f>
        <v>Underperforming</v>
      </c>
      <c r="L1712">
        <f>Table4[[#This Row],[energy_kwh]] - Table4[[#This Row],[expected_kwh]]</f>
        <v>0</v>
      </c>
      <c r="M1712" t="str">
        <f>IF(Table4[[#This Row],[Performance_Deviation]] &lt; 0, "Underperforming", "Outperforming")</f>
        <v>Outperforming</v>
      </c>
      <c r="N1712">
        <f>IF(Table4[[#This Row],[Performance_Ratio]] &lt; 0.85, Table4[[#This Row],[Performance_Deviation]] * 50 / 1000, 0)</f>
        <v>0</v>
      </c>
    </row>
    <row r="1713" spans="1:14" x14ac:dyDescent="0.3">
      <c r="A1713" s="6" t="s">
        <v>8</v>
      </c>
      <c r="B1713" s="5">
        <v>45301.291666666664</v>
      </c>
      <c r="C1713" s="6">
        <v>200.43512542532</v>
      </c>
      <c r="D1713" s="6">
        <v>194.27770980130299</v>
      </c>
      <c r="E1713" s="6">
        <v>194.27770980130299</v>
      </c>
      <c r="F1713" s="6">
        <v>53.205194577984301</v>
      </c>
      <c r="G1713" s="6" t="str">
        <f t="shared" si="52"/>
        <v>OK</v>
      </c>
      <c r="H1713" s="6" t="str">
        <f t="shared" si="53"/>
        <v>NON-ZERO</v>
      </c>
      <c r="I1713">
        <v>207.05523608201599</v>
      </c>
      <c r="J1713">
        <f>IFERROR(Table4[[#This Row],[energy_kwh]]/Table4[[#This Row],[expected_kwh]],0)</f>
        <v>0.93828928684685986</v>
      </c>
      <c r="K1713" t="str">
        <f>IF(Table4[[#This Row],[Performance_Ratio]] &lt; 0.85, "Underperforming", "Performing")</f>
        <v>Performing</v>
      </c>
      <c r="L1713">
        <f>Table4[[#This Row],[energy_kwh]] - Table4[[#This Row],[expected_kwh]]</f>
        <v>-12.777526280713005</v>
      </c>
      <c r="M1713" t="str">
        <f>IF(Table4[[#This Row],[Performance_Deviation]] &lt; 0, "Underperforming", "Outperforming")</f>
        <v>Underperforming</v>
      </c>
      <c r="N1713">
        <f>IF(Table4[[#This Row],[Performance_Ratio]] &lt; 0.85, Table4[[#This Row],[Performance_Deviation]] * 50 / 1000, 0)</f>
        <v>0</v>
      </c>
    </row>
    <row r="1714" spans="1:14" x14ac:dyDescent="0.3">
      <c r="A1714" s="4" t="s">
        <v>8</v>
      </c>
      <c r="B1714" s="3">
        <v>45301.333333333336</v>
      </c>
      <c r="C1714" s="4">
        <v>336.37396339610098</v>
      </c>
      <c r="D1714" s="4">
        <v>326.04047372789603</v>
      </c>
      <c r="E1714" s="4">
        <v>326.04047372789603</v>
      </c>
      <c r="F1714" s="4">
        <v>34.534184751751603</v>
      </c>
      <c r="G1714" s="4" t="str">
        <f t="shared" si="52"/>
        <v>OK</v>
      </c>
      <c r="H1714" s="4" t="str">
        <f t="shared" si="53"/>
        <v>NON-ZERO</v>
      </c>
      <c r="I1714">
        <v>399.99999999999898</v>
      </c>
      <c r="J1714">
        <f>IFERROR(Table4[[#This Row],[energy_kwh]]/Table4[[#This Row],[expected_kwh]],0)</f>
        <v>0.81510118431974221</v>
      </c>
      <c r="K1714" t="str">
        <f>IF(Table4[[#This Row],[Performance_Ratio]] &lt; 0.85, "Underperforming", "Performing")</f>
        <v>Underperforming</v>
      </c>
      <c r="L1714">
        <f>Table4[[#This Row],[energy_kwh]] - Table4[[#This Row],[expected_kwh]]</f>
        <v>-73.959526272102948</v>
      </c>
      <c r="M1714" t="str">
        <f>IF(Table4[[#This Row],[Performance_Deviation]] &lt; 0, "Underperforming", "Outperforming")</f>
        <v>Underperforming</v>
      </c>
      <c r="N1714">
        <f>IF(Table4[[#This Row],[Performance_Ratio]] &lt; 0.85, Table4[[#This Row],[Performance_Deviation]] * 50 / 1000, 0)</f>
        <v>-3.6979763136051473</v>
      </c>
    </row>
    <row r="1715" spans="1:14" x14ac:dyDescent="0.3">
      <c r="A1715" s="6" t="s">
        <v>8</v>
      </c>
      <c r="B1715" s="5">
        <v>45301.375</v>
      </c>
      <c r="C1715" s="6">
        <v>649.60185555321095</v>
      </c>
      <c r="D1715" s="6">
        <v>629.64592913419403</v>
      </c>
      <c r="E1715" s="6">
        <v>629.64592913419403</v>
      </c>
      <c r="F1715" s="6">
        <v>34.185402224505502</v>
      </c>
      <c r="G1715" s="6" t="str">
        <f t="shared" si="52"/>
        <v>OK</v>
      </c>
      <c r="H1715" s="6" t="str">
        <f t="shared" si="53"/>
        <v>NON-ZERO</v>
      </c>
      <c r="I1715">
        <v>565.68542494923804</v>
      </c>
      <c r="J1715">
        <f>IFERROR(Table4[[#This Row],[energy_kwh]]/Table4[[#This Row],[expected_kwh]],0)</f>
        <v>1.1130672655932323</v>
      </c>
      <c r="K1715" t="str">
        <f>IF(Table4[[#This Row],[Performance_Ratio]] &lt; 0.85, "Underperforming", "Performing")</f>
        <v>Performing</v>
      </c>
      <c r="L1715">
        <f>Table4[[#This Row],[energy_kwh]] - Table4[[#This Row],[expected_kwh]]</f>
        <v>63.960504184955994</v>
      </c>
      <c r="M1715" t="str">
        <f>IF(Table4[[#This Row],[Performance_Deviation]] &lt; 0, "Underperforming", "Outperforming")</f>
        <v>Outperforming</v>
      </c>
      <c r="N1715">
        <f>IF(Table4[[#This Row],[Performance_Ratio]] &lt; 0.85, Table4[[#This Row],[Performance_Deviation]] * 50 / 1000, 0)</f>
        <v>0</v>
      </c>
    </row>
    <row r="1716" spans="1:14" x14ac:dyDescent="0.3">
      <c r="A1716" s="4" t="s">
        <v>8</v>
      </c>
      <c r="B1716" s="3">
        <v>45301.416666666664</v>
      </c>
      <c r="C1716" s="4">
        <v>589.75915791356203</v>
      </c>
      <c r="D1716" s="4">
        <v>571.641613667569</v>
      </c>
      <c r="E1716" s="4">
        <v>571.641613667569</v>
      </c>
      <c r="F1716" s="4">
        <v>58.886973120668003</v>
      </c>
      <c r="G1716" s="4" t="str">
        <f t="shared" si="52"/>
        <v>OK</v>
      </c>
      <c r="H1716" s="4" t="str">
        <f t="shared" si="53"/>
        <v>NON-ZERO</v>
      </c>
      <c r="I1716">
        <v>692.82032302754999</v>
      </c>
      <c r="J1716">
        <f>IFERROR(Table4[[#This Row],[energy_kwh]]/Table4[[#This Row],[expected_kwh]],0)</f>
        <v>0.82509359882740863</v>
      </c>
      <c r="K1716" t="str">
        <f>IF(Table4[[#This Row],[Performance_Ratio]] &lt; 0.85, "Underperforming", "Performing")</f>
        <v>Underperforming</v>
      </c>
      <c r="L1716">
        <f>Table4[[#This Row],[energy_kwh]] - Table4[[#This Row],[expected_kwh]]</f>
        <v>-121.17870935998099</v>
      </c>
      <c r="M1716" t="str">
        <f>IF(Table4[[#This Row],[Performance_Deviation]] &lt; 0, "Underperforming", "Outperforming")</f>
        <v>Underperforming</v>
      </c>
      <c r="N1716">
        <f>IF(Table4[[#This Row],[Performance_Ratio]] &lt; 0.85, Table4[[#This Row],[Performance_Deviation]] * 50 / 1000, 0)</f>
        <v>-6.0589354679990493</v>
      </c>
    </row>
    <row r="1717" spans="1:14" x14ac:dyDescent="0.3">
      <c r="A1717" s="6" t="s">
        <v>8</v>
      </c>
      <c r="B1717" s="5">
        <v>45301.458333333336</v>
      </c>
      <c r="C1717" s="6">
        <v>753.79893138125601</v>
      </c>
      <c r="D1717" s="6">
        <v>730.64204554297999</v>
      </c>
      <c r="E1717" s="6">
        <v>730.64204554297999</v>
      </c>
      <c r="F1717" s="6">
        <v>23.733575114228199</v>
      </c>
      <c r="G1717" s="6" t="str">
        <f t="shared" si="52"/>
        <v>OK</v>
      </c>
      <c r="H1717" s="6" t="str">
        <f t="shared" si="53"/>
        <v>NON-ZERO</v>
      </c>
      <c r="I1717">
        <v>772.74066103125404</v>
      </c>
      <c r="J1717">
        <f>IFERROR(Table4[[#This Row],[energy_kwh]]/Table4[[#This Row],[expected_kwh]],0)</f>
        <v>0.94552038269593353</v>
      </c>
      <c r="K1717" t="str">
        <f>IF(Table4[[#This Row],[Performance_Ratio]] &lt; 0.85, "Underperforming", "Performing")</f>
        <v>Performing</v>
      </c>
      <c r="L1717">
        <f>Table4[[#This Row],[energy_kwh]] - Table4[[#This Row],[expected_kwh]]</f>
        <v>-42.098615488274049</v>
      </c>
      <c r="M1717" t="str">
        <f>IF(Table4[[#This Row],[Performance_Deviation]] &lt; 0, "Underperforming", "Outperforming")</f>
        <v>Underperforming</v>
      </c>
      <c r="N1717">
        <f>IF(Table4[[#This Row],[Performance_Ratio]] &lt; 0.85, Table4[[#This Row],[Performance_Deviation]] * 50 / 1000, 0)</f>
        <v>0</v>
      </c>
    </row>
    <row r="1718" spans="1:14" x14ac:dyDescent="0.3">
      <c r="A1718" s="4" t="s">
        <v>8</v>
      </c>
      <c r="B1718" s="3">
        <v>45301.5</v>
      </c>
      <c r="C1718" s="4">
        <v>807.551985932202</v>
      </c>
      <c r="D1718" s="4">
        <v>782.74379323227595</v>
      </c>
      <c r="E1718" s="4">
        <v>782.74379323227595</v>
      </c>
      <c r="F1718" s="4">
        <v>49.720794686877497</v>
      </c>
      <c r="G1718" s="4" t="str">
        <f t="shared" si="52"/>
        <v>OK</v>
      </c>
      <c r="H1718" s="4" t="str">
        <f t="shared" si="53"/>
        <v>NON-ZERO</v>
      </c>
      <c r="I1718">
        <v>800</v>
      </c>
      <c r="J1718">
        <f>IFERROR(Table4[[#This Row],[energy_kwh]]/Table4[[#This Row],[expected_kwh]],0)</f>
        <v>0.9784297415403449</v>
      </c>
      <c r="K1718" t="str">
        <f>IF(Table4[[#This Row],[Performance_Ratio]] &lt; 0.85, "Underperforming", "Performing")</f>
        <v>Performing</v>
      </c>
      <c r="L1718">
        <f>Table4[[#This Row],[energy_kwh]] - Table4[[#This Row],[expected_kwh]]</f>
        <v>-17.256206767724052</v>
      </c>
      <c r="M1718" t="str">
        <f>IF(Table4[[#This Row],[Performance_Deviation]] &lt; 0, "Underperforming", "Outperforming")</f>
        <v>Underperforming</v>
      </c>
      <c r="N1718">
        <f>IF(Table4[[#This Row],[Performance_Ratio]] &lt; 0.85, Table4[[#This Row],[Performance_Deviation]] * 50 / 1000, 0)</f>
        <v>0</v>
      </c>
    </row>
    <row r="1719" spans="1:14" x14ac:dyDescent="0.3">
      <c r="A1719" s="6" t="s">
        <v>8</v>
      </c>
      <c r="B1719" s="5">
        <v>45301.541666666664</v>
      </c>
      <c r="C1719" s="6">
        <v>665.16253635625503</v>
      </c>
      <c r="D1719" s="6">
        <v>644.72858205218699</v>
      </c>
      <c r="E1719" s="6">
        <v>644.72858205218699</v>
      </c>
      <c r="F1719" s="6">
        <v>58.443216194315802</v>
      </c>
      <c r="G1719" s="6" t="str">
        <f t="shared" si="52"/>
        <v>OK</v>
      </c>
      <c r="H1719" s="6" t="str">
        <f t="shared" si="53"/>
        <v>NON-ZERO</v>
      </c>
      <c r="I1719">
        <v>772.74066103125404</v>
      </c>
      <c r="J1719">
        <f>IFERROR(Table4[[#This Row],[energy_kwh]]/Table4[[#This Row],[expected_kwh]],0)</f>
        <v>0.83434017978524688</v>
      </c>
      <c r="K1719" t="str">
        <f>IF(Table4[[#This Row],[Performance_Ratio]] &lt; 0.85, "Underperforming", "Performing")</f>
        <v>Underperforming</v>
      </c>
      <c r="L1719">
        <f>Table4[[#This Row],[energy_kwh]] - Table4[[#This Row],[expected_kwh]]</f>
        <v>-128.01207897906704</v>
      </c>
      <c r="M1719" t="str">
        <f>IF(Table4[[#This Row],[Performance_Deviation]] &lt; 0, "Underperforming", "Outperforming")</f>
        <v>Underperforming</v>
      </c>
      <c r="N1719">
        <f>IF(Table4[[#This Row],[Performance_Ratio]] &lt; 0.85, Table4[[#This Row],[Performance_Deviation]] * 50 / 1000, 0)</f>
        <v>-6.4006039489533526</v>
      </c>
    </row>
    <row r="1720" spans="1:14" x14ac:dyDescent="0.3">
      <c r="A1720" s="4" t="s">
        <v>8</v>
      </c>
      <c r="B1720" s="3">
        <v>45301.583333333336</v>
      </c>
      <c r="C1720" s="4">
        <v>642.199221804486</v>
      </c>
      <c r="D1720" s="4">
        <v>622.47070608809202</v>
      </c>
      <c r="E1720" s="4">
        <v>622.47070608809202</v>
      </c>
      <c r="F1720" s="4">
        <v>90.547999938958498</v>
      </c>
      <c r="G1720" s="4" t="str">
        <f t="shared" si="52"/>
        <v>OK</v>
      </c>
      <c r="H1720" s="4" t="str">
        <f t="shared" si="53"/>
        <v>NON-ZERO</v>
      </c>
      <c r="I1720">
        <v>692.82032302755101</v>
      </c>
      <c r="J1720">
        <f>IFERROR(Table4[[#This Row],[energy_kwh]]/Table4[[#This Row],[expected_kwh]],0)</f>
        <v>0.89845907430654071</v>
      </c>
      <c r="K1720" t="str">
        <f>IF(Table4[[#This Row],[Performance_Ratio]] &lt; 0.85, "Underperforming", "Performing")</f>
        <v>Performing</v>
      </c>
      <c r="L1720">
        <f>Table4[[#This Row],[energy_kwh]] - Table4[[#This Row],[expected_kwh]]</f>
        <v>-70.349616939458997</v>
      </c>
      <c r="M1720" t="str">
        <f>IF(Table4[[#This Row],[Performance_Deviation]] &lt; 0, "Underperforming", "Outperforming")</f>
        <v>Underperforming</v>
      </c>
      <c r="N1720">
        <f>IF(Table4[[#This Row],[Performance_Ratio]] &lt; 0.85, Table4[[#This Row],[Performance_Deviation]] * 50 / 1000, 0)</f>
        <v>0</v>
      </c>
    </row>
    <row r="1721" spans="1:14" x14ac:dyDescent="0.3">
      <c r="A1721" s="6" t="s">
        <v>8</v>
      </c>
      <c r="B1721" s="5">
        <v>45301.625</v>
      </c>
      <c r="C1721" s="6">
        <v>470.14122470260099</v>
      </c>
      <c r="D1721" s="6">
        <v>455.69837235156899</v>
      </c>
      <c r="E1721" s="6">
        <v>455.69837235156899</v>
      </c>
      <c r="F1721" s="6">
        <v>57.222134412547902</v>
      </c>
      <c r="G1721" s="6" t="str">
        <f t="shared" si="52"/>
        <v>OK</v>
      </c>
      <c r="H1721" s="6" t="str">
        <f t="shared" si="53"/>
        <v>NON-ZERO</v>
      </c>
      <c r="I1721">
        <v>565.68542494923804</v>
      </c>
      <c r="J1721">
        <f>IFERROR(Table4[[#This Row],[energy_kwh]]/Table4[[#This Row],[expected_kwh]],0)</f>
        <v>0.80556852316366689</v>
      </c>
      <c r="K1721" t="str">
        <f>IF(Table4[[#This Row],[Performance_Ratio]] &lt; 0.85, "Underperforming", "Performing")</f>
        <v>Underperforming</v>
      </c>
      <c r="L1721">
        <f>Table4[[#This Row],[energy_kwh]] - Table4[[#This Row],[expected_kwh]]</f>
        <v>-109.98705259766905</v>
      </c>
      <c r="M1721" t="str">
        <f>IF(Table4[[#This Row],[Performance_Deviation]] &lt; 0, "Underperforming", "Outperforming")</f>
        <v>Underperforming</v>
      </c>
      <c r="N1721">
        <f>IF(Table4[[#This Row],[Performance_Ratio]] &lt; 0.85, Table4[[#This Row],[Performance_Deviation]] * 50 / 1000, 0)</f>
        <v>-5.4993526298834521</v>
      </c>
    </row>
    <row r="1722" spans="1:14" x14ac:dyDescent="0.3">
      <c r="A1722" s="4" t="s">
        <v>8</v>
      </c>
      <c r="B1722" s="3">
        <v>45301.666666666664</v>
      </c>
      <c r="C1722" s="4">
        <v>344.81387698238598</v>
      </c>
      <c r="D1722" s="4">
        <v>334.22111112358698</v>
      </c>
      <c r="E1722" s="4">
        <v>334.22111112358698</v>
      </c>
      <c r="F1722" s="4">
        <v>90.933103775634507</v>
      </c>
      <c r="G1722" s="4" t="str">
        <f t="shared" si="52"/>
        <v>OK</v>
      </c>
      <c r="H1722" s="4" t="str">
        <f t="shared" si="53"/>
        <v>NON-ZERO</v>
      </c>
      <c r="I1722">
        <v>399.99999999999898</v>
      </c>
      <c r="J1722">
        <f>IFERROR(Table4[[#This Row],[energy_kwh]]/Table4[[#This Row],[expected_kwh]],0)</f>
        <v>0.83555277780896964</v>
      </c>
      <c r="K1722" t="str">
        <f>IF(Table4[[#This Row],[Performance_Ratio]] &lt; 0.85, "Underperforming", "Performing")</f>
        <v>Underperforming</v>
      </c>
      <c r="L1722">
        <f>Table4[[#This Row],[energy_kwh]] - Table4[[#This Row],[expected_kwh]]</f>
        <v>-65.778888876411997</v>
      </c>
      <c r="M1722" t="str">
        <f>IF(Table4[[#This Row],[Performance_Deviation]] &lt; 0, "Underperforming", "Outperforming")</f>
        <v>Underperforming</v>
      </c>
      <c r="N1722">
        <f>IF(Table4[[#This Row],[Performance_Ratio]] &lt; 0.85, Table4[[#This Row],[Performance_Deviation]] * 50 / 1000, 0)</f>
        <v>-3.2889444438206001</v>
      </c>
    </row>
    <row r="1723" spans="1:14" x14ac:dyDescent="0.3">
      <c r="A1723" s="6" t="s">
        <v>8</v>
      </c>
      <c r="B1723" s="5">
        <v>45301.708333333336</v>
      </c>
      <c r="C1723" s="6">
        <v>199.144885039135</v>
      </c>
      <c r="D1723" s="6">
        <v>193.02710591244201</v>
      </c>
      <c r="E1723" s="6">
        <v>193.02710591244201</v>
      </c>
      <c r="F1723" s="6">
        <v>72.837022730876299</v>
      </c>
      <c r="G1723" s="6" t="str">
        <f t="shared" si="52"/>
        <v>OK</v>
      </c>
      <c r="H1723" s="6" t="str">
        <f t="shared" si="53"/>
        <v>NON-ZERO</v>
      </c>
      <c r="I1723">
        <v>207.05523608201599</v>
      </c>
      <c r="J1723">
        <f>IFERROR(Table4[[#This Row],[energy_kwh]]/Table4[[#This Row],[expected_kwh]],0)</f>
        <v>0.93224933387331799</v>
      </c>
      <c r="K1723" t="str">
        <f>IF(Table4[[#This Row],[Performance_Ratio]] &lt; 0.85, "Underperforming", "Performing")</f>
        <v>Performing</v>
      </c>
      <c r="L1723">
        <f>Table4[[#This Row],[energy_kwh]] - Table4[[#This Row],[expected_kwh]]</f>
        <v>-14.028130169573984</v>
      </c>
      <c r="M1723" t="str">
        <f>IF(Table4[[#This Row],[Performance_Deviation]] &lt; 0, "Underperforming", "Outperforming")</f>
        <v>Underperforming</v>
      </c>
      <c r="N1723">
        <f>IF(Table4[[#This Row],[Performance_Ratio]] &lt; 0.85, Table4[[#This Row],[Performance_Deviation]] * 50 / 1000, 0)</f>
        <v>0</v>
      </c>
    </row>
    <row r="1724" spans="1:14" x14ac:dyDescent="0.3">
      <c r="A1724" s="4" t="s">
        <v>8</v>
      </c>
      <c r="B1724" s="3">
        <v>45301.75</v>
      </c>
      <c r="C1724" s="7">
        <v>1.06190679698476E-13</v>
      </c>
      <c r="D1724" s="7">
        <v>1.0292847628521299E-13</v>
      </c>
      <c r="E1724" s="7">
        <v>1.0292847628521299E-13</v>
      </c>
      <c r="F1724" s="4">
        <v>47.990552682884498</v>
      </c>
      <c r="G1724" s="4" t="str">
        <f t="shared" si="52"/>
        <v>OK</v>
      </c>
      <c r="H1724" s="4" t="str">
        <f t="shared" si="53"/>
        <v>NON-ZERO</v>
      </c>
      <c r="I1724" s="2">
        <v>9.7971743931788194E-14</v>
      </c>
      <c r="J1724">
        <f>IFERROR(Table4[[#This Row],[energy_kwh]]/Table4[[#This Row],[expected_kwh]],0)</f>
        <v>1.0505934890459423</v>
      </c>
      <c r="K1724" t="str">
        <f>IF(Table4[[#This Row],[Performance_Ratio]] &lt; 0.85, "Underperforming", "Performing")</f>
        <v>Performing</v>
      </c>
      <c r="L1724">
        <f>Table4[[#This Row],[energy_kwh]] - Table4[[#This Row],[expected_kwh]]</f>
        <v>4.9567323534248001E-15</v>
      </c>
      <c r="M1724" t="str">
        <f>IF(Table4[[#This Row],[Performance_Deviation]] &lt; 0, "Underperforming", "Outperforming")</f>
        <v>Outperforming</v>
      </c>
      <c r="N1724">
        <f>IF(Table4[[#This Row],[Performance_Ratio]] &lt; 0.85, Table4[[#This Row],[Performance_Deviation]] * 50 / 1000, 0)</f>
        <v>0</v>
      </c>
    </row>
    <row r="1725" spans="1:14" x14ac:dyDescent="0.3">
      <c r="A1725" s="6" t="s">
        <v>8</v>
      </c>
      <c r="B1725" s="5">
        <v>45301.791666666664</v>
      </c>
      <c r="C1725" s="6">
        <v>0</v>
      </c>
      <c r="D1725" s="6">
        <v>0</v>
      </c>
      <c r="E1725" s="6">
        <v>0</v>
      </c>
      <c r="F1725" s="6">
        <v>34.180824033376098</v>
      </c>
      <c r="G1725" s="6" t="str">
        <f t="shared" si="52"/>
        <v>OK</v>
      </c>
      <c r="H1725" s="6" t="str">
        <f t="shared" si="53"/>
        <v>ZERO</v>
      </c>
      <c r="I1725">
        <v>0</v>
      </c>
      <c r="J1725">
        <f>IFERROR(Table4[[#This Row],[energy_kwh]]/Table4[[#This Row],[expected_kwh]],0)</f>
        <v>0</v>
      </c>
      <c r="K1725" t="str">
        <f>IF(Table4[[#This Row],[Performance_Ratio]] &lt; 0.85, "Underperforming", "Performing")</f>
        <v>Underperforming</v>
      </c>
      <c r="L1725">
        <f>Table4[[#This Row],[energy_kwh]] - Table4[[#This Row],[expected_kwh]]</f>
        <v>0</v>
      </c>
      <c r="M1725" t="str">
        <f>IF(Table4[[#This Row],[Performance_Deviation]] &lt; 0, "Underperforming", "Outperforming")</f>
        <v>Outperforming</v>
      </c>
      <c r="N1725">
        <f>IF(Table4[[#This Row],[Performance_Ratio]] &lt; 0.85, Table4[[#This Row],[Performance_Deviation]] * 50 / 1000, 0)</f>
        <v>0</v>
      </c>
    </row>
    <row r="1726" spans="1:14" x14ac:dyDescent="0.3">
      <c r="A1726" s="4" t="s">
        <v>8</v>
      </c>
      <c r="B1726" s="3">
        <v>45301.833333333336</v>
      </c>
      <c r="C1726" s="4">
        <v>0</v>
      </c>
      <c r="D1726" s="4">
        <v>0</v>
      </c>
      <c r="E1726" s="4">
        <v>0</v>
      </c>
      <c r="F1726" s="4">
        <v>65.313045362944393</v>
      </c>
      <c r="G1726" s="4" t="str">
        <f t="shared" si="52"/>
        <v>OK</v>
      </c>
      <c r="H1726" s="4" t="str">
        <f t="shared" si="53"/>
        <v>ZERO</v>
      </c>
      <c r="I1726">
        <v>0</v>
      </c>
      <c r="J1726">
        <f>IFERROR(Table4[[#This Row],[energy_kwh]]/Table4[[#This Row],[expected_kwh]],0)</f>
        <v>0</v>
      </c>
      <c r="K1726" t="str">
        <f>IF(Table4[[#This Row],[Performance_Ratio]] &lt; 0.85, "Underperforming", "Performing")</f>
        <v>Underperforming</v>
      </c>
      <c r="L1726">
        <f>Table4[[#This Row],[energy_kwh]] - Table4[[#This Row],[expected_kwh]]</f>
        <v>0</v>
      </c>
      <c r="M1726" t="str">
        <f>IF(Table4[[#This Row],[Performance_Deviation]] &lt; 0, "Underperforming", "Outperforming")</f>
        <v>Outperforming</v>
      </c>
      <c r="N1726">
        <f>IF(Table4[[#This Row],[Performance_Ratio]] &lt; 0.85, Table4[[#This Row],[Performance_Deviation]] * 50 / 1000, 0)</f>
        <v>0</v>
      </c>
    </row>
    <row r="1727" spans="1:14" x14ac:dyDescent="0.3">
      <c r="A1727" s="6" t="s">
        <v>8</v>
      </c>
      <c r="B1727" s="5">
        <v>45301.875</v>
      </c>
      <c r="C1727" s="6">
        <v>0</v>
      </c>
      <c r="D1727" s="6">
        <v>0</v>
      </c>
      <c r="E1727" s="6">
        <v>0</v>
      </c>
      <c r="F1727" s="6">
        <v>59.548317173179498</v>
      </c>
      <c r="G1727" s="6" t="str">
        <f t="shared" si="52"/>
        <v>OK</v>
      </c>
      <c r="H1727" s="6" t="str">
        <f t="shared" si="53"/>
        <v>ZERO</v>
      </c>
      <c r="I1727">
        <v>0</v>
      </c>
      <c r="J1727">
        <f>IFERROR(Table4[[#This Row],[energy_kwh]]/Table4[[#This Row],[expected_kwh]],0)</f>
        <v>0</v>
      </c>
      <c r="K1727" t="str">
        <f>IF(Table4[[#This Row],[Performance_Ratio]] &lt; 0.85, "Underperforming", "Performing")</f>
        <v>Underperforming</v>
      </c>
      <c r="L1727">
        <f>Table4[[#This Row],[energy_kwh]] - Table4[[#This Row],[expected_kwh]]</f>
        <v>0</v>
      </c>
      <c r="M1727" t="str">
        <f>IF(Table4[[#This Row],[Performance_Deviation]] &lt; 0, "Underperforming", "Outperforming")</f>
        <v>Outperforming</v>
      </c>
      <c r="N1727">
        <f>IF(Table4[[#This Row],[Performance_Ratio]] &lt; 0.85, Table4[[#This Row],[Performance_Deviation]] * 50 / 1000, 0)</f>
        <v>0</v>
      </c>
    </row>
    <row r="1728" spans="1:14" x14ac:dyDescent="0.3">
      <c r="A1728" s="4" t="s">
        <v>8</v>
      </c>
      <c r="B1728" s="3">
        <v>45301.916666666664</v>
      </c>
      <c r="C1728" s="4">
        <v>0</v>
      </c>
      <c r="D1728" s="4">
        <v>0</v>
      </c>
      <c r="E1728" s="4">
        <v>0</v>
      </c>
      <c r="F1728" s="4">
        <v>33.109003628386802</v>
      </c>
      <c r="G1728" s="4" t="str">
        <f t="shared" si="52"/>
        <v>OK</v>
      </c>
      <c r="H1728" s="4" t="str">
        <f t="shared" si="53"/>
        <v>ZERO</v>
      </c>
      <c r="I1728">
        <v>0</v>
      </c>
      <c r="J1728">
        <f>IFERROR(Table4[[#This Row],[energy_kwh]]/Table4[[#This Row],[expected_kwh]],0)</f>
        <v>0</v>
      </c>
      <c r="K1728" t="str">
        <f>IF(Table4[[#This Row],[Performance_Ratio]] &lt; 0.85, "Underperforming", "Performing")</f>
        <v>Underperforming</v>
      </c>
      <c r="L1728">
        <f>Table4[[#This Row],[energy_kwh]] - Table4[[#This Row],[expected_kwh]]</f>
        <v>0</v>
      </c>
      <c r="M1728" t="str">
        <f>IF(Table4[[#This Row],[Performance_Deviation]] &lt; 0, "Underperforming", "Outperforming")</f>
        <v>Outperforming</v>
      </c>
      <c r="N1728">
        <f>IF(Table4[[#This Row],[Performance_Ratio]] &lt; 0.85, Table4[[#This Row],[Performance_Deviation]] * 50 / 1000, 0)</f>
        <v>0</v>
      </c>
    </row>
    <row r="1729" spans="1:14" x14ac:dyDescent="0.3">
      <c r="A1729" s="6" t="s">
        <v>8</v>
      </c>
      <c r="B1729" s="5">
        <v>45301.958333333336</v>
      </c>
      <c r="C1729" s="6">
        <v>0</v>
      </c>
      <c r="D1729" s="6">
        <v>0</v>
      </c>
      <c r="E1729" s="6">
        <v>0</v>
      </c>
      <c r="F1729" s="6">
        <v>71.557764570564999</v>
      </c>
      <c r="G1729" s="6" t="str">
        <f t="shared" si="52"/>
        <v>OK</v>
      </c>
      <c r="H1729" s="6" t="str">
        <f t="shared" si="53"/>
        <v>ZERO</v>
      </c>
      <c r="I1729">
        <v>0</v>
      </c>
      <c r="J1729">
        <f>IFERROR(Table4[[#This Row],[energy_kwh]]/Table4[[#This Row],[expected_kwh]],0)</f>
        <v>0</v>
      </c>
      <c r="K1729" t="str">
        <f>IF(Table4[[#This Row],[Performance_Ratio]] &lt; 0.85, "Underperforming", "Performing")</f>
        <v>Underperforming</v>
      </c>
      <c r="L1729">
        <f>Table4[[#This Row],[energy_kwh]] - Table4[[#This Row],[expected_kwh]]</f>
        <v>0</v>
      </c>
      <c r="M1729" t="str">
        <f>IF(Table4[[#This Row],[Performance_Deviation]] &lt; 0, "Underperforming", "Outperforming")</f>
        <v>Outperforming</v>
      </c>
      <c r="N1729">
        <f>IF(Table4[[#This Row],[Performance_Ratio]] &lt; 0.85, Table4[[#This Row],[Performance_Deviation]] * 50 / 1000, 0)</f>
        <v>0</v>
      </c>
    </row>
    <row r="1730" spans="1:14" x14ac:dyDescent="0.3">
      <c r="A1730" s="4" t="s">
        <v>8</v>
      </c>
      <c r="B1730" s="3">
        <v>45302</v>
      </c>
      <c r="C1730" s="4">
        <v>0</v>
      </c>
      <c r="D1730" s="4">
        <v>0</v>
      </c>
      <c r="E1730" s="4">
        <v>0</v>
      </c>
      <c r="F1730" s="4">
        <v>51.785613888017998</v>
      </c>
      <c r="G1730" s="4" t="str">
        <f t="shared" ref="G1730:G1793" si="54">IF(D1730 &gt; C1730, "ERROR", "OK")</f>
        <v>OK</v>
      </c>
      <c r="H1730" s="4" t="str">
        <f t="shared" ref="H1730:H1793" si="55">IF(E1730=0,"ZERO","NON-ZERO")</f>
        <v>ZERO</v>
      </c>
      <c r="I1730">
        <v>0</v>
      </c>
      <c r="J1730">
        <f>IFERROR(Table4[[#This Row],[energy_kwh]]/Table4[[#This Row],[expected_kwh]],0)</f>
        <v>0</v>
      </c>
      <c r="K1730" t="str">
        <f>IF(Table4[[#This Row],[Performance_Ratio]] &lt; 0.85, "Underperforming", "Performing")</f>
        <v>Underperforming</v>
      </c>
      <c r="L1730">
        <f>Table4[[#This Row],[energy_kwh]] - Table4[[#This Row],[expected_kwh]]</f>
        <v>0</v>
      </c>
      <c r="M1730" t="str">
        <f>IF(Table4[[#This Row],[Performance_Deviation]] &lt; 0, "Underperforming", "Outperforming")</f>
        <v>Outperforming</v>
      </c>
      <c r="N1730">
        <f>IF(Table4[[#This Row],[Performance_Ratio]] &lt; 0.85, Table4[[#This Row],[Performance_Deviation]] * 50 / 1000, 0)</f>
        <v>0</v>
      </c>
    </row>
    <row r="1731" spans="1:14" x14ac:dyDescent="0.3">
      <c r="A1731" s="6" t="s">
        <v>8</v>
      </c>
      <c r="B1731" s="5">
        <v>45302.041666666664</v>
      </c>
      <c r="C1731" s="6">
        <v>0</v>
      </c>
      <c r="D1731" s="6">
        <v>0</v>
      </c>
      <c r="E1731" s="6">
        <v>0</v>
      </c>
      <c r="F1731" s="6">
        <v>80.769434788796502</v>
      </c>
      <c r="G1731" s="6" t="str">
        <f t="shared" si="54"/>
        <v>OK</v>
      </c>
      <c r="H1731" s="6" t="str">
        <f t="shared" si="55"/>
        <v>ZERO</v>
      </c>
      <c r="I1731">
        <v>0</v>
      </c>
      <c r="J1731">
        <f>IFERROR(Table4[[#This Row],[energy_kwh]]/Table4[[#This Row],[expected_kwh]],0)</f>
        <v>0</v>
      </c>
      <c r="K1731" t="str">
        <f>IF(Table4[[#This Row],[Performance_Ratio]] &lt; 0.85, "Underperforming", "Performing")</f>
        <v>Underperforming</v>
      </c>
      <c r="L1731">
        <f>Table4[[#This Row],[energy_kwh]] - Table4[[#This Row],[expected_kwh]]</f>
        <v>0</v>
      </c>
      <c r="M1731" t="str">
        <f>IF(Table4[[#This Row],[Performance_Deviation]] &lt; 0, "Underperforming", "Outperforming")</f>
        <v>Outperforming</v>
      </c>
      <c r="N1731">
        <f>IF(Table4[[#This Row],[Performance_Ratio]] &lt; 0.85, Table4[[#This Row],[Performance_Deviation]] * 50 / 1000, 0)</f>
        <v>0</v>
      </c>
    </row>
    <row r="1732" spans="1:14" x14ac:dyDescent="0.3">
      <c r="A1732" s="4" t="s">
        <v>8</v>
      </c>
      <c r="B1732" s="3">
        <v>45302.083333333336</v>
      </c>
      <c r="C1732" s="4">
        <v>0</v>
      </c>
      <c r="D1732" s="4">
        <v>0</v>
      </c>
      <c r="E1732" s="4">
        <v>0</v>
      </c>
      <c r="F1732" s="4">
        <v>87.1275394140077</v>
      </c>
      <c r="G1732" s="4" t="str">
        <f t="shared" si="54"/>
        <v>OK</v>
      </c>
      <c r="H1732" s="4" t="str">
        <f t="shared" si="55"/>
        <v>ZERO</v>
      </c>
      <c r="I1732">
        <v>0</v>
      </c>
      <c r="J1732">
        <f>IFERROR(Table4[[#This Row],[energy_kwh]]/Table4[[#This Row],[expected_kwh]],0)</f>
        <v>0</v>
      </c>
      <c r="K1732" t="str">
        <f>IF(Table4[[#This Row],[Performance_Ratio]] &lt; 0.85, "Underperforming", "Performing")</f>
        <v>Underperforming</v>
      </c>
      <c r="L1732">
        <f>Table4[[#This Row],[energy_kwh]] - Table4[[#This Row],[expected_kwh]]</f>
        <v>0</v>
      </c>
      <c r="M1732" t="str">
        <f>IF(Table4[[#This Row],[Performance_Deviation]] &lt; 0, "Underperforming", "Outperforming")</f>
        <v>Outperforming</v>
      </c>
      <c r="N1732">
        <f>IF(Table4[[#This Row],[Performance_Ratio]] &lt; 0.85, Table4[[#This Row],[Performance_Deviation]] * 50 / 1000, 0)</f>
        <v>0</v>
      </c>
    </row>
    <row r="1733" spans="1:14" x14ac:dyDescent="0.3">
      <c r="A1733" s="6" t="s">
        <v>8</v>
      </c>
      <c r="B1733" s="5">
        <v>45302.125</v>
      </c>
      <c r="C1733" s="6">
        <v>0</v>
      </c>
      <c r="D1733" s="6">
        <v>0</v>
      </c>
      <c r="E1733" s="6">
        <v>0</v>
      </c>
      <c r="F1733" s="6">
        <v>24.920057370877199</v>
      </c>
      <c r="G1733" s="6" t="str">
        <f t="shared" si="54"/>
        <v>OK</v>
      </c>
      <c r="H1733" s="6" t="str">
        <f t="shared" si="55"/>
        <v>ZERO</v>
      </c>
      <c r="I1733">
        <v>0</v>
      </c>
      <c r="J1733">
        <f>IFERROR(Table4[[#This Row],[energy_kwh]]/Table4[[#This Row],[expected_kwh]],0)</f>
        <v>0</v>
      </c>
      <c r="K1733" t="str">
        <f>IF(Table4[[#This Row],[Performance_Ratio]] &lt; 0.85, "Underperforming", "Performing")</f>
        <v>Underperforming</v>
      </c>
      <c r="L1733">
        <f>Table4[[#This Row],[energy_kwh]] - Table4[[#This Row],[expected_kwh]]</f>
        <v>0</v>
      </c>
      <c r="M1733" t="str">
        <f>IF(Table4[[#This Row],[Performance_Deviation]] &lt; 0, "Underperforming", "Outperforming")</f>
        <v>Outperforming</v>
      </c>
      <c r="N1733">
        <f>IF(Table4[[#This Row],[Performance_Ratio]] &lt; 0.85, Table4[[#This Row],[Performance_Deviation]] * 50 / 1000, 0)</f>
        <v>0</v>
      </c>
    </row>
    <row r="1734" spans="1:14" x14ac:dyDescent="0.3">
      <c r="A1734" s="4" t="s">
        <v>8</v>
      </c>
      <c r="B1734" s="3">
        <v>45302.166666666664</v>
      </c>
      <c r="C1734" s="4">
        <v>0</v>
      </c>
      <c r="D1734" s="4">
        <v>0</v>
      </c>
      <c r="E1734" s="4">
        <v>0</v>
      </c>
      <c r="F1734" s="4">
        <v>36.261070694683099</v>
      </c>
      <c r="G1734" s="4" t="str">
        <f t="shared" si="54"/>
        <v>OK</v>
      </c>
      <c r="H1734" s="4" t="str">
        <f t="shared" si="55"/>
        <v>ZERO</v>
      </c>
      <c r="I1734">
        <v>0</v>
      </c>
      <c r="J1734">
        <f>IFERROR(Table4[[#This Row],[energy_kwh]]/Table4[[#This Row],[expected_kwh]],0)</f>
        <v>0</v>
      </c>
      <c r="K1734" t="str">
        <f>IF(Table4[[#This Row],[Performance_Ratio]] &lt; 0.85, "Underperforming", "Performing")</f>
        <v>Underperforming</v>
      </c>
      <c r="L1734">
        <f>Table4[[#This Row],[energy_kwh]] - Table4[[#This Row],[expected_kwh]]</f>
        <v>0</v>
      </c>
      <c r="M1734" t="str">
        <f>IF(Table4[[#This Row],[Performance_Deviation]] &lt; 0, "Underperforming", "Outperforming")</f>
        <v>Outperforming</v>
      </c>
      <c r="N1734">
        <f>IF(Table4[[#This Row],[Performance_Ratio]] &lt; 0.85, Table4[[#This Row],[Performance_Deviation]] * 50 / 1000, 0)</f>
        <v>0</v>
      </c>
    </row>
    <row r="1735" spans="1:14" x14ac:dyDescent="0.3">
      <c r="A1735" s="6" t="s">
        <v>8</v>
      </c>
      <c r="B1735" s="5">
        <v>45302.208333333336</v>
      </c>
      <c r="C1735" s="6">
        <v>0</v>
      </c>
      <c r="D1735" s="6">
        <v>0</v>
      </c>
      <c r="E1735" s="6">
        <v>0</v>
      </c>
      <c r="F1735" s="6">
        <v>33.178643437761899</v>
      </c>
      <c r="G1735" s="6" t="str">
        <f t="shared" si="54"/>
        <v>OK</v>
      </c>
      <c r="H1735" s="6" t="str">
        <f t="shared" si="55"/>
        <v>ZERO</v>
      </c>
      <c r="I1735">
        <v>0</v>
      </c>
      <c r="J1735">
        <f>IFERROR(Table4[[#This Row],[energy_kwh]]/Table4[[#This Row],[expected_kwh]],0)</f>
        <v>0</v>
      </c>
      <c r="K1735" t="str">
        <f>IF(Table4[[#This Row],[Performance_Ratio]] &lt; 0.85, "Underperforming", "Performing")</f>
        <v>Underperforming</v>
      </c>
      <c r="L1735">
        <f>Table4[[#This Row],[energy_kwh]] - Table4[[#This Row],[expected_kwh]]</f>
        <v>0</v>
      </c>
      <c r="M1735" t="str">
        <f>IF(Table4[[#This Row],[Performance_Deviation]] &lt; 0, "Underperforming", "Outperforming")</f>
        <v>Outperforming</v>
      </c>
      <c r="N1735">
        <f>IF(Table4[[#This Row],[Performance_Ratio]] &lt; 0.85, Table4[[#This Row],[Performance_Deviation]] * 50 / 1000, 0)</f>
        <v>0</v>
      </c>
    </row>
    <row r="1736" spans="1:14" x14ac:dyDescent="0.3">
      <c r="A1736" s="4" t="s">
        <v>8</v>
      </c>
      <c r="B1736" s="3">
        <v>45302.25</v>
      </c>
      <c r="C1736" s="4">
        <v>0</v>
      </c>
      <c r="D1736" s="4">
        <v>0</v>
      </c>
      <c r="E1736" s="4">
        <v>0</v>
      </c>
      <c r="F1736" s="4">
        <v>81.885115674606396</v>
      </c>
      <c r="G1736" s="4" t="str">
        <f t="shared" si="54"/>
        <v>OK</v>
      </c>
      <c r="H1736" s="4" t="str">
        <f t="shared" si="55"/>
        <v>ZERO</v>
      </c>
      <c r="I1736">
        <v>0</v>
      </c>
      <c r="J1736">
        <f>IFERROR(Table4[[#This Row],[energy_kwh]]/Table4[[#This Row],[expected_kwh]],0)</f>
        <v>0</v>
      </c>
      <c r="K1736" t="str">
        <f>IF(Table4[[#This Row],[Performance_Ratio]] &lt; 0.85, "Underperforming", "Performing")</f>
        <v>Underperforming</v>
      </c>
      <c r="L1736">
        <f>Table4[[#This Row],[energy_kwh]] - Table4[[#This Row],[expected_kwh]]</f>
        <v>0</v>
      </c>
      <c r="M1736" t="str">
        <f>IF(Table4[[#This Row],[Performance_Deviation]] &lt; 0, "Underperforming", "Outperforming")</f>
        <v>Outperforming</v>
      </c>
      <c r="N1736">
        <f>IF(Table4[[#This Row],[Performance_Ratio]] &lt; 0.85, Table4[[#This Row],[Performance_Deviation]] * 50 / 1000, 0)</f>
        <v>0</v>
      </c>
    </row>
    <row r="1737" spans="1:14" x14ac:dyDescent="0.3">
      <c r="A1737" s="6" t="s">
        <v>8</v>
      </c>
      <c r="B1737" s="5">
        <v>45302.291666666664</v>
      </c>
      <c r="C1737" s="6">
        <v>223.745776176519</v>
      </c>
      <c r="D1737" s="6">
        <v>216.87225171261201</v>
      </c>
      <c r="E1737" s="6">
        <v>216.87225171261201</v>
      </c>
      <c r="F1737" s="6">
        <v>42.8570684597994</v>
      </c>
      <c r="G1737" s="6" t="str">
        <f t="shared" si="54"/>
        <v>OK</v>
      </c>
      <c r="H1737" s="6" t="str">
        <f t="shared" si="55"/>
        <v>NON-ZERO</v>
      </c>
      <c r="I1737">
        <v>207.05523608201599</v>
      </c>
      <c r="J1737">
        <f>IFERROR(Table4[[#This Row],[energy_kwh]]/Table4[[#This Row],[expected_kwh]],0)</f>
        <v>1.0474125446733809</v>
      </c>
      <c r="K1737" t="str">
        <f>IF(Table4[[#This Row],[Performance_Ratio]] &lt; 0.85, "Underperforming", "Performing")</f>
        <v>Performing</v>
      </c>
      <c r="L1737">
        <f>Table4[[#This Row],[energy_kwh]] - Table4[[#This Row],[expected_kwh]]</f>
        <v>9.8170156305960177</v>
      </c>
      <c r="M1737" t="str">
        <f>IF(Table4[[#This Row],[Performance_Deviation]] &lt; 0, "Underperforming", "Outperforming")</f>
        <v>Outperforming</v>
      </c>
      <c r="N1737">
        <f>IF(Table4[[#This Row],[Performance_Ratio]] &lt; 0.85, Table4[[#This Row],[Performance_Deviation]] * 50 / 1000, 0)</f>
        <v>0</v>
      </c>
    </row>
    <row r="1738" spans="1:14" x14ac:dyDescent="0.3">
      <c r="A1738" s="4" t="s">
        <v>8</v>
      </c>
      <c r="B1738" s="3">
        <v>45302.333333333336</v>
      </c>
      <c r="C1738" s="4">
        <v>355.06944236871698</v>
      </c>
      <c r="D1738" s="4">
        <v>344.16162305604399</v>
      </c>
      <c r="E1738" s="4">
        <v>344.16162305604399</v>
      </c>
      <c r="F1738" s="4">
        <v>51.183110074223798</v>
      </c>
      <c r="G1738" s="4" t="str">
        <f t="shared" si="54"/>
        <v>OK</v>
      </c>
      <c r="H1738" s="4" t="str">
        <f t="shared" si="55"/>
        <v>NON-ZERO</v>
      </c>
      <c r="I1738">
        <v>399.99999999999898</v>
      </c>
      <c r="J1738">
        <f>IFERROR(Table4[[#This Row],[energy_kwh]]/Table4[[#This Row],[expected_kwh]],0)</f>
        <v>0.86040405764011219</v>
      </c>
      <c r="K1738" t="str">
        <f>IF(Table4[[#This Row],[Performance_Ratio]] &lt; 0.85, "Underperforming", "Performing")</f>
        <v>Performing</v>
      </c>
      <c r="L1738">
        <f>Table4[[#This Row],[energy_kwh]] - Table4[[#This Row],[expected_kwh]]</f>
        <v>-55.838376943954984</v>
      </c>
      <c r="M1738" t="str">
        <f>IF(Table4[[#This Row],[Performance_Deviation]] &lt; 0, "Underperforming", "Outperforming")</f>
        <v>Underperforming</v>
      </c>
      <c r="N1738">
        <f>IF(Table4[[#This Row],[Performance_Ratio]] &lt; 0.85, Table4[[#This Row],[Performance_Deviation]] * 50 / 1000, 0)</f>
        <v>0</v>
      </c>
    </row>
    <row r="1739" spans="1:14" x14ac:dyDescent="0.3">
      <c r="A1739" s="6" t="s">
        <v>8</v>
      </c>
      <c r="B1739" s="5">
        <v>45302.375</v>
      </c>
      <c r="C1739" s="6">
        <v>562.25328978665402</v>
      </c>
      <c r="D1739" s="6">
        <v>544.98073247494995</v>
      </c>
      <c r="E1739" s="6">
        <v>544.98073247494995</v>
      </c>
      <c r="F1739" s="6">
        <v>27.546498291694199</v>
      </c>
      <c r="G1739" s="6" t="str">
        <f t="shared" si="54"/>
        <v>OK</v>
      </c>
      <c r="H1739" s="6" t="str">
        <f t="shared" si="55"/>
        <v>NON-ZERO</v>
      </c>
      <c r="I1739">
        <v>565.68542494923804</v>
      </c>
      <c r="J1739">
        <f>IFERROR(Table4[[#This Row],[energy_kwh]]/Table4[[#This Row],[expected_kwh]],0)</f>
        <v>0.96339892887262202</v>
      </c>
      <c r="K1739" t="str">
        <f>IF(Table4[[#This Row],[Performance_Ratio]] &lt; 0.85, "Underperforming", "Performing")</f>
        <v>Performing</v>
      </c>
      <c r="L1739">
        <f>Table4[[#This Row],[energy_kwh]] - Table4[[#This Row],[expected_kwh]]</f>
        <v>-20.704692474288095</v>
      </c>
      <c r="M1739" t="str">
        <f>IF(Table4[[#This Row],[Performance_Deviation]] &lt; 0, "Underperforming", "Outperforming")</f>
        <v>Underperforming</v>
      </c>
      <c r="N1739">
        <f>IF(Table4[[#This Row],[Performance_Ratio]] &lt; 0.85, Table4[[#This Row],[Performance_Deviation]] * 50 / 1000, 0)</f>
        <v>0</v>
      </c>
    </row>
    <row r="1740" spans="1:14" x14ac:dyDescent="0.3">
      <c r="A1740" s="4" t="s">
        <v>8</v>
      </c>
      <c r="B1740" s="3">
        <v>45302.416666666664</v>
      </c>
      <c r="C1740" s="4">
        <v>710.67068007858302</v>
      </c>
      <c r="D1740" s="4">
        <v>688.83870457148896</v>
      </c>
      <c r="E1740" s="4">
        <v>688.83870457148896</v>
      </c>
      <c r="F1740" s="4">
        <v>54.507696991826599</v>
      </c>
      <c r="G1740" s="4" t="str">
        <f t="shared" si="54"/>
        <v>OK</v>
      </c>
      <c r="H1740" s="4" t="str">
        <f t="shared" si="55"/>
        <v>NON-ZERO</v>
      </c>
      <c r="I1740">
        <v>692.82032302754999</v>
      </c>
      <c r="J1740">
        <f>IFERROR(Table4[[#This Row],[energy_kwh]]/Table4[[#This Row],[expected_kwh]],0)</f>
        <v>0.99425302878145694</v>
      </c>
      <c r="K1740" t="str">
        <f>IF(Table4[[#This Row],[Performance_Ratio]] &lt; 0.85, "Underperforming", "Performing")</f>
        <v>Performing</v>
      </c>
      <c r="L1740">
        <f>Table4[[#This Row],[energy_kwh]] - Table4[[#This Row],[expected_kwh]]</f>
        <v>-3.9816184560610282</v>
      </c>
      <c r="M1740" t="str">
        <f>IF(Table4[[#This Row],[Performance_Deviation]] &lt; 0, "Underperforming", "Outperforming")</f>
        <v>Underperforming</v>
      </c>
      <c r="N1740">
        <f>IF(Table4[[#This Row],[Performance_Ratio]] &lt; 0.85, Table4[[#This Row],[Performance_Deviation]] * 50 / 1000, 0)</f>
        <v>0</v>
      </c>
    </row>
    <row r="1741" spans="1:14" x14ac:dyDescent="0.3">
      <c r="A1741" s="6" t="s">
        <v>8</v>
      </c>
      <c r="B1741" s="5">
        <v>45302.458333333336</v>
      </c>
      <c r="C1741" s="6">
        <v>666.03364641813198</v>
      </c>
      <c r="D1741" s="6">
        <v>645.57293140187005</v>
      </c>
      <c r="E1741" s="6">
        <v>645.57293140187005</v>
      </c>
      <c r="F1741" s="6">
        <v>21.7285316304955</v>
      </c>
      <c r="G1741" s="6" t="str">
        <f t="shared" si="54"/>
        <v>OK</v>
      </c>
      <c r="H1741" s="6" t="str">
        <f t="shared" si="55"/>
        <v>NON-ZERO</v>
      </c>
      <c r="I1741">
        <v>772.74066103125404</v>
      </c>
      <c r="J1741">
        <f>IFERROR(Table4[[#This Row],[energy_kwh]]/Table4[[#This Row],[expected_kwh]],0)</f>
        <v>0.83543284824733632</v>
      </c>
      <c r="K1741" t="str">
        <f>IF(Table4[[#This Row],[Performance_Ratio]] &lt; 0.85, "Underperforming", "Performing")</f>
        <v>Underperforming</v>
      </c>
      <c r="L1741">
        <f>Table4[[#This Row],[energy_kwh]] - Table4[[#This Row],[expected_kwh]]</f>
        <v>-127.16772962938398</v>
      </c>
      <c r="M1741" t="str">
        <f>IF(Table4[[#This Row],[Performance_Deviation]] &lt; 0, "Underperforming", "Outperforming")</f>
        <v>Underperforming</v>
      </c>
      <c r="N1741">
        <f>IF(Table4[[#This Row],[Performance_Ratio]] &lt; 0.85, Table4[[#This Row],[Performance_Deviation]] * 50 / 1000, 0)</f>
        <v>-6.358386481469199</v>
      </c>
    </row>
    <row r="1742" spans="1:14" x14ac:dyDescent="0.3">
      <c r="A1742" s="4" t="s">
        <v>8</v>
      </c>
      <c r="B1742" s="3">
        <v>45302.5</v>
      </c>
      <c r="C1742" s="4">
        <v>751.11553372573496</v>
      </c>
      <c r="D1742" s="4">
        <v>728.04108251369803</v>
      </c>
      <c r="E1742" s="4">
        <v>728.04108251369803</v>
      </c>
      <c r="F1742" s="4">
        <v>29.5556053771571</v>
      </c>
      <c r="G1742" s="4" t="str">
        <f t="shared" si="54"/>
        <v>OK</v>
      </c>
      <c r="H1742" s="4" t="str">
        <f t="shared" si="55"/>
        <v>NON-ZERO</v>
      </c>
      <c r="I1742">
        <v>800</v>
      </c>
      <c r="J1742">
        <f>IFERROR(Table4[[#This Row],[energy_kwh]]/Table4[[#This Row],[expected_kwh]],0)</f>
        <v>0.91005135314212249</v>
      </c>
      <c r="K1742" t="str">
        <f>IF(Table4[[#This Row],[Performance_Ratio]] &lt; 0.85, "Underperforming", "Performing")</f>
        <v>Performing</v>
      </c>
      <c r="L1742">
        <f>Table4[[#This Row],[energy_kwh]] - Table4[[#This Row],[expected_kwh]]</f>
        <v>-71.958917486301971</v>
      </c>
      <c r="M1742" t="str">
        <f>IF(Table4[[#This Row],[Performance_Deviation]] &lt; 0, "Underperforming", "Outperforming")</f>
        <v>Underperforming</v>
      </c>
      <c r="N1742">
        <f>IF(Table4[[#This Row],[Performance_Ratio]] &lt; 0.85, Table4[[#This Row],[Performance_Deviation]] * 50 / 1000, 0)</f>
        <v>0</v>
      </c>
    </row>
    <row r="1743" spans="1:14" x14ac:dyDescent="0.3">
      <c r="A1743" s="6" t="s">
        <v>8</v>
      </c>
      <c r="B1743" s="5">
        <v>45302.541666666664</v>
      </c>
      <c r="C1743" s="6">
        <v>745.87290681152899</v>
      </c>
      <c r="D1743" s="6">
        <v>722.95951036872896</v>
      </c>
      <c r="E1743" s="6">
        <v>722.95951036872896</v>
      </c>
      <c r="F1743" s="6">
        <v>30.0651819744762</v>
      </c>
      <c r="G1743" s="6" t="str">
        <f t="shared" si="54"/>
        <v>OK</v>
      </c>
      <c r="H1743" s="6" t="str">
        <f t="shared" si="55"/>
        <v>NON-ZERO</v>
      </c>
      <c r="I1743">
        <v>772.74066103125404</v>
      </c>
      <c r="J1743">
        <f>IFERROR(Table4[[#This Row],[energy_kwh]]/Table4[[#This Row],[expected_kwh]],0)</f>
        <v>0.93557845060710265</v>
      </c>
      <c r="K1743" t="str">
        <f>IF(Table4[[#This Row],[Performance_Ratio]] &lt; 0.85, "Underperforming", "Performing")</f>
        <v>Performing</v>
      </c>
      <c r="L1743">
        <f>Table4[[#This Row],[energy_kwh]] - Table4[[#This Row],[expected_kwh]]</f>
        <v>-49.781150662525079</v>
      </c>
      <c r="M1743" t="str">
        <f>IF(Table4[[#This Row],[Performance_Deviation]] &lt; 0, "Underperforming", "Outperforming")</f>
        <v>Underperforming</v>
      </c>
      <c r="N1743">
        <f>IF(Table4[[#This Row],[Performance_Ratio]] &lt; 0.85, Table4[[#This Row],[Performance_Deviation]] * 50 / 1000, 0)</f>
        <v>0</v>
      </c>
    </row>
    <row r="1744" spans="1:14" x14ac:dyDescent="0.3">
      <c r="A1744" s="4" t="s">
        <v>8</v>
      </c>
      <c r="B1744" s="3">
        <v>45302.583333333336</v>
      </c>
      <c r="C1744" s="4">
        <v>592.22430632376097</v>
      </c>
      <c r="D1744" s="4">
        <v>574.03103212123403</v>
      </c>
      <c r="E1744" s="4">
        <v>574.03103212123403</v>
      </c>
      <c r="F1744" s="4">
        <v>39.2015879796134</v>
      </c>
      <c r="G1744" s="4" t="str">
        <f t="shared" si="54"/>
        <v>OK</v>
      </c>
      <c r="H1744" s="4" t="str">
        <f t="shared" si="55"/>
        <v>NON-ZERO</v>
      </c>
      <c r="I1744">
        <v>692.82032302755101</v>
      </c>
      <c r="J1744">
        <f>IFERROR(Table4[[#This Row],[energy_kwh]]/Table4[[#This Row],[expected_kwh]],0)</f>
        <v>0.82854242729598282</v>
      </c>
      <c r="K1744" t="str">
        <f>IF(Table4[[#This Row],[Performance_Ratio]] &lt; 0.85, "Underperforming", "Performing")</f>
        <v>Underperforming</v>
      </c>
      <c r="L1744">
        <f>Table4[[#This Row],[energy_kwh]] - Table4[[#This Row],[expected_kwh]]</f>
        <v>-118.78929090631698</v>
      </c>
      <c r="M1744" t="str">
        <f>IF(Table4[[#This Row],[Performance_Deviation]] &lt; 0, "Underperforming", "Outperforming")</f>
        <v>Underperforming</v>
      </c>
      <c r="N1744">
        <f>IF(Table4[[#This Row],[Performance_Ratio]] &lt; 0.85, Table4[[#This Row],[Performance_Deviation]] * 50 / 1000, 0)</f>
        <v>-5.9394645453158494</v>
      </c>
    </row>
    <row r="1745" spans="1:14" x14ac:dyDescent="0.3">
      <c r="A1745" s="6" t="s">
        <v>8</v>
      </c>
      <c r="B1745" s="5">
        <v>45302.625</v>
      </c>
      <c r="C1745" s="6">
        <v>586.01955275341402</v>
      </c>
      <c r="D1745" s="6">
        <v>568.01689008415099</v>
      </c>
      <c r="E1745" s="6">
        <v>568.01689008415099</v>
      </c>
      <c r="F1745" s="6">
        <v>60.230778731002196</v>
      </c>
      <c r="G1745" s="6" t="str">
        <f t="shared" si="54"/>
        <v>OK</v>
      </c>
      <c r="H1745" s="6" t="str">
        <f t="shared" si="55"/>
        <v>NON-ZERO</v>
      </c>
      <c r="I1745">
        <v>565.68542494923804</v>
      </c>
      <c r="J1745">
        <f>IFERROR(Table4[[#This Row],[energy_kwh]]/Table4[[#This Row],[expected_kwh]],0)</f>
        <v>1.0041214870174924</v>
      </c>
      <c r="K1745" t="str">
        <f>IF(Table4[[#This Row],[Performance_Ratio]] &lt; 0.85, "Underperforming", "Performing")</f>
        <v>Performing</v>
      </c>
      <c r="L1745">
        <f>Table4[[#This Row],[energy_kwh]] - Table4[[#This Row],[expected_kwh]]</f>
        <v>2.3314651349129463</v>
      </c>
      <c r="M1745" t="str">
        <f>IF(Table4[[#This Row],[Performance_Deviation]] &lt; 0, "Underperforming", "Outperforming")</f>
        <v>Outperforming</v>
      </c>
      <c r="N1745">
        <f>IF(Table4[[#This Row],[Performance_Ratio]] &lt; 0.85, Table4[[#This Row],[Performance_Deviation]] * 50 / 1000, 0)</f>
        <v>0</v>
      </c>
    </row>
    <row r="1746" spans="1:14" x14ac:dyDescent="0.3">
      <c r="A1746" s="4" t="s">
        <v>8</v>
      </c>
      <c r="B1746" s="3">
        <v>45302.666666666664</v>
      </c>
      <c r="C1746" s="4">
        <v>333.754931291888</v>
      </c>
      <c r="D1746" s="4">
        <v>323.50189892458798</v>
      </c>
      <c r="E1746" s="4">
        <v>323.50189892458798</v>
      </c>
      <c r="F1746" s="4">
        <v>94.9178524822307</v>
      </c>
      <c r="G1746" s="4" t="str">
        <f t="shared" si="54"/>
        <v>OK</v>
      </c>
      <c r="H1746" s="4" t="str">
        <f t="shared" si="55"/>
        <v>NON-ZERO</v>
      </c>
      <c r="I1746">
        <v>399.99999999999898</v>
      </c>
      <c r="J1746">
        <f>IFERROR(Table4[[#This Row],[energy_kwh]]/Table4[[#This Row],[expected_kwh]],0)</f>
        <v>0.80875474731147201</v>
      </c>
      <c r="K1746" t="str">
        <f>IF(Table4[[#This Row],[Performance_Ratio]] &lt; 0.85, "Underperforming", "Performing")</f>
        <v>Underperforming</v>
      </c>
      <c r="L1746">
        <f>Table4[[#This Row],[energy_kwh]] - Table4[[#This Row],[expected_kwh]]</f>
        <v>-76.498101075411</v>
      </c>
      <c r="M1746" t="str">
        <f>IF(Table4[[#This Row],[Performance_Deviation]] &lt; 0, "Underperforming", "Outperforming")</f>
        <v>Underperforming</v>
      </c>
      <c r="N1746">
        <f>IF(Table4[[#This Row],[Performance_Ratio]] &lt; 0.85, Table4[[#This Row],[Performance_Deviation]] * 50 / 1000, 0)</f>
        <v>-3.8249050537705496</v>
      </c>
    </row>
    <row r="1747" spans="1:14" x14ac:dyDescent="0.3">
      <c r="A1747" s="6" t="s">
        <v>8</v>
      </c>
      <c r="B1747" s="5">
        <v>45302.708333333336</v>
      </c>
      <c r="C1747" s="6">
        <v>190.22082596436701</v>
      </c>
      <c r="D1747" s="6">
        <v>184.37719609499601</v>
      </c>
      <c r="E1747" s="6">
        <v>184.37719609499601</v>
      </c>
      <c r="F1747" s="6">
        <v>36.890532516215103</v>
      </c>
      <c r="G1747" s="6" t="str">
        <f t="shared" si="54"/>
        <v>OK</v>
      </c>
      <c r="H1747" s="6" t="str">
        <f t="shared" si="55"/>
        <v>NON-ZERO</v>
      </c>
      <c r="I1747">
        <v>207.05523608201599</v>
      </c>
      <c r="J1747">
        <f>IFERROR(Table4[[#This Row],[energy_kwh]]/Table4[[#This Row],[expected_kwh]],0)</f>
        <v>0.89047347743460559</v>
      </c>
      <c r="K1747" t="str">
        <f>IF(Table4[[#This Row],[Performance_Ratio]] &lt; 0.85, "Underperforming", "Performing")</f>
        <v>Performing</v>
      </c>
      <c r="L1747">
        <f>Table4[[#This Row],[energy_kwh]] - Table4[[#This Row],[expected_kwh]]</f>
        <v>-22.678039987019986</v>
      </c>
      <c r="M1747" t="str">
        <f>IF(Table4[[#This Row],[Performance_Deviation]] &lt; 0, "Underperforming", "Outperforming")</f>
        <v>Underperforming</v>
      </c>
      <c r="N1747">
        <f>IF(Table4[[#This Row],[Performance_Ratio]] &lt; 0.85, Table4[[#This Row],[Performance_Deviation]] * 50 / 1000, 0)</f>
        <v>0</v>
      </c>
    </row>
    <row r="1748" spans="1:14" x14ac:dyDescent="0.3">
      <c r="A1748" s="4" t="s">
        <v>8</v>
      </c>
      <c r="B1748" s="3">
        <v>45302.75</v>
      </c>
      <c r="C1748" s="7">
        <v>9.2093374539111506E-14</v>
      </c>
      <c r="D1748" s="7">
        <v>8.92642437565087E-14</v>
      </c>
      <c r="E1748" s="7">
        <v>8.92642437565087E-14</v>
      </c>
      <c r="F1748" s="4">
        <v>47.622160074178197</v>
      </c>
      <c r="G1748" s="4" t="str">
        <f t="shared" si="54"/>
        <v>OK</v>
      </c>
      <c r="H1748" s="4" t="str">
        <f t="shared" si="55"/>
        <v>NON-ZERO</v>
      </c>
      <c r="I1748" s="2">
        <v>9.7971743931788194E-14</v>
      </c>
      <c r="J1748">
        <f>IFERROR(Table4[[#This Row],[energy_kwh]]/Table4[[#This Row],[expected_kwh]],0)</f>
        <v>0.9111223315434499</v>
      </c>
      <c r="K1748" t="str">
        <f>IF(Table4[[#This Row],[Performance_Ratio]] &lt; 0.85, "Underperforming", "Performing")</f>
        <v>Performing</v>
      </c>
      <c r="L1748">
        <f>Table4[[#This Row],[energy_kwh]] - Table4[[#This Row],[expected_kwh]]</f>
        <v>-8.7075001752794946E-15</v>
      </c>
      <c r="M1748" t="str">
        <f>IF(Table4[[#This Row],[Performance_Deviation]] &lt; 0, "Underperforming", "Outperforming")</f>
        <v>Underperforming</v>
      </c>
      <c r="N1748">
        <f>IF(Table4[[#This Row],[Performance_Ratio]] &lt; 0.85, Table4[[#This Row],[Performance_Deviation]] * 50 / 1000, 0)</f>
        <v>0</v>
      </c>
    </row>
    <row r="1749" spans="1:14" x14ac:dyDescent="0.3">
      <c r="A1749" s="6" t="s">
        <v>8</v>
      </c>
      <c r="B1749" s="5">
        <v>45302.791666666664</v>
      </c>
      <c r="C1749" s="6">
        <v>0</v>
      </c>
      <c r="D1749" s="6">
        <v>0</v>
      </c>
      <c r="E1749" s="6">
        <v>0</v>
      </c>
      <c r="F1749" s="6">
        <v>82.746515777574302</v>
      </c>
      <c r="G1749" s="6" t="str">
        <f t="shared" si="54"/>
        <v>OK</v>
      </c>
      <c r="H1749" s="6" t="str">
        <f t="shared" si="55"/>
        <v>ZERO</v>
      </c>
      <c r="I1749">
        <v>0</v>
      </c>
      <c r="J1749">
        <f>IFERROR(Table4[[#This Row],[energy_kwh]]/Table4[[#This Row],[expected_kwh]],0)</f>
        <v>0</v>
      </c>
      <c r="K1749" t="str">
        <f>IF(Table4[[#This Row],[Performance_Ratio]] &lt; 0.85, "Underperforming", "Performing")</f>
        <v>Underperforming</v>
      </c>
      <c r="L1749">
        <f>Table4[[#This Row],[energy_kwh]] - Table4[[#This Row],[expected_kwh]]</f>
        <v>0</v>
      </c>
      <c r="M1749" t="str">
        <f>IF(Table4[[#This Row],[Performance_Deviation]] &lt; 0, "Underperforming", "Outperforming")</f>
        <v>Outperforming</v>
      </c>
      <c r="N1749">
        <f>IF(Table4[[#This Row],[Performance_Ratio]] &lt; 0.85, Table4[[#This Row],[Performance_Deviation]] * 50 / 1000, 0)</f>
        <v>0</v>
      </c>
    </row>
    <row r="1750" spans="1:14" x14ac:dyDescent="0.3">
      <c r="A1750" s="4" t="s">
        <v>8</v>
      </c>
      <c r="B1750" s="3">
        <v>45302.833333333336</v>
      </c>
      <c r="C1750" s="4">
        <v>0</v>
      </c>
      <c r="D1750" s="4">
        <v>0</v>
      </c>
      <c r="E1750" s="4">
        <v>0</v>
      </c>
      <c r="F1750" s="4">
        <v>22.8772896016775</v>
      </c>
      <c r="G1750" s="4" t="str">
        <f t="shared" si="54"/>
        <v>OK</v>
      </c>
      <c r="H1750" s="4" t="str">
        <f t="shared" si="55"/>
        <v>ZERO</v>
      </c>
      <c r="I1750">
        <v>0</v>
      </c>
      <c r="J1750">
        <f>IFERROR(Table4[[#This Row],[energy_kwh]]/Table4[[#This Row],[expected_kwh]],0)</f>
        <v>0</v>
      </c>
      <c r="K1750" t="str">
        <f>IF(Table4[[#This Row],[Performance_Ratio]] &lt; 0.85, "Underperforming", "Performing")</f>
        <v>Underperforming</v>
      </c>
      <c r="L1750">
        <f>Table4[[#This Row],[energy_kwh]] - Table4[[#This Row],[expected_kwh]]</f>
        <v>0</v>
      </c>
      <c r="M1750" t="str">
        <f>IF(Table4[[#This Row],[Performance_Deviation]] &lt; 0, "Underperforming", "Outperforming")</f>
        <v>Outperforming</v>
      </c>
      <c r="N1750">
        <f>IF(Table4[[#This Row],[Performance_Ratio]] &lt; 0.85, Table4[[#This Row],[Performance_Deviation]] * 50 / 1000, 0)</f>
        <v>0</v>
      </c>
    </row>
    <row r="1751" spans="1:14" x14ac:dyDescent="0.3">
      <c r="A1751" s="6" t="s">
        <v>8</v>
      </c>
      <c r="B1751" s="5">
        <v>45302.875</v>
      </c>
      <c r="C1751" s="6">
        <v>0</v>
      </c>
      <c r="D1751" s="6">
        <v>0</v>
      </c>
      <c r="E1751" s="6">
        <v>0</v>
      </c>
      <c r="F1751" s="6">
        <v>49.868767614755903</v>
      </c>
      <c r="G1751" s="6" t="str">
        <f t="shared" si="54"/>
        <v>OK</v>
      </c>
      <c r="H1751" s="6" t="str">
        <f t="shared" si="55"/>
        <v>ZERO</v>
      </c>
      <c r="I1751">
        <v>0</v>
      </c>
      <c r="J1751">
        <f>IFERROR(Table4[[#This Row],[energy_kwh]]/Table4[[#This Row],[expected_kwh]],0)</f>
        <v>0</v>
      </c>
      <c r="K1751" t="str">
        <f>IF(Table4[[#This Row],[Performance_Ratio]] &lt; 0.85, "Underperforming", "Performing")</f>
        <v>Underperforming</v>
      </c>
      <c r="L1751">
        <f>Table4[[#This Row],[energy_kwh]] - Table4[[#This Row],[expected_kwh]]</f>
        <v>0</v>
      </c>
      <c r="M1751" t="str">
        <f>IF(Table4[[#This Row],[Performance_Deviation]] &lt; 0, "Underperforming", "Outperforming")</f>
        <v>Outperforming</v>
      </c>
      <c r="N1751">
        <f>IF(Table4[[#This Row],[Performance_Ratio]] &lt; 0.85, Table4[[#This Row],[Performance_Deviation]] * 50 / 1000, 0)</f>
        <v>0</v>
      </c>
    </row>
    <row r="1752" spans="1:14" x14ac:dyDescent="0.3">
      <c r="A1752" s="4" t="s">
        <v>8</v>
      </c>
      <c r="B1752" s="3">
        <v>45302.916666666664</v>
      </c>
      <c r="C1752" s="4">
        <v>0</v>
      </c>
      <c r="D1752" s="4">
        <v>0</v>
      </c>
      <c r="E1752" s="4">
        <v>0</v>
      </c>
      <c r="F1752" s="4">
        <v>53.505464398354398</v>
      </c>
      <c r="G1752" s="4" t="str">
        <f t="shared" si="54"/>
        <v>OK</v>
      </c>
      <c r="H1752" s="4" t="str">
        <f t="shared" si="55"/>
        <v>ZERO</v>
      </c>
      <c r="I1752">
        <v>0</v>
      </c>
      <c r="J1752">
        <f>IFERROR(Table4[[#This Row],[energy_kwh]]/Table4[[#This Row],[expected_kwh]],0)</f>
        <v>0</v>
      </c>
      <c r="K1752" t="str">
        <f>IF(Table4[[#This Row],[Performance_Ratio]] &lt; 0.85, "Underperforming", "Performing")</f>
        <v>Underperforming</v>
      </c>
      <c r="L1752">
        <f>Table4[[#This Row],[energy_kwh]] - Table4[[#This Row],[expected_kwh]]</f>
        <v>0</v>
      </c>
      <c r="M1752" t="str">
        <f>IF(Table4[[#This Row],[Performance_Deviation]] &lt; 0, "Underperforming", "Outperforming")</f>
        <v>Outperforming</v>
      </c>
      <c r="N1752">
        <f>IF(Table4[[#This Row],[Performance_Ratio]] &lt; 0.85, Table4[[#This Row],[Performance_Deviation]] * 50 / 1000, 0)</f>
        <v>0</v>
      </c>
    </row>
    <row r="1753" spans="1:14" x14ac:dyDescent="0.3">
      <c r="A1753" s="6" t="s">
        <v>8</v>
      </c>
      <c r="B1753" s="5">
        <v>45302.958333333336</v>
      </c>
      <c r="C1753" s="6">
        <v>0</v>
      </c>
      <c r="D1753" s="6">
        <v>0</v>
      </c>
      <c r="E1753" s="6">
        <v>0</v>
      </c>
      <c r="F1753" s="6">
        <v>52.959903076883101</v>
      </c>
      <c r="G1753" s="6" t="str">
        <f t="shared" si="54"/>
        <v>OK</v>
      </c>
      <c r="H1753" s="6" t="str">
        <f t="shared" si="55"/>
        <v>ZERO</v>
      </c>
      <c r="I1753">
        <v>0</v>
      </c>
      <c r="J1753">
        <f>IFERROR(Table4[[#This Row],[energy_kwh]]/Table4[[#This Row],[expected_kwh]],0)</f>
        <v>0</v>
      </c>
      <c r="K1753" t="str">
        <f>IF(Table4[[#This Row],[Performance_Ratio]] &lt; 0.85, "Underperforming", "Performing")</f>
        <v>Underperforming</v>
      </c>
      <c r="L1753">
        <f>Table4[[#This Row],[energy_kwh]] - Table4[[#This Row],[expected_kwh]]</f>
        <v>0</v>
      </c>
      <c r="M1753" t="str">
        <f>IF(Table4[[#This Row],[Performance_Deviation]] &lt; 0, "Underperforming", "Outperforming")</f>
        <v>Outperforming</v>
      </c>
      <c r="N1753">
        <f>IF(Table4[[#This Row],[Performance_Ratio]] &lt; 0.85, Table4[[#This Row],[Performance_Deviation]] * 50 / 1000, 0)</f>
        <v>0</v>
      </c>
    </row>
    <row r="1754" spans="1:14" x14ac:dyDescent="0.3">
      <c r="A1754" s="4" t="s">
        <v>8</v>
      </c>
      <c r="B1754" s="3">
        <v>45303</v>
      </c>
      <c r="C1754" s="4">
        <v>0</v>
      </c>
      <c r="D1754" s="4">
        <v>0</v>
      </c>
      <c r="E1754" s="4">
        <v>0</v>
      </c>
      <c r="F1754" s="4">
        <v>92.106318338492997</v>
      </c>
      <c r="G1754" s="4" t="str">
        <f t="shared" si="54"/>
        <v>OK</v>
      </c>
      <c r="H1754" s="4" t="str">
        <f t="shared" si="55"/>
        <v>ZERO</v>
      </c>
      <c r="I1754">
        <v>0</v>
      </c>
      <c r="J1754">
        <f>IFERROR(Table4[[#This Row],[energy_kwh]]/Table4[[#This Row],[expected_kwh]],0)</f>
        <v>0</v>
      </c>
      <c r="K1754" t="str">
        <f>IF(Table4[[#This Row],[Performance_Ratio]] &lt; 0.85, "Underperforming", "Performing")</f>
        <v>Underperforming</v>
      </c>
      <c r="L1754">
        <f>Table4[[#This Row],[energy_kwh]] - Table4[[#This Row],[expected_kwh]]</f>
        <v>0</v>
      </c>
      <c r="M1754" t="str">
        <f>IF(Table4[[#This Row],[Performance_Deviation]] &lt; 0, "Underperforming", "Outperforming")</f>
        <v>Outperforming</v>
      </c>
      <c r="N1754">
        <f>IF(Table4[[#This Row],[Performance_Ratio]] &lt; 0.85, Table4[[#This Row],[Performance_Deviation]] * 50 / 1000, 0)</f>
        <v>0</v>
      </c>
    </row>
    <row r="1755" spans="1:14" x14ac:dyDescent="0.3">
      <c r="A1755" s="6" t="s">
        <v>8</v>
      </c>
      <c r="B1755" s="5">
        <v>45303.041666666664</v>
      </c>
      <c r="C1755" s="6">
        <v>0</v>
      </c>
      <c r="D1755" s="6">
        <v>0</v>
      </c>
      <c r="E1755" s="6">
        <v>0</v>
      </c>
      <c r="F1755" s="6">
        <v>28.201692733210901</v>
      </c>
      <c r="G1755" s="6" t="str">
        <f t="shared" si="54"/>
        <v>OK</v>
      </c>
      <c r="H1755" s="6" t="str">
        <f t="shared" si="55"/>
        <v>ZERO</v>
      </c>
      <c r="I1755">
        <v>0</v>
      </c>
      <c r="J1755">
        <f>IFERROR(Table4[[#This Row],[energy_kwh]]/Table4[[#This Row],[expected_kwh]],0)</f>
        <v>0</v>
      </c>
      <c r="K1755" t="str">
        <f>IF(Table4[[#This Row],[Performance_Ratio]] &lt; 0.85, "Underperforming", "Performing")</f>
        <v>Underperforming</v>
      </c>
      <c r="L1755">
        <f>Table4[[#This Row],[energy_kwh]] - Table4[[#This Row],[expected_kwh]]</f>
        <v>0</v>
      </c>
      <c r="M1755" t="str">
        <f>IF(Table4[[#This Row],[Performance_Deviation]] &lt; 0, "Underperforming", "Outperforming")</f>
        <v>Outperforming</v>
      </c>
      <c r="N1755">
        <f>IF(Table4[[#This Row],[Performance_Ratio]] &lt; 0.85, Table4[[#This Row],[Performance_Deviation]] * 50 / 1000, 0)</f>
        <v>0</v>
      </c>
    </row>
    <row r="1756" spans="1:14" x14ac:dyDescent="0.3">
      <c r="A1756" s="4" t="s">
        <v>8</v>
      </c>
      <c r="B1756" s="3">
        <v>45303.083333333336</v>
      </c>
      <c r="C1756" s="4">
        <v>0</v>
      </c>
      <c r="D1756" s="4">
        <v>0</v>
      </c>
      <c r="E1756" s="4">
        <v>0</v>
      </c>
      <c r="F1756" s="4">
        <v>25.875366332150499</v>
      </c>
      <c r="G1756" s="4" t="str">
        <f t="shared" si="54"/>
        <v>OK</v>
      </c>
      <c r="H1756" s="4" t="str">
        <f t="shared" si="55"/>
        <v>ZERO</v>
      </c>
      <c r="I1756">
        <v>0</v>
      </c>
      <c r="J1756">
        <f>IFERROR(Table4[[#This Row],[energy_kwh]]/Table4[[#This Row],[expected_kwh]],0)</f>
        <v>0</v>
      </c>
      <c r="K1756" t="str">
        <f>IF(Table4[[#This Row],[Performance_Ratio]] &lt; 0.85, "Underperforming", "Performing")</f>
        <v>Underperforming</v>
      </c>
      <c r="L1756">
        <f>Table4[[#This Row],[energy_kwh]] - Table4[[#This Row],[expected_kwh]]</f>
        <v>0</v>
      </c>
      <c r="M1756" t="str">
        <f>IF(Table4[[#This Row],[Performance_Deviation]] &lt; 0, "Underperforming", "Outperforming")</f>
        <v>Outperforming</v>
      </c>
      <c r="N1756">
        <f>IF(Table4[[#This Row],[Performance_Ratio]] &lt; 0.85, Table4[[#This Row],[Performance_Deviation]] * 50 / 1000, 0)</f>
        <v>0</v>
      </c>
    </row>
    <row r="1757" spans="1:14" x14ac:dyDescent="0.3">
      <c r="A1757" s="6" t="s">
        <v>8</v>
      </c>
      <c r="B1757" s="5">
        <v>45303.125</v>
      </c>
      <c r="C1757" s="6">
        <v>0</v>
      </c>
      <c r="D1757" s="6">
        <v>0</v>
      </c>
      <c r="E1757" s="6">
        <v>0</v>
      </c>
      <c r="F1757" s="6">
        <v>35.963756452876801</v>
      </c>
      <c r="G1757" s="6" t="str">
        <f t="shared" si="54"/>
        <v>OK</v>
      </c>
      <c r="H1757" s="6" t="str">
        <f t="shared" si="55"/>
        <v>ZERO</v>
      </c>
      <c r="I1757">
        <v>0</v>
      </c>
      <c r="J1757">
        <f>IFERROR(Table4[[#This Row],[energy_kwh]]/Table4[[#This Row],[expected_kwh]],0)</f>
        <v>0</v>
      </c>
      <c r="K1757" t="str">
        <f>IF(Table4[[#This Row],[Performance_Ratio]] &lt; 0.85, "Underperforming", "Performing")</f>
        <v>Underperforming</v>
      </c>
      <c r="L1757">
        <f>Table4[[#This Row],[energy_kwh]] - Table4[[#This Row],[expected_kwh]]</f>
        <v>0</v>
      </c>
      <c r="M1757" t="str">
        <f>IF(Table4[[#This Row],[Performance_Deviation]] &lt; 0, "Underperforming", "Outperforming")</f>
        <v>Outperforming</v>
      </c>
      <c r="N1757">
        <f>IF(Table4[[#This Row],[Performance_Ratio]] &lt; 0.85, Table4[[#This Row],[Performance_Deviation]] * 50 / 1000, 0)</f>
        <v>0</v>
      </c>
    </row>
    <row r="1758" spans="1:14" x14ac:dyDescent="0.3">
      <c r="A1758" s="4" t="s">
        <v>8</v>
      </c>
      <c r="B1758" s="3">
        <v>45303.166666666664</v>
      </c>
      <c r="C1758" s="4">
        <v>0</v>
      </c>
      <c r="D1758" s="4">
        <v>0</v>
      </c>
      <c r="E1758" s="4">
        <v>0</v>
      </c>
      <c r="F1758" s="4">
        <v>29.733722429195801</v>
      </c>
      <c r="G1758" s="4" t="str">
        <f t="shared" si="54"/>
        <v>OK</v>
      </c>
      <c r="H1758" s="4" t="str">
        <f t="shared" si="55"/>
        <v>ZERO</v>
      </c>
      <c r="I1758">
        <v>0</v>
      </c>
      <c r="J1758">
        <f>IFERROR(Table4[[#This Row],[energy_kwh]]/Table4[[#This Row],[expected_kwh]],0)</f>
        <v>0</v>
      </c>
      <c r="K1758" t="str">
        <f>IF(Table4[[#This Row],[Performance_Ratio]] &lt; 0.85, "Underperforming", "Performing")</f>
        <v>Underperforming</v>
      </c>
      <c r="L1758">
        <f>Table4[[#This Row],[energy_kwh]] - Table4[[#This Row],[expected_kwh]]</f>
        <v>0</v>
      </c>
      <c r="M1758" t="str">
        <f>IF(Table4[[#This Row],[Performance_Deviation]] &lt; 0, "Underperforming", "Outperforming")</f>
        <v>Outperforming</v>
      </c>
      <c r="N1758">
        <f>IF(Table4[[#This Row],[Performance_Ratio]] &lt; 0.85, Table4[[#This Row],[Performance_Deviation]] * 50 / 1000, 0)</f>
        <v>0</v>
      </c>
    </row>
    <row r="1759" spans="1:14" x14ac:dyDescent="0.3">
      <c r="A1759" s="6" t="s">
        <v>8</v>
      </c>
      <c r="B1759" s="5">
        <v>45303.208333333336</v>
      </c>
      <c r="C1759" s="6">
        <v>0</v>
      </c>
      <c r="D1759" s="6">
        <v>0</v>
      </c>
      <c r="E1759" s="6">
        <v>0</v>
      </c>
      <c r="F1759" s="6">
        <v>51.1248318778065</v>
      </c>
      <c r="G1759" s="6" t="str">
        <f t="shared" si="54"/>
        <v>OK</v>
      </c>
      <c r="H1759" s="6" t="str">
        <f t="shared" si="55"/>
        <v>ZERO</v>
      </c>
      <c r="I1759">
        <v>0</v>
      </c>
      <c r="J1759">
        <f>IFERROR(Table4[[#This Row],[energy_kwh]]/Table4[[#This Row],[expected_kwh]],0)</f>
        <v>0</v>
      </c>
      <c r="K1759" t="str">
        <f>IF(Table4[[#This Row],[Performance_Ratio]] &lt; 0.85, "Underperforming", "Performing")</f>
        <v>Underperforming</v>
      </c>
      <c r="L1759">
        <f>Table4[[#This Row],[energy_kwh]] - Table4[[#This Row],[expected_kwh]]</f>
        <v>0</v>
      </c>
      <c r="M1759" t="str">
        <f>IF(Table4[[#This Row],[Performance_Deviation]] &lt; 0, "Underperforming", "Outperforming")</f>
        <v>Outperforming</v>
      </c>
      <c r="N1759">
        <f>IF(Table4[[#This Row],[Performance_Ratio]] &lt; 0.85, Table4[[#This Row],[Performance_Deviation]] * 50 / 1000, 0)</f>
        <v>0</v>
      </c>
    </row>
    <row r="1760" spans="1:14" x14ac:dyDescent="0.3">
      <c r="A1760" s="4" t="s">
        <v>8</v>
      </c>
      <c r="B1760" s="3">
        <v>45303.25</v>
      </c>
      <c r="C1760" s="4">
        <v>0</v>
      </c>
      <c r="D1760" s="4">
        <v>0</v>
      </c>
      <c r="E1760" s="4">
        <v>0</v>
      </c>
      <c r="F1760" s="4">
        <v>94.661270804991403</v>
      </c>
      <c r="G1760" s="4" t="str">
        <f t="shared" si="54"/>
        <v>OK</v>
      </c>
      <c r="H1760" s="4" t="str">
        <f t="shared" si="55"/>
        <v>ZERO</v>
      </c>
      <c r="I1760">
        <v>0</v>
      </c>
      <c r="J1760">
        <f>IFERROR(Table4[[#This Row],[energy_kwh]]/Table4[[#This Row],[expected_kwh]],0)</f>
        <v>0</v>
      </c>
      <c r="K1760" t="str">
        <f>IF(Table4[[#This Row],[Performance_Ratio]] &lt; 0.85, "Underperforming", "Performing")</f>
        <v>Underperforming</v>
      </c>
      <c r="L1760">
        <f>Table4[[#This Row],[energy_kwh]] - Table4[[#This Row],[expected_kwh]]</f>
        <v>0</v>
      </c>
      <c r="M1760" t="str">
        <f>IF(Table4[[#This Row],[Performance_Deviation]] &lt; 0, "Underperforming", "Outperforming")</f>
        <v>Outperforming</v>
      </c>
      <c r="N1760">
        <f>IF(Table4[[#This Row],[Performance_Ratio]] &lt; 0.85, Table4[[#This Row],[Performance_Deviation]] * 50 / 1000, 0)</f>
        <v>0</v>
      </c>
    </row>
    <row r="1761" spans="1:14" x14ac:dyDescent="0.3">
      <c r="A1761" s="6" t="s">
        <v>8</v>
      </c>
      <c r="B1761" s="5">
        <v>45303.291666666664</v>
      </c>
      <c r="C1761" s="6">
        <v>173.294417888476</v>
      </c>
      <c r="D1761" s="6">
        <v>167.970771376931</v>
      </c>
      <c r="E1761" s="6">
        <v>167.970771376931</v>
      </c>
      <c r="F1761" s="6">
        <v>65.710082252496605</v>
      </c>
      <c r="G1761" s="6" t="str">
        <f t="shared" si="54"/>
        <v>OK</v>
      </c>
      <c r="H1761" s="6" t="str">
        <f t="shared" si="55"/>
        <v>NON-ZERO</v>
      </c>
      <c r="I1761">
        <v>207.05523608201599</v>
      </c>
      <c r="J1761">
        <f>IFERROR(Table4[[#This Row],[energy_kwh]]/Table4[[#This Row],[expected_kwh]],0)</f>
        <v>0.81123653067337365</v>
      </c>
      <c r="K1761" t="str">
        <f>IF(Table4[[#This Row],[Performance_Ratio]] &lt; 0.85, "Underperforming", "Performing")</f>
        <v>Underperforming</v>
      </c>
      <c r="L1761">
        <f>Table4[[#This Row],[energy_kwh]] - Table4[[#This Row],[expected_kwh]]</f>
        <v>-39.084464705084997</v>
      </c>
      <c r="M1761" t="str">
        <f>IF(Table4[[#This Row],[Performance_Deviation]] &lt; 0, "Underperforming", "Outperforming")</f>
        <v>Underperforming</v>
      </c>
      <c r="N1761">
        <f>IF(Table4[[#This Row],[Performance_Ratio]] &lt; 0.85, Table4[[#This Row],[Performance_Deviation]] * 50 / 1000, 0)</f>
        <v>-1.9542232352542499</v>
      </c>
    </row>
    <row r="1762" spans="1:14" x14ac:dyDescent="0.3">
      <c r="A1762" s="4" t="s">
        <v>8</v>
      </c>
      <c r="B1762" s="3">
        <v>45303.333333333336</v>
      </c>
      <c r="C1762" s="4">
        <v>364.13430611065502</v>
      </c>
      <c r="D1762" s="4">
        <v>352.94801198716402</v>
      </c>
      <c r="E1762" s="4">
        <v>352.94801198716402</v>
      </c>
      <c r="F1762" s="4">
        <v>24.228639038992299</v>
      </c>
      <c r="G1762" s="4" t="str">
        <f t="shared" si="54"/>
        <v>OK</v>
      </c>
      <c r="H1762" s="4" t="str">
        <f t="shared" si="55"/>
        <v>NON-ZERO</v>
      </c>
      <c r="I1762">
        <v>399.99999999999898</v>
      </c>
      <c r="J1762">
        <f>IFERROR(Table4[[#This Row],[energy_kwh]]/Table4[[#This Row],[expected_kwh]],0)</f>
        <v>0.88237002996791236</v>
      </c>
      <c r="K1762" t="str">
        <f>IF(Table4[[#This Row],[Performance_Ratio]] &lt; 0.85, "Underperforming", "Performing")</f>
        <v>Performing</v>
      </c>
      <c r="L1762">
        <f>Table4[[#This Row],[energy_kwh]] - Table4[[#This Row],[expected_kwh]]</f>
        <v>-47.051988012834954</v>
      </c>
      <c r="M1762" t="str">
        <f>IF(Table4[[#This Row],[Performance_Deviation]] &lt; 0, "Underperforming", "Outperforming")</f>
        <v>Underperforming</v>
      </c>
      <c r="N1762">
        <f>IF(Table4[[#This Row],[Performance_Ratio]] &lt; 0.85, Table4[[#This Row],[Performance_Deviation]] * 50 / 1000, 0)</f>
        <v>0</v>
      </c>
    </row>
    <row r="1763" spans="1:14" x14ac:dyDescent="0.3">
      <c r="A1763" s="6" t="s">
        <v>8</v>
      </c>
      <c r="B1763" s="5">
        <v>45303.375</v>
      </c>
      <c r="C1763" s="6">
        <v>570.89469401130805</v>
      </c>
      <c r="D1763" s="6">
        <v>553.35667066777103</v>
      </c>
      <c r="E1763" s="6">
        <v>553.35667066777103</v>
      </c>
      <c r="F1763" s="6">
        <v>62.026150576274198</v>
      </c>
      <c r="G1763" s="6" t="str">
        <f t="shared" si="54"/>
        <v>OK</v>
      </c>
      <c r="H1763" s="6" t="str">
        <f t="shared" si="55"/>
        <v>NON-ZERO</v>
      </c>
      <c r="I1763">
        <v>565.68542494923804</v>
      </c>
      <c r="J1763">
        <f>IFERROR(Table4[[#This Row],[energy_kwh]]/Table4[[#This Row],[expected_kwh]],0)</f>
        <v>0.97820563560997997</v>
      </c>
      <c r="K1763" t="str">
        <f>IF(Table4[[#This Row],[Performance_Ratio]] &lt; 0.85, "Underperforming", "Performing")</f>
        <v>Performing</v>
      </c>
      <c r="L1763">
        <f>Table4[[#This Row],[energy_kwh]] - Table4[[#This Row],[expected_kwh]]</f>
        <v>-12.328754281467013</v>
      </c>
      <c r="M1763" t="str">
        <f>IF(Table4[[#This Row],[Performance_Deviation]] &lt; 0, "Underperforming", "Outperforming")</f>
        <v>Underperforming</v>
      </c>
      <c r="N1763">
        <f>IF(Table4[[#This Row],[Performance_Ratio]] &lt; 0.85, Table4[[#This Row],[Performance_Deviation]] * 50 / 1000, 0)</f>
        <v>0</v>
      </c>
    </row>
    <row r="1764" spans="1:14" x14ac:dyDescent="0.3">
      <c r="A1764" s="4" t="s">
        <v>8</v>
      </c>
      <c r="B1764" s="3">
        <v>45303.416666666664</v>
      </c>
      <c r="C1764" s="4">
        <v>617.46661336928196</v>
      </c>
      <c r="D1764" s="4">
        <v>598.49788937741005</v>
      </c>
      <c r="E1764" s="4">
        <v>598.49788937741005</v>
      </c>
      <c r="F1764" s="4">
        <v>61.071207549031001</v>
      </c>
      <c r="G1764" s="4" t="str">
        <f t="shared" si="54"/>
        <v>OK</v>
      </c>
      <c r="H1764" s="4" t="str">
        <f t="shared" si="55"/>
        <v>NON-ZERO</v>
      </c>
      <c r="I1764">
        <v>692.82032302754999</v>
      </c>
      <c r="J1764">
        <f>IFERROR(Table4[[#This Row],[energy_kwh]]/Table4[[#This Row],[expected_kwh]],0)</f>
        <v>0.86385729385367749</v>
      </c>
      <c r="K1764" t="str">
        <f>IF(Table4[[#This Row],[Performance_Ratio]] &lt; 0.85, "Underperforming", "Performing")</f>
        <v>Performing</v>
      </c>
      <c r="L1764">
        <f>Table4[[#This Row],[energy_kwh]] - Table4[[#This Row],[expected_kwh]]</f>
        <v>-94.322433650139942</v>
      </c>
      <c r="M1764" t="str">
        <f>IF(Table4[[#This Row],[Performance_Deviation]] &lt; 0, "Underperforming", "Outperforming")</f>
        <v>Underperforming</v>
      </c>
      <c r="N1764">
        <f>IF(Table4[[#This Row],[Performance_Ratio]] &lt; 0.85, Table4[[#This Row],[Performance_Deviation]] * 50 / 1000, 0)</f>
        <v>0</v>
      </c>
    </row>
    <row r="1765" spans="1:14" x14ac:dyDescent="0.3">
      <c r="A1765" s="6" t="s">
        <v>8</v>
      </c>
      <c r="B1765" s="5">
        <v>45303.458333333336</v>
      </c>
      <c r="C1765" s="6">
        <v>805.622089999222</v>
      </c>
      <c r="D1765" s="6">
        <v>780.87318417002302</v>
      </c>
      <c r="E1765" s="6">
        <v>780.87318417002302</v>
      </c>
      <c r="F1765" s="6">
        <v>26.3486565188471</v>
      </c>
      <c r="G1765" s="6" t="str">
        <f t="shared" si="54"/>
        <v>OK</v>
      </c>
      <c r="H1765" s="6" t="str">
        <f t="shared" si="55"/>
        <v>NON-ZERO</v>
      </c>
      <c r="I1765">
        <v>772.74066103125404</v>
      </c>
      <c r="J1765">
        <f>IFERROR(Table4[[#This Row],[energy_kwh]]/Table4[[#This Row],[expected_kwh]],0)</f>
        <v>1.0105242593652517</v>
      </c>
      <c r="K1765" t="str">
        <f>IF(Table4[[#This Row],[Performance_Ratio]] &lt; 0.85, "Underperforming", "Performing")</f>
        <v>Performing</v>
      </c>
      <c r="L1765">
        <f>Table4[[#This Row],[energy_kwh]] - Table4[[#This Row],[expected_kwh]]</f>
        <v>8.1325231387689882</v>
      </c>
      <c r="M1765" t="str">
        <f>IF(Table4[[#This Row],[Performance_Deviation]] &lt; 0, "Underperforming", "Outperforming")</f>
        <v>Outperforming</v>
      </c>
      <c r="N1765">
        <f>IF(Table4[[#This Row],[Performance_Ratio]] &lt; 0.85, Table4[[#This Row],[Performance_Deviation]] * 50 / 1000, 0)</f>
        <v>0</v>
      </c>
    </row>
    <row r="1766" spans="1:14" x14ac:dyDescent="0.3">
      <c r="A1766" s="4" t="s">
        <v>8</v>
      </c>
      <c r="B1766" s="3">
        <v>45303.5</v>
      </c>
      <c r="C1766" s="4">
        <v>743.64378311003304</v>
      </c>
      <c r="D1766" s="4">
        <v>720.79886588752197</v>
      </c>
      <c r="E1766" s="4">
        <v>720.79886588752197</v>
      </c>
      <c r="F1766" s="4">
        <v>72.597000656628794</v>
      </c>
      <c r="G1766" s="4" t="str">
        <f t="shared" si="54"/>
        <v>OK</v>
      </c>
      <c r="H1766" s="4" t="str">
        <f t="shared" si="55"/>
        <v>NON-ZERO</v>
      </c>
      <c r="I1766">
        <v>800</v>
      </c>
      <c r="J1766">
        <f>IFERROR(Table4[[#This Row],[energy_kwh]]/Table4[[#This Row],[expected_kwh]],0)</f>
        <v>0.90099858235940244</v>
      </c>
      <c r="K1766" t="str">
        <f>IF(Table4[[#This Row],[Performance_Ratio]] &lt; 0.85, "Underperforming", "Performing")</f>
        <v>Performing</v>
      </c>
      <c r="L1766">
        <f>Table4[[#This Row],[energy_kwh]] - Table4[[#This Row],[expected_kwh]]</f>
        <v>-79.20113411247803</v>
      </c>
      <c r="M1766" t="str">
        <f>IF(Table4[[#This Row],[Performance_Deviation]] &lt; 0, "Underperforming", "Outperforming")</f>
        <v>Underperforming</v>
      </c>
      <c r="N1766">
        <f>IF(Table4[[#This Row],[Performance_Ratio]] &lt; 0.85, Table4[[#This Row],[Performance_Deviation]] * 50 / 1000, 0)</f>
        <v>0</v>
      </c>
    </row>
    <row r="1767" spans="1:14" x14ac:dyDescent="0.3">
      <c r="A1767" s="6" t="s">
        <v>8</v>
      </c>
      <c r="B1767" s="5">
        <v>45303.541666666664</v>
      </c>
      <c r="C1767" s="6">
        <v>712.26375472667303</v>
      </c>
      <c r="D1767" s="6">
        <v>690.38283958034299</v>
      </c>
      <c r="E1767" s="6">
        <v>690.38283958034299</v>
      </c>
      <c r="F1767" s="6">
        <v>50.349030623641198</v>
      </c>
      <c r="G1767" s="6" t="str">
        <f t="shared" si="54"/>
        <v>OK</v>
      </c>
      <c r="H1767" s="6" t="str">
        <f t="shared" si="55"/>
        <v>NON-ZERO</v>
      </c>
      <c r="I1767">
        <v>772.74066103125404</v>
      </c>
      <c r="J1767">
        <f>IFERROR(Table4[[#This Row],[energy_kwh]]/Table4[[#This Row],[expected_kwh]],0)</f>
        <v>0.89342113647675647</v>
      </c>
      <c r="K1767" t="str">
        <f>IF(Table4[[#This Row],[Performance_Ratio]] &lt; 0.85, "Underperforming", "Performing")</f>
        <v>Performing</v>
      </c>
      <c r="L1767">
        <f>Table4[[#This Row],[energy_kwh]] - Table4[[#This Row],[expected_kwh]]</f>
        <v>-82.357821450911047</v>
      </c>
      <c r="M1767" t="str">
        <f>IF(Table4[[#This Row],[Performance_Deviation]] &lt; 0, "Underperforming", "Outperforming")</f>
        <v>Underperforming</v>
      </c>
      <c r="N1767">
        <f>IF(Table4[[#This Row],[Performance_Ratio]] &lt; 0.85, Table4[[#This Row],[Performance_Deviation]] * 50 / 1000, 0)</f>
        <v>0</v>
      </c>
    </row>
    <row r="1768" spans="1:14" x14ac:dyDescent="0.3">
      <c r="A1768" s="4" t="s">
        <v>8</v>
      </c>
      <c r="B1768" s="3">
        <v>45303.583333333336</v>
      </c>
      <c r="C1768" s="4">
        <v>598.20434035232597</v>
      </c>
      <c r="D1768" s="4">
        <v>579.82735805531399</v>
      </c>
      <c r="E1768" s="4">
        <v>579.82735805531399</v>
      </c>
      <c r="F1768" s="4">
        <v>94.191251256543893</v>
      </c>
      <c r="G1768" s="4" t="str">
        <f t="shared" si="54"/>
        <v>OK</v>
      </c>
      <c r="H1768" s="4" t="str">
        <f t="shared" si="55"/>
        <v>NON-ZERO</v>
      </c>
      <c r="I1768">
        <v>692.82032302755101</v>
      </c>
      <c r="J1768">
        <f>IFERROR(Table4[[#This Row],[energy_kwh]]/Table4[[#This Row],[expected_kwh]],0)</f>
        <v>0.8369087031418625</v>
      </c>
      <c r="K1768" t="str">
        <f>IF(Table4[[#This Row],[Performance_Ratio]] &lt; 0.85, "Underperforming", "Performing")</f>
        <v>Underperforming</v>
      </c>
      <c r="L1768">
        <f>Table4[[#This Row],[energy_kwh]] - Table4[[#This Row],[expected_kwh]]</f>
        <v>-112.99296497223702</v>
      </c>
      <c r="M1768" t="str">
        <f>IF(Table4[[#This Row],[Performance_Deviation]] &lt; 0, "Underperforming", "Outperforming")</f>
        <v>Underperforming</v>
      </c>
      <c r="N1768">
        <f>IF(Table4[[#This Row],[Performance_Ratio]] &lt; 0.85, Table4[[#This Row],[Performance_Deviation]] * 50 / 1000, 0)</f>
        <v>-5.6496482486118511</v>
      </c>
    </row>
    <row r="1769" spans="1:14" x14ac:dyDescent="0.3">
      <c r="A1769" s="6" t="s">
        <v>8</v>
      </c>
      <c r="B1769" s="5">
        <v>45303.625</v>
      </c>
      <c r="C1769" s="6">
        <v>520.50444359469202</v>
      </c>
      <c r="D1769" s="6">
        <v>504.5144209549</v>
      </c>
      <c r="E1769" s="6">
        <v>504.5144209549</v>
      </c>
      <c r="F1769" s="6">
        <v>78.464876136794899</v>
      </c>
      <c r="G1769" s="6" t="str">
        <f t="shared" si="54"/>
        <v>OK</v>
      </c>
      <c r="H1769" s="6" t="str">
        <f t="shared" si="55"/>
        <v>NON-ZERO</v>
      </c>
      <c r="I1769">
        <v>565.68542494923804</v>
      </c>
      <c r="J1769">
        <f>IFERROR(Table4[[#This Row],[energy_kwh]]/Table4[[#This Row],[expected_kwh]],0)</f>
        <v>0.89186392065903553</v>
      </c>
      <c r="K1769" t="str">
        <f>IF(Table4[[#This Row],[Performance_Ratio]] &lt; 0.85, "Underperforming", "Performing")</f>
        <v>Performing</v>
      </c>
      <c r="L1769">
        <f>Table4[[#This Row],[energy_kwh]] - Table4[[#This Row],[expected_kwh]]</f>
        <v>-61.171003994338037</v>
      </c>
      <c r="M1769" t="str">
        <f>IF(Table4[[#This Row],[Performance_Deviation]] &lt; 0, "Underperforming", "Outperforming")</f>
        <v>Underperforming</v>
      </c>
      <c r="N1769">
        <f>IF(Table4[[#This Row],[Performance_Ratio]] &lt; 0.85, Table4[[#This Row],[Performance_Deviation]] * 50 / 1000, 0)</f>
        <v>0</v>
      </c>
    </row>
    <row r="1770" spans="1:14" x14ac:dyDescent="0.3">
      <c r="A1770" s="4" t="s">
        <v>8</v>
      </c>
      <c r="B1770" s="3">
        <v>45303.666666666664</v>
      </c>
      <c r="C1770" s="4">
        <v>399.68582410875001</v>
      </c>
      <c r="D1770" s="4">
        <v>387.40737873724498</v>
      </c>
      <c r="E1770" s="4">
        <v>387.40737873724498</v>
      </c>
      <c r="F1770" s="4">
        <v>50.6695426817504</v>
      </c>
      <c r="G1770" s="4" t="str">
        <f t="shared" si="54"/>
        <v>OK</v>
      </c>
      <c r="H1770" s="4" t="str">
        <f t="shared" si="55"/>
        <v>NON-ZERO</v>
      </c>
      <c r="I1770">
        <v>399.99999999999898</v>
      </c>
      <c r="J1770">
        <f>IFERROR(Table4[[#This Row],[energy_kwh]]/Table4[[#This Row],[expected_kwh]],0)</f>
        <v>0.96851844684311494</v>
      </c>
      <c r="K1770" t="str">
        <f>IF(Table4[[#This Row],[Performance_Ratio]] &lt; 0.85, "Underperforming", "Performing")</f>
        <v>Performing</v>
      </c>
      <c r="L1770">
        <f>Table4[[#This Row],[energy_kwh]] - Table4[[#This Row],[expected_kwh]]</f>
        <v>-12.592621262753994</v>
      </c>
      <c r="M1770" t="str">
        <f>IF(Table4[[#This Row],[Performance_Deviation]] &lt; 0, "Underperforming", "Outperforming")</f>
        <v>Underperforming</v>
      </c>
      <c r="N1770">
        <f>IF(Table4[[#This Row],[Performance_Ratio]] &lt; 0.85, Table4[[#This Row],[Performance_Deviation]] * 50 / 1000, 0)</f>
        <v>0</v>
      </c>
    </row>
    <row r="1771" spans="1:14" x14ac:dyDescent="0.3">
      <c r="A1771" s="6" t="s">
        <v>8</v>
      </c>
      <c r="B1771" s="5">
        <v>45303.708333333336</v>
      </c>
      <c r="C1771" s="6">
        <v>189.05427550242601</v>
      </c>
      <c r="D1771" s="6">
        <v>183.246482345934</v>
      </c>
      <c r="E1771" s="6">
        <v>183.246482345934</v>
      </c>
      <c r="F1771" s="6">
        <v>67.294152298140702</v>
      </c>
      <c r="G1771" s="6" t="str">
        <f t="shared" si="54"/>
        <v>OK</v>
      </c>
      <c r="H1771" s="6" t="str">
        <f t="shared" si="55"/>
        <v>NON-ZERO</v>
      </c>
      <c r="I1771">
        <v>207.05523608201599</v>
      </c>
      <c r="J1771">
        <f>IFERROR(Table4[[#This Row],[energy_kwh]]/Table4[[#This Row],[expected_kwh]],0)</f>
        <v>0.88501254937280993</v>
      </c>
      <c r="K1771" t="str">
        <f>IF(Table4[[#This Row],[Performance_Ratio]] &lt; 0.85, "Underperforming", "Performing")</f>
        <v>Performing</v>
      </c>
      <c r="L1771">
        <f>Table4[[#This Row],[energy_kwh]] - Table4[[#This Row],[expected_kwh]]</f>
        <v>-23.808753736081997</v>
      </c>
      <c r="M1771" t="str">
        <f>IF(Table4[[#This Row],[Performance_Deviation]] &lt; 0, "Underperforming", "Outperforming")</f>
        <v>Underperforming</v>
      </c>
      <c r="N1771">
        <f>IF(Table4[[#This Row],[Performance_Ratio]] &lt; 0.85, Table4[[#This Row],[Performance_Deviation]] * 50 / 1000, 0)</f>
        <v>0</v>
      </c>
    </row>
    <row r="1772" spans="1:14" x14ac:dyDescent="0.3">
      <c r="A1772" s="4" t="s">
        <v>8</v>
      </c>
      <c r="B1772" s="3">
        <v>45303.75</v>
      </c>
      <c r="C1772" s="7">
        <v>8.3883016999046801E-14</v>
      </c>
      <c r="D1772" s="7">
        <v>8.1306110389670595E-14</v>
      </c>
      <c r="E1772" s="7">
        <v>8.1306110389670595E-14</v>
      </c>
      <c r="F1772" s="4">
        <v>80.795288619511993</v>
      </c>
      <c r="G1772" s="4" t="str">
        <f t="shared" si="54"/>
        <v>OK</v>
      </c>
      <c r="H1772" s="4" t="str">
        <f t="shared" si="55"/>
        <v>NON-ZERO</v>
      </c>
      <c r="I1772" s="2">
        <v>9.7971743931788194E-14</v>
      </c>
      <c r="J1772">
        <f>IFERROR(Table4[[#This Row],[energy_kwh]]/Table4[[#This Row],[expected_kwh]],0)</f>
        <v>0.8298934685318976</v>
      </c>
      <c r="K1772" t="str">
        <f>IF(Table4[[#This Row],[Performance_Ratio]] &lt; 0.85, "Underperforming", "Performing")</f>
        <v>Underperforming</v>
      </c>
      <c r="L1772">
        <f>Table4[[#This Row],[energy_kwh]] - Table4[[#This Row],[expected_kwh]]</f>
        <v>-1.66656335421176E-14</v>
      </c>
      <c r="M1772" t="str">
        <f>IF(Table4[[#This Row],[Performance_Deviation]] &lt; 0, "Underperforming", "Outperforming")</f>
        <v>Underperforming</v>
      </c>
      <c r="N1772">
        <f>IF(Table4[[#This Row],[Performance_Ratio]] &lt; 0.85, Table4[[#This Row],[Performance_Deviation]] * 50 / 1000, 0)</f>
        <v>-8.3328167710587996E-16</v>
      </c>
    </row>
    <row r="1773" spans="1:14" x14ac:dyDescent="0.3">
      <c r="A1773" s="6" t="s">
        <v>8</v>
      </c>
      <c r="B1773" s="5">
        <v>45303.791666666664</v>
      </c>
      <c r="C1773" s="6">
        <v>0</v>
      </c>
      <c r="D1773" s="6">
        <v>0</v>
      </c>
      <c r="E1773" s="6">
        <v>0</v>
      </c>
      <c r="F1773" s="6">
        <v>28.504032166442901</v>
      </c>
      <c r="G1773" s="6" t="str">
        <f t="shared" si="54"/>
        <v>OK</v>
      </c>
      <c r="H1773" s="6" t="str">
        <f t="shared" si="55"/>
        <v>ZERO</v>
      </c>
      <c r="I1773">
        <v>0</v>
      </c>
      <c r="J1773">
        <f>IFERROR(Table4[[#This Row],[energy_kwh]]/Table4[[#This Row],[expected_kwh]],0)</f>
        <v>0</v>
      </c>
      <c r="K1773" t="str">
        <f>IF(Table4[[#This Row],[Performance_Ratio]] &lt; 0.85, "Underperforming", "Performing")</f>
        <v>Underperforming</v>
      </c>
      <c r="L1773">
        <f>Table4[[#This Row],[energy_kwh]] - Table4[[#This Row],[expected_kwh]]</f>
        <v>0</v>
      </c>
      <c r="M1773" t="str">
        <f>IF(Table4[[#This Row],[Performance_Deviation]] &lt; 0, "Underperforming", "Outperforming")</f>
        <v>Outperforming</v>
      </c>
      <c r="N1773">
        <f>IF(Table4[[#This Row],[Performance_Ratio]] &lt; 0.85, Table4[[#This Row],[Performance_Deviation]] * 50 / 1000, 0)</f>
        <v>0</v>
      </c>
    </row>
    <row r="1774" spans="1:14" x14ac:dyDescent="0.3">
      <c r="A1774" s="4" t="s">
        <v>8</v>
      </c>
      <c r="B1774" s="3">
        <v>45303.833333333336</v>
      </c>
      <c r="C1774" s="4">
        <v>0</v>
      </c>
      <c r="D1774" s="4">
        <v>0</v>
      </c>
      <c r="E1774" s="4">
        <v>0</v>
      </c>
      <c r="F1774" s="4">
        <v>24.136744295133902</v>
      </c>
      <c r="G1774" s="4" t="str">
        <f t="shared" si="54"/>
        <v>OK</v>
      </c>
      <c r="H1774" s="4" t="str">
        <f t="shared" si="55"/>
        <v>ZERO</v>
      </c>
      <c r="I1774">
        <v>0</v>
      </c>
      <c r="J1774">
        <f>IFERROR(Table4[[#This Row],[energy_kwh]]/Table4[[#This Row],[expected_kwh]],0)</f>
        <v>0</v>
      </c>
      <c r="K1774" t="str">
        <f>IF(Table4[[#This Row],[Performance_Ratio]] &lt; 0.85, "Underperforming", "Performing")</f>
        <v>Underperforming</v>
      </c>
      <c r="L1774">
        <f>Table4[[#This Row],[energy_kwh]] - Table4[[#This Row],[expected_kwh]]</f>
        <v>0</v>
      </c>
      <c r="M1774" t="str">
        <f>IF(Table4[[#This Row],[Performance_Deviation]] &lt; 0, "Underperforming", "Outperforming")</f>
        <v>Outperforming</v>
      </c>
      <c r="N1774">
        <f>IF(Table4[[#This Row],[Performance_Ratio]] &lt; 0.85, Table4[[#This Row],[Performance_Deviation]] * 50 / 1000, 0)</f>
        <v>0</v>
      </c>
    </row>
    <row r="1775" spans="1:14" x14ac:dyDescent="0.3">
      <c r="A1775" s="6" t="s">
        <v>8</v>
      </c>
      <c r="B1775" s="5">
        <v>45303.875</v>
      </c>
      <c r="C1775" s="6">
        <v>0</v>
      </c>
      <c r="D1775" s="6">
        <v>0</v>
      </c>
      <c r="E1775" s="6">
        <v>0</v>
      </c>
      <c r="F1775" s="6">
        <v>47.537721927126697</v>
      </c>
      <c r="G1775" s="6" t="str">
        <f t="shared" si="54"/>
        <v>OK</v>
      </c>
      <c r="H1775" s="6" t="str">
        <f t="shared" si="55"/>
        <v>ZERO</v>
      </c>
      <c r="I1775">
        <v>0</v>
      </c>
      <c r="J1775">
        <f>IFERROR(Table4[[#This Row],[energy_kwh]]/Table4[[#This Row],[expected_kwh]],0)</f>
        <v>0</v>
      </c>
      <c r="K1775" t="str">
        <f>IF(Table4[[#This Row],[Performance_Ratio]] &lt; 0.85, "Underperforming", "Performing")</f>
        <v>Underperforming</v>
      </c>
      <c r="L1775">
        <f>Table4[[#This Row],[energy_kwh]] - Table4[[#This Row],[expected_kwh]]</f>
        <v>0</v>
      </c>
      <c r="M1775" t="str">
        <f>IF(Table4[[#This Row],[Performance_Deviation]] &lt; 0, "Underperforming", "Outperforming")</f>
        <v>Outperforming</v>
      </c>
      <c r="N1775">
        <f>IF(Table4[[#This Row],[Performance_Ratio]] &lt; 0.85, Table4[[#This Row],[Performance_Deviation]] * 50 / 1000, 0)</f>
        <v>0</v>
      </c>
    </row>
    <row r="1776" spans="1:14" x14ac:dyDescent="0.3">
      <c r="A1776" s="4" t="s">
        <v>8</v>
      </c>
      <c r="B1776" s="3">
        <v>45303.916666666664</v>
      </c>
      <c r="C1776" s="4">
        <v>0</v>
      </c>
      <c r="D1776" s="4">
        <v>0</v>
      </c>
      <c r="E1776" s="4">
        <v>0</v>
      </c>
      <c r="F1776" s="4">
        <v>32.644928632552698</v>
      </c>
      <c r="G1776" s="4" t="str">
        <f t="shared" si="54"/>
        <v>OK</v>
      </c>
      <c r="H1776" s="4" t="str">
        <f t="shared" si="55"/>
        <v>ZERO</v>
      </c>
      <c r="I1776">
        <v>0</v>
      </c>
      <c r="J1776">
        <f>IFERROR(Table4[[#This Row],[energy_kwh]]/Table4[[#This Row],[expected_kwh]],0)</f>
        <v>0</v>
      </c>
      <c r="K1776" t="str">
        <f>IF(Table4[[#This Row],[Performance_Ratio]] &lt; 0.85, "Underperforming", "Performing")</f>
        <v>Underperforming</v>
      </c>
      <c r="L1776">
        <f>Table4[[#This Row],[energy_kwh]] - Table4[[#This Row],[expected_kwh]]</f>
        <v>0</v>
      </c>
      <c r="M1776" t="str">
        <f>IF(Table4[[#This Row],[Performance_Deviation]] &lt; 0, "Underperforming", "Outperforming")</f>
        <v>Outperforming</v>
      </c>
      <c r="N1776">
        <f>IF(Table4[[#This Row],[Performance_Ratio]] &lt; 0.85, Table4[[#This Row],[Performance_Deviation]] * 50 / 1000, 0)</f>
        <v>0</v>
      </c>
    </row>
    <row r="1777" spans="1:14" x14ac:dyDescent="0.3">
      <c r="A1777" s="6" t="s">
        <v>8</v>
      </c>
      <c r="B1777" s="5">
        <v>45303.958333333336</v>
      </c>
      <c r="C1777" s="6">
        <v>0</v>
      </c>
      <c r="D1777" s="6">
        <v>0</v>
      </c>
      <c r="E1777" s="6">
        <v>0</v>
      </c>
      <c r="F1777" s="6">
        <v>88.748232702043694</v>
      </c>
      <c r="G1777" s="6" t="str">
        <f t="shared" si="54"/>
        <v>OK</v>
      </c>
      <c r="H1777" s="6" t="str">
        <f t="shared" si="55"/>
        <v>ZERO</v>
      </c>
      <c r="I1777">
        <v>0</v>
      </c>
      <c r="J1777">
        <f>IFERROR(Table4[[#This Row],[energy_kwh]]/Table4[[#This Row],[expected_kwh]],0)</f>
        <v>0</v>
      </c>
      <c r="K1777" t="str">
        <f>IF(Table4[[#This Row],[Performance_Ratio]] &lt; 0.85, "Underperforming", "Performing")</f>
        <v>Underperforming</v>
      </c>
      <c r="L1777">
        <f>Table4[[#This Row],[energy_kwh]] - Table4[[#This Row],[expected_kwh]]</f>
        <v>0</v>
      </c>
      <c r="M1777" t="str">
        <f>IF(Table4[[#This Row],[Performance_Deviation]] &lt; 0, "Underperforming", "Outperforming")</f>
        <v>Outperforming</v>
      </c>
      <c r="N1777">
        <f>IF(Table4[[#This Row],[Performance_Ratio]] &lt; 0.85, Table4[[#This Row],[Performance_Deviation]] * 50 / 1000, 0)</f>
        <v>0</v>
      </c>
    </row>
    <row r="1778" spans="1:14" x14ac:dyDescent="0.3">
      <c r="A1778" s="4" t="s">
        <v>8</v>
      </c>
      <c r="B1778" s="3">
        <v>45304</v>
      </c>
      <c r="C1778" s="4">
        <v>0</v>
      </c>
      <c r="D1778" s="4">
        <v>0</v>
      </c>
      <c r="E1778" s="4">
        <v>0</v>
      </c>
      <c r="F1778" s="4">
        <v>29.011944405171601</v>
      </c>
      <c r="G1778" s="4" t="str">
        <f t="shared" si="54"/>
        <v>OK</v>
      </c>
      <c r="H1778" s="4" t="str">
        <f t="shared" si="55"/>
        <v>ZERO</v>
      </c>
      <c r="I1778">
        <v>0</v>
      </c>
      <c r="J1778">
        <f>IFERROR(Table4[[#This Row],[energy_kwh]]/Table4[[#This Row],[expected_kwh]],0)</f>
        <v>0</v>
      </c>
      <c r="K1778" t="str">
        <f>IF(Table4[[#This Row],[Performance_Ratio]] &lt; 0.85, "Underperforming", "Performing")</f>
        <v>Underperforming</v>
      </c>
      <c r="L1778">
        <f>Table4[[#This Row],[energy_kwh]] - Table4[[#This Row],[expected_kwh]]</f>
        <v>0</v>
      </c>
      <c r="M1778" t="str">
        <f>IF(Table4[[#This Row],[Performance_Deviation]] &lt; 0, "Underperforming", "Outperforming")</f>
        <v>Outperforming</v>
      </c>
      <c r="N1778">
        <f>IF(Table4[[#This Row],[Performance_Ratio]] &lt; 0.85, Table4[[#This Row],[Performance_Deviation]] * 50 / 1000, 0)</f>
        <v>0</v>
      </c>
    </row>
    <row r="1779" spans="1:14" x14ac:dyDescent="0.3">
      <c r="A1779" s="6" t="s">
        <v>8</v>
      </c>
      <c r="B1779" s="5">
        <v>45304.041666666664</v>
      </c>
      <c r="C1779" s="6">
        <v>0</v>
      </c>
      <c r="D1779" s="6">
        <v>0</v>
      </c>
      <c r="E1779" s="6">
        <v>0</v>
      </c>
      <c r="F1779" s="6">
        <v>51.308621292234598</v>
      </c>
      <c r="G1779" s="6" t="str">
        <f t="shared" si="54"/>
        <v>OK</v>
      </c>
      <c r="H1779" s="6" t="str">
        <f t="shared" si="55"/>
        <v>ZERO</v>
      </c>
      <c r="I1779">
        <v>0</v>
      </c>
      <c r="J1779">
        <f>IFERROR(Table4[[#This Row],[energy_kwh]]/Table4[[#This Row],[expected_kwh]],0)</f>
        <v>0</v>
      </c>
      <c r="K1779" t="str">
        <f>IF(Table4[[#This Row],[Performance_Ratio]] &lt; 0.85, "Underperforming", "Performing")</f>
        <v>Underperforming</v>
      </c>
      <c r="L1779">
        <f>Table4[[#This Row],[energy_kwh]] - Table4[[#This Row],[expected_kwh]]</f>
        <v>0</v>
      </c>
      <c r="M1779" t="str">
        <f>IF(Table4[[#This Row],[Performance_Deviation]] &lt; 0, "Underperforming", "Outperforming")</f>
        <v>Outperforming</v>
      </c>
      <c r="N1779">
        <f>IF(Table4[[#This Row],[Performance_Ratio]] &lt; 0.85, Table4[[#This Row],[Performance_Deviation]] * 50 / 1000, 0)</f>
        <v>0</v>
      </c>
    </row>
    <row r="1780" spans="1:14" x14ac:dyDescent="0.3">
      <c r="A1780" s="4" t="s">
        <v>8</v>
      </c>
      <c r="B1780" s="3">
        <v>45304.083333333336</v>
      </c>
      <c r="C1780" s="4">
        <v>0</v>
      </c>
      <c r="D1780" s="4">
        <v>0</v>
      </c>
      <c r="E1780" s="4">
        <v>0</v>
      </c>
      <c r="F1780" s="4">
        <v>82.999866743295698</v>
      </c>
      <c r="G1780" s="4" t="str">
        <f t="shared" si="54"/>
        <v>OK</v>
      </c>
      <c r="H1780" s="4" t="str">
        <f t="shared" si="55"/>
        <v>ZERO</v>
      </c>
      <c r="I1780">
        <v>0</v>
      </c>
      <c r="J1780">
        <f>IFERROR(Table4[[#This Row],[energy_kwh]]/Table4[[#This Row],[expected_kwh]],0)</f>
        <v>0</v>
      </c>
      <c r="K1780" t="str">
        <f>IF(Table4[[#This Row],[Performance_Ratio]] &lt; 0.85, "Underperforming", "Performing")</f>
        <v>Underperforming</v>
      </c>
      <c r="L1780">
        <f>Table4[[#This Row],[energy_kwh]] - Table4[[#This Row],[expected_kwh]]</f>
        <v>0</v>
      </c>
      <c r="M1780" t="str">
        <f>IF(Table4[[#This Row],[Performance_Deviation]] &lt; 0, "Underperforming", "Outperforming")</f>
        <v>Outperforming</v>
      </c>
      <c r="N1780">
        <f>IF(Table4[[#This Row],[Performance_Ratio]] &lt; 0.85, Table4[[#This Row],[Performance_Deviation]] * 50 / 1000, 0)</f>
        <v>0</v>
      </c>
    </row>
    <row r="1781" spans="1:14" x14ac:dyDescent="0.3">
      <c r="A1781" s="6" t="s">
        <v>8</v>
      </c>
      <c r="B1781" s="5">
        <v>45304.125</v>
      </c>
      <c r="C1781" s="6">
        <v>0</v>
      </c>
      <c r="D1781" s="6">
        <v>0</v>
      </c>
      <c r="E1781" s="6">
        <v>0</v>
      </c>
      <c r="F1781" s="6">
        <v>28.816793684070198</v>
      </c>
      <c r="G1781" s="6" t="str">
        <f t="shared" si="54"/>
        <v>OK</v>
      </c>
      <c r="H1781" s="6" t="str">
        <f t="shared" si="55"/>
        <v>ZERO</v>
      </c>
      <c r="I1781">
        <v>0</v>
      </c>
      <c r="J1781">
        <f>IFERROR(Table4[[#This Row],[energy_kwh]]/Table4[[#This Row],[expected_kwh]],0)</f>
        <v>0</v>
      </c>
      <c r="K1781" t="str">
        <f>IF(Table4[[#This Row],[Performance_Ratio]] &lt; 0.85, "Underperforming", "Performing")</f>
        <v>Underperforming</v>
      </c>
      <c r="L1781">
        <f>Table4[[#This Row],[energy_kwh]] - Table4[[#This Row],[expected_kwh]]</f>
        <v>0</v>
      </c>
      <c r="M1781" t="str">
        <f>IF(Table4[[#This Row],[Performance_Deviation]] &lt; 0, "Underperforming", "Outperforming")</f>
        <v>Outperforming</v>
      </c>
      <c r="N1781">
        <f>IF(Table4[[#This Row],[Performance_Ratio]] &lt; 0.85, Table4[[#This Row],[Performance_Deviation]] * 50 / 1000, 0)</f>
        <v>0</v>
      </c>
    </row>
    <row r="1782" spans="1:14" x14ac:dyDescent="0.3">
      <c r="A1782" s="4" t="s">
        <v>8</v>
      </c>
      <c r="B1782" s="3">
        <v>45304.166666666664</v>
      </c>
      <c r="C1782" s="4">
        <v>0</v>
      </c>
      <c r="D1782" s="4">
        <v>0</v>
      </c>
      <c r="E1782" s="4">
        <v>0</v>
      </c>
      <c r="F1782" s="4">
        <v>87.802623984091895</v>
      </c>
      <c r="G1782" s="4" t="str">
        <f t="shared" si="54"/>
        <v>OK</v>
      </c>
      <c r="H1782" s="4" t="str">
        <f t="shared" si="55"/>
        <v>ZERO</v>
      </c>
      <c r="I1782">
        <v>0</v>
      </c>
      <c r="J1782">
        <f>IFERROR(Table4[[#This Row],[energy_kwh]]/Table4[[#This Row],[expected_kwh]],0)</f>
        <v>0</v>
      </c>
      <c r="K1782" t="str">
        <f>IF(Table4[[#This Row],[Performance_Ratio]] &lt; 0.85, "Underperforming", "Performing")</f>
        <v>Underperforming</v>
      </c>
      <c r="L1782">
        <f>Table4[[#This Row],[energy_kwh]] - Table4[[#This Row],[expected_kwh]]</f>
        <v>0</v>
      </c>
      <c r="M1782" t="str">
        <f>IF(Table4[[#This Row],[Performance_Deviation]] &lt; 0, "Underperforming", "Outperforming")</f>
        <v>Outperforming</v>
      </c>
      <c r="N1782">
        <f>IF(Table4[[#This Row],[Performance_Ratio]] &lt; 0.85, Table4[[#This Row],[Performance_Deviation]] * 50 / 1000, 0)</f>
        <v>0</v>
      </c>
    </row>
    <row r="1783" spans="1:14" x14ac:dyDescent="0.3">
      <c r="A1783" s="6" t="s">
        <v>8</v>
      </c>
      <c r="B1783" s="5">
        <v>45304.208333333336</v>
      </c>
      <c r="C1783" s="6">
        <v>0</v>
      </c>
      <c r="D1783" s="6">
        <v>0</v>
      </c>
      <c r="E1783" s="6">
        <v>0</v>
      </c>
      <c r="F1783" s="6">
        <v>34.0927691598812</v>
      </c>
      <c r="G1783" s="6" t="str">
        <f t="shared" si="54"/>
        <v>OK</v>
      </c>
      <c r="H1783" s="6" t="str">
        <f t="shared" si="55"/>
        <v>ZERO</v>
      </c>
      <c r="I1783">
        <v>0</v>
      </c>
      <c r="J1783">
        <f>IFERROR(Table4[[#This Row],[energy_kwh]]/Table4[[#This Row],[expected_kwh]],0)</f>
        <v>0</v>
      </c>
      <c r="K1783" t="str">
        <f>IF(Table4[[#This Row],[Performance_Ratio]] &lt; 0.85, "Underperforming", "Performing")</f>
        <v>Underperforming</v>
      </c>
      <c r="L1783">
        <f>Table4[[#This Row],[energy_kwh]] - Table4[[#This Row],[expected_kwh]]</f>
        <v>0</v>
      </c>
      <c r="M1783" t="str">
        <f>IF(Table4[[#This Row],[Performance_Deviation]] &lt; 0, "Underperforming", "Outperforming")</f>
        <v>Outperforming</v>
      </c>
      <c r="N1783">
        <f>IF(Table4[[#This Row],[Performance_Ratio]] &lt; 0.85, Table4[[#This Row],[Performance_Deviation]] * 50 / 1000, 0)</f>
        <v>0</v>
      </c>
    </row>
    <row r="1784" spans="1:14" x14ac:dyDescent="0.3">
      <c r="A1784" s="4" t="s">
        <v>8</v>
      </c>
      <c r="B1784" s="3">
        <v>45304.25</v>
      </c>
      <c r="C1784" s="4">
        <v>0</v>
      </c>
      <c r="D1784" s="4">
        <v>0</v>
      </c>
      <c r="E1784" s="4">
        <v>0</v>
      </c>
      <c r="F1784" s="4">
        <v>33.413080138084901</v>
      </c>
      <c r="G1784" s="4" t="str">
        <f t="shared" si="54"/>
        <v>OK</v>
      </c>
      <c r="H1784" s="4" t="str">
        <f t="shared" si="55"/>
        <v>ZERO</v>
      </c>
      <c r="I1784">
        <v>0</v>
      </c>
      <c r="J1784">
        <f>IFERROR(Table4[[#This Row],[energy_kwh]]/Table4[[#This Row],[expected_kwh]],0)</f>
        <v>0</v>
      </c>
      <c r="K1784" t="str">
        <f>IF(Table4[[#This Row],[Performance_Ratio]] &lt; 0.85, "Underperforming", "Performing")</f>
        <v>Underperforming</v>
      </c>
      <c r="L1784">
        <f>Table4[[#This Row],[energy_kwh]] - Table4[[#This Row],[expected_kwh]]</f>
        <v>0</v>
      </c>
      <c r="M1784" t="str">
        <f>IF(Table4[[#This Row],[Performance_Deviation]] &lt; 0, "Underperforming", "Outperforming")</f>
        <v>Outperforming</v>
      </c>
      <c r="N1784">
        <f>IF(Table4[[#This Row],[Performance_Ratio]] &lt; 0.85, Table4[[#This Row],[Performance_Deviation]] * 50 / 1000, 0)</f>
        <v>0</v>
      </c>
    </row>
    <row r="1785" spans="1:14" x14ac:dyDescent="0.3">
      <c r="A1785" s="6" t="s">
        <v>8</v>
      </c>
      <c r="B1785" s="5">
        <v>45304.291666666664</v>
      </c>
      <c r="C1785" s="6">
        <v>213.273599202648</v>
      </c>
      <c r="D1785" s="6">
        <v>206.721782553075</v>
      </c>
      <c r="E1785" s="6">
        <v>206.721782553075</v>
      </c>
      <c r="F1785" s="6">
        <v>38.395947873077503</v>
      </c>
      <c r="G1785" s="6" t="str">
        <f t="shared" si="54"/>
        <v>OK</v>
      </c>
      <c r="H1785" s="6" t="str">
        <f t="shared" si="55"/>
        <v>NON-ZERO</v>
      </c>
      <c r="I1785">
        <v>207.05523608201599</v>
      </c>
      <c r="J1785">
        <f>IFERROR(Table4[[#This Row],[energy_kwh]]/Table4[[#This Row],[expected_kwh]],0)</f>
        <v>0.99838954312264327</v>
      </c>
      <c r="K1785" t="str">
        <f>IF(Table4[[#This Row],[Performance_Ratio]] &lt; 0.85, "Underperforming", "Performing")</f>
        <v>Performing</v>
      </c>
      <c r="L1785">
        <f>Table4[[#This Row],[energy_kwh]] - Table4[[#This Row],[expected_kwh]]</f>
        <v>-0.33345352894099278</v>
      </c>
      <c r="M1785" t="str">
        <f>IF(Table4[[#This Row],[Performance_Deviation]] &lt; 0, "Underperforming", "Outperforming")</f>
        <v>Underperforming</v>
      </c>
      <c r="N1785">
        <f>IF(Table4[[#This Row],[Performance_Ratio]] &lt; 0.85, Table4[[#This Row],[Performance_Deviation]] * 50 / 1000, 0)</f>
        <v>0</v>
      </c>
    </row>
    <row r="1786" spans="1:14" x14ac:dyDescent="0.3">
      <c r="A1786" s="4" t="s">
        <v>8</v>
      </c>
      <c r="B1786" s="3">
        <v>45304.333333333336</v>
      </c>
      <c r="C1786" s="4">
        <v>326.58686940520897</v>
      </c>
      <c r="D1786" s="4">
        <v>316.55404163608699</v>
      </c>
      <c r="E1786" s="4">
        <v>316.55404163608699</v>
      </c>
      <c r="F1786" s="4">
        <v>52.852524252323498</v>
      </c>
      <c r="G1786" s="4" t="str">
        <f t="shared" si="54"/>
        <v>OK</v>
      </c>
      <c r="H1786" s="4" t="str">
        <f t="shared" si="55"/>
        <v>NON-ZERO</v>
      </c>
      <c r="I1786">
        <v>399.99999999999898</v>
      </c>
      <c r="J1786">
        <f>IFERROR(Table4[[#This Row],[energy_kwh]]/Table4[[#This Row],[expected_kwh]],0)</f>
        <v>0.79138510409021956</v>
      </c>
      <c r="K1786" t="str">
        <f>IF(Table4[[#This Row],[Performance_Ratio]] &lt; 0.85, "Underperforming", "Performing")</f>
        <v>Underperforming</v>
      </c>
      <c r="L1786">
        <f>Table4[[#This Row],[energy_kwh]] - Table4[[#This Row],[expected_kwh]]</f>
        <v>-83.445958363911984</v>
      </c>
      <c r="M1786" t="str">
        <f>IF(Table4[[#This Row],[Performance_Deviation]] &lt; 0, "Underperforming", "Outperforming")</f>
        <v>Underperforming</v>
      </c>
      <c r="N1786">
        <f>IF(Table4[[#This Row],[Performance_Ratio]] &lt; 0.85, Table4[[#This Row],[Performance_Deviation]] * 50 / 1000, 0)</f>
        <v>-4.172297918195599</v>
      </c>
    </row>
    <row r="1787" spans="1:14" x14ac:dyDescent="0.3">
      <c r="A1787" s="6" t="s">
        <v>8</v>
      </c>
      <c r="B1787" s="5">
        <v>45304.375</v>
      </c>
      <c r="C1787" s="6">
        <v>515.68565569839495</v>
      </c>
      <c r="D1787" s="6">
        <v>499.84366739050199</v>
      </c>
      <c r="E1787" s="6">
        <v>499.84366739050199</v>
      </c>
      <c r="F1787" s="6">
        <v>31.792674882067502</v>
      </c>
      <c r="G1787" s="6" t="str">
        <f t="shared" si="54"/>
        <v>OK</v>
      </c>
      <c r="H1787" s="6" t="str">
        <f t="shared" si="55"/>
        <v>NON-ZERO</v>
      </c>
      <c r="I1787">
        <v>565.68542494923804</v>
      </c>
      <c r="J1787">
        <f>IFERROR(Table4[[#This Row],[energy_kwh]]/Table4[[#This Row],[expected_kwh]],0)</f>
        <v>0.88360711686244275</v>
      </c>
      <c r="K1787" t="str">
        <f>IF(Table4[[#This Row],[Performance_Ratio]] &lt; 0.85, "Underperforming", "Performing")</f>
        <v>Performing</v>
      </c>
      <c r="L1787">
        <f>Table4[[#This Row],[energy_kwh]] - Table4[[#This Row],[expected_kwh]]</f>
        <v>-65.841757558736049</v>
      </c>
      <c r="M1787" t="str">
        <f>IF(Table4[[#This Row],[Performance_Deviation]] &lt; 0, "Underperforming", "Outperforming")</f>
        <v>Underperforming</v>
      </c>
      <c r="N1787">
        <f>IF(Table4[[#This Row],[Performance_Ratio]] &lt; 0.85, Table4[[#This Row],[Performance_Deviation]] * 50 / 1000, 0)</f>
        <v>0</v>
      </c>
    </row>
    <row r="1788" spans="1:14" x14ac:dyDescent="0.3">
      <c r="A1788" s="4" t="s">
        <v>8</v>
      </c>
      <c r="B1788" s="3">
        <v>45304.416666666664</v>
      </c>
      <c r="C1788" s="4">
        <v>664.86689659517799</v>
      </c>
      <c r="D1788" s="4">
        <v>644.44202441621201</v>
      </c>
      <c r="E1788" s="4">
        <v>644.44202441621201</v>
      </c>
      <c r="F1788" s="4">
        <v>53.0325927992034</v>
      </c>
      <c r="G1788" s="4" t="str">
        <f t="shared" si="54"/>
        <v>OK</v>
      </c>
      <c r="H1788" s="4" t="str">
        <f t="shared" si="55"/>
        <v>NON-ZERO</v>
      </c>
      <c r="I1788">
        <v>692.82032302754999</v>
      </c>
      <c r="J1788">
        <f>IFERROR(Table4[[#This Row],[energy_kwh]]/Table4[[#This Row],[expected_kwh]],0)</f>
        <v>0.93017194068451969</v>
      </c>
      <c r="K1788" t="str">
        <f>IF(Table4[[#This Row],[Performance_Ratio]] &lt; 0.85, "Underperforming", "Performing")</f>
        <v>Performing</v>
      </c>
      <c r="L1788">
        <f>Table4[[#This Row],[energy_kwh]] - Table4[[#This Row],[expected_kwh]]</f>
        <v>-48.378298611337982</v>
      </c>
      <c r="M1788" t="str">
        <f>IF(Table4[[#This Row],[Performance_Deviation]] &lt; 0, "Underperforming", "Outperforming")</f>
        <v>Underperforming</v>
      </c>
      <c r="N1788">
        <f>IF(Table4[[#This Row],[Performance_Ratio]] &lt; 0.85, Table4[[#This Row],[Performance_Deviation]] * 50 / 1000, 0)</f>
        <v>0</v>
      </c>
    </row>
    <row r="1789" spans="1:14" x14ac:dyDescent="0.3">
      <c r="A1789" s="6" t="s">
        <v>8</v>
      </c>
      <c r="B1789" s="5">
        <v>45304.458333333336</v>
      </c>
      <c r="C1789" s="6">
        <v>839.94027329050903</v>
      </c>
      <c r="D1789" s="6">
        <v>814.13710455436103</v>
      </c>
      <c r="E1789" s="6">
        <v>814.13710455436103</v>
      </c>
      <c r="F1789" s="6">
        <v>56.645369440848803</v>
      </c>
      <c r="G1789" s="6" t="str">
        <f t="shared" si="54"/>
        <v>OK</v>
      </c>
      <c r="H1789" s="6" t="str">
        <f t="shared" si="55"/>
        <v>NON-ZERO</v>
      </c>
      <c r="I1789">
        <v>772.74066103125404</v>
      </c>
      <c r="J1789">
        <f>IFERROR(Table4[[#This Row],[energy_kwh]]/Table4[[#This Row],[expected_kwh]],0)</f>
        <v>1.053570939916455</v>
      </c>
      <c r="K1789" t="str">
        <f>IF(Table4[[#This Row],[Performance_Ratio]] &lt; 0.85, "Underperforming", "Performing")</f>
        <v>Performing</v>
      </c>
      <c r="L1789">
        <f>Table4[[#This Row],[energy_kwh]] - Table4[[#This Row],[expected_kwh]]</f>
        <v>41.396443523106996</v>
      </c>
      <c r="M1789" t="str">
        <f>IF(Table4[[#This Row],[Performance_Deviation]] &lt; 0, "Underperforming", "Outperforming")</f>
        <v>Outperforming</v>
      </c>
      <c r="N1789">
        <f>IF(Table4[[#This Row],[Performance_Ratio]] &lt; 0.85, Table4[[#This Row],[Performance_Deviation]] * 50 / 1000, 0)</f>
        <v>0</v>
      </c>
    </row>
    <row r="1790" spans="1:14" x14ac:dyDescent="0.3">
      <c r="A1790" s="4" t="s">
        <v>8</v>
      </c>
      <c r="B1790" s="3">
        <v>45304.5</v>
      </c>
      <c r="C1790" s="4">
        <v>668.40757449829005</v>
      </c>
      <c r="D1790" s="4">
        <v>647.87393183613597</v>
      </c>
      <c r="E1790" s="4">
        <v>647.87393183613597</v>
      </c>
      <c r="F1790" s="4">
        <v>23.288513937247199</v>
      </c>
      <c r="G1790" s="4" t="str">
        <f t="shared" si="54"/>
        <v>OK</v>
      </c>
      <c r="H1790" s="4" t="str">
        <f t="shared" si="55"/>
        <v>NON-ZERO</v>
      </c>
      <c r="I1790">
        <v>800</v>
      </c>
      <c r="J1790">
        <f>IFERROR(Table4[[#This Row],[energy_kwh]]/Table4[[#This Row],[expected_kwh]],0)</f>
        <v>0.80984241479516994</v>
      </c>
      <c r="K1790" t="str">
        <f>IF(Table4[[#This Row],[Performance_Ratio]] &lt; 0.85, "Underperforming", "Performing")</f>
        <v>Underperforming</v>
      </c>
      <c r="L1790">
        <f>Table4[[#This Row],[energy_kwh]] - Table4[[#This Row],[expected_kwh]]</f>
        <v>-152.12606816386403</v>
      </c>
      <c r="M1790" t="str">
        <f>IF(Table4[[#This Row],[Performance_Deviation]] &lt; 0, "Underperforming", "Outperforming")</f>
        <v>Underperforming</v>
      </c>
      <c r="N1790">
        <f>IF(Table4[[#This Row],[Performance_Ratio]] &lt; 0.85, Table4[[#This Row],[Performance_Deviation]] * 50 / 1000, 0)</f>
        <v>-7.6063034081932015</v>
      </c>
    </row>
    <row r="1791" spans="1:14" x14ac:dyDescent="0.3">
      <c r="A1791" s="6" t="s">
        <v>8</v>
      </c>
      <c r="B1791" s="5">
        <v>45304.541666666664</v>
      </c>
      <c r="C1791" s="6">
        <v>786.461587876365</v>
      </c>
      <c r="D1791" s="6">
        <v>762.301297315498</v>
      </c>
      <c r="E1791" s="6">
        <v>762.301297315498</v>
      </c>
      <c r="F1791" s="6">
        <v>24.224995834942899</v>
      </c>
      <c r="G1791" s="6" t="str">
        <f t="shared" si="54"/>
        <v>OK</v>
      </c>
      <c r="H1791" s="6" t="str">
        <f t="shared" si="55"/>
        <v>NON-ZERO</v>
      </c>
      <c r="I1791">
        <v>772.74066103125404</v>
      </c>
      <c r="J1791">
        <f>IFERROR(Table4[[#This Row],[energy_kwh]]/Table4[[#This Row],[expected_kwh]],0)</f>
        <v>0.98649046925805062</v>
      </c>
      <c r="K1791" t="str">
        <f>IF(Table4[[#This Row],[Performance_Ratio]] &lt; 0.85, "Underperforming", "Performing")</f>
        <v>Performing</v>
      </c>
      <c r="L1791">
        <f>Table4[[#This Row],[energy_kwh]] - Table4[[#This Row],[expected_kwh]]</f>
        <v>-10.439363715756031</v>
      </c>
      <c r="M1791" t="str">
        <f>IF(Table4[[#This Row],[Performance_Deviation]] &lt; 0, "Underperforming", "Outperforming")</f>
        <v>Underperforming</v>
      </c>
      <c r="N1791">
        <f>IF(Table4[[#This Row],[Performance_Ratio]] &lt; 0.85, Table4[[#This Row],[Performance_Deviation]] * 50 / 1000, 0)</f>
        <v>0</v>
      </c>
    </row>
    <row r="1792" spans="1:14" x14ac:dyDescent="0.3">
      <c r="A1792" s="4" t="s">
        <v>8</v>
      </c>
      <c r="B1792" s="3">
        <v>45304.583333333336</v>
      </c>
      <c r="C1792" s="4">
        <v>656.06823994302397</v>
      </c>
      <c r="D1792" s="4">
        <v>635.91366462857002</v>
      </c>
      <c r="E1792" s="4">
        <v>635.91366462857002</v>
      </c>
      <c r="F1792" s="4">
        <v>39.701998241000297</v>
      </c>
      <c r="G1792" s="4" t="str">
        <f t="shared" si="54"/>
        <v>OK</v>
      </c>
      <c r="H1792" s="4" t="str">
        <f t="shared" si="55"/>
        <v>NON-ZERO</v>
      </c>
      <c r="I1792">
        <v>692.82032302755101</v>
      </c>
      <c r="J1792">
        <f>IFERROR(Table4[[#This Row],[energy_kwh]]/Table4[[#This Row],[expected_kwh]],0)</f>
        <v>0.91786231363666559</v>
      </c>
      <c r="K1792" t="str">
        <f>IF(Table4[[#This Row],[Performance_Ratio]] &lt; 0.85, "Underperforming", "Performing")</f>
        <v>Performing</v>
      </c>
      <c r="L1792">
        <f>Table4[[#This Row],[energy_kwh]] - Table4[[#This Row],[expected_kwh]]</f>
        <v>-56.906658398980994</v>
      </c>
      <c r="M1792" t="str">
        <f>IF(Table4[[#This Row],[Performance_Deviation]] &lt; 0, "Underperforming", "Outperforming")</f>
        <v>Underperforming</v>
      </c>
      <c r="N1792">
        <f>IF(Table4[[#This Row],[Performance_Ratio]] &lt; 0.85, Table4[[#This Row],[Performance_Deviation]] * 50 / 1000, 0)</f>
        <v>0</v>
      </c>
    </row>
    <row r="1793" spans="1:14" x14ac:dyDescent="0.3">
      <c r="A1793" s="6" t="s">
        <v>8</v>
      </c>
      <c r="B1793" s="5">
        <v>45304.625</v>
      </c>
      <c r="C1793" s="6">
        <v>520.97977699135799</v>
      </c>
      <c r="D1793" s="6">
        <v>504.97515199443399</v>
      </c>
      <c r="E1793" s="6">
        <v>504.97515199443399</v>
      </c>
      <c r="F1793" s="6">
        <v>58.592833720084997</v>
      </c>
      <c r="G1793" s="6" t="str">
        <f t="shared" si="54"/>
        <v>OK</v>
      </c>
      <c r="H1793" s="6" t="str">
        <f t="shared" si="55"/>
        <v>NON-ZERO</v>
      </c>
      <c r="I1793">
        <v>565.68542494923804</v>
      </c>
      <c r="J1793">
        <f>IFERROR(Table4[[#This Row],[energy_kwh]]/Table4[[#This Row],[expected_kwh]],0)</f>
        <v>0.89267838576492953</v>
      </c>
      <c r="K1793" t="str">
        <f>IF(Table4[[#This Row],[Performance_Ratio]] &lt; 0.85, "Underperforming", "Performing")</f>
        <v>Performing</v>
      </c>
      <c r="L1793">
        <f>Table4[[#This Row],[energy_kwh]] - Table4[[#This Row],[expected_kwh]]</f>
        <v>-60.710272954804054</v>
      </c>
      <c r="M1793" t="str">
        <f>IF(Table4[[#This Row],[Performance_Deviation]] &lt; 0, "Underperforming", "Outperforming")</f>
        <v>Underperforming</v>
      </c>
      <c r="N1793">
        <f>IF(Table4[[#This Row],[Performance_Ratio]] &lt; 0.85, Table4[[#This Row],[Performance_Deviation]] * 50 / 1000, 0)</f>
        <v>0</v>
      </c>
    </row>
    <row r="1794" spans="1:14" x14ac:dyDescent="0.3">
      <c r="A1794" s="4" t="s">
        <v>8</v>
      </c>
      <c r="B1794" s="3">
        <v>45304.666666666664</v>
      </c>
      <c r="C1794" s="4">
        <v>362.75322658162401</v>
      </c>
      <c r="D1794" s="4">
        <v>351.609359555938</v>
      </c>
      <c r="E1794" s="4">
        <v>351.609359555938</v>
      </c>
      <c r="F1794" s="4">
        <v>31.058975694963401</v>
      </c>
      <c r="G1794" s="4" t="str">
        <f t="shared" ref="G1794:G1857" si="56">IF(D1794 &gt; C1794, "ERROR", "OK")</f>
        <v>OK</v>
      </c>
      <c r="H1794" s="4" t="str">
        <f t="shared" ref="H1794:H1857" si="57">IF(E1794=0,"ZERO","NON-ZERO")</f>
        <v>NON-ZERO</v>
      </c>
      <c r="I1794">
        <v>399.99999999999898</v>
      </c>
      <c r="J1794">
        <f>IFERROR(Table4[[#This Row],[energy_kwh]]/Table4[[#This Row],[expected_kwh]],0)</f>
        <v>0.87902339888984726</v>
      </c>
      <c r="K1794" t="str">
        <f>IF(Table4[[#This Row],[Performance_Ratio]] &lt; 0.85, "Underperforming", "Performing")</f>
        <v>Performing</v>
      </c>
      <c r="L1794">
        <f>Table4[[#This Row],[energy_kwh]] - Table4[[#This Row],[expected_kwh]]</f>
        <v>-48.390640444060978</v>
      </c>
      <c r="M1794" t="str">
        <f>IF(Table4[[#This Row],[Performance_Deviation]] &lt; 0, "Underperforming", "Outperforming")</f>
        <v>Underperforming</v>
      </c>
      <c r="N1794">
        <f>IF(Table4[[#This Row],[Performance_Ratio]] &lt; 0.85, Table4[[#This Row],[Performance_Deviation]] * 50 / 1000, 0)</f>
        <v>0</v>
      </c>
    </row>
    <row r="1795" spans="1:14" x14ac:dyDescent="0.3">
      <c r="A1795" s="6" t="s">
        <v>8</v>
      </c>
      <c r="B1795" s="5">
        <v>45304.708333333336</v>
      </c>
      <c r="C1795" s="6">
        <v>181.864655925421</v>
      </c>
      <c r="D1795" s="6">
        <v>176.27772962457701</v>
      </c>
      <c r="E1795" s="6">
        <v>176.27772962457701</v>
      </c>
      <c r="F1795" s="6">
        <v>76.430692490900697</v>
      </c>
      <c r="G1795" s="6" t="str">
        <f t="shared" si="56"/>
        <v>OK</v>
      </c>
      <c r="H1795" s="6" t="str">
        <f t="shared" si="57"/>
        <v>NON-ZERO</v>
      </c>
      <c r="I1795">
        <v>207.05523608201599</v>
      </c>
      <c r="J1795">
        <f>IFERROR(Table4[[#This Row],[energy_kwh]]/Table4[[#This Row],[expected_kwh]],0)</f>
        <v>0.85135605821990512</v>
      </c>
      <c r="K1795" t="str">
        <f>IF(Table4[[#This Row],[Performance_Ratio]] &lt; 0.85, "Underperforming", "Performing")</f>
        <v>Performing</v>
      </c>
      <c r="L1795">
        <f>Table4[[#This Row],[energy_kwh]] - Table4[[#This Row],[expected_kwh]]</f>
        <v>-30.777506457438989</v>
      </c>
      <c r="M1795" t="str">
        <f>IF(Table4[[#This Row],[Performance_Deviation]] &lt; 0, "Underperforming", "Outperforming")</f>
        <v>Underperforming</v>
      </c>
      <c r="N1795">
        <f>IF(Table4[[#This Row],[Performance_Ratio]] &lt; 0.85, Table4[[#This Row],[Performance_Deviation]] * 50 / 1000, 0)</f>
        <v>0</v>
      </c>
    </row>
    <row r="1796" spans="1:14" x14ac:dyDescent="0.3">
      <c r="A1796" s="4" t="s">
        <v>8</v>
      </c>
      <c r="B1796" s="3">
        <v>45304.75</v>
      </c>
      <c r="C1796" s="7">
        <v>9.8749596458929796E-14</v>
      </c>
      <c r="D1796" s="7">
        <v>9.5715984925964298E-14</v>
      </c>
      <c r="E1796" s="7">
        <v>9.5715984925964298E-14</v>
      </c>
      <c r="F1796" s="4">
        <v>68.170862263033598</v>
      </c>
      <c r="G1796" s="4" t="str">
        <f t="shared" si="56"/>
        <v>OK</v>
      </c>
      <c r="H1796" s="4" t="str">
        <f t="shared" si="57"/>
        <v>NON-ZERO</v>
      </c>
      <c r="I1796" s="2">
        <v>9.7971743931788194E-14</v>
      </c>
      <c r="J1796">
        <f>IFERROR(Table4[[#This Row],[energy_kwh]]/Table4[[#This Row],[expected_kwh]],0)</f>
        <v>0.97697541234547747</v>
      </c>
      <c r="K1796" t="str">
        <f>IF(Table4[[#This Row],[Performance_Ratio]] &lt; 0.85, "Underperforming", "Performing")</f>
        <v>Performing</v>
      </c>
      <c r="L1796">
        <f>Table4[[#This Row],[energy_kwh]] - Table4[[#This Row],[expected_kwh]]</f>
        <v>-2.2557590058238962E-15</v>
      </c>
      <c r="M1796" t="str">
        <f>IF(Table4[[#This Row],[Performance_Deviation]] &lt; 0, "Underperforming", "Outperforming")</f>
        <v>Underperforming</v>
      </c>
      <c r="N1796">
        <f>IF(Table4[[#This Row],[Performance_Ratio]] &lt; 0.85, Table4[[#This Row],[Performance_Deviation]] * 50 / 1000, 0)</f>
        <v>0</v>
      </c>
    </row>
    <row r="1797" spans="1:14" x14ac:dyDescent="0.3">
      <c r="A1797" s="6" t="s">
        <v>8</v>
      </c>
      <c r="B1797" s="5">
        <v>45304.791666666664</v>
      </c>
      <c r="C1797" s="6">
        <v>0</v>
      </c>
      <c r="D1797" s="6">
        <v>0</v>
      </c>
      <c r="E1797" s="6">
        <v>0</v>
      </c>
      <c r="F1797" s="6">
        <v>78.340827915265706</v>
      </c>
      <c r="G1797" s="6" t="str">
        <f t="shared" si="56"/>
        <v>OK</v>
      </c>
      <c r="H1797" s="6" t="str">
        <f t="shared" si="57"/>
        <v>ZERO</v>
      </c>
      <c r="I1797">
        <v>0</v>
      </c>
      <c r="J1797">
        <f>IFERROR(Table4[[#This Row],[energy_kwh]]/Table4[[#This Row],[expected_kwh]],0)</f>
        <v>0</v>
      </c>
      <c r="K1797" t="str">
        <f>IF(Table4[[#This Row],[Performance_Ratio]] &lt; 0.85, "Underperforming", "Performing")</f>
        <v>Underperforming</v>
      </c>
      <c r="L1797">
        <f>Table4[[#This Row],[energy_kwh]] - Table4[[#This Row],[expected_kwh]]</f>
        <v>0</v>
      </c>
      <c r="M1797" t="str">
        <f>IF(Table4[[#This Row],[Performance_Deviation]] &lt; 0, "Underperforming", "Outperforming")</f>
        <v>Outperforming</v>
      </c>
      <c r="N1797">
        <f>IF(Table4[[#This Row],[Performance_Ratio]] &lt; 0.85, Table4[[#This Row],[Performance_Deviation]] * 50 / 1000, 0)</f>
        <v>0</v>
      </c>
    </row>
    <row r="1798" spans="1:14" x14ac:dyDescent="0.3">
      <c r="A1798" s="4" t="s">
        <v>8</v>
      </c>
      <c r="B1798" s="3">
        <v>45304.833333333336</v>
      </c>
      <c r="C1798" s="4">
        <v>0</v>
      </c>
      <c r="D1798" s="4">
        <v>0</v>
      </c>
      <c r="E1798" s="4">
        <v>0</v>
      </c>
      <c r="F1798" s="4">
        <v>71.960089897243094</v>
      </c>
      <c r="G1798" s="4" t="str">
        <f t="shared" si="56"/>
        <v>OK</v>
      </c>
      <c r="H1798" s="4" t="str">
        <f t="shared" si="57"/>
        <v>ZERO</v>
      </c>
      <c r="I1798">
        <v>0</v>
      </c>
      <c r="J1798">
        <f>IFERROR(Table4[[#This Row],[energy_kwh]]/Table4[[#This Row],[expected_kwh]],0)</f>
        <v>0</v>
      </c>
      <c r="K1798" t="str">
        <f>IF(Table4[[#This Row],[Performance_Ratio]] &lt; 0.85, "Underperforming", "Performing")</f>
        <v>Underperforming</v>
      </c>
      <c r="L1798">
        <f>Table4[[#This Row],[energy_kwh]] - Table4[[#This Row],[expected_kwh]]</f>
        <v>0</v>
      </c>
      <c r="M1798" t="str">
        <f>IF(Table4[[#This Row],[Performance_Deviation]] &lt; 0, "Underperforming", "Outperforming")</f>
        <v>Outperforming</v>
      </c>
      <c r="N1798">
        <f>IF(Table4[[#This Row],[Performance_Ratio]] &lt; 0.85, Table4[[#This Row],[Performance_Deviation]] * 50 / 1000, 0)</f>
        <v>0</v>
      </c>
    </row>
    <row r="1799" spans="1:14" x14ac:dyDescent="0.3">
      <c r="A1799" s="6" t="s">
        <v>8</v>
      </c>
      <c r="B1799" s="5">
        <v>45304.875</v>
      </c>
      <c r="C1799" s="6">
        <v>0</v>
      </c>
      <c r="D1799" s="6">
        <v>0</v>
      </c>
      <c r="E1799" s="6">
        <v>0</v>
      </c>
      <c r="F1799" s="6">
        <v>77.732923053918896</v>
      </c>
      <c r="G1799" s="6" t="str">
        <f t="shared" si="56"/>
        <v>OK</v>
      </c>
      <c r="H1799" s="6" t="str">
        <f t="shared" si="57"/>
        <v>ZERO</v>
      </c>
      <c r="I1799">
        <v>0</v>
      </c>
      <c r="J1799">
        <f>IFERROR(Table4[[#This Row],[energy_kwh]]/Table4[[#This Row],[expected_kwh]],0)</f>
        <v>0</v>
      </c>
      <c r="K1799" t="str">
        <f>IF(Table4[[#This Row],[Performance_Ratio]] &lt; 0.85, "Underperforming", "Performing")</f>
        <v>Underperforming</v>
      </c>
      <c r="L1799">
        <f>Table4[[#This Row],[energy_kwh]] - Table4[[#This Row],[expected_kwh]]</f>
        <v>0</v>
      </c>
      <c r="M1799" t="str">
        <f>IF(Table4[[#This Row],[Performance_Deviation]] &lt; 0, "Underperforming", "Outperforming")</f>
        <v>Outperforming</v>
      </c>
      <c r="N1799">
        <f>IF(Table4[[#This Row],[Performance_Ratio]] &lt; 0.85, Table4[[#This Row],[Performance_Deviation]] * 50 / 1000, 0)</f>
        <v>0</v>
      </c>
    </row>
    <row r="1800" spans="1:14" x14ac:dyDescent="0.3">
      <c r="A1800" s="4" t="s">
        <v>8</v>
      </c>
      <c r="B1800" s="3">
        <v>45304.916666666664</v>
      </c>
      <c r="C1800" s="4">
        <v>0</v>
      </c>
      <c r="D1800" s="4">
        <v>0</v>
      </c>
      <c r="E1800" s="4">
        <v>0</v>
      </c>
      <c r="F1800" s="4">
        <v>63.3407811080681</v>
      </c>
      <c r="G1800" s="4" t="str">
        <f t="shared" si="56"/>
        <v>OK</v>
      </c>
      <c r="H1800" s="4" t="str">
        <f t="shared" si="57"/>
        <v>ZERO</v>
      </c>
      <c r="I1800">
        <v>0</v>
      </c>
      <c r="J1800">
        <f>IFERROR(Table4[[#This Row],[energy_kwh]]/Table4[[#This Row],[expected_kwh]],0)</f>
        <v>0</v>
      </c>
      <c r="K1800" t="str">
        <f>IF(Table4[[#This Row],[Performance_Ratio]] &lt; 0.85, "Underperforming", "Performing")</f>
        <v>Underperforming</v>
      </c>
      <c r="L1800">
        <f>Table4[[#This Row],[energy_kwh]] - Table4[[#This Row],[expected_kwh]]</f>
        <v>0</v>
      </c>
      <c r="M1800" t="str">
        <f>IF(Table4[[#This Row],[Performance_Deviation]] &lt; 0, "Underperforming", "Outperforming")</f>
        <v>Outperforming</v>
      </c>
      <c r="N1800">
        <f>IF(Table4[[#This Row],[Performance_Ratio]] &lt; 0.85, Table4[[#This Row],[Performance_Deviation]] * 50 / 1000, 0)</f>
        <v>0</v>
      </c>
    </row>
    <row r="1801" spans="1:14" x14ac:dyDescent="0.3">
      <c r="A1801" s="6" t="s">
        <v>8</v>
      </c>
      <c r="B1801" s="5">
        <v>45304.958333333336</v>
      </c>
      <c r="C1801" s="6">
        <v>0</v>
      </c>
      <c r="D1801" s="6">
        <v>0</v>
      </c>
      <c r="E1801" s="6">
        <v>0</v>
      </c>
      <c r="F1801" s="6">
        <v>25.517251566182399</v>
      </c>
      <c r="G1801" s="6" t="str">
        <f t="shared" si="56"/>
        <v>OK</v>
      </c>
      <c r="H1801" s="6" t="str">
        <f t="shared" si="57"/>
        <v>ZERO</v>
      </c>
      <c r="I1801">
        <v>0</v>
      </c>
      <c r="J1801">
        <f>IFERROR(Table4[[#This Row],[energy_kwh]]/Table4[[#This Row],[expected_kwh]],0)</f>
        <v>0</v>
      </c>
      <c r="K1801" t="str">
        <f>IF(Table4[[#This Row],[Performance_Ratio]] &lt; 0.85, "Underperforming", "Performing")</f>
        <v>Underperforming</v>
      </c>
      <c r="L1801">
        <f>Table4[[#This Row],[energy_kwh]] - Table4[[#This Row],[expected_kwh]]</f>
        <v>0</v>
      </c>
      <c r="M1801" t="str">
        <f>IF(Table4[[#This Row],[Performance_Deviation]] &lt; 0, "Underperforming", "Outperforming")</f>
        <v>Outperforming</v>
      </c>
      <c r="N1801">
        <f>IF(Table4[[#This Row],[Performance_Ratio]] &lt; 0.85, Table4[[#This Row],[Performance_Deviation]] * 50 / 1000, 0)</f>
        <v>0</v>
      </c>
    </row>
    <row r="1802" spans="1:14" x14ac:dyDescent="0.3">
      <c r="A1802" s="4" t="s">
        <v>8</v>
      </c>
      <c r="B1802" s="3">
        <v>45305</v>
      </c>
      <c r="C1802" s="4">
        <v>0</v>
      </c>
      <c r="D1802" s="4">
        <v>0</v>
      </c>
      <c r="E1802" s="4">
        <v>0</v>
      </c>
      <c r="F1802" s="4">
        <v>77.606703381399996</v>
      </c>
      <c r="G1802" s="4" t="str">
        <f t="shared" si="56"/>
        <v>OK</v>
      </c>
      <c r="H1802" s="4" t="str">
        <f t="shared" si="57"/>
        <v>ZERO</v>
      </c>
      <c r="I1802">
        <v>0</v>
      </c>
      <c r="J1802">
        <f>IFERROR(Table4[[#This Row],[energy_kwh]]/Table4[[#This Row],[expected_kwh]],0)</f>
        <v>0</v>
      </c>
      <c r="K1802" t="str">
        <f>IF(Table4[[#This Row],[Performance_Ratio]] &lt; 0.85, "Underperforming", "Performing")</f>
        <v>Underperforming</v>
      </c>
      <c r="L1802">
        <f>Table4[[#This Row],[energy_kwh]] - Table4[[#This Row],[expected_kwh]]</f>
        <v>0</v>
      </c>
      <c r="M1802" t="str">
        <f>IF(Table4[[#This Row],[Performance_Deviation]] &lt; 0, "Underperforming", "Outperforming")</f>
        <v>Outperforming</v>
      </c>
      <c r="N1802">
        <f>IF(Table4[[#This Row],[Performance_Ratio]] &lt; 0.85, Table4[[#This Row],[Performance_Deviation]] * 50 / 1000, 0)</f>
        <v>0</v>
      </c>
    </row>
    <row r="1803" spans="1:14" x14ac:dyDescent="0.3">
      <c r="A1803" s="6" t="s">
        <v>8</v>
      </c>
      <c r="B1803" s="5">
        <v>45305.041666666664</v>
      </c>
      <c r="C1803" s="6">
        <v>0</v>
      </c>
      <c r="D1803" s="6">
        <v>0</v>
      </c>
      <c r="E1803" s="6">
        <v>0</v>
      </c>
      <c r="F1803" s="6">
        <v>42.967943392130003</v>
      </c>
      <c r="G1803" s="6" t="str">
        <f t="shared" si="56"/>
        <v>OK</v>
      </c>
      <c r="H1803" s="6" t="str">
        <f t="shared" si="57"/>
        <v>ZERO</v>
      </c>
      <c r="I1803">
        <v>0</v>
      </c>
      <c r="J1803">
        <f>IFERROR(Table4[[#This Row],[energy_kwh]]/Table4[[#This Row],[expected_kwh]],0)</f>
        <v>0</v>
      </c>
      <c r="K1803" t="str">
        <f>IF(Table4[[#This Row],[Performance_Ratio]] &lt; 0.85, "Underperforming", "Performing")</f>
        <v>Underperforming</v>
      </c>
      <c r="L1803">
        <f>Table4[[#This Row],[energy_kwh]] - Table4[[#This Row],[expected_kwh]]</f>
        <v>0</v>
      </c>
      <c r="M1803" t="str">
        <f>IF(Table4[[#This Row],[Performance_Deviation]] &lt; 0, "Underperforming", "Outperforming")</f>
        <v>Outperforming</v>
      </c>
      <c r="N1803">
        <f>IF(Table4[[#This Row],[Performance_Ratio]] &lt; 0.85, Table4[[#This Row],[Performance_Deviation]] * 50 / 1000, 0)</f>
        <v>0</v>
      </c>
    </row>
    <row r="1804" spans="1:14" x14ac:dyDescent="0.3">
      <c r="A1804" s="4" t="s">
        <v>8</v>
      </c>
      <c r="B1804" s="3">
        <v>45305.083333333336</v>
      </c>
      <c r="C1804" s="4">
        <v>0</v>
      </c>
      <c r="D1804" s="4">
        <v>0</v>
      </c>
      <c r="E1804" s="4">
        <v>0</v>
      </c>
      <c r="F1804" s="4">
        <v>70.859187615248402</v>
      </c>
      <c r="G1804" s="4" t="str">
        <f t="shared" si="56"/>
        <v>OK</v>
      </c>
      <c r="H1804" s="4" t="str">
        <f t="shared" si="57"/>
        <v>ZERO</v>
      </c>
      <c r="I1804">
        <v>0</v>
      </c>
      <c r="J1804">
        <f>IFERROR(Table4[[#This Row],[energy_kwh]]/Table4[[#This Row],[expected_kwh]],0)</f>
        <v>0</v>
      </c>
      <c r="K1804" t="str">
        <f>IF(Table4[[#This Row],[Performance_Ratio]] &lt; 0.85, "Underperforming", "Performing")</f>
        <v>Underperforming</v>
      </c>
      <c r="L1804">
        <f>Table4[[#This Row],[energy_kwh]] - Table4[[#This Row],[expected_kwh]]</f>
        <v>0</v>
      </c>
      <c r="M1804" t="str">
        <f>IF(Table4[[#This Row],[Performance_Deviation]] &lt; 0, "Underperforming", "Outperforming")</f>
        <v>Outperforming</v>
      </c>
      <c r="N1804">
        <f>IF(Table4[[#This Row],[Performance_Ratio]] &lt; 0.85, Table4[[#This Row],[Performance_Deviation]] * 50 / 1000, 0)</f>
        <v>0</v>
      </c>
    </row>
    <row r="1805" spans="1:14" x14ac:dyDescent="0.3">
      <c r="A1805" s="6" t="s">
        <v>8</v>
      </c>
      <c r="B1805" s="5">
        <v>45305.125</v>
      </c>
      <c r="C1805" s="6">
        <v>0</v>
      </c>
      <c r="D1805" s="6">
        <v>0</v>
      </c>
      <c r="E1805" s="6">
        <v>0</v>
      </c>
      <c r="F1805" s="6">
        <v>45.798472723727699</v>
      </c>
      <c r="G1805" s="6" t="str">
        <f t="shared" si="56"/>
        <v>OK</v>
      </c>
      <c r="H1805" s="6" t="str">
        <f t="shared" si="57"/>
        <v>ZERO</v>
      </c>
      <c r="I1805">
        <v>0</v>
      </c>
      <c r="J1805">
        <f>IFERROR(Table4[[#This Row],[energy_kwh]]/Table4[[#This Row],[expected_kwh]],0)</f>
        <v>0</v>
      </c>
      <c r="K1805" t="str">
        <f>IF(Table4[[#This Row],[Performance_Ratio]] &lt; 0.85, "Underperforming", "Performing")</f>
        <v>Underperforming</v>
      </c>
      <c r="L1805">
        <f>Table4[[#This Row],[energy_kwh]] - Table4[[#This Row],[expected_kwh]]</f>
        <v>0</v>
      </c>
      <c r="M1805" t="str">
        <f>IF(Table4[[#This Row],[Performance_Deviation]] &lt; 0, "Underperforming", "Outperforming")</f>
        <v>Outperforming</v>
      </c>
      <c r="N1805">
        <f>IF(Table4[[#This Row],[Performance_Ratio]] &lt; 0.85, Table4[[#This Row],[Performance_Deviation]] * 50 / 1000, 0)</f>
        <v>0</v>
      </c>
    </row>
    <row r="1806" spans="1:14" x14ac:dyDescent="0.3">
      <c r="A1806" s="4" t="s">
        <v>8</v>
      </c>
      <c r="B1806" s="3">
        <v>45305.166666666664</v>
      </c>
      <c r="C1806" s="4">
        <v>0</v>
      </c>
      <c r="D1806" s="4">
        <v>0</v>
      </c>
      <c r="E1806" s="4">
        <v>0</v>
      </c>
      <c r="F1806" s="4">
        <v>22.329265702636601</v>
      </c>
      <c r="G1806" s="4" t="str">
        <f t="shared" si="56"/>
        <v>OK</v>
      </c>
      <c r="H1806" s="4" t="str">
        <f t="shared" si="57"/>
        <v>ZERO</v>
      </c>
      <c r="I1806">
        <v>0</v>
      </c>
      <c r="J1806">
        <f>IFERROR(Table4[[#This Row],[energy_kwh]]/Table4[[#This Row],[expected_kwh]],0)</f>
        <v>0</v>
      </c>
      <c r="K1806" t="str">
        <f>IF(Table4[[#This Row],[Performance_Ratio]] &lt; 0.85, "Underperforming", "Performing")</f>
        <v>Underperforming</v>
      </c>
      <c r="L1806">
        <f>Table4[[#This Row],[energy_kwh]] - Table4[[#This Row],[expected_kwh]]</f>
        <v>0</v>
      </c>
      <c r="M1806" t="str">
        <f>IF(Table4[[#This Row],[Performance_Deviation]] &lt; 0, "Underperforming", "Outperforming")</f>
        <v>Outperforming</v>
      </c>
      <c r="N1806">
        <f>IF(Table4[[#This Row],[Performance_Ratio]] &lt; 0.85, Table4[[#This Row],[Performance_Deviation]] * 50 / 1000, 0)</f>
        <v>0</v>
      </c>
    </row>
    <row r="1807" spans="1:14" x14ac:dyDescent="0.3">
      <c r="A1807" s="6" t="s">
        <v>8</v>
      </c>
      <c r="B1807" s="5">
        <v>45305.208333333336</v>
      </c>
      <c r="C1807" s="6">
        <v>0</v>
      </c>
      <c r="D1807" s="6">
        <v>0</v>
      </c>
      <c r="E1807" s="6">
        <v>0</v>
      </c>
      <c r="F1807" s="6">
        <v>60.303439283289102</v>
      </c>
      <c r="G1807" s="6" t="str">
        <f t="shared" si="56"/>
        <v>OK</v>
      </c>
      <c r="H1807" s="6" t="str">
        <f t="shared" si="57"/>
        <v>ZERO</v>
      </c>
      <c r="I1807">
        <v>0</v>
      </c>
      <c r="J1807">
        <f>IFERROR(Table4[[#This Row],[energy_kwh]]/Table4[[#This Row],[expected_kwh]],0)</f>
        <v>0</v>
      </c>
      <c r="K1807" t="str">
        <f>IF(Table4[[#This Row],[Performance_Ratio]] &lt; 0.85, "Underperforming", "Performing")</f>
        <v>Underperforming</v>
      </c>
      <c r="L1807">
        <f>Table4[[#This Row],[energy_kwh]] - Table4[[#This Row],[expected_kwh]]</f>
        <v>0</v>
      </c>
      <c r="M1807" t="str">
        <f>IF(Table4[[#This Row],[Performance_Deviation]] &lt; 0, "Underperforming", "Outperforming")</f>
        <v>Outperforming</v>
      </c>
      <c r="N1807">
        <f>IF(Table4[[#This Row],[Performance_Ratio]] &lt; 0.85, Table4[[#This Row],[Performance_Deviation]] * 50 / 1000, 0)</f>
        <v>0</v>
      </c>
    </row>
    <row r="1808" spans="1:14" x14ac:dyDescent="0.3">
      <c r="A1808" s="4" t="s">
        <v>8</v>
      </c>
      <c r="B1808" s="3">
        <v>45305.25</v>
      </c>
      <c r="C1808" s="4">
        <v>0</v>
      </c>
      <c r="D1808" s="4">
        <v>0</v>
      </c>
      <c r="E1808" s="4">
        <v>0</v>
      </c>
      <c r="F1808" s="4">
        <v>91.559873117830406</v>
      </c>
      <c r="G1808" s="4" t="str">
        <f t="shared" si="56"/>
        <v>OK</v>
      </c>
      <c r="H1808" s="4" t="str">
        <f t="shared" si="57"/>
        <v>ZERO</v>
      </c>
      <c r="I1808">
        <v>0</v>
      </c>
      <c r="J1808">
        <f>IFERROR(Table4[[#This Row],[energy_kwh]]/Table4[[#This Row],[expected_kwh]],0)</f>
        <v>0</v>
      </c>
      <c r="K1808" t="str">
        <f>IF(Table4[[#This Row],[Performance_Ratio]] &lt; 0.85, "Underperforming", "Performing")</f>
        <v>Underperforming</v>
      </c>
      <c r="L1808">
        <f>Table4[[#This Row],[energy_kwh]] - Table4[[#This Row],[expected_kwh]]</f>
        <v>0</v>
      </c>
      <c r="M1808" t="str">
        <f>IF(Table4[[#This Row],[Performance_Deviation]] &lt; 0, "Underperforming", "Outperforming")</f>
        <v>Outperforming</v>
      </c>
      <c r="N1808">
        <f>IF(Table4[[#This Row],[Performance_Ratio]] &lt; 0.85, Table4[[#This Row],[Performance_Deviation]] * 50 / 1000, 0)</f>
        <v>0</v>
      </c>
    </row>
    <row r="1809" spans="1:14" x14ac:dyDescent="0.3">
      <c r="A1809" s="6" t="s">
        <v>8</v>
      </c>
      <c r="B1809" s="5">
        <v>45305.291666666664</v>
      </c>
      <c r="C1809" s="6">
        <v>187.176935499949</v>
      </c>
      <c r="D1809" s="6">
        <v>181.42681468326401</v>
      </c>
      <c r="E1809" s="6">
        <v>181.42681468326401</v>
      </c>
      <c r="F1809" s="6">
        <v>51.941986627751099</v>
      </c>
      <c r="G1809" s="6" t="str">
        <f t="shared" si="56"/>
        <v>OK</v>
      </c>
      <c r="H1809" s="6" t="str">
        <f t="shared" si="57"/>
        <v>NON-ZERO</v>
      </c>
      <c r="I1809">
        <v>207.05523608201599</v>
      </c>
      <c r="J1809">
        <f>IFERROR(Table4[[#This Row],[energy_kwh]]/Table4[[#This Row],[expected_kwh]],0)</f>
        <v>0.87622422941962985</v>
      </c>
      <c r="K1809" t="str">
        <f>IF(Table4[[#This Row],[Performance_Ratio]] &lt; 0.85, "Underperforming", "Performing")</f>
        <v>Performing</v>
      </c>
      <c r="L1809">
        <f>Table4[[#This Row],[energy_kwh]] - Table4[[#This Row],[expected_kwh]]</f>
        <v>-25.628421398751982</v>
      </c>
      <c r="M1809" t="str">
        <f>IF(Table4[[#This Row],[Performance_Deviation]] &lt; 0, "Underperforming", "Outperforming")</f>
        <v>Underperforming</v>
      </c>
      <c r="N1809">
        <f>IF(Table4[[#This Row],[Performance_Ratio]] &lt; 0.85, Table4[[#This Row],[Performance_Deviation]] * 50 / 1000, 0)</f>
        <v>0</v>
      </c>
    </row>
    <row r="1810" spans="1:14" x14ac:dyDescent="0.3">
      <c r="A1810" s="4" t="s">
        <v>8</v>
      </c>
      <c r="B1810" s="3">
        <v>45305.333333333336</v>
      </c>
      <c r="C1810" s="4">
        <v>380.94424688179799</v>
      </c>
      <c r="D1810" s="4">
        <v>369.24154730430502</v>
      </c>
      <c r="E1810" s="4">
        <v>369.24154730430502</v>
      </c>
      <c r="F1810" s="4">
        <v>76.117910463567497</v>
      </c>
      <c r="G1810" s="4" t="str">
        <f t="shared" si="56"/>
        <v>OK</v>
      </c>
      <c r="H1810" s="4" t="str">
        <f t="shared" si="57"/>
        <v>NON-ZERO</v>
      </c>
      <c r="I1810">
        <v>399.99999999999898</v>
      </c>
      <c r="J1810">
        <f>IFERROR(Table4[[#This Row],[energy_kwh]]/Table4[[#This Row],[expected_kwh]],0)</f>
        <v>0.92310386826076485</v>
      </c>
      <c r="K1810" t="str">
        <f>IF(Table4[[#This Row],[Performance_Ratio]] &lt; 0.85, "Underperforming", "Performing")</f>
        <v>Performing</v>
      </c>
      <c r="L1810">
        <f>Table4[[#This Row],[energy_kwh]] - Table4[[#This Row],[expected_kwh]]</f>
        <v>-30.758452695693961</v>
      </c>
      <c r="M1810" t="str">
        <f>IF(Table4[[#This Row],[Performance_Deviation]] &lt; 0, "Underperforming", "Outperforming")</f>
        <v>Underperforming</v>
      </c>
      <c r="N1810">
        <f>IF(Table4[[#This Row],[Performance_Ratio]] &lt; 0.85, Table4[[#This Row],[Performance_Deviation]] * 50 / 1000, 0)</f>
        <v>0</v>
      </c>
    </row>
    <row r="1811" spans="1:14" x14ac:dyDescent="0.3">
      <c r="A1811" s="6" t="s">
        <v>8</v>
      </c>
      <c r="B1811" s="5">
        <v>45305.375</v>
      </c>
      <c r="C1811" s="6">
        <v>549.39471955884403</v>
      </c>
      <c r="D1811" s="6">
        <v>532.51718064052295</v>
      </c>
      <c r="E1811" s="6">
        <v>532.51718064052295</v>
      </c>
      <c r="F1811" s="6">
        <v>27.2094388799113</v>
      </c>
      <c r="G1811" s="6" t="str">
        <f t="shared" si="56"/>
        <v>OK</v>
      </c>
      <c r="H1811" s="6" t="str">
        <f t="shared" si="57"/>
        <v>NON-ZERO</v>
      </c>
      <c r="I1811">
        <v>565.68542494923804</v>
      </c>
      <c r="J1811">
        <f>IFERROR(Table4[[#This Row],[energy_kwh]]/Table4[[#This Row],[expected_kwh]],0)</f>
        <v>0.94136627382313864</v>
      </c>
      <c r="K1811" t="str">
        <f>IF(Table4[[#This Row],[Performance_Ratio]] &lt; 0.85, "Underperforming", "Performing")</f>
        <v>Performing</v>
      </c>
      <c r="L1811">
        <f>Table4[[#This Row],[energy_kwh]] - Table4[[#This Row],[expected_kwh]]</f>
        <v>-33.168244308715089</v>
      </c>
      <c r="M1811" t="str">
        <f>IF(Table4[[#This Row],[Performance_Deviation]] &lt; 0, "Underperforming", "Outperforming")</f>
        <v>Underperforming</v>
      </c>
      <c r="N1811">
        <f>IF(Table4[[#This Row],[Performance_Ratio]] &lt; 0.85, Table4[[#This Row],[Performance_Deviation]] * 50 / 1000, 0)</f>
        <v>0</v>
      </c>
    </row>
    <row r="1812" spans="1:14" x14ac:dyDescent="0.3">
      <c r="A1812" s="4" t="s">
        <v>8</v>
      </c>
      <c r="B1812" s="3">
        <v>45305.416666666664</v>
      </c>
      <c r="C1812" s="4">
        <v>692.28817764617099</v>
      </c>
      <c r="D1812" s="4">
        <v>671.02091706838701</v>
      </c>
      <c r="E1812" s="4">
        <v>671.02091706838701</v>
      </c>
      <c r="F1812" s="4">
        <v>30.584458872449101</v>
      </c>
      <c r="G1812" s="4" t="str">
        <f t="shared" si="56"/>
        <v>OK</v>
      </c>
      <c r="H1812" s="4" t="str">
        <f t="shared" si="57"/>
        <v>NON-ZERO</v>
      </c>
      <c r="I1812">
        <v>692.82032302754999</v>
      </c>
      <c r="J1812">
        <f>IFERROR(Table4[[#This Row],[energy_kwh]]/Table4[[#This Row],[expected_kwh]],0)</f>
        <v>0.96853526775325827</v>
      </c>
      <c r="K1812" t="str">
        <f>IF(Table4[[#This Row],[Performance_Ratio]] &lt; 0.85, "Underperforming", "Performing")</f>
        <v>Performing</v>
      </c>
      <c r="L1812">
        <f>Table4[[#This Row],[energy_kwh]] - Table4[[#This Row],[expected_kwh]]</f>
        <v>-21.799405959162982</v>
      </c>
      <c r="M1812" t="str">
        <f>IF(Table4[[#This Row],[Performance_Deviation]] &lt; 0, "Underperforming", "Outperforming")</f>
        <v>Underperforming</v>
      </c>
      <c r="N1812">
        <f>IF(Table4[[#This Row],[Performance_Ratio]] &lt; 0.85, Table4[[#This Row],[Performance_Deviation]] * 50 / 1000, 0)</f>
        <v>0</v>
      </c>
    </row>
    <row r="1813" spans="1:14" x14ac:dyDescent="0.3">
      <c r="A1813" s="6" t="s">
        <v>8</v>
      </c>
      <c r="B1813" s="5">
        <v>45305.458333333336</v>
      </c>
      <c r="C1813" s="6">
        <v>0</v>
      </c>
      <c r="D1813" s="6">
        <v>0</v>
      </c>
      <c r="E1813" s="6">
        <v>0</v>
      </c>
      <c r="F1813" s="6">
        <v>26.568092223967799</v>
      </c>
      <c r="G1813" s="6" t="str">
        <f t="shared" si="56"/>
        <v>OK</v>
      </c>
      <c r="H1813" s="6" t="str">
        <f t="shared" si="57"/>
        <v>ZERO</v>
      </c>
      <c r="I1813">
        <v>772.74066103125404</v>
      </c>
      <c r="J1813">
        <f>IFERROR(Table4[[#This Row],[energy_kwh]]/Table4[[#This Row],[expected_kwh]],0)</f>
        <v>0</v>
      </c>
      <c r="K1813" t="str">
        <f>IF(Table4[[#This Row],[Performance_Ratio]] &lt; 0.85, "Underperforming", "Performing")</f>
        <v>Underperforming</v>
      </c>
      <c r="L1813">
        <f>Table4[[#This Row],[energy_kwh]] - Table4[[#This Row],[expected_kwh]]</f>
        <v>-772.74066103125404</v>
      </c>
      <c r="M1813" t="str">
        <f>IF(Table4[[#This Row],[Performance_Deviation]] &lt; 0, "Underperforming", "Outperforming")</f>
        <v>Underperforming</v>
      </c>
      <c r="N1813">
        <f>IF(Table4[[#This Row],[Performance_Ratio]] &lt; 0.85, Table4[[#This Row],[Performance_Deviation]] * 50 / 1000, 0)</f>
        <v>-38.637033051562696</v>
      </c>
    </row>
    <row r="1814" spans="1:14" x14ac:dyDescent="0.3">
      <c r="A1814" s="4" t="s">
        <v>8</v>
      </c>
      <c r="B1814" s="3">
        <v>45305.5</v>
      </c>
      <c r="C1814" s="4">
        <v>799.54893458695506</v>
      </c>
      <c r="D1814" s="4">
        <v>774.98659756371501</v>
      </c>
      <c r="E1814" s="4">
        <v>774.98659756371501</v>
      </c>
      <c r="F1814" s="4">
        <v>25.902393253063199</v>
      </c>
      <c r="G1814" s="4" t="str">
        <f t="shared" si="56"/>
        <v>OK</v>
      </c>
      <c r="H1814" s="4" t="str">
        <f t="shared" si="57"/>
        <v>NON-ZERO</v>
      </c>
      <c r="I1814">
        <v>800</v>
      </c>
      <c r="J1814">
        <f>IFERROR(Table4[[#This Row],[energy_kwh]]/Table4[[#This Row],[expected_kwh]],0)</f>
        <v>0.9687332469546438</v>
      </c>
      <c r="K1814" t="str">
        <f>IF(Table4[[#This Row],[Performance_Ratio]] &lt; 0.85, "Underperforming", "Performing")</f>
        <v>Performing</v>
      </c>
      <c r="L1814">
        <f>Table4[[#This Row],[energy_kwh]] - Table4[[#This Row],[expected_kwh]]</f>
        <v>-25.013402436284991</v>
      </c>
      <c r="M1814" t="str">
        <f>IF(Table4[[#This Row],[Performance_Deviation]] &lt; 0, "Underperforming", "Outperforming")</f>
        <v>Underperforming</v>
      </c>
      <c r="N1814">
        <f>IF(Table4[[#This Row],[Performance_Ratio]] &lt; 0.85, Table4[[#This Row],[Performance_Deviation]] * 50 / 1000, 0)</f>
        <v>0</v>
      </c>
    </row>
    <row r="1815" spans="1:14" x14ac:dyDescent="0.3">
      <c r="A1815" s="6" t="s">
        <v>8</v>
      </c>
      <c r="B1815" s="5">
        <v>45305.541666666664</v>
      </c>
      <c r="C1815" s="6">
        <v>746.43609095845898</v>
      </c>
      <c r="D1815" s="6">
        <v>723.50539336219094</v>
      </c>
      <c r="E1815" s="6">
        <v>723.50539336219094</v>
      </c>
      <c r="F1815" s="6">
        <v>75.196517038638305</v>
      </c>
      <c r="G1815" s="6" t="str">
        <f t="shared" si="56"/>
        <v>OK</v>
      </c>
      <c r="H1815" s="6" t="str">
        <f t="shared" si="57"/>
        <v>NON-ZERO</v>
      </c>
      <c r="I1815">
        <v>772.74066103125404</v>
      </c>
      <c r="J1815">
        <f>IFERROR(Table4[[#This Row],[energy_kwh]]/Table4[[#This Row],[expected_kwh]],0)</f>
        <v>0.93628487518263037</v>
      </c>
      <c r="K1815" t="str">
        <f>IF(Table4[[#This Row],[Performance_Ratio]] &lt; 0.85, "Underperforming", "Performing")</f>
        <v>Performing</v>
      </c>
      <c r="L1815">
        <f>Table4[[#This Row],[energy_kwh]] - Table4[[#This Row],[expected_kwh]]</f>
        <v>-49.235267669063091</v>
      </c>
      <c r="M1815" t="str">
        <f>IF(Table4[[#This Row],[Performance_Deviation]] &lt; 0, "Underperforming", "Outperforming")</f>
        <v>Underperforming</v>
      </c>
      <c r="N1815">
        <f>IF(Table4[[#This Row],[Performance_Ratio]] &lt; 0.85, Table4[[#This Row],[Performance_Deviation]] * 50 / 1000, 0)</f>
        <v>0</v>
      </c>
    </row>
    <row r="1816" spans="1:14" x14ac:dyDescent="0.3">
      <c r="A1816" s="4" t="s">
        <v>8</v>
      </c>
      <c r="B1816" s="3">
        <v>45305.583333333336</v>
      </c>
      <c r="C1816" s="4">
        <v>641.45848940154099</v>
      </c>
      <c r="D1816" s="4">
        <v>621.75272916406595</v>
      </c>
      <c r="E1816" s="4">
        <v>621.75272916406595</v>
      </c>
      <c r="F1816" s="4">
        <v>75.622836396321503</v>
      </c>
      <c r="G1816" s="4" t="str">
        <f t="shared" si="56"/>
        <v>OK</v>
      </c>
      <c r="H1816" s="4" t="str">
        <f t="shared" si="57"/>
        <v>NON-ZERO</v>
      </c>
      <c r="I1816">
        <v>692.82032302755101</v>
      </c>
      <c r="J1816">
        <f>IFERROR(Table4[[#This Row],[energy_kwh]]/Table4[[#This Row],[expected_kwh]],0)</f>
        <v>0.89742276388064479</v>
      </c>
      <c r="K1816" t="str">
        <f>IF(Table4[[#This Row],[Performance_Ratio]] &lt; 0.85, "Underperforming", "Performing")</f>
        <v>Performing</v>
      </c>
      <c r="L1816">
        <f>Table4[[#This Row],[energy_kwh]] - Table4[[#This Row],[expected_kwh]]</f>
        <v>-71.067593863485058</v>
      </c>
      <c r="M1816" t="str">
        <f>IF(Table4[[#This Row],[Performance_Deviation]] &lt; 0, "Underperforming", "Outperforming")</f>
        <v>Underperforming</v>
      </c>
      <c r="N1816">
        <f>IF(Table4[[#This Row],[Performance_Ratio]] &lt; 0.85, Table4[[#This Row],[Performance_Deviation]] * 50 / 1000, 0)</f>
        <v>0</v>
      </c>
    </row>
    <row r="1817" spans="1:14" x14ac:dyDescent="0.3">
      <c r="A1817" s="6" t="s">
        <v>8</v>
      </c>
      <c r="B1817" s="5">
        <v>45305.625</v>
      </c>
      <c r="C1817" s="6">
        <v>463.27488769893603</v>
      </c>
      <c r="D1817" s="6">
        <v>449.042970884559</v>
      </c>
      <c r="E1817" s="6">
        <v>449.042970884559</v>
      </c>
      <c r="F1817" s="6">
        <v>31.871228802453</v>
      </c>
      <c r="G1817" s="6" t="str">
        <f t="shared" si="56"/>
        <v>OK</v>
      </c>
      <c r="H1817" s="6" t="str">
        <f t="shared" si="57"/>
        <v>NON-ZERO</v>
      </c>
      <c r="I1817">
        <v>565.68542494923804</v>
      </c>
      <c r="J1817">
        <f>IFERROR(Table4[[#This Row],[energy_kwh]]/Table4[[#This Row],[expected_kwh]],0)</f>
        <v>0.79380332439156265</v>
      </c>
      <c r="K1817" t="str">
        <f>IF(Table4[[#This Row],[Performance_Ratio]] &lt; 0.85, "Underperforming", "Performing")</f>
        <v>Underperforming</v>
      </c>
      <c r="L1817">
        <f>Table4[[#This Row],[energy_kwh]] - Table4[[#This Row],[expected_kwh]]</f>
        <v>-116.64245406467904</v>
      </c>
      <c r="M1817" t="str">
        <f>IF(Table4[[#This Row],[Performance_Deviation]] &lt; 0, "Underperforming", "Outperforming")</f>
        <v>Underperforming</v>
      </c>
      <c r="N1817">
        <f>IF(Table4[[#This Row],[Performance_Ratio]] &lt; 0.85, Table4[[#This Row],[Performance_Deviation]] * 50 / 1000, 0)</f>
        <v>-5.832122703233952</v>
      </c>
    </row>
    <row r="1818" spans="1:14" x14ac:dyDescent="0.3">
      <c r="A1818" s="4" t="s">
        <v>8</v>
      </c>
      <c r="B1818" s="3">
        <v>45305.666666666664</v>
      </c>
      <c r="C1818" s="4">
        <v>358.66748238879001</v>
      </c>
      <c r="D1818" s="4">
        <v>347.64913041479701</v>
      </c>
      <c r="E1818" s="4">
        <v>347.64913041479701</v>
      </c>
      <c r="F1818" s="4">
        <v>76.128143707113693</v>
      </c>
      <c r="G1818" s="4" t="str">
        <f t="shared" si="56"/>
        <v>OK</v>
      </c>
      <c r="H1818" s="4" t="str">
        <f t="shared" si="57"/>
        <v>NON-ZERO</v>
      </c>
      <c r="I1818">
        <v>399.99999999999898</v>
      </c>
      <c r="J1818">
        <f>IFERROR(Table4[[#This Row],[energy_kwh]]/Table4[[#This Row],[expected_kwh]],0)</f>
        <v>0.86912282603699476</v>
      </c>
      <c r="K1818" t="str">
        <f>IF(Table4[[#This Row],[Performance_Ratio]] &lt; 0.85, "Underperforming", "Performing")</f>
        <v>Performing</v>
      </c>
      <c r="L1818">
        <f>Table4[[#This Row],[energy_kwh]] - Table4[[#This Row],[expected_kwh]]</f>
        <v>-52.350869585201963</v>
      </c>
      <c r="M1818" t="str">
        <f>IF(Table4[[#This Row],[Performance_Deviation]] &lt; 0, "Underperforming", "Outperforming")</f>
        <v>Underperforming</v>
      </c>
      <c r="N1818">
        <f>IF(Table4[[#This Row],[Performance_Ratio]] &lt; 0.85, Table4[[#This Row],[Performance_Deviation]] * 50 / 1000, 0)</f>
        <v>0</v>
      </c>
    </row>
    <row r="1819" spans="1:14" x14ac:dyDescent="0.3">
      <c r="A1819" s="6" t="s">
        <v>8</v>
      </c>
      <c r="B1819" s="5">
        <v>45305.708333333336</v>
      </c>
      <c r="C1819" s="6">
        <v>202.28942174695899</v>
      </c>
      <c r="D1819" s="6">
        <v>196.07504169059399</v>
      </c>
      <c r="E1819" s="6">
        <v>196.07504169059399</v>
      </c>
      <c r="F1819" s="6">
        <v>86.886515855495901</v>
      </c>
      <c r="G1819" s="6" t="str">
        <f t="shared" si="56"/>
        <v>OK</v>
      </c>
      <c r="H1819" s="6" t="str">
        <f t="shared" si="57"/>
        <v>NON-ZERO</v>
      </c>
      <c r="I1819">
        <v>207.05523608201599</v>
      </c>
      <c r="J1819">
        <f>IFERROR(Table4[[#This Row],[energy_kwh]]/Table4[[#This Row],[expected_kwh]],0)</f>
        <v>0.9469697332982554</v>
      </c>
      <c r="K1819" t="str">
        <f>IF(Table4[[#This Row],[Performance_Ratio]] &lt; 0.85, "Underperforming", "Performing")</f>
        <v>Performing</v>
      </c>
      <c r="L1819">
        <f>Table4[[#This Row],[energy_kwh]] - Table4[[#This Row],[expected_kwh]]</f>
        <v>-10.980194391422003</v>
      </c>
      <c r="M1819" t="str">
        <f>IF(Table4[[#This Row],[Performance_Deviation]] &lt; 0, "Underperforming", "Outperforming")</f>
        <v>Underperforming</v>
      </c>
      <c r="N1819">
        <f>IF(Table4[[#This Row],[Performance_Ratio]] &lt; 0.85, Table4[[#This Row],[Performance_Deviation]] * 50 / 1000, 0)</f>
        <v>0</v>
      </c>
    </row>
    <row r="1820" spans="1:14" x14ac:dyDescent="0.3">
      <c r="A1820" s="4" t="s">
        <v>8</v>
      </c>
      <c r="B1820" s="3">
        <v>45305.75</v>
      </c>
      <c r="C1820" s="7">
        <v>9.6243362920973703E-14</v>
      </c>
      <c r="D1820" s="7">
        <v>9.3286743489623698E-14</v>
      </c>
      <c r="E1820" s="7">
        <v>9.3286743489623698E-14</v>
      </c>
      <c r="F1820" s="4">
        <v>73.499129712595405</v>
      </c>
      <c r="G1820" s="4" t="str">
        <f t="shared" si="56"/>
        <v>OK</v>
      </c>
      <c r="H1820" s="4" t="str">
        <f t="shared" si="57"/>
        <v>NON-ZERO</v>
      </c>
      <c r="I1820" s="2">
        <v>9.7971743931788194E-14</v>
      </c>
      <c r="J1820">
        <f>IFERROR(Table4[[#This Row],[energy_kwh]]/Table4[[#This Row],[expected_kwh]],0)</f>
        <v>0.95218008525574094</v>
      </c>
      <c r="K1820" t="str">
        <f>IF(Table4[[#This Row],[Performance_Ratio]] &lt; 0.85, "Underperforming", "Performing")</f>
        <v>Performing</v>
      </c>
      <c r="L1820">
        <f>Table4[[#This Row],[energy_kwh]] - Table4[[#This Row],[expected_kwh]]</f>
        <v>-4.6850004421644964E-15</v>
      </c>
      <c r="M1820" t="str">
        <f>IF(Table4[[#This Row],[Performance_Deviation]] &lt; 0, "Underperforming", "Outperforming")</f>
        <v>Underperforming</v>
      </c>
      <c r="N1820">
        <f>IF(Table4[[#This Row],[Performance_Ratio]] &lt; 0.85, Table4[[#This Row],[Performance_Deviation]] * 50 / 1000, 0)</f>
        <v>0</v>
      </c>
    </row>
    <row r="1821" spans="1:14" x14ac:dyDescent="0.3">
      <c r="A1821" s="6" t="s">
        <v>8</v>
      </c>
      <c r="B1821" s="5">
        <v>45305.791666666664</v>
      </c>
      <c r="C1821" s="6">
        <v>0</v>
      </c>
      <c r="D1821" s="6">
        <v>0</v>
      </c>
      <c r="E1821" s="6">
        <v>0</v>
      </c>
      <c r="F1821" s="6">
        <v>41.190564774683203</v>
      </c>
      <c r="G1821" s="6" t="str">
        <f t="shared" si="56"/>
        <v>OK</v>
      </c>
      <c r="H1821" s="6" t="str">
        <f t="shared" si="57"/>
        <v>ZERO</v>
      </c>
      <c r="I1821">
        <v>0</v>
      </c>
      <c r="J1821">
        <f>IFERROR(Table4[[#This Row],[energy_kwh]]/Table4[[#This Row],[expected_kwh]],0)</f>
        <v>0</v>
      </c>
      <c r="K1821" t="str">
        <f>IF(Table4[[#This Row],[Performance_Ratio]] &lt; 0.85, "Underperforming", "Performing")</f>
        <v>Underperforming</v>
      </c>
      <c r="L1821">
        <f>Table4[[#This Row],[energy_kwh]] - Table4[[#This Row],[expected_kwh]]</f>
        <v>0</v>
      </c>
      <c r="M1821" t="str">
        <f>IF(Table4[[#This Row],[Performance_Deviation]] &lt; 0, "Underperforming", "Outperforming")</f>
        <v>Outperforming</v>
      </c>
      <c r="N1821">
        <f>IF(Table4[[#This Row],[Performance_Ratio]] &lt; 0.85, Table4[[#This Row],[Performance_Deviation]] * 50 / 1000, 0)</f>
        <v>0</v>
      </c>
    </row>
    <row r="1822" spans="1:14" x14ac:dyDescent="0.3">
      <c r="A1822" s="4" t="s">
        <v>8</v>
      </c>
      <c r="B1822" s="3">
        <v>45305.833333333336</v>
      </c>
      <c r="C1822" s="4">
        <v>0</v>
      </c>
      <c r="D1822" s="4">
        <v>0</v>
      </c>
      <c r="E1822" s="4">
        <v>0</v>
      </c>
      <c r="F1822" s="4">
        <v>73.157422425924096</v>
      </c>
      <c r="G1822" s="4" t="str">
        <f t="shared" si="56"/>
        <v>OK</v>
      </c>
      <c r="H1822" s="4" t="str">
        <f t="shared" si="57"/>
        <v>ZERO</v>
      </c>
      <c r="I1822">
        <v>0</v>
      </c>
      <c r="J1822">
        <f>IFERROR(Table4[[#This Row],[energy_kwh]]/Table4[[#This Row],[expected_kwh]],0)</f>
        <v>0</v>
      </c>
      <c r="K1822" t="str">
        <f>IF(Table4[[#This Row],[Performance_Ratio]] &lt; 0.85, "Underperforming", "Performing")</f>
        <v>Underperforming</v>
      </c>
      <c r="L1822">
        <f>Table4[[#This Row],[energy_kwh]] - Table4[[#This Row],[expected_kwh]]</f>
        <v>0</v>
      </c>
      <c r="M1822" t="str">
        <f>IF(Table4[[#This Row],[Performance_Deviation]] &lt; 0, "Underperforming", "Outperforming")</f>
        <v>Outperforming</v>
      </c>
      <c r="N1822">
        <f>IF(Table4[[#This Row],[Performance_Ratio]] &lt; 0.85, Table4[[#This Row],[Performance_Deviation]] * 50 / 1000, 0)</f>
        <v>0</v>
      </c>
    </row>
    <row r="1823" spans="1:14" x14ac:dyDescent="0.3">
      <c r="A1823" s="6" t="s">
        <v>8</v>
      </c>
      <c r="B1823" s="5">
        <v>45305.875</v>
      </c>
      <c r="C1823" s="6">
        <v>0</v>
      </c>
      <c r="D1823" s="6">
        <v>0</v>
      </c>
      <c r="E1823" s="6">
        <v>0</v>
      </c>
      <c r="F1823" s="6">
        <v>45.066150294508603</v>
      </c>
      <c r="G1823" s="6" t="str">
        <f t="shared" si="56"/>
        <v>OK</v>
      </c>
      <c r="H1823" s="6" t="str">
        <f t="shared" si="57"/>
        <v>ZERO</v>
      </c>
      <c r="I1823">
        <v>0</v>
      </c>
      <c r="J1823">
        <f>IFERROR(Table4[[#This Row],[energy_kwh]]/Table4[[#This Row],[expected_kwh]],0)</f>
        <v>0</v>
      </c>
      <c r="K1823" t="str">
        <f>IF(Table4[[#This Row],[Performance_Ratio]] &lt; 0.85, "Underperforming", "Performing")</f>
        <v>Underperforming</v>
      </c>
      <c r="L1823">
        <f>Table4[[#This Row],[energy_kwh]] - Table4[[#This Row],[expected_kwh]]</f>
        <v>0</v>
      </c>
      <c r="M1823" t="str">
        <f>IF(Table4[[#This Row],[Performance_Deviation]] &lt; 0, "Underperforming", "Outperforming")</f>
        <v>Outperforming</v>
      </c>
      <c r="N1823">
        <f>IF(Table4[[#This Row],[Performance_Ratio]] &lt; 0.85, Table4[[#This Row],[Performance_Deviation]] * 50 / 1000, 0)</f>
        <v>0</v>
      </c>
    </row>
    <row r="1824" spans="1:14" x14ac:dyDescent="0.3">
      <c r="A1824" s="4" t="s">
        <v>8</v>
      </c>
      <c r="B1824" s="3">
        <v>45305.916666666664</v>
      </c>
      <c r="C1824" s="4">
        <v>0</v>
      </c>
      <c r="D1824" s="4">
        <v>0</v>
      </c>
      <c r="E1824" s="4">
        <v>0</v>
      </c>
      <c r="F1824" s="4">
        <v>22.311846402452701</v>
      </c>
      <c r="G1824" s="4" t="str">
        <f t="shared" si="56"/>
        <v>OK</v>
      </c>
      <c r="H1824" s="4" t="str">
        <f t="shared" si="57"/>
        <v>ZERO</v>
      </c>
      <c r="I1824">
        <v>0</v>
      </c>
      <c r="J1824">
        <f>IFERROR(Table4[[#This Row],[energy_kwh]]/Table4[[#This Row],[expected_kwh]],0)</f>
        <v>0</v>
      </c>
      <c r="K1824" t="str">
        <f>IF(Table4[[#This Row],[Performance_Ratio]] &lt; 0.85, "Underperforming", "Performing")</f>
        <v>Underperforming</v>
      </c>
      <c r="L1824">
        <f>Table4[[#This Row],[energy_kwh]] - Table4[[#This Row],[expected_kwh]]</f>
        <v>0</v>
      </c>
      <c r="M1824" t="str">
        <f>IF(Table4[[#This Row],[Performance_Deviation]] &lt; 0, "Underperforming", "Outperforming")</f>
        <v>Outperforming</v>
      </c>
      <c r="N1824">
        <f>IF(Table4[[#This Row],[Performance_Ratio]] &lt; 0.85, Table4[[#This Row],[Performance_Deviation]] * 50 / 1000, 0)</f>
        <v>0</v>
      </c>
    </row>
    <row r="1825" spans="1:14" x14ac:dyDescent="0.3">
      <c r="A1825" s="6" t="s">
        <v>8</v>
      </c>
      <c r="B1825" s="5">
        <v>45305.958333333336</v>
      </c>
      <c r="C1825" s="6">
        <v>0</v>
      </c>
      <c r="D1825" s="6">
        <v>0</v>
      </c>
      <c r="E1825" s="6">
        <v>0</v>
      </c>
      <c r="F1825" s="6">
        <v>90.856256015765794</v>
      </c>
      <c r="G1825" s="6" t="str">
        <f t="shared" si="56"/>
        <v>OK</v>
      </c>
      <c r="H1825" s="6" t="str">
        <f t="shared" si="57"/>
        <v>ZERO</v>
      </c>
      <c r="I1825">
        <v>0</v>
      </c>
      <c r="J1825">
        <f>IFERROR(Table4[[#This Row],[energy_kwh]]/Table4[[#This Row],[expected_kwh]],0)</f>
        <v>0</v>
      </c>
      <c r="K1825" t="str">
        <f>IF(Table4[[#This Row],[Performance_Ratio]] &lt; 0.85, "Underperforming", "Performing")</f>
        <v>Underperforming</v>
      </c>
      <c r="L1825">
        <f>Table4[[#This Row],[energy_kwh]] - Table4[[#This Row],[expected_kwh]]</f>
        <v>0</v>
      </c>
      <c r="M1825" t="str">
        <f>IF(Table4[[#This Row],[Performance_Deviation]] &lt; 0, "Underperforming", "Outperforming")</f>
        <v>Outperforming</v>
      </c>
      <c r="N1825">
        <f>IF(Table4[[#This Row],[Performance_Ratio]] &lt; 0.85, Table4[[#This Row],[Performance_Deviation]] * 50 / 1000, 0)</f>
        <v>0</v>
      </c>
    </row>
    <row r="1826" spans="1:14" x14ac:dyDescent="0.3">
      <c r="A1826" s="4" t="s">
        <v>8</v>
      </c>
      <c r="B1826" s="3">
        <v>45306</v>
      </c>
      <c r="C1826" s="4">
        <v>0</v>
      </c>
      <c r="D1826" s="4">
        <v>0</v>
      </c>
      <c r="E1826" s="4">
        <v>0</v>
      </c>
      <c r="F1826" s="4">
        <v>63.606867115181501</v>
      </c>
      <c r="G1826" s="4" t="str">
        <f t="shared" si="56"/>
        <v>OK</v>
      </c>
      <c r="H1826" s="4" t="str">
        <f t="shared" si="57"/>
        <v>ZERO</v>
      </c>
      <c r="I1826">
        <v>0</v>
      </c>
      <c r="J1826">
        <f>IFERROR(Table4[[#This Row],[energy_kwh]]/Table4[[#This Row],[expected_kwh]],0)</f>
        <v>0</v>
      </c>
      <c r="K1826" t="str">
        <f>IF(Table4[[#This Row],[Performance_Ratio]] &lt; 0.85, "Underperforming", "Performing")</f>
        <v>Underperforming</v>
      </c>
      <c r="L1826">
        <f>Table4[[#This Row],[energy_kwh]] - Table4[[#This Row],[expected_kwh]]</f>
        <v>0</v>
      </c>
      <c r="M1826" t="str">
        <f>IF(Table4[[#This Row],[Performance_Deviation]] &lt; 0, "Underperforming", "Outperforming")</f>
        <v>Outperforming</v>
      </c>
      <c r="N1826">
        <f>IF(Table4[[#This Row],[Performance_Ratio]] &lt; 0.85, Table4[[#This Row],[Performance_Deviation]] * 50 / 1000, 0)</f>
        <v>0</v>
      </c>
    </row>
    <row r="1827" spans="1:14" x14ac:dyDescent="0.3">
      <c r="A1827" s="6" t="s">
        <v>8</v>
      </c>
      <c r="B1827" s="5">
        <v>45306.041666666664</v>
      </c>
      <c r="C1827" s="6">
        <v>0</v>
      </c>
      <c r="D1827" s="6">
        <v>0</v>
      </c>
      <c r="E1827" s="6">
        <v>0</v>
      </c>
      <c r="F1827" s="6">
        <v>52.166557351265702</v>
      </c>
      <c r="G1827" s="6" t="str">
        <f t="shared" si="56"/>
        <v>OK</v>
      </c>
      <c r="H1827" s="6" t="str">
        <f t="shared" si="57"/>
        <v>ZERO</v>
      </c>
      <c r="I1827">
        <v>0</v>
      </c>
      <c r="J1827">
        <f>IFERROR(Table4[[#This Row],[energy_kwh]]/Table4[[#This Row],[expected_kwh]],0)</f>
        <v>0</v>
      </c>
      <c r="K1827" t="str">
        <f>IF(Table4[[#This Row],[Performance_Ratio]] &lt; 0.85, "Underperforming", "Performing")</f>
        <v>Underperforming</v>
      </c>
      <c r="L1827">
        <f>Table4[[#This Row],[energy_kwh]] - Table4[[#This Row],[expected_kwh]]</f>
        <v>0</v>
      </c>
      <c r="M1827" t="str">
        <f>IF(Table4[[#This Row],[Performance_Deviation]] &lt; 0, "Underperforming", "Outperforming")</f>
        <v>Outperforming</v>
      </c>
      <c r="N1827">
        <f>IF(Table4[[#This Row],[Performance_Ratio]] &lt; 0.85, Table4[[#This Row],[Performance_Deviation]] * 50 / 1000, 0)</f>
        <v>0</v>
      </c>
    </row>
    <row r="1828" spans="1:14" x14ac:dyDescent="0.3">
      <c r="A1828" s="4" t="s">
        <v>8</v>
      </c>
      <c r="B1828" s="3">
        <v>45306.083333333336</v>
      </c>
      <c r="C1828" s="4">
        <v>0</v>
      </c>
      <c r="D1828" s="4">
        <v>0</v>
      </c>
      <c r="E1828" s="4">
        <v>0</v>
      </c>
      <c r="F1828" s="4">
        <v>32.339402929460903</v>
      </c>
      <c r="G1828" s="4" t="str">
        <f t="shared" si="56"/>
        <v>OK</v>
      </c>
      <c r="H1828" s="4" t="str">
        <f t="shared" si="57"/>
        <v>ZERO</v>
      </c>
      <c r="I1828">
        <v>0</v>
      </c>
      <c r="J1828">
        <f>IFERROR(Table4[[#This Row],[energy_kwh]]/Table4[[#This Row],[expected_kwh]],0)</f>
        <v>0</v>
      </c>
      <c r="K1828" t="str">
        <f>IF(Table4[[#This Row],[Performance_Ratio]] &lt; 0.85, "Underperforming", "Performing")</f>
        <v>Underperforming</v>
      </c>
      <c r="L1828">
        <f>Table4[[#This Row],[energy_kwh]] - Table4[[#This Row],[expected_kwh]]</f>
        <v>0</v>
      </c>
      <c r="M1828" t="str">
        <f>IF(Table4[[#This Row],[Performance_Deviation]] &lt; 0, "Underperforming", "Outperforming")</f>
        <v>Outperforming</v>
      </c>
      <c r="N1828">
        <f>IF(Table4[[#This Row],[Performance_Ratio]] &lt; 0.85, Table4[[#This Row],[Performance_Deviation]] * 50 / 1000, 0)</f>
        <v>0</v>
      </c>
    </row>
    <row r="1829" spans="1:14" x14ac:dyDescent="0.3">
      <c r="A1829" s="6" t="s">
        <v>8</v>
      </c>
      <c r="B1829" s="5">
        <v>45306.125</v>
      </c>
      <c r="C1829" s="6">
        <v>0</v>
      </c>
      <c r="D1829" s="6">
        <v>0</v>
      </c>
      <c r="E1829" s="6">
        <v>0</v>
      </c>
      <c r="F1829" s="6">
        <v>22.8365102414026</v>
      </c>
      <c r="G1829" s="6" t="str">
        <f t="shared" si="56"/>
        <v>OK</v>
      </c>
      <c r="H1829" s="6" t="str">
        <f t="shared" si="57"/>
        <v>ZERO</v>
      </c>
      <c r="I1829">
        <v>0</v>
      </c>
      <c r="J1829">
        <f>IFERROR(Table4[[#This Row],[energy_kwh]]/Table4[[#This Row],[expected_kwh]],0)</f>
        <v>0</v>
      </c>
      <c r="K1829" t="str">
        <f>IF(Table4[[#This Row],[Performance_Ratio]] &lt; 0.85, "Underperforming", "Performing")</f>
        <v>Underperforming</v>
      </c>
      <c r="L1829">
        <f>Table4[[#This Row],[energy_kwh]] - Table4[[#This Row],[expected_kwh]]</f>
        <v>0</v>
      </c>
      <c r="M1829" t="str">
        <f>IF(Table4[[#This Row],[Performance_Deviation]] &lt; 0, "Underperforming", "Outperforming")</f>
        <v>Outperforming</v>
      </c>
      <c r="N1829">
        <f>IF(Table4[[#This Row],[Performance_Ratio]] &lt; 0.85, Table4[[#This Row],[Performance_Deviation]] * 50 / 1000, 0)</f>
        <v>0</v>
      </c>
    </row>
    <row r="1830" spans="1:14" x14ac:dyDescent="0.3">
      <c r="A1830" s="4" t="s">
        <v>8</v>
      </c>
      <c r="B1830" s="3">
        <v>45306.166666666664</v>
      </c>
      <c r="C1830" s="4">
        <v>0</v>
      </c>
      <c r="D1830" s="4">
        <v>0</v>
      </c>
      <c r="E1830" s="4">
        <v>0</v>
      </c>
      <c r="F1830" s="4">
        <v>84.092649802447994</v>
      </c>
      <c r="G1830" s="4" t="str">
        <f t="shared" si="56"/>
        <v>OK</v>
      </c>
      <c r="H1830" s="4" t="str">
        <f t="shared" si="57"/>
        <v>ZERO</v>
      </c>
      <c r="I1830">
        <v>0</v>
      </c>
      <c r="J1830">
        <f>IFERROR(Table4[[#This Row],[energy_kwh]]/Table4[[#This Row],[expected_kwh]],0)</f>
        <v>0</v>
      </c>
      <c r="K1830" t="str">
        <f>IF(Table4[[#This Row],[Performance_Ratio]] &lt; 0.85, "Underperforming", "Performing")</f>
        <v>Underperforming</v>
      </c>
      <c r="L1830">
        <f>Table4[[#This Row],[energy_kwh]] - Table4[[#This Row],[expected_kwh]]</f>
        <v>0</v>
      </c>
      <c r="M1830" t="str">
        <f>IF(Table4[[#This Row],[Performance_Deviation]] &lt; 0, "Underperforming", "Outperforming")</f>
        <v>Outperforming</v>
      </c>
      <c r="N1830">
        <f>IF(Table4[[#This Row],[Performance_Ratio]] &lt; 0.85, Table4[[#This Row],[Performance_Deviation]] * 50 / 1000, 0)</f>
        <v>0</v>
      </c>
    </row>
    <row r="1831" spans="1:14" x14ac:dyDescent="0.3">
      <c r="A1831" s="6" t="s">
        <v>8</v>
      </c>
      <c r="B1831" s="5">
        <v>45306.208333333336</v>
      </c>
      <c r="C1831" s="6">
        <v>0</v>
      </c>
      <c r="D1831" s="6">
        <v>0</v>
      </c>
      <c r="E1831" s="6">
        <v>0</v>
      </c>
      <c r="F1831" s="6">
        <v>36.731751383401601</v>
      </c>
      <c r="G1831" s="6" t="str">
        <f t="shared" si="56"/>
        <v>OK</v>
      </c>
      <c r="H1831" s="6" t="str">
        <f t="shared" si="57"/>
        <v>ZERO</v>
      </c>
      <c r="I1831">
        <v>0</v>
      </c>
      <c r="J1831">
        <f>IFERROR(Table4[[#This Row],[energy_kwh]]/Table4[[#This Row],[expected_kwh]],0)</f>
        <v>0</v>
      </c>
      <c r="K1831" t="str">
        <f>IF(Table4[[#This Row],[Performance_Ratio]] &lt; 0.85, "Underperforming", "Performing")</f>
        <v>Underperforming</v>
      </c>
      <c r="L1831">
        <f>Table4[[#This Row],[energy_kwh]] - Table4[[#This Row],[expected_kwh]]</f>
        <v>0</v>
      </c>
      <c r="M1831" t="str">
        <f>IF(Table4[[#This Row],[Performance_Deviation]] &lt; 0, "Underperforming", "Outperforming")</f>
        <v>Outperforming</v>
      </c>
      <c r="N1831">
        <f>IF(Table4[[#This Row],[Performance_Ratio]] &lt; 0.85, Table4[[#This Row],[Performance_Deviation]] * 50 / 1000, 0)</f>
        <v>0</v>
      </c>
    </row>
    <row r="1832" spans="1:14" x14ac:dyDescent="0.3">
      <c r="A1832" s="4" t="s">
        <v>8</v>
      </c>
      <c r="B1832" s="3">
        <v>45306.25</v>
      </c>
      <c r="C1832" s="4">
        <v>0</v>
      </c>
      <c r="D1832" s="4">
        <v>0</v>
      </c>
      <c r="E1832" s="4">
        <v>0</v>
      </c>
      <c r="F1832" s="4">
        <v>90.540297582720996</v>
      </c>
      <c r="G1832" s="4" t="str">
        <f t="shared" si="56"/>
        <v>OK</v>
      </c>
      <c r="H1832" s="4" t="str">
        <f t="shared" si="57"/>
        <v>ZERO</v>
      </c>
      <c r="I1832">
        <v>0</v>
      </c>
      <c r="J1832">
        <f>IFERROR(Table4[[#This Row],[energy_kwh]]/Table4[[#This Row],[expected_kwh]],0)</f>
        <v>0</v>
      </c>
      <c r="K1832" t="str">
        <f>IF(Table4[[#This Row],[Performance_Ratio]] &lt; 0.85, "Underperforming", "Performing")</f>
        <v>Underperforming</v>
      </c>
      <c r="L1832">
        <f>Table4[[#This Row],[energy_kwh]] - Table4[[#This Row],[expected_kwh]]</f>
        <v>0</v>
      </c>
      <c r="M1832" t="str">
        <f>IF(Table4[[#This Row],[Performance_Deviation]] &lt; 0, "Underperforming", "Outperforming")</f>
        <v>Outperforming</v>
      </c>
      <c r="N1832">
        <f>IF(Table4[[#This Row],[Performance_Ratio]] &lt; 0.85, Table4[[#This Row],[Performance_Deviation]] * 50 / 1000, 0)</f>
        <v>0</v>
      </c>
    </row>
    <row r="1833" spans="1:14" x14ac:dyDescent="0.3">
      <c r="A1833" s="6" t="s">
        <v>8</v>
      </c>
      <c r="B1833" s="5">
        <v>45306.291666666664</v>
      </c>
      <c r="C1833" s="6">
        <v>191.25371213122901</v>
      </c>
      <c r="D1833" s="6">
        <v>185.378351748516</v>
      </c>
      <c r="E1833" s="6">
        <v>185.378351748516</v>
      </c>
      <c r="F1833" s="6">
        <v>46.581799399053899</v>
      </c>
      <c r="G1833" s="6" t="str">
        <f t="shared" si="56"/>
        <v>OK</v>
      </c>
      <c r="H1833" s="6" t="str">
        <f t="shared" si="57"/>
        <v>NON-ZERO</v>
      </c>
      <c r="I1833">
        <v>207.05523608201599</v>
      </c>
      <c r="J1833">
        <f>IFERROR(Table4[[#This Row],[energy_kwh]]/Table4[[#This Row],[expected_kwh]],0)</f>
        <v>0.89530868794395702</v>
      </c>
      <c r="K1833" t="str">
        <f>IF(Table4[[#This Row],[Performance_Ratio]] &lt; 0.85, "Underperforming", "Performing")</f>
        <v>Performing</v>
      </c>
      <c r="L1833">
        <f>Table4[[#This Row],[energy_kwh]] - Table4[[#This Row],[expected_kwh]]</f>
        <v>-21.676884333499999</v>
      </c>
      <c r="M1833" t="str">
        <f>IF(Table4[[#This Row],[Performance_Deviation]] &lt; 0, "Underperforming", "Outperforming")</f>
        <v>Underperforming</v>
      </c>
      <c r="N1833">
        <f>IF(Table4[[#This Row],[Performance_Ratio]] &lt; 0.85, Table4[[#This Row],[Performance_Deviation]] * 50 / 1000, 0)</f>
        <v>0</v>
      </c>
    </row>
    <row r="1834" spans="1:14" x14ac:dyDescent="0.3">
      <c r="A1834" s="4" t="s">
        <v>8</v>
      </c>
      <c r="B1834" s="3">
        <v>45306.333333333336</v>
      </c>
      <c r="C1834" s="4">
        <v>343.19015291782301</v>
      </c>
      <c r="D1834" s="4">
        <v>332.64726825576099</v>
      </c>
      <c r="E1834" s="4">
        <v>332.64726825576099</v>
      </c>
      <c r="F1834" s="4">
        <v>84.2547459879423</v>
      </c>
      <c r="G1834" s="4" t="str">
        <f t="shared" si="56"/>
        <v>OK</v>
      </c>
      <c r="H1834" s="4" t="str">
        <f t="shared" si="57"/>
        <v>NON-ZERO</v>
      </c>
      <c r="I1834">
        <v>399.99999999999898</v>
      </c>
      <c r="J1834">
        <f>IFERROR(Table4[[#This Row],[energy_kwh]]/Table4[[#This Row],[expected_kwh]],0)</f>
        <v>0.83161817063940457</v>
      </c>
      <c r="K1834" t="str">
        <f>IF(Table4[[#This Row],[Performance_Ratio]] &lt; 0.85, "Underperforming", "Performing")</f>
        <v>Underperforming</v>
      </c>
      <c r="L1834">
        <f>Table4[[#This Row],[energy_kwh]] - Table4[[#This Row],[expected_kwh]]</f>
        <v>-67.352731744237985</v>
      </c>
      <c r="M1834" t="str">
        <f>IF(Table4[[#This Row],[Performance_Deviation]] &lt; 0, "Underperforming", "Outperforming")</f>
        <v>Underperforming</v>
      </c>
      <c r="N1834">
        <f>IF(Table4[[#This Row],[Performance_Ratio]] &lt; 0.85, Table4[[#This Row],[Performance_Deviation]] * 50 / 1000, 0)</f>
        <v>-3.3676365872118996</v>
      </c>
    </row>
    <row r="1835" spans="1:14" x14ac:dyDescent="0.3">
      <c r="A1835" s="6" t="s">
        <v>8</v>
      </c>
      <c r="B1835" s="5">
        <v>45306.375</v>
      </c>
      <c r="C1835" s="6">
        <v>467.21062357160702</v>
      </c>
      <c r="D1835" s="6">
        <v>452.85779999748502</v>
      </c>
      <c r="E1835" s="6">
        <v>452.85779999748502</v>
      </c>
      <c r="F1835" s="6">
        <v>62.052086103176002</v>
      </c>
      <c r="G1835" s="6" t="str">
        <f t="shared" si="56"/>
        <v>OK</v>
      </c>
      <c r="H1835" s="6" t="str">
        <f t="shared" si="57"/>
        <v>NON-ZERO</v>
      </c>
      <c r="I1835">
        <v>565.68542494923804</v>
      </c>
      <c r="J1835">
        <f>IFERROR(Table4[[#This Row],[energy_kwh]]/Table4[[#This Row],[expected_kwh]],0)</f>
        <v>0.80054705322860731</v>
      </c>
      <c r="K1835" t="str">
        <f>IF(Table4[[#This Row],[Performance_Ratio]] &lt; 0.85, "Underperforming", "Performing")</f>
        <v>Underperforming</v>
      </c>
      <c r="L1835">
        <f>Table4[[#This Row],[energy_kwh]] - Table4[[#This Row],[expected_kwh]]</f>
        <v>-112.82762495175302</v>
      </c>
      <c r="M1835" t="str">
        <f>IF(Table4[[#This Row],[Performance_Deviation]] &lt; 0, "Underperforming", "Outperforming")</f>
        <v>Underperforming</v>
      </c>
      <c r="N1835">
        <f>IF(Table4[[#This Row],[Performance_Ratio]] &lt; 0.85, Table4[[#This Row],[Performance_Deviation]] * 50 / 1000, 0)</f>
        <v>-5.6413812475876508</v>
      </c>
    </row>
    <row r="1836" spans="1:14" x14ac:dyDescent="0.3">
      <c r="A1836" s="4" t="s">
        <v>8</v>
      </c>
      <c r="B1836" s="3">
        <v>45306.416666666664</v>
      </c>
      <c r="C1836" s="4">
        <v>593.04119315045602</v>
      </c>
      <c r="D1836" s="4">
        <v>574.82282398665802</v>
      </c>
      <c r="E1836" s="4">
        <v>574.82282398665802</v>
      </c>
      <c r="F1836" s="4">
        <v>54.174561616481803</v>
      </c>
      <c r="G1836" s="4" t="str">
        <f t="shared" si="56"/>
        <v>OK</v>
      </c>
      <c r="H1836" s="4" t="str">
        <f t="shared" si="57"/>
        <v>NON-ZERO</v>
      </c>
      <c r="I1836">
        <v>692.82032302754999</v>
      </c>
      <c r="J1836">
        <f>IFERROR(Table4[[#This Row],[energy_kwh]]/Table4[[#This Row],[expected_kwh]],0)</f>
        <v>0.82968528041259582</v>
      </c>
      <c r="K1836" t="str">
        <f>IF(Table4[[#This Row],[Performance_Ratio]] &lt; 0.85, "Underperforming", "Performing")</f>
        <v>Underperforming</v>
      </c>
      <c r="L1836">
        <f>Table4[[#This Row],[energy_kwh]] - Table4[[#This Row],[expected_kwh]]</f>
        <v>-117.99749904089197</v>
      </c>
      <c r="M1836" t="str">
        <f>IF(Table4[[#This Row],[Performance_Deviation]] &lt; 0, "Underperforming", "Outperforming")</f>
        <v>Underperforming</v>
      </c>
      <c r="N1836">
        <f>IF(Table4[[#This Row],[Performance_Ratio]] &lt; 0.85, Table4[[#This Row],[Performance_Deviation]] * 50 / 1000, 0)</f>
        <v>-5.8998749520445983</v>
      </c>
    </row>
    <row r="1837" spans="1:14" x14ac:dyDescent="0.3">
      <c r="A1837" s="6" t="s">
        <v>8</v>
      </c>
      <c r="B1837" s="5">
        <v>45306.458333333336</v>
      </c>
      <c r="C1837" s="6">
        <v>712.704873404865</v>
      </c>
      <c r="D1837" s="6">
        <v>690.81040698584604</v>
      </c>
      <c r="E1837" s="6">
        <v>690.81040698584604</v>
      </c>
      <c r="F1837" s="6">
        <v>48.730202729487999</v>
      </c>
      <c r="G1837" s="6" t="str">
        <f t="shared" si="56"/>
        <v>OK</v>
      </c>
      <c r="H1837" s="6" t="str">
        <f t="shared" si="57"/>
        <v>NON-ZERO</v>
      </c>
      <c r="I1837">
        <v>772.74066103125404</v>
      </c>
      <c r="J1837">
        <f>IFERROR(Table4[[#This Row],[energy_kwh]]/Table4[[#This Row],[expected_kwh]],0)</f>
        <v>0.89397444941480275</v>
      </c>
      <c r="K1837" t="str">
        <f>IF(Table4[[#This Row],[Performance_Ratio]] &lt; 0.85, "Underperforming", "Performing")</f>
        <v>Performing</v>
      </c>
      <c r="L1837">
        <f>Table4[[#This Row],[energy_kwh]] - Table4[[#This Row],[expected_kwh]]</f>
        <v>-81.930254045407992</v>
      </c>
      <c r="M1837" t="str">
        <f>IF(Table4[[#This Row],[Performance_Deviation]] &lt; 0, "Underperforming", "Outperforming")</f>
        <v>Underperforming</v>
      </c>
      <c r="N1837">
        <f>IF(Table4[[#This Row],[Performance_Ratio]] &lt; 0.85, Table4[[#This Row],[Performance_Deviation]] * 50 / 1000, 0)</f>
        <v>0</v>
      </c>
    </row>
    <row r="1838" spans="1:14" x14ac:dyDescent="0.3">
      <c r="A1838" s="4" t="s">
        <v>8</v>
      </c>
      <c r="B1838" s="3">
        <v>45306.5</v>
      </c>
      <c r="C1838" s="4">
        <v>770.91480349469202</v>
      </c>
      <c r="D1838" s="4">
        <v>747.23211391744496</v>
      </c>
      <c r="E1838" s="4">
        <v>747.23211391744496</v>
      </c>
      <c r="F1838" s="4">
        <v>54.8517101333873</v>
      </c>
      <c r="G1838" s="4" t="str">
        <f t="shared" si="56"/>
        <v>OK</v>
      </c>
      <c r="H1838" s="4" t="str">
        <f t="shared" si="57"/>
        <v>NON-ZERO</v>
      </c>
      <c r="I1838">
        <v>800</v>
      </c>
      <c r="J1838">
        <f>IFERROR(Table4[[#This Row],[energy_kwh]]/Table4[[#This Row],[expected_kwh]],0)</f>
        <v>0.93404014239680622</v>
      </c>
      <c r="K1838" t="str">
        <f>IF(Table4[[#This Row],[Performance_Ratio]] &lt; 0.85, "Underperforming", "Performing")</f>
        <v>Performing</v>
      </c>
      <c r="L1838">
        <f>Table4[[#This Row],[energy_kwh]] - Table4[[#This Row],[expected_kwh]]</f>
        <v>-52.767886082555037</v>
      </c>
      <c r="M1838" t="str">
        <f>IF(Table4[[#This Row],[Performance_Deviation]] &lt; 0, "Underperforming", "Outperforming")</f>
        <v>Underperforming</v>
      </c>
      <c r="N1838">
        <f>IF(Table4[[#This Row],[Performance_Ratio]] &lt; 0.85, Table4[[#This Row],[Performance_Deviation]] * 50 / 1000, 0)</f>
        <v>0</v>
      </c>
    </row>
    <row r="1839" spans="1:14" x14ac:dyDescent="0.3">
      <c r="A1839" s="6" t="s">
        <v>8</v>
      </c>
      <c r="B1839" s="5">
        <v>45306.541666666664</v>
      </c>
      <c r="C1839" s="6">
        <v>791.062343580944</v>
      </c>
      <c r="D1839" s="6">
        <v>766.76071668994302</v>
      </c>
      <c r="E1839" s="6">
        <v>766.76071668994302</v>
      </c>
      <c r="F1839" s="6">
        <v>82.4121840296838</v>
      </c>
      <c r="G1839" s="6" t="str">
        <f t="shared" si="56"/>
        <v>OK</v>
      </c>
      <c r="H1839" s="6" t="str">
        <f t="shared" si="57"/>
        <v>NON-ZERO</v>
      </c>
      <c r="I1839">
        <v>772.74066103125404</v>
      </c>
      <c r="J1839">
        <f>IFERROR(Table4[[#This Row],[energy_kwh]]/Table4[[#This Row],[expected_kwh]],0)</f>
        <v>0.99226138257907825</v>
      </c>
      <c r="K1839" t="str">
        <f>IF(Table4[[#This Row],[Performance_Ratio]] &lt; 0.85, "Underperforming", "Performing")</f>
        <v>Performing</v>
      </c>
      <c r="L1839">
        <f>Table4[[#This Row],[energy_kwh]] - Table4[[#This Row],[expected_kwh]]</f>
        <v>-5.9799443413110112</v>
      </c>
      <c r="M1839" t="str">
        <f>IF(Table4[[#This Row],[Performance_Deviation]] &lt; 0, "Underperforming", "Outperforming")</f>
        <v>Underperforming</v>
      </c>
      <c r="N1839">
        <f>IF(Table4[[#This Row],[Performance_Ratio]] &lt; 0.85, Table4[[#This Row],[Performance_Deviation]] * 50 / 1000, 0)</f>
        <v>0</v>
      </c>
    </row>
    <row r="1840" spans="1:14" x14ac:dyDescent="0.3">
      <c r="A1840" s="4" t="s">
        <v>8</v>
      </c>
      <c r="B1840" s="3">
        <v>45306.583333333336</v>
      </c>
      <c r="C1840" s="4">
        <v>607.75997610044101</v>
      </c>
      <c r="D1840" s="4">
        <v>589.08944235765296</v>
      </c>
      <c r="E1840" s="4">
        <v>589.08944235765296</v>
      </c>
      <c r="F1840" s="4">
        <v>72.349285362334399</v>
      </c>
      <c r="G1840" s="4" t="str">
        <f t="shared" si="56"/>
        <v>OK</v>
      </c>
      <c r="H1840" s="4" t="str">
        <f t="shared" si="57"/>
        <v>NON-ZERO</v>
      </c>
      <c r="I1840">
        <v>692.82032302755101</v>
      </c>
      <c r="J1840">
        <f>IFERROR(Table4[[#This Row],[energy_kwh]]/Table4[[#This Row],[expected_kwh]],0)</f>
        <v>0.85027737030489359</v>
      </c>
      <c r="K1840" t="str">
        <f>IF(Table4[[#This Row],[Performance_Ratio]] &lt; 0.85, "Underperforming", "Performing")</f>
        <v>Performing</v>
      </c>
      <c r="L1840">
        <f>Table4[[#This Row],[energy_kwh]] - Table4[[#This Row],[expected_kwh]]</f>
        <v>-103.73088066989806</v>
      </c>
      <c r="M1840" t="str">
        <f>IF(Table4[[#This Row],[Performance_Deviation]] &lt; 0, "Underperforming", "Outperforming")</f>
        <v>Underperforming</v>
      </c>
      <c r="N1840">
        <f>IF(Table4[[#This Row],[Performance_Ratio]] &lt; 0.85, Table4[[#This Row],[Performance_Deviation]] * 50 / 1000, 0)</f>
        <v>0</v>
      </c>
    </row>
    <row r="1841" spans="1:14" x14ac:dyDescent="0.3">
      <c r="A1841" s="6" t="s">
        <v>8</v>
      </c>
      <c r="B1841" s="5">
        <v>45306.625</v>
      </c>
      <c r="C1841" s="6">
        <v>536.75502505777899</v>
      </c>
      <c r="D1841" s="6">
        <v>520.26578061747796</v>
      </c>
      <c r="E1841" s="6">
        <v>520.26578061747796</v>
      </c>
      <c r="F1841" s="6">
        <v>57.174044066243503</v>
      </c>
      <c r="G1841" s="6" t="str">
        <f t="shared" si="56"/>
        <v>OK</v>
      </c>
      <c r="H1841" s="6" t="str">
        <f t="shared" si="57"/>
        <v>NON-ZERO</v>
      </c>
      <c r="I1841">
        <v>565.68542494923804</v>
      </c>
      <c r="J1841">
        <f>IFERROR(Table4[[#This Row],[energy_kwh]]/Table4[[#This Row],[expected_kwh]],0)</f>
        <v>0.91970865373482824</v>
      </c>
      <c r="K1841" t="str">
        <f>IF(Table4[[#This Row],[Performance_Ratio]] &lt; 0.85, "Underperforming", "Performing")</f>
        <v>Performing</v>
      </c>
      <c r="L1841">
        <f>Table4[[#This Row],[energy_kwh]] - Table4[[#This Row],[expected_kwh]]</f>
        <v>-45.419644331760082</v>
      </c>
      <c r="M1841" t="str">
        <f>IF(Table4[[#This Row],[Performance_Deviation]] &lt; 0, "Underperforming", "Outperforming")</f>
        <v>Underperforming</v>
      </c>
      <c r="N1841">
        <f>IF(Table4[[#This Row],[Performance_Ratio]] &lt; 0.85, Table4[[#This Row],[Performance_Deviation]] * 50 / 1000, 0)</f>
        <v>0</v>
      </c>
    </row>
    <row r="1842" spans="1:14" x14ac:dyDescent="0.3">
      <c r="A1842" s="4" t="s">
        <v>8</v>
      </c>
      <c r="B1842" s="3">
        <v>45306.666666666664</v>
      </c>
      <c r="C1842" s="4">
        <v>329.71223852052702</v>
      </c>
      <c r="D1842" s="4">
        <v>319.58339865481997</v>
      </c>
      <c r="E1842" s="4">
        <v>319.58339865481997</v>
      </c>
      <c r="F1842" s="4">
        <v>34.751641867340901</v>
      </c>
      <c r="G1842" s="4" t="str">
        <f t="shared" si="56"/>
        <v>OK</v>
      </c>
      <c r="H1842" s="4" t="str">
        <f t="shared" si="57"/>
        <v>NON-ZERO</v>
      </c>
      <c r="I1842">
        <v>399.99999999999898</v>
      </c>
      <c r="J1842">
        <f>IFERROR(Table4[[#This Row],[energy_kwh]]/Table4[[#This Row],[expected_kwh]],0)</f>
        <v>0.79895849663705198</v>
      </c>
      <c r="K1842" t="str">
        <f>IF(Table4[[#This Row],[Performance_Ratio]] &lt; 0.85, "Underperforming", "Performing")</f>
        <v>Underperforming</v>
      </c>
      <c r="L1842">
        <f>Table4[[#This Row],[energy_kwh]] - Table4[[#This Row],[expected_kwh]]</f>
        <v>-80.416601345179004</v>
      </c>
      <c r="M1842" t="str">
        <f>IF(Table4[[#This Row],[Performance_Deviation]] &lt; 0, "Underperforming", "Outperforming")</f>
        <v>Underperforming</v>
      </c>
      <c r="N1842">
        <f>IF(Table4[[#This Row],[Performance_Ratio]] &lt; 0.85, Table4[[#This Row],[Performance_Deviation]] * 50 / 1000, 0)</f>
        <v>-4.0208300672589505</v>
      </c>
    </row>
    <row r="1843" spans="1:14" x14ac:dyDescent="0.3">
      <c r="A1843" s="6" t="s">
        <v>8</v>
      </c>
      <c r="B1843" s="5">
        <v>45306.708333333336</v>
      </c>
      <c r="C1843" s="6">
        <v>173.75425439239999</v>
      </c>
      <c r="D1843" s="6">
        <v>168.41648159202401</v>
      </c>
      <c r="E1843" s="6">
        <v>168.41648159202401</v>
      </c>
      <c r="F1843" s="6">
        <v>20.690067321903399</v>
      </c>
      <c r="G1843" s="6" t="str">
        <f t="shared" si="56"/>
        <v>OK</v>
      </c>
      <c r="H1843" s="6" t="str">
        <f t="shared" si="57"/>
        <v>NON-ZERO</v>
      </c>
      <c r="I1843">
        <v>207.05523608201599</v>
      </c>
      <c r="J1843">
        <f>IFERROR(Table4[[#This Row],[energy_kwh]]/Table4[[#This Row],[expected_kwh]],0)</f>
        <v>0.81338914571236964</v>
      </c>
      <c r="K1843" t="str">
        <f>IF(Table4[[#This Row],[Performance_Ratio]] &lt; 0.85, "Underperforming", "Performing")</f>
        <v>Underperforming</v>
      </c>
      <c r="L1843">
        <f>Table4[[#This Row],[energy_kwh]] - Table4[[#This Row],[expected_kwh]]</f>
        <v>-38.638754489991982</v>
      </c>
      <c r="M1843" t="str">
        <f>IF(Table4[[#This Row],[Performance_Deviation]] &lt; 0, "Underperforming", "Outperforming")</f>
        <v>Underperforming</v>
      </c>
      <c r="N1843">
        <f>IF(Table4[[#This Row],[Performance_Ratio]] &lt; 0.85, Table4[[#This Row],[Performance_Deviation]] * 50 / 1000, 0)</f>
        <v>-1.931937724499599</v>
      </c>
    </row>
    <row r="1844" spans="1:14" x14ac:dyDescent="0.3">
      <c r="A1844" s="4" t="s">
        <v>8</v>
      </c>
      <c r="B1844" s="3">
        <v>45306.75</v>
      </c>
      <c r="C1844" s="7">
        <v>8.2954752776457101E-14</v>
      </c>
      <c r="D1844" s="7">
        <v>8.0406362668942795E-14</v>
      </c>
      <c r="E1844" s="7">
        <v>8.0406362668942795E-14</v>
      </c>
      <c r="F1844" s="4">
        <v>45.937142773219499</v>
      </c>
      <c r="G1844" s="4" t="str">
        <f t="shared" si="56"/>
        <v>OK</v>
      </c>
      <c r="H1844" s="4" t="str">
        <f t="shared" si="57"/>
        <v>NON-ZERO</v>
      </c>
      <c r="I1844" s="2">
        <v>9.7971743931788194E-14</v>
      </c>
      <c r="J1844">
        <f>IFERROR(Table4[[#This Row],[energy_kwh]]/Table4[[#This Row],[expected_kwh]],0)</f>
        <v>0.82070972141646159</v>
      </c>
      <c r="K1844" t="str">
        <f>IF(Table4[[#This Row],[Performance_Ratio]] &lt; 0.85, "Underperforming", "Performing")</f>
        <v>Underperforming</v>
      </c>
      <c r="L1844">
        <f>Table4[[#This Row],[energy_kwh]] - Table4[[#This Row],[expected_kwh]]</f>
        <v>-1.7565381262845399E-14</v>
      </c>
      <c r="M1844" t="str">
        <f>IF(Table4[[#This Row],[Performance_Deviation]] &lt; 0, "Underperforming", "Outperforming")</f>
        <v>Underperforming</v>
      </c>
      <c r="N1844">
        <f>IF(Table4[[#This Row],[Performance_Ratio]] &lt; 0.85, Table4[[#This Row],[Performance_Deviation]] * 50 / 1000, 0)</f>
        <v>-8.7826906314226988E-16</v>
      </c>
    </row>
    <row r="1845" spans="1:14" x14ac:dyDescent="0.3">
      <c r="A1845" s="6" t="s">
        <v>8</v>
      </c>
      <c r="B1845" s="5">
        <v>45306.791666666664</v>
      </c>
      <c r="C1845" s="6">
        <v>0</v>
      </c>
      <c r="D1845" s="6">
        <v>0</v>
      </c>
      <c r="E1845" s="6">
        <v>0</v>
      </c>
      <c r="F1845" s="6">
        <v>82.940596477959403</v>
      </c>
      <c r="G1845" s="6" t="str">
        <f t="shared" si="56"/>
        <v>OK</v>
      </c>
      <c r="H1845" s="6" t="str">
        <f t="shared" si="57"/>
        <v>ZERO</v>
      </c>
      <c r="I1845">
        <v>0</v>
      </c>
      <c r="J1845">
        <f>IFERROR(Table4[[#This Row],[energy_kwh]]/Table4[[#This Row],[expected_kwh]],0)</f>
        <v>0</v>
      </c>
      <c r="K1845" t="str">
        <f>IF(Table4[[#This Row],[Performance_Ratio]] &lt; 0.85, "Underperforming", "Performing")</f>
        <v>Underperforming</v>
      </c>
      <c r="L1845">
        <f>Table4[[#This Row],[energy_kwh]] - Table4[[#This Row],[expected_kwh]]</f>
        <v>0</v>
      </c>
      <c r="M1845" t="str">
        <f>IF(Table4[[#This Row],[Performance_Deviation]] &lt; 0, "Underperforming", "Outperforming")</f>
        <v>Outperforming</v>
      </c>
      <c r="N1845">
        <f>IF(Table4[[#This Row],[Performance_Ratio]] &lt; 0.85, Table4[[#This Row],[Performance_Deviation]] * 50 / 1000, 0)</f>
        <v>0</v>
      </c>
    </row>
    <row r="1846" spans="1:14" x14ac:dyDescent="0.3">
      <c r="A1846" s="4" t="s">
        <v>8</v>
      </c>
      <c r="B1846" s="3">
        <v>45306.833333333336</v>
      </c>
      <c r="C1846" s="4">
        <v>0</v>
      </c>
      <c r="D1846" s="4">
        <v>0</v>
      </c>
      <c r="E1846" s="4">
        <v>0</v>
      </c>
      <c r="F1846" s="4">
        <v>49.028750895116502</v>
      </c>
      <c r="G1846" s="4" t="str">
        <f t="shared" si="56"/>
        <v>OK</v>
      </c>
      <c r="H1846" s="4" t="str">
        <f t="shared" si="57"/>
        <v>ZERO</v>
      </c>
      <c r="I1846">
        <v>0</v>
      </c>
      <c r="J1846">
        <f>IFERROR(Table4[[#This Row],[energy_kwh]]/Table4[[#This Row],[expected_kwh]],0)</f>
        <v>0</v>
      </c>
      <c r="K1846" t="str">
        <f>IF(Table4[[#This Row],[Performance_Ratio]] &lt; 0.85, "Underperforming", "Performing")</f>
        <v>Underperforming</v>
      </c>
      <c r="L1846">
        <f>Table4[[#This Row],[energy_kwh]] - Table4[[#This Row],[expected_kwh]]</f>
        <v>0</v>
      </c>
      <c r="M1846" t="str">
        <f>IF(Table4[[#This Row],[Performance_Deviation]] &lt; 0, "Underperforming", "Outperforming")</f>
        <v>Outperforming</v>
      </c>
      <c r="N1846">
        <f>IF(Table4[[#This Row],[Performance_Ratio]] &lt; 0.85, Table4[[#This Row],[Performance_Deviation]] * 50 / 1000, 0)</f>
        <v>0</v>
      </c>
    </row>
    <row r="1847" spans="1:14" x14ac:dyDescent="0.3">
      <c r="A1847" s="6" t="s">
        <v>8</v>
      </c>
      <c r="B1847" s="5">
        <v>45306.875</v>
      </c>
      <c r="C1847" s="6">
        <v>0</v>
      </c>
      <c r="D1847" s="6">
        <v>0</v>
      </c>
      <c r="E1847" s="6">
        <v>0</v>
      </c>
      <c r="F1847" s="6">
        <v>24.053572051229398</v>
      </c>
      <c r="G1847" s="6" t="str">
        <f t="shared" si="56"/>
        <v>OK</v>
      </c>
      <c r="H1847" s="6" t="str">
        <f t="shared" si="57"/>
        <v>ZERO</v>
      </c>
      <c r="I1847">
        <v>0</v>
      </c>
      <c r="J1847">
        <f>IFERROR(Table4[[#This Row],[energy_kwh]]/Table4[[#This Row],[expected_kwh]],0)</f>
        <v>0</v>
      </c>
      <c r="K1847" t="str">
        <f>IF(Table4[[#This Row],[Performance_Ratio]] &lt; 0.85, "Underperforming", "Performing")</f>
        <v>Underperforming</v>
      </c>
      <c r="L1847">
        <f>Table4[[#This Row],[energy_kwh]] - Table4[[#This Row],[expected_kwh]]</f>
        <v>0</v>
      </c>
      <c r="M1847" t="str">
        <f>IF(Table4[[#This Row],[Performance_Deviation]] &lt; 0, "Underperforming", "Outperforming")</f>
        <v>Outperforming</v>
      </c>
      <c r="N1847">
        <f>IF(Table4[[#This Row],[Performance_Ratio]] &lt; 0.85, Table4[[#This Row],[Performance_Deviation]] * 50 / 1000, 0)</f>
        <v>0</v>
      </c>
    </row>
    <row r="1848" spans="1:14" x14ac:dyDescent="0.3">
      <c r="A1848" s="4" t="s">
        <v>8</v>
      </c>
      <c r="B1848" s="3">
        <v>45306.916666666664</v>
      </c>
      <c r="C1848" s="4">
        <v>0</v>
      </c>
      <c r="D1848" s="4">
        <v>0</v>
      </c>
      <c r="E1848" s="4">
        <v>0</v>
      </c>
      <c r="F1848" s="4">
        <v>81.698594539541702</v>
      </c>
      <c r="G1848" s="4" t="str">
        <f t="shared" si="56"/>
        <v>OK</v>
      </c>
      <c r="H1848" s="4" t="str">
        <f t="shared" si="57"/>
        <v>ZERO</v>
      </c>
      <c r="I1848">
        <v>0</v>
      </c>
      <c r="J1848">
        <f>IFERROR(Table4[[#This Row],[energy_kwh]]/Table4[[#This Row],[expected_kwh]],0)</f>
        <v>0</v>
      </c>
      <c r="K1848" t="str">
        <f>IF(Table4[[#This Row],[Performance_Ratio]] &lt; 0.85, "Underperforming", "Performing")</f>
        <v>Underperforming</v>
      </c>
      <c r="L1848">
        <f>Table4[[#This Row],[energy_kwh]] - Table4[[#This Row],[expected_kwh]]</f>
        <v>0</v>
      </c>
      <c r="M1848" t="str">
        <f>IF(Table4[[#This Row],[Performance_Deviation]] &lt; 0, "Underperforming", "Outperforming")</f>
        <v>Outperforming</v>
      </c>
      <c r="N1848">
        <f>IF(Table4[[#This Row],[Performance_Ratio]] &lt; 0.85, Table4[[#This Row],[Performance_Deviation]] * 50 / 1000, 0)</f>
        <v>0</v>
      </c>
    </row>
    <row r="1849" spans="1:14" x14ac:dyDescent="0.3">
      <c r="A1849" s="6" t="s">
        <v>8</v>
      </c>
      <c r="B1849" s="5">
        <v>45306.958333333336</v>
      </c>
      <c r="C1849" s="6">
        <v>0</v>
      </c>
      <c r="D1849" s="6">
        <v>0</v>
      </c>
      <c r="E1849" s="6">
        <v>0</v>
      </c>
      <c r="F1849" s="6">
        <v>43.745182612055899</v>
      </c>
      <c r="G1849" s="6" t="str">
        <f t="shared" si="56"/>
        <v>OK</v>
      </c>
      <c r="H1849" s="6" t="str">
        <f t="shared" si="57"/>
        <v>ZERO</v>
      </c>
      <c r="I1849">
        <v>0</v>
      </c>
      <c r="J1849">
        <f>IFERROR(Table4[[#This Row],[energy_kwh]]/Table4[[#This Row],[expected_kwh]],0)</f>
        <v>0</v>
      </c>
      <c r="K1849" t="str">
        <f>IF(Table4[[#This Row],[Performance_Ratio]] &lt; 0.85, "Underperforming", "Performing")</f>
        <v>Underperforming</v>
      </c>
      <c r="L1849">
        <f>Table4[[#This Row],[energy_kwh]] - Table4[[#This Row],[expected_kwh]]</f>
        <v>0</v>
      </c>
      <c r="M1849" t="str">
        <f>IF(Table4[[#This Row],[Performance_Deviation]] &lt; 0, "Underperforming", "Outperforming")</f>
        <v>Outperforming</v>
      </c>
      <c r="N1849">
        <f>IF(Table4[[#This Row],[Performance_Ratio]] &lt; 0.85, Table4[[#This Row],[Performance_Deviation]] * 50 / 1000, 0)</f>
        <v>0</v>
      </c>
    </row>
    <row r="1850" spans="1:14" x14ac:dyDescent="0.3">
      <c r="A1850" s="4" t="s">
        <v>8</v>
      </c>
      <c r="B1850" s="3">
        <v>45307</v>
      </c>
      <c r="C1850" s="4">
        <v>0</v>
      </c>
      <c r="D1850" s="4">
        <v>0</v>
      </c>
      <c r="E1850" s="4">
        <v>0</v>
      </c>
      <c r="F1850" s="4">
        <v>53.115050778417199</v>
      </c>
      <c r="G1850" s="4" t="str">
        <f t="shared" si="56"/>
        <v>OK</v>
      </c>
      <c r="H1850" s="4" t="str">
        <f t="shared" si="57"/>
        <v>ZERO</v>
      </c>
      <c r="I1850">
        <v>0</v>
      </c>
      <c r="J1850">
        <f>IFERROR(Table4[[#This Row],[energy_kwh]]/Table4[[#This Row],[expected_kwh]],0)</f>
        <v>0</v>
      </c>
      <c r="K1850" t="str">
        <f>IF(Table4[[#This Row],[Performance_Ratio]] &lt; 0.85, "Underperforming", "Performing")</f>
        <v>Underperforming</v>
      </c>
      <c r="L1850">
        <f>Table4[[#This Row],[energy_kwh]] - Table4[[#This Row],[expected_kwh]]</f>
        <v>0</v>
      </c>
      <c r="M1850" t="str">
        <f>IF(Table4[[#This Row],[Performance_Deviation]] &lt; 0, "Underperforming", "Outperforming")</f>
        <v>Outperforming</v>
      </c>
      <c r="N1850">
        <f>IF(Table4[[#This Row],[Performance_Ratio]] &lt; 0.85, Table4[[#This Row],[Performance_Deviation]] * 50 / 1000, 0)</f>
        <v>0</v>
      </c>
    </row>
    <row r="1851" spans="1:14" x14ac:dyDescent="0.3">
      <c r="A1851" s="6" t="s">
        <v>8</v>
      </c>
      <c r="B1851" s="5">
        <v>45307.041666666664</v>
      </c>
      <c r="C1851" s="6">
        <v>0</v>
      </c>
      <c r="D1851" s="6">
        <v>0</v>
      </c>
      <c r="E1851" s="6">
        <v>0</v>
      </c>
      <c r="F1851" s="6">
        <v>72.954358597852305</v>
      </c>
      <c r="G1851" s="6" t="str">
        <f t="shared" si="56"/>
        <v>OK</v>
      </c>
      <c r="H1851" s="6" t="str">
        <f t="shared" si="57"/>
        <v>ZERO</v>
      </c>
      <c r="I1851">
        <v>0</v>
      </c>
      <c r="J1851">
        <f>IFERROR(Table4[[#This Row],[energy_kwh]]/Table4[[#This Row],[expected_kwh]],0)</f>
        <v>0</v>
      </c>
      <c r="K1851" t="str">
        <f>IF(Table4[[#This Row],[Performance_Ratio]] &lt; 0.85, "Underperforming", "Performing")</f>
        <v>Underperforming</v>
      </c>
      <c r="L1851">
        <f>Table4[[#This Row],[energy_kwh]] - Table4[[#This Row],[expected_kwh]]</f>
        <v>0</v>
      </c>
      <c r="M1851" t="str">
        <f>IF(Table4[[#This Row],[Performance_Deviation]] &lt; 0, "Underperforming", "Outperforming")</f>
        <v>Outperforming</v>
      </c>
      <c r="N1851">
        <f>IF(Table4[[#This Row],[Performance_Ratio]] &lt; 0.85, Table4[[#This Row],[Performance_Deviation]] * 50 / 1000, 0)</f>
        <v>0</v>
      </c>
    </row>
    <row r="1852" spans="1:14" x14ac:dyDescent="0.3">
      <c r="A1852" s="4" t="s">
        <v>8</v>
      </c>
      <c r="B1852" s="3">
        <v>45307.083333333336</v>
      </c>
      <c r="C1852" s="4">
        <v>0</v>
      </c>
      <c r="D1852" s="4">
        <v>0</v>
      </c>
      <c r="E1852" s="4">
        <v>0</v>
      </c>
      <c r="F1852" s="4">
        <v>36.586070758302</v>
      </c>
      <c r="G1852" s="4" t="str">
        <f t="shared" si="56"/>
        <v>OK</v>
      </c>
      <c r="H1852" s="4" t="str">
        <f t="shared" si="57"/>
        <v>ZERO</v>
      </c>
      <c r="I1852">
        <v>0</v>
      </c>
      <c r="J1852">
        <f>IFERROR(Table4[[#This Row],[energy_kwh]]/Table4[[#This Row],[expected_kwh]],0)</f>
        <v>0</v>
      </c>
      <c r="K1852" t="str">
        <f>IF(Table4[[#This Row],[Performance_Ratio]] &lt; 0.85, "Underperforming", "Performing")</f>
        <v>Underperforming</v>
      </c>
      <c r="L1852">
        <f>Table4[[#This Row],[energy_kwh]] - Table4[[#This Row],[expected_kwh]]</f>
        <v>0</v>
      </c>
      <c r="M1852" t="str">
        <f>IF(Table4[[#This Row],[Performance_Deviation]] &lt; 0, "Underperforming", "Outperforming")</f>
        <v>Outperforming</v>
      </c>
      <c r="N1852">
        <f>IF(Table4[[#This Row],[Performance_Ratio]] &lt; 0.85, Table4[[#This Row],[Performance_Deviation]] * 50 / 1000, 0)</f>
        <v>0</v>
      </c>
    </row>
    <row r="1853" spans="1:14" x14ac:dyDescent="0.3">
      <c r="A1853" s="6" t="s">
        <v>8</v>
      </c>
      <c r="B1853" s="5">
        <v>45307.125</v>
      </c>
      <c r="C1853" s="6">
        <v>0</v>
      </c>
      <c r="D1853" s="6">
        <v>0</v>
      </c>
      <c r="E1853" s="6">
        <v>0</v>
      </c>
      <c r="F1853" s="6">
        <v>23.3109171565591</v>
      </c>
      <c r="G1853" s="6" t="str">
        <f t="shared" si="56"/>
        <v>OK</v>
      </c>
      <c r="H1853" s="6" t="str">
        <f t="shared" si="57"/>
        <v>ZERO</v>
      </c>
      <c r="I1853">
        <v>0</v>
      </c>
      <c r="J1853">
        <f>IFERROR(Table4[[#This Row],[energy_kwh]]/Table4[[#This Row],[expected_kwh]],0)</f>
        <v>0</v>
      </c>
      <c r="K1853" t="str">
        <f>IF(Table4[[#This Row],[Performance_Ratio]] &lt; 0.85, "Underperforming", "Performing")</f>
        <v>Underperforming</v>
      </c>
      <c r="L1853">
        <f>Table4[[#This Row],[energy_kwh]] - Table4[[#This Row],[expected_kwh]]</f>
        <v>0</v>
      </c>
      <c r="M1853" t="str">
        <f>IF(Table4[[#This Row],[Performance_Deviation]] &lt; 0, "Underperforming", "Outperforming")</f>
        <v>Outperforming</v>
      </c>
      <c r="N1853">
        <f>IF(Table4[[#This Row],[Performance_Ratio]] &lt; 0.85, Table4[[#This Row],[Performance_Deviation]] * 50 / 1000, 0)</f>
        <v>0</v>
      </c>
    </row>
    <row r="1854" spans="1:14" x14ac:dyDescent="0.3">
      <c r="A1854" s="4" t="s">
        <v>8</v>
      </c>
      <c r="B1854" s="3">
        <v>45307.166666666664</v>
      </c>
      <c r="C1854" s="4">
        <v>0</v>
      </c>
      <c r="D1854" s="4">
        <v>0</v>
      </c>
      <c r="E1854" s="4">
        <v>0</v>
      </c>
      <c r="F1854" s="4">
        <v>50.968339219190902</v>
      </c>
      <c r="G1854" s="4" t="str">
        <f t="shared" si="56"/>
        <v>OK</v>
      </c>
      <c r="H1854" s="4" t="str">
        <f t="shared" si="57"/>
        <v>ZERO</v>
      </c>
      <c r="I1854">
        <v>0</v>
      </c>
      <c r="J1854">
        <f>IFERROR(Table4[[#This Row],[energy_kwh]]/Table4[[#This Row],[expected_kwh]],0)</f>
        <v>0</v>
      </c>
      <c r="K1854" t="str">
        <f>IF(Table4[[#This Row],[Performance_Ratio]] &lt; 0.85, "Underperforming", "Performing")</f>
        <v>Underperforming</v>
      </c>
      <c r="L1854">
        <f>Table4[[#This Row],[energy_kwh]] - Table4[[#This Row],[expected_kwh]]</f>
        <v>0</v>
      </c>
      <c r="M1854" t="str">
        <f>IF(Table4[[#This Row],[Performance_Deviation]] &lt; 0, "Underperforming", "Outperforming")</f>
        <v>Outperforming</v>
      </c>
      <c r="N1854">
        <f>IF(Table4[[#This Row],[Performance_Ratio]] &lt; 0.85, Table4[[#This Row],[Performance_Deviation]] * 50 / 1000, 0)</f>
        <v>0</v>
      </c>
    </row>
    <row r="1855" spans="1:14" x14ac:dyDescent="0.3">
      <c r="A1855" s="6" t="s">
        <v>8</v>
      </c>
      <c r="B1855" s="5">
        <v>45307.208333333336</v>
      </c>
      <c r="C1855" s="6">
        <v>0</v>
      </c>
      <c r="D1855" s="6">
        <v>0</v>
      </c>
      <c r="E1855" s="6">
        <v>0</v>
      </c>
      <c r="F1855" s="6">
        <v>20.176060540058899</v>
      </c>
      <c r="G1855" s="6" t="str">
        <f t="shared" si="56"/>
        <v>OK</v>
      </c>
      <c r="H1855" s="6" t="str">
        <f t="shared" si="57"/>
        <v>ZERO</v>
      </c>
      <c r="I1855">
        <v>0</v>
      </c>
      <c r="J1855">
        <f>IFERROR(Table4[[#This Row],[energy_kwh]]/Table4[[#This Row],[expected_kwh]],0)</f>
        <v>0</v>
      </c>
      <c r="K1855" t="str">
        <f>IF(Table4[[#This Row],[Performance_Ratio]] &lt; 0.85, "Underperforming", "Performing")</f>
        <v>Underperforming</v>
      </c>
      <c r="L1855">
        <f>Table4[[#This Row],[energy_kwh]] - Table4[[#This Row],[expected_kwh]]</f>
        <v>0</v>
      </c>
      <c r="M1855" t="str">
        <f>IF(Table4[[#This Row],[Performance_Deviation]] &lt; 0, "Underperforming", "Outperforming")</f>
        <v>Outperforming</v>
      </c>
      <c r="N1855">
        <f>IF(Table4[[#This Row],[Performance_Ratio]] &lt; 0.85, Table4[[#This Row],[Performance_Deviation]] * 50 / 1000, 0)</f>
        <v>0</v>
      </c>
    </row>
    <row r="1856" spans="1:14" x14ac:dyDescent="0.3">
      <c r="A1856" s="4" t="s">
        <v>8</v>
      </c>
      <c r="B1856" s="3">
        <v>45307.25</v>
      </c>
      <c r="C1856" s="4">
        <v>0</v>
      </c>
      <c r="D1856" s="4">
        <v>0</v>
      </c>
      <c r="E1856" s="4">
        <v>0</v>
      </c>
      <c r="F1856" s="4">
        <v>50.822045602692697</v>
      </c>
      <c r="G1856" s="4" t="str">
        <f t="shared" si="56"/>
        <v>OK</v>
      </c>
      <c r="H1856" s="4" t="str">
        <f t="shared" si="57"/>
        <v>ZERO</v>
      </c>
      <c r="I1856">
        <v>0</v>
      </c>
      <c r="J1856">
        <f>IFERROR(Table4[[#This Row],[energy_kwh]]/Table4[[#This Row],[expected_kwh]],0)</f>
        <v>0</v>
      </c>
      <c r="K1856" t="str">
        <f>IF(Table4[[#This Row],[Performance_Ratio]] &lt; 0.85, "Underperforming", "Performing")</f>
        <v>Underperforming</v>
      </c>
      <c r="L1856">
        <f>Table4[[#This Row],[energy_kwh]] - Table4[[#This Row],[expected_kwh]]</f>
        <v>0</v>
      </c>
      <c r="M1856" t="str">
        <f>IF(Table4[[#This Row],[Performance_Deviation]] &lt; 0, "Underperforming", "Outperforming")</f>
        <v>Outperforming</v>
      </c>
      <c r="N1856">
        <f>IF(Table4[[#This Row],[Performance_Ratio]] &lt; 0.85, Table4[[#This Row],[Performance_Deviation]] * 50 / 1000, 0)</f>
        <v>0</v>
      </c>
    </row>
    <row r="1857" spans="1:14" x14ac:dyDescent="0.3">
      <c r="A1857" s="6" t="s">
        <v>8</v>
      </c>
      <c r="B1857" s="5">
        <v>45307.291666666664</v>
      </c>
      <c r="C1857" s="6">
        <v>180.487226840576</v>
      </c>
      <c r="D1857" s="6">
        <v>174.942615495007</v>
      </c>
      <c r="E1857" s="6">
        <v>174.942615495007</v>
      </c>
      <c r="F1857" s="6">
        <v>33.383800557378102</v>
      </c>
      <c r="G1857" s="6" t="str">
        <f t="shared" si="56"/>
        <v>OK</v>
      </c>
      <c r="H1857" s="6" t="str">
        <f t="shared" si="57"/>
        <v>NON-ZERO</v>
      </c>
      <c r="I1857">
        <v>207.05523608201599</v>
      </c>
      <c r="J1857">
        <f>IFERROR(Table4[[#This Row],[energy_kwh]]/Table4[[#This Row],[expected_kwh]],0)</f>
        <v>0.84490795212592951</v>
      </c>
      <c r="K1857" t="str">
        <f>IF(Table4[[#This Row],[Performance_Ratio]] &lt; 0.85, "Underperforming", "Performing")</f>
        <v>Underperforming</v>
      </c>
      <c r="L1857">
        <f>Table4[[#This Row],[energy_kwh]] - Table4[[#This Row],[expected_kwh]]</f>
        <v>-32.11262058700899</v>
      </c>
      <c r="M1857" t="str">
        <f>IF(Table4[[#This Row],[Performance_Deviation]] &lt; 0, "Underperforming", "Outperforming")</f>
        <v>Underperforming</v>
      </c>
      <c r="N1857">
        <f>IF(Table4[[#This Row],[Performance_Ratio]] &lt; 0.85, Table4[[#This Row],[Performance_Deviation]] * 50 / 1000, 0)</f>
        <v>-1.6056310293504497</v>
      </c>
    </row>
    <row r="1858" spans="1:14" x14ac:dyDescent="0.3">
      <c r="A1858" s="4" t="s">
        <v>8</v>
      </c>
      <c r="B1858" s="3">
        <v>45307.333333333336</v>
      </c>
      <c r="C1858" s="4">
        <v>398.45071577386801</v>
      </c>
      <c r="D1858" s="4">
        <v>386.210213229712</v>
      </c>
      <c r="E1858" s="4">
        <v>386.210213229712</v>
      </c>
      <c r="F1858" s="4">
        <v>32.662520498942698</v>
      </c>
      <c r="G1858" s="4" t="str">
        <f t="shared" ref="G1858:G1921" si="58">IF(D1858 &gt; C1858, "ERROR", "OK")</f>
        <v>OK</v>
      </c>
      <c r="H1858" s="4" t="str">
        <f t="shared" ref="H1858:H1921" si="59">IF(E1858=0,"ZERO","NON-ZERO")</f>
        <v>NON-ZERO</v>
      </c>
      <c r="I1858">
        <v>399.99999999999898</v>
      </c>
      <c r="J1858">
        <f>IFERROR(Table4[[#This Row],[energy_kwh]]/Table4[[#This Row],[expected_kwh]],0)</f>
        <v>0.96552553307428246</v>
      </c>
      <c r="K1858" t="str">
        <f>IF(Table4[[#This Row],[Performance_Ratio]] &lt; 0.85, "Underperforming", "Performing")</f>
        <v>Performing</v>
      </c>
      <c r="L1858">
        <f>Table4[[#This Row],[energy_kwh]] - Table4[[#This Row],[expected_kwh]]</f>
        <v>-13.78978677028698</v>
      </c>
      <c r="M1858" t="str">
        <f>IF(Table4[[#This Row],[Performance_Deviation]] &lt; 0, "Underperforming", "Outperforming")</f>
        <v>Underperforming</v>
      </c>
      <c r="N1858">
        <f>IF(Table4[[#This Row],[Performance_Ratio]] &lt; 0.85, Table4[[#This Row],[Performance_Deviation]] * 50 / 1000, 0)</f>
        <v>0</v>
      </c>
    </row>
    <row r="1859" spans="1:14" x14ac:dyDescent="0.3">
      <c r="A1859" s="6" t="s">
        <v>8</v>
      </c>
      <c r="B1859" s="5">
        <v>45307.375</v>
      </c>
      <c r="C1859" s="6">
        <v>519.72730508656298</v>
      </c>
      <c r="D1859" s="6">
        <v>503.76115633006299</v>
      </c>
      <c r="E1859" s="6">
        <v>503.76115633006299</v>
      </c>
      <c r="F1859" s="6">
        <v>64.7542242579662</v>
      </c>
      <c r="G1859" s="6" t="str">
        <f t="shared" si="58"/>
        <v>OK</v>
      </c>
      <c r="H1859" s="6" t="str">
        <f t="shared" si="59"/>
        <v>NON-ZERO</v>
      </c>
      <c r="I1859">
        <v>565.68542494923804</v>
      </c>
      <c r="J1859">
        <f>IFERROR(Table4[[#This Row],[energy_kwh]]/Table4[[#This Row],[expected_kwh]],0)</f>
        <v>0.89053232434841001</v>
      </c>
      <c r="K1859" t="str">
        <f>IF(Table4[[#This Row],[Performance_Ratio]] &lt; 0.85, "Underperforming", "Performing")</f>
        <v>Performing</v>
      </c>
      <c r="L1859">
        <f>Table4[[#This Row],[energy_kwh]] - Table4[[#This Row],[expected_kwh]]</f>
        <v>-61.924268619175052</v>
      </c>
      <c r="M1859" t="str">
        <f>IF(Table4[[#This Row],[Performance_Deviation]] &lt; 0, "Underperforming", "Outperforming")</f>
        <v>Underperforming</v>
      </c>
      <c r="N1859">
        <f>IF(Table4[[#This Row],[Performance_Ratio]] &lt; 0.85, Table4[[#This Row],[Performance_Deviation]] * 50 / 1000, 0)</f>
        <v>0</v>
      </c>
    </row>
    <row r="1860" spans="1:14" x14ac:dyDescent="0.3">
      <c r="A1860" s="4" t="s">
        <v>8</v>
      </c>
      <c r="B1860" s="3">
        <v>45307.416666666664</v>
      </c>
      <c r="C1860" s="4">
        <v>598.74627419344802</v>
      </c>
      <c r="D1860" s="4">
        <v>580.35264355751099</v>
      </c>
      <c r="E1860" s="4">
        <v>580.35264355751099</v>
      </c>
      <c r="F1860" s="4">
        <v>63.894565663238403</v>
      </c>
      <c r="G1860" s="4" t="str">
        <f t="shared" si="58"/>
        <v>OK</v>
      </c>
      <c r="H1860" s="4" t="str">
        <f t="shared" si="59"/>
        <v>NON-ZERO</v>
      </c>
      <c r="I1860">
        <v>692.82032302754999</v>
      </c>
      <c r="J1860">
        <f>IFERROR(Table4[[#This Row],[energy_kwh]]/Table4[[#This Row],[expected_kwh]],0)</f>
        <v>0.83766688745710083</v>
      </c>
      <c r="K1860" t="str">
        <f>IF(Table4[[#This Row],[Performance_Ratio]] &lt; 0.85, "Underperforming", "Performing")</f>
        <v>Underperforming</v>
      </c>
      <c r="L1860">
        <f>Table4[[#This Row],[energy_kwh]] - Table4[[#This Row],[expected_kwh]]</f>
        <v>-112.467679470039</v>
      </c>
      <c r="M1860" t="str">
        <f>IF(Table4[[#This Row],[Performance_Deviation]] &lt; 0, "Underperforming", "Outperforming")</f>
        <v>Underperforming</v>
      </c>
      <c r="N1860">
        <f>IF(Table4[[#This Row],[Performance_Ratio]] &lt; 0.85, Table4[[#This Row],[Performance_Deviation]] * 50 / 1000, 0)</f>
        <v>-5.6233839735019497</v>
      </c>
    </row>
    <row r="1861" spans="1:14" x14ac:dyDescent="0.3">
      <c r="A1861" s="6" t="s">
        <v>8</v>
      </c>
      <c r="B1861" s="5">
        <v>45307.458333333336</v>
      </c>
      <c r="C1861" s="6">
        <v>688.663229677755</v>
      </c>
      <c r="D1861" s="6">
        <v>667.50732837998601</v>
      </c>
      <c r="E1861" s="6">
        <v>667.50732837998601</v>
      </c>
      <c r="F1861" s="6">
        <v>47.263584302695001</v>
      </c>
      <c r="G1861" s="6" t="str">
        <f t="shared" si="58"/>
        <v>OK</v>
      </c>
      <c r="H1861" s="6" t="str">
        <f t="shared" si="59"/>
        <v>NON-ZERO</v>
      </c>
      <c r="I1861">
        <v>772.74066103125404</v>
      </c>
      <c r="J1861">
        <f>IFERROR(Table4[[#This Row],[energy_kwh]]/Table4[[#This Row],[expected_kwh]],0)</f>
        <v>0.86381804665121431</v>
      </c>
      <c r="K1861" t="str">
        <f>IF(Table4[[#This Row],[Performance_Ratio]] &lt; 0.85, "Underperforming", "Performing")</f>
        <v>Performing</v>
      </c>
      <c r="L1861">
        <f>Table4[[#This Row],[energy_kwh]] - Table4[[#This Row],[expected_kwh]]</f>
        <v>-105.23333265126803</v>
      </c>
      <c r="M1861" t="str">
        <f>IF(Table4[[#This Row],[Performance_Deviation]] &lt; 0, "Underperforming", "Outperforming")</f>
        <v>Underperforming</v>
      </c>
      <c r="N1861">
        <f>IF(Table4[[#This Row],[Performance_Ratio]] &lt; 0.85, Table4[[#This Row],[Performance_Deviation]] * 50 / 1000, 0)</f>
        <v>0</v>
      </c>
    </row>
    <row r="1862" spans="1:14" x14ac:dyDescent="0.3">
      <c r="A1862" s="4" t="s">
        <v>8</v>
      </c>
      <c r="B1862" s="3">
        <v>45307.5</v>
      </c>
      <c r="C1862" s="4">
        <v>802.50088190648501</v>
      </c>
      <c r="D1862" s="4">
        <v>777.84786034624994</v>
      </c>
      <c r="E1862" s="4">
        <v>777.84786034624994</v>
      </c>
      <c r="F1862" s="4">
        <v>30.565145296314501</v>
      </c>
      <c r="G1862" s="4" t="str">
        <f t="shared" si="58"/>
        <v>OK</v>
      </c>
      <c r="H1862" s="4" t="str">
        <f t="shared" si="59"/>
        <v>NON-ZERO</v>
      </c>
      <c r="I1862">
        <v>800</v>
      </c>
      <c r="J1862">
        <f>IFERROR(Table4[[#This Row],[energy_kwh]]/Table4[[#This Row],[expected_kwh]],0)</f>
        <v>0.97230982543281241</v>
      </c>
      <c r="K1862" t="str">
        <f>IF(Table4[[#This Row],[Performance_Ratio]] &lt; 0.85, "Underperforming", "Performing")</f>
        <v>Performing</v>
      </c>
      <c r="L1862">
        <f>Table4[[#This Row],[energy_kwh]] - Table4[[#This Row],[expected_kwh]]</f>
        <v>-22.152139653750055</v>
      </c>
      <c r="M1862" t="str">
        <f>IF(Table4[[#This Row],[Performance_Deviation]] &lt; 0, "Underperforming", "Outperforming")</f>
        <v>Underperforming</v>
      </c>
      <c r="N1862">
        <f>IF(Table4[[#This Row],[Performance_Ratio]] &lt; 0.85, Table4[[#This Row],[Performance_Deviation]] * 50 / 1000, 0)</f>
        <v>0</v>
      </c>
    </row>
    <row r="1863" spans="1:14" x14ac:dyDescent="0.3">
      <c r="A1863" s="6" t="s">
        <v>8</v>
      </c>
      <c r="B1863" s="5">
        <v>45307.541666666664</v>
      </c>
      <c r="C1863" s="6">
        <v>748.52991199426197</v>
      </c>
      <c r="D1863" s="6">
        <v>725.53489170838395</v>
      </c>
      <c r="E1863" s="6">
        <v>725.53489170838395</v>
      </c>
      <c r="F1863" s="6">
        <v>89.893454944809093</v>
      </c>
      <c r="G1863" s="6" t="str">
        <f t="shared" si="58"/>
        <v>OK</v>
      </c>
      <c r="H1863" s="6" t="str">
        <f t="shared" si="59"/>
        <v>NON-ZERO</v>
      </c>
      <c r="I1863">
        <v>772.74066103125404</v>
      </c>
      <c r="J1863">
        <f>IFERROR(Table4[[#This Row],[energy_kwh]]/Table4[[#This Row],[expected_kwh]],0)</f>
        <v>0.93891123930262443</v>
      </c>
      <c r="K1863" t="str">
        <f>IF(Table4[[#This Row],[Performance_Ratio]] &lt; 0.85, "Underperforming", "Performing")</f>
        <v>Performing</v>
      </c>
      <c r="L1863">
        <f>Table4[[#This Row],[energy_kwh]] - Table4[[#This Row],[expected_kwh]]</f>
        <v>-47.205769322870083</v>
      </c>
      <c r="M1863" t="str">
        <f>IF(Table4[[#This Row],[Performance_Deviation]] &lt; 0, "Underperforming", "Outperforming")</f>
        <v>Underperforming</v>
      </c>
      <c r="N1863">
        <f>IF(Table4[[#This Row],[Performance_Ratio]] &lt; 0.85, Table4[[#This Row],[Performance_Deviation]] * 50 / 1000, 0)</f>
        <v>0</v>
      </c>
    </row>
    <row r="1864" spans="1:14" x14ac:dyDescent="0.3">
      <c r="A1864" s="4" t="s">
        <v>8</v>
      </c>
      <c r="B1864" s="3">
        <v>45307.583333333336</v>
      </c>
      <c r="C1864" s="4">
        <v>665.50401369492897</v>
      </c>
      <c r="D1864" s="4">
        <v>645.05956912426802</v>
      </c>
      <c r="E1864" s="4">
        <v>645.05956912426802</v>
      </c>
      <c r="F1864" s="4">
        <v>59.735679280253997</v>
      </c>
      <c r="G1864" s="4" t="str">
        <f t="shared" si="58"/>
        <v>OK</v>
      </c>
      <c r="H1864" s="4" t="str">
        <f t="shared" si="59"/>
        <v>NON-ZERO</v>
      </c>
      <c r="I1864">
        <v>692.82032302755101</v>
      </c>
      <c r="J1864">
        <f>IFERROR(Table4[[#This Row],[energy_kwh]]/Table4[[#This Row],[expected_kwh]],0)</f>
        <v>0.93106328969310026</v>
      </c>
      <c r="K1864" t="str">
        <f>IF(Table4[[#This Row],[Performance_Ratio]] &lt; 0.85, "Underperforming", "Performing")</f>
        <v>Performing</v>
      </c>
      <c r="L1864">
        <f>Table4[[#This Row],[energy_kwh]] - Table4[[#This Row],[expected_kwh]]</f>
        <v>-47.760753903282989</v>
      </c>
      <c r="M1864" t="str">
        <f>IF(Table4[[#This Row],[Performance_Deviation]] &lt; 0, "Underperforming", "Outperforming")</f>
        <v>Underperforming</v>
      </c>
      <c r="N1864">
        <f>IF(Table4[[#This Row],[Performance_Ratio]] &lt; 0.85, Table4[[#This Row],[Performance_Deviation]] * 50 / 1000, 0)</f>
        <v>0</v>
      </c>
    </row>
    <row r="1865" spans="1:14" x14ac:dyDescent="0.3">
      <c r="A1865" s="6" t="s">
        <v>8</v>
      </c>
      <c r="B1865" s="5">
        <v>45307.625</v>
      </c>
      <c r="C1865" s="6">
        <v>512.04582444451898</v>
      </c>
      <c r="D1865" s="6">
        <v>496.315652634777</v>
      </c>
      <c r="E1865" s="6">
        <v>496.315652634777</v>
      </c>
      <c r="F1865" s="6">
        <v>31.273296686297599</v>
      </c>
      <c r="G1865" s="6" t="str">
        <f t="shared" si="58"/>
        <v>OK</v>
      </c>
      <c r="H1865" s="6" t="str">
        <f t="shared" si="59"/>
        <v>NON-ZERO</v>
      </c>
      <c r="I1865">
        <v>565.68542494923804</v>
      </c>
      <c r="J1865">
        <f>IFERROR(Table4[[#This Row],[energy_kwh]]/Table4[[#This Row],[expected_kwh]],0)</f>
        <v>0.87737040896769447</v>
      </c>
      <c r="K1865" t="str">
        <f>IF(Table4[[#This Row],[Performance_Ratio]] &lt; 0.85, "Underperforming", "Performing")</f>
        <v>Performing</v>
      </c>
      <c r="L1865">
        <f>Table4[[#This Row],[energy_kwh]] - Table4[[#This Row],[expected_kwh]]</f>
        <v>-69.369772314461045</v>
      </c>
      <c r="M1865" t="str">
        <f>IF(Table4[[#This Row],[Performance_Deviation]] &lt; 0, "Underperforming", "Outperforming")</f>
        <v>Underperforming</v>
      </c>
      <c r="N1865">
        <f>IF(Table4[[#This Row],[Performance_Ratio]] &lt; 0.85, Table4[[#This Row],[Performance_Deviation]] * 50 / 1000, 0)</f>
        <v>0</v>
      </c>
    </row>
    <row r="1866" spans="1:14" x14ac:dyDescent="0.3">
      <c r="A1866" s="4" t="s">
        <v>8</v>
      </c>
      <c r="B1866" s="3">
        <v>45307.666666666664</v>
      </c>
      <c r="C1866" s="4">
        <v>358.31507397011899</v>
      </c>
      <c r="D1866" s="4">
        <v>347.30754806814502</v>
      </c>
      <c r="E1866" s="4">
        <v>347.30754806814502</v>
      </c>
      <c r="F1866" s="4">
        <v>22.322795256688199</v>
      </c>
      <c r="G1866" s="4" t="str">
        <f t="shared" si="58"/>
        <v>OK</v>
      </c>
      <c r="H1866" s="4" t="str">
        <f t="shared" si="59"/>
        <v>NON-ZERO</v>
      </c>
      <c r="I1866">
        <v>399.99999999999898</v>
      </c>
      <c r="J1866">
        <f>IFERROR(Table4[[#This Row],[energy_kwh]]/Table4[[#This Row],[expected_kwh]],0)</f>
        <v>0.8682688701703648</v>
      </c>
      <c r="K1866" t="str">
        <f>IF(Table4[[#This Row],[Performance_Ratio]] &lt; 0.85, "Underperforming", "Performing")</f>
        <v>Performing</v>
      </c>
      <c r="L1866">
        <f>Table4[[#This Row],[energy_kwh]] - Table4[[#This Row],[expected_kwh]]</f>
        <v>-52.692451931853952</v>
      </c>
      <c r="M1866" t="str">
        <f>IF(Table4[[#This Row],[Performance_Deviation]] &lt; 0, "Underperforming", "Outperforming")</f>
        <v>Underperforming</v>
      </c>
      <c r="N1866">
        <f>IF(Table4[[#This Row],[Performance_Ratio]] &lt; 0.85, Table4[[#This Row],[Performance_Deviation]] * 50 / 1000, 0)</f>
        <v>0</v>
      </c>
    </row>
    <row r="1867" spans="1:14" x14ac:dyDescent="0.3">
      <c r="A1867" s="6" t="s">
        <v>8</v>
      </c>
      <c r="B1867" s="5">
        <v>45307.708333333336</v>
      </c>
      <c r="C1867" s="6">
        <v>191.10342843868301</v>
      </c>
      <c r="D1867" s="6">
        <v>185.232684807423</v>
      </c>
      <c r="E1867" s="6">
        <v>185.232684807423</v>
      </c>
      <c r="F1867" s="6">
        <v>51.525154189662402</v>
      </c>
      <c r="G1867" s="6" t="str">
        <f t="shared" si="58"/>
        <v>OK</v>
      </c>
      <c r="H1867" s="6" t="str">
        <f t="shared" si="59"/>
        <v>NON-ZERO</v>
      </c>
      <c r="I1867">
        <v>207.05523608201599</v>
      </c>
      <c r="J1867">
        <f>IFERROR(Table4[[#This Row],[energy_kwh]]/Table4[[#This Row],[expected_kwh]],0)</f>
        <v>0.8946051706417657</v>
      </c>
      <c r="K1867" t="str">
        <f>IF(Table4[[#This Row],[Performance_Ratio]] &lt; 0.85, "Underperforming", "Performing")</f>
        <v>Performing</v>
      </c>
      <c r="L1867">
        <f>Table4[[#This Row],[energy_kwh]] - Table4[[#This Row],[expected_kwh]]</f>
        <v>-21.822551274592996</v>
      </c>
      <c r="M1867" t="str">
        <f>IF(Table4[[#This Row],[Performance_Deviation]] &lt; 0, "Underperforming", "Outperforming")</f>
        <v>Underperforming</v>
      </c>
      <c r="N1867">
        <f>IF(Table4[[#This Row],[Performance_Ratio]] &lt; 0.85, Table4[[#This Row],[Performance_Deviation]] * 50 / 1000, 0)</f>
        <v>0</v>
      </c>
    </row>
    <row r="1868" spans="1:14" x14ac:dyDescent="0.3">
      <c r="A1868" s="4" t="s">
        <v>8</v>
      </c>
      <c r="B1868" s="3">
        <v>45307.75</v>
      </c>
      <c r="C1868" s="7">
        <v>8.5943324205153103E-14</v>
      </c>
      <c r="D1868" s="7">
        <v>8.3303124459136095E-14</v>
      </c>
      <c r="E1868" s="7">
        <v>8.3303124459136095E-14</v>
      </c>
      <c r="F1868" s="4">
        <v>31.531198407718801</v>
      </c>
      <c r="G1868" s="4" t="str">
        <f t="shared" si="58"/>
        <v>OK</v>
      </c>
      <c r="H1868" s="4" t="str">
        <f t="shared" si="59"/>
        <v>NON-ZERO</v>
      </c>
      <c r="I1868" s="2">
        <v>9.7971743931788194E-14</v>
      </c>
      <c r="J1868">
        <f>IFERROR(Table4[[#This Row],[energy_kwh]]/Table4[[#This Row],[expected_kwh]],0)</f>
        <v>0.85027704025698503</v>
      </c>
      <c r="K1868" t="str">
        <f>IF(Table4[[#This Row],[Performance_Ratio]] &lt; 0.85, "Underperforming", "Performing")</f>
        <v>Performing</v>
      </c>
      <c r="L1868">
        <f>Table4[[#This Row],[energy_kwh]] - Table4[[#This Row],[expected_kwh]]</f>
        <v>-1.46686194726521E-14</v>
      </c>
      <c r="M1868" t="str">
        <f>IF(Table4[[#This Row],[Performance_Deviation]] &lt; 0, "Underperforming", "Outperforming")</f>
        <v>Underperforming</v>
      </c>
      <c r="N1868">
        <f>IF(Table4[[#This Row],[Performance_Ratio]] &lt; 0.85, Table4[[#This Row],[Performance_Deviation]] * 50 / 1000, 0)</f>
        <v>0</v>
      </c>
    </row>
    <row r="1869" spans="1:14" x14ac:dyDescent="0.3">
      <c r="A1869" s="6" t="s">
        <v>8</v>
      </c>
      <c r="B1869" s="5">
        <v>45307.791666666664</v>
      </c>
      <c r="C1869" s="6">
        <v>0</v>
      </c>
      <c r="D1869" s="6">
        <v>0</v>
      </c>
      <c r="E1869" s="6">
        <v>0</v>
      </c>
      <c r="F1869" s="6">
        <v>74.877895454236295</v>
      </c>
      <c r="G1869" s="6" t="str">
        <f t="shared" si="58"/>
        <v>OK</v>
      </c>
      <c r="H1869" s="6" t="str">
        <f t="shared" si="59"/>
        <v>ZERO</v>
      </c>
      <c r="I1869">
        <v>0</v>
      </c>
      <c r="J1869">
        <f>IFERROR(Table4[[#This Row],[energy_kwh]]/Table4[[#This Row],[expected_kwh]],0)</f>
        <v>0</v>
      </c>
      <c r="K1869" t="str">
        <f>IF(Table4[[#This Row],[Performance_Ratio]] &lt; 0.85, "Underperforming", "Performing")</f>
        <v>Underperforming</v>
      </c>
      <c r="L1869">
        <f>Table4[[#This Row],[energy_kwh]] - Table4[[#This Row],[expected_kwh]]</f>
        <v>0</v>
      </c>
      <c r="M1869" t="str">
        <f>IF(Table4[[#This Row],[Performance_Deviation]] &lt; 0, "Underperforming", "Outperforming")</f>
        <v>Outperforming</v>
      </c>
      <c r="N1869">
        <f>IF(Table4[[#This Row],[Performance_Ratio]] &lt; 0.85, Table4[[#This Row],[Performance_Deviation]] * 50 / 1000, 0)</f>
        <v>0</v>
      </c>
    </row>
    <row r="1870" spans="1:14" x14ac:dyDescent="0.3">
      <c r="A1870" s="4" t="s">
        <v>8</v>
      </c>
      <c r="B1870" s="3">
        <v>45307.833333333336</v>
      </c>
      <c r="C1870" s="4">
        <v>0</v>
      </c>
      <c r="D1870" s="4">
        <v>0</v>
      </c>
      <c r="E1870" s="4">
        <v>0</v>
      </c>
      <c r="F1870" s="4">
        <v>36.479206258279703</v>
      </c>
      <c r="G1870" s="4" t="str">
        <f t="shared" si="58"/>
        <v>OK</v>
      </c>
      <c r="H1870" s="4" t="str">
        <f t="shared" si="59"/>
        <v>ZERO</v>
      </c>
      <c r="I1870">
        <v>0</v>
      </c>
      <c r="J1870">
        <f>IFERROR(Table4[[#This Row],[energy_kwh]]/Table4[[#This Row],[expected_kwh]],0)</f>
        <v>0</v>
      </c>
      <c r="K1870" t="str">
        <f>IF(Table4[[#This Row],[Performance_Ratio]] &lt; 0.85, "Underperforming", "Performing")</f>
        <v>Underperforming</v>
      </c>
      <c r="L1870">
        <f>Table4[[#This Row],[energy_kwh]] - Table4[[#This Row],[expected_kwh]]</f>
        <v>0</v>
      </c>
      <c r="M1870" t="str">
        <f>IF(Table4[[#This Row],[Performance_Deviation]] &lt; 0, "Underperforming", "Outperforming")</f>
        <v>Outperforming</v>
      </c>
      <c r="N1870">
        <f>IF(Table4[[#This Row],[Performance_Ratio]] &lt; 0.85, Table4[[#This Row],[Performance_Deviation]] * 50 / 1000, 0)</f>
        <v>0</v>
      </c>
    </row>
    <row r="1871" spans="1:14" x14ac:dyDescent="0.3">
      <c r="A1871" s="6" t="s">
        <v>8</v>
      </c>
      <c r="B1871" s="5">
        <v>45307.875</v>
      </c>
      <c r="C1871" s="6">
        <v>0</v>
      </c>
      <c r="D1871" s="6">
        <v>0</v>
      </c>
      <c r="E1871" s="6">
        <v>0</v>
      </c>
      <c r="F1871" s="6">
        <v>78.796438857338003</v>
      </c>
      <c r="G1871" s="6" t="str">
        <f t="shared" si="58"/>
        <v>OK</v>
      </c>
      <c r="H1871" s="6" t="str">
        <f t="shared" si="59"/>
        <v>ZERO</v>
      </c>
      <c r="I1871">
        <v>0</v>
      </c>
      <c r="J1871">
        <f>IFERROR(Table4[[#This Row],[energy_kwh]]/Table4[[#This Row],[expected_kwh]],0)</f>
        <v>0</v>
      </c>
      <c r="K1871" t="str">
        <f>IF(Table4[[#This Row],[Performance_Ratio]] &lt; 0.85, "Underperforming", "Performing")</f>
        <v>Underperforming</v>
      </c>
      <c r="L1871">
        <f>Table4[[#This Row],[energy_kwh]] - Table4[[#This Row],[expected_kwh]]</f>
        <v>0</v>
      </c>
      <c r="M1871" t="str">
        <f>IF(Table4[[#This Row],[Performance_Deviation]] &lt; 0, "Underperforming", "Outperforming")</f>
        <v>Outperforming</v>
      </c>
      <c r="N1871">
        <f>IF(Table4[[#This Row],[Performance_Ratio]] &lt; 0.85, Table4[[#This Row],[Performance_Deviation]] * 50 / 1000, 0)</f>
        <v>0</v>
      </c>
    </row>
    <row r="1872" spans="1:14" x14ac:dyDescent="0.3">
      <c r="A1872" s="4" t="s">
        <v>8</v>
      </c>
      <c r="B1872" s="3">
        <v>45307.916666666664</v>
      </c>
      <c r="C1872" s="4">
        <v>0</v>
      </c>
      <c r="D1872" s="4">
        <v>0</v>
      </c>
      <c r="E1872" s="4">
        <v>0</v>
      </c>
      <c r="F1872" s="4">
        <v>37.1319389231315</v>
      </c>
      <c r="G1872" s="4" t="str">
        <f t="shared" si="58"/>
        <v>OK</v>
      </c>
      <c r="H1872" s="4" t="str">
        <f t="shared" si="59"/>
        <v>ZERO</v>
      </c>
      <c r="I1872">
        <v>0</v>
      </c>
      <c r="J1872">
        <f>IFERROR(Table4[[#This Row],[energy_kwh]]/Table4[[#This Row],[expected_kwh]],0)</f>
        <v>0</v>
      </c>
      <c r="K1872" t="str">
        <f>IF(Table4[[#This Row],[Performance_Ratio]] &lt; 0.85, "Underperforming", "Performing")</f>
        <v>Underperforming</v>
      </c>
      <c r="L1872">
        <f>Table4[[#This Row],[energy_kwh]] - Table4[[#This Row],[expected_kwh]]</f>
        <v>0</v>
      </c>
      <c r="M1872" t="str">
        <f>IF(Table4[[#This Row],[Performance_Deviation]] &lt; 0, "Underperforming", "Outperforming")</f>
        <v>Outperforming</v>
      </c>
      <c r="N1872">
        <f>IF(Table4[[#This Row],[Performance_Ratio]] &lt; 0.85, Table4[[#This Row],[Performance_Deviation]] * 50 / 1000, 0)</f>
        <v>0</v>
      </c>
    </row>
    <row r="1873" spans="1:14" x14ac:dyDescent="0.3">
      <c r="A1873" s="6" t="s">
        <v>8</v>
      </c>
      <c r="B1873" s="5">
        <v>45307.958333333336</v>
      </c>
      <c r="C1873" s="6">
        <v>0</v>
      </c>
      <c r="D1873" s="6">
        <v>0</v>
      </c>
      <c r="E1873" s="6">
        <v>0</v>
      </c>
      <c r="F1873" s="6">
        <v>28.7603080800464</v>
      </c>
      <c r="G1873" s="6" t="str">
        <f t="shared" si="58"/>
        <v>OK</v>
      </c>
      <c r="H1873" s="6" t="str">
        <f t="shared" si="59"/>
        <v>ZERO</v>
      </c>
      <c r="I1873">
        <v>0</v>
      </c>
      <c r="J1873">
        <f>IFERROR(Table4[[#This Row],[energy_kwh]]/Table4[[#This Row],[expected_kwh]],0)</f>
        <v>0</v>
      </c>
      <c r="K1873" t="str">
        <f>IF(Table4[[#This Row],[Performance_Ratio]] &lt; 0.85, "Underperforming", "Performing")</f>
        <v>Underperforming</v>
      </c>
      <c r="L1873">
        <f>Table4[[#This Row],[energy_kwh]] - Table4[[#This Row],[expected_kwh]]</f>
        <v>0</v>
      </c>
      <c r="M1873" t="str">
        <f>IF(Table4[[#This Row],[Performance_Deviation]] &lt; 0, "Underperforming", "Outperforming")</f>
        <v>Outperforming</v>
      </c>
      <c r="N1873">
        <f>IF(Table4[[#This Row],[Performance_Ratio]] &lt; 0.85, Table4[[#This Row],[Performance_Deviation]] * 50 / 1000, 0)</f>
        <v>0</v>
      </c>
    </row>
    <row r="1874" spans="1:14" x14ac:dyDescent="0.3">
      <c r="A1874" s="4" t="s">
        <v>8</v>
      </c>
      <c r="B1874" s="3">
        <v>45308</v>
      </c>
      <c r="C1874" s="4">
        <v>0</v>
      </c>
      <c r="D1874" s="4">
        <v>0</v>
      </c>
      <c r="E1874" s="4">
        <v>0</v>
      </c>
      <c r="F1874" s="4">
        <v>27.836023756546801</v>
      </c>
      <c r="G1874" s="4" t="str">
        <f t="shared" si="58"/>
        <v>OK</v>
      </c>
      <c r="H1874" s="4" t="str">
        <f t="shared" si="59"/>
        <v>ZERO</v>
      </c>
      <c r="I1874">
        <v>0</v>
      </c>
      <c r="J1874">
        <f>IFERROR(Table4[[#This Row],[energy_kwh]]/Table4[[#This Row],[expected_kwh]],0)</f>
        <v>0</v>
      </c>
      <c r="K1874" t="str">
        <f>IF(Table4[[#This Row],[Performance_Ratio]] &lt; 0.85, "Underperforming", "Performing")</f>
        <v>Underperforming</v>
      </c>
      <c r="L1874">
        <f>Table4[[#This Row],[energy_kwh]] - Table4[[#This Row],[expected_kwh]]</f>
        <v>0</v>
      </c>
      <c r="M1874" t="str">
        <f>IF(Table4[[#This Row],[Performance_Deviation]] &lt; 0, "Underperforming", "Outperforming")</f>
        <v>Outperforming</v>
      </c>
      <c r="N1874">
        <f>IF(Table4[[#This Row],[Performance_Ratio]] &lt; 0.85, Table4[[#This Row],[Performance_Deviation]] * 50 / 1000, 0)</f>
        <v>0</v>
      </c>
    </row>
    <row r="1875" spans="1:14" x14ac:dyDescent="0.3">
      <c r="A1875" s="6" t="s">
        <v>8</v>
      </c>
      <c r="B1875" s="5">
        <v>45308.041666666664</v>
      </c>
      <c r="C1875" s="6">
        <v>0</v>
      </c>
      <c r="D1875" s="6">
        <v>0</v>
      </c>
      <c r="E1875" s="6">
        <v>0</v>
      </c>
      <c r="F1875" s="6">
        <v>27.181564899751798</v>
      </c>
      <c r="G1875" s="6" t="str">
        <f t="shared" si="58"/>
        <v>OK</v>
      </c>
      <c r="H1875" s="6" t="str">
        <f t="shared" si="59"/>
        <v>ZERO</v>
      </c>
      <c r="I1875">
        <v>0</v>
      </c>
      <c r="J1875">
        <f>IFERROR(Table4[[#This Row],[energy_kwh]]/Table4[[#This Row],[expected_kwh]],0)</f>
        <v>0</v>
      </c>
      <c r="K1875" t="str">
        <f>IF(Table4[[#This Row],[Performance_Ratio]] &lt; 0.85, "Underperforming", "Performing")</f>
        <v>Underperforming</v>
      </c>
      <c r="L1875">
        <f>Table4[[#This Row],[energy_kwh]] - Table4[[#This Row],[expected_kwh]]</f>
        <v>0</v>
      </c>
      <c r="M1875" t="str">
        <f>IF(Table4[[#This Row],[Performance_Deviation]] &lt; 0, "Underperforming", "Outperforming")</f>
        <v>Outperforming</v>
      </c>
      <c r="N1875">
        <f>IF(Table4[[#This Row],[Performance_Ratio]] &lt; 0.85, Table4[[#This Row],[Performance_Deviation]] * 50 / 1000, 0)</f>
        <v>0</v>
      </c>
    </row>
    <row r="1876" spans="1:14" x14ac:dyDescent="0.3">
      <c r="A1876" s="4" t="s">
        <v>8</v>
      </c>
      <c r="B1876" s="3">
        <v>45308.083333333336</v>
      </c>
      <c r="C1876" s="4">
        <v>0</v>
      </c>
      <c r="D1876" s="4">
        <v>0</v>
      </c>
      <c r="E1876" s="4">
        <v>0</v>
      </c>
      <c r="F1876" s="4">
        <v>39.302409380122498</v>
      </c>
      <c r="G1876" s="4" t="str">
        <f t="shared" si="58"/>
        <v>OK</v>
      </c>
      <c r="H1876" s="4" t="str">
        <f t="shared" si="59"/>
        <v>ZERO</v>
      </c>
      <c r="I1876">
        <v>0</v>
      </c>
      <c r="J1876">
        <f>IFERROR(Table4[[#This Row],[energy_kwh]]/Table4[[#This Row],[expected_kwh]],0)</f>
        <v>0</v>
      </c>
      <c r="K1876" t="str">
        <f>IF(Table4[[#This Row],[Performance_Ratio]] &lt; 0.85, "Underperforming", "Performing")</f>
        <v>Underperforming</v>
      </c>
      <c r="L1876">
        <f>Table4[[#This Row],[energy_kwh]] - Table4[[#This Row],[expected_kwh]]</f>
        <v>0</v>
      </c>
      <c r="M1876" t="str">
        <f>IF(Table4[[#This Row],[Performance_Deviation]] &lt; 0, "Underperforming", "Outperforming")</f>
        <v>Outperforming</v>
      </c>
      <c r="N1876">
        <f>IF(Table4[[#This Row],[Performance_Ratio]] &lt; 0.85, Table4[[#This Row],[Performance_Deviation]] * 50 / 1000, 0)</f>
        <v>0</v>
      </c>
    </row>
    <row r="1877" spans="1:14" x14ac:dyDescent="0.3">
      <c r="A1877" s="6" t="s">
        <v>8</v>
      </c>
      <c r="B1877" s="5">
        <v>45308.125</v>
      </c>
      <c r="C1877" s="6">
        <v>0</v>
      </c>
      <c r="D1877" s="6">
        <v>0</v>
      </c>
      <c r="E1877" s="6">
        <v>0</v>
      </c>
      <c r="F1877" s="6">
        <v>82.955602820695304</v>
      </c>
      <c r="G1877" s="6" t="str">
        <f t="shared" si="58"/>
        <v>OK</v>
      </c>
      <c r="H1877" s="6" t="str">
        <f t="shared" si="59"/>
        <v>ZERO</v>
      </c>
      <c r="I1877">
        <v>0</v>
      </c>
      <c r="J1877">
        <f>IFERROR(Table4[[#This Row],[energy_kwh]]/Table4[[#This Row],[expected_kwh]],0)</f>
        <v>0</v>
      </c>
      <c r="K1877" t="str">
        <f>IF(Table4[[#This Row],[Performance_Ratio]] &lt; 0.85, "Underperforming", "Performing")</f>
        <v>Underperforming</v>
      </c>
      <c r="L1877">
        <f>Table4[[#This Row],[energy_kwh]] - Table4[[#This Row],[expected_kwh]]</f>
        <v>0</v>
      </c>
      <c r="M1877" t="str">
        <f>IF(Table4[[#This Row],[Performance_Deviation]] &lt; 0, "Underperforming", "Outperforming")</f>
        <v>Outperforming</v>
      </c>
      <c r="N1877">
        <f>IF(Table4[[#This Row],[Performance_Ratio]] &lt; 0.85, Table4[[#This Row],[Performance_Deviation]] * 50 / 1000, 0)</f>
        <v>0</v>
      </c>
    </row>
    <row r="1878" spans="1:14" x14ac:dyDescent="0.3">
      <c r="A1878" s="4" t="s">
        <v>8</v>
      </c>
      <c r="B1878" s="3">
        <v>45308.166666666664</v>
      </c>
      <c r="C1878" s="4">
        <v>0</v>
      </c>
      <c r="D1878" s="4">
        <v>0</v>
      </c>
      <c r="E1878" s="4">
        <v>0</v>
      </c>
      <c r="F1878" s="4">
        <v>77.918020691995693</v>
      </c>
      <c r="G1878" s="4" t="str">
        <f t="shared" si="58"/>
        <v>OK</v>
      </c>
      <c r="H1878" s="4" t="str">
        <f t="shared" si="59"/>
        <v>ZERO</v>
      </c>
      <c r="I1878">
        <v>0</v>
      </c>
      <c r="J1878">
        <f>IFERROR(Table4[[#This Row],[energy_kwh]]/Table4[[#This Row],[expected_kwh]],0)</f>
        <v>0</v>
      </c>
      <c r="K1878" t="str">
        <f>IF(Table4[[#This Row],[Performance_Ratio]] &lt; 0.85, "Underperforming", "Performing")</f>
        <v>Underperforming</v>
      </c>
      <c r="L1878">
        <f>Table4[[#This Row],[energy_kwh]] - Table4[[#This Row],[expected_kwh]]</f>
        <v>0</v>
      </c>
      <c r="M1878" t="str">
        <f>IF(Table4[[#This Row],[Performance_Deviation]] &lt; 0, "Underperforming", "Outperforming")</f>
        <v>Outperforming</v>
      </c>
      <c r="N1878">
        <f>IF(Table4[[#This Row],[Performance_Ratio]] &lt; 0.85, Table4[[#This Row],[Performance_Deviation]] * 50 / 1000, 0)</f>
        <v>0</v>
      </c>
    </row>
    <row r="1879" spans="1:14" x14ac:dyDescent="0.3">
      <c r="A1879" s="6" t="s">
        <v>8</v>
      </c>
      <c r="B1879" s="5">
        <v>45308.208333333336</v>
      </c>
      <c r="C1879" s="6">
        <v>0</v>
      </c>
      <c r="D1879" s="6">
        <v>0</v>
      </c>
      <c r="E1879" s="6">
        <v>0</v>
      </c>
      <c r="F1879" s="6">
        <v>54.224444286679798</v>
      </c>
      <c r="G1879" s="6" t="str">
        <f t="shared" si="58"/>
        <v>OK</v>
      </c>
      <c r="H1879" s="6" t="str">
        <f t="shared" si="59"/>
        <v>ZERO</v>
      </c>
      <c r="I1879">
        <v>0</v>
      </c>
      <c r="J1879">
        <f>IFERROR(Table4[[#This Row],[energy_kwh]]/Table4[[#This Row],[expected_kwh]],0)</f>
        <v>0</v>
      </c>
      <c r="K1879" t="str">
        <f>IF(Table4[[#This Row],[Performance_Ratio]] &lt; 0.85, "Underperforming", "Performing")</f>
        <v>Underperforming</v>
      </c>
      <c r="L1879">
        <f>Table4[[#This Row],[energy_kwh]] - Table4[[#This Row],[expected_kwh]]</f>
        <v>0</v>
      </c>
      <c r="M1879" t="str">
        <f>IF(Table4[[#This Row],[Performance_Deviation]] &lt; 0, "Underperforming", "Outperforming")</f>
        <v>Outperforming</v>
      </c>
      <c r="N1879">
        <f>IF(Table4[[#This Row],[Performance_Ratio]] &lt; 0.85, Table4[[#This Row],[Performance_Deviation]] * 50 / 1000, 0)</f>
        <v>0</v>
      </c>
    </row>
    <row r="1880" spans="1:14" x14ac:dyDescent="0.3">
      <c r="A1880" s="4" t="s">
        <v>8</v>
      </c>
      <c r="B1880" s="3">
        <v>45308.25</v>
      </c>
      <c r="C1880" s="4">
        <v>0</v>
      </c>
      <c r="D1880" s="4">
        <v>0</v>
      </c>
      <c r="E1880" s="4">
        <v>0</v>
      </c>
      <c r="F1880" s="4">
        <v>50.7878616011267</v>
      </c>
      <c r="G1880" s="4" t="str">
        <f t="shared" si="58"/>
        <v>OK</v>
      </c>
      <c r="H1880" s="4" t="str">
        <f t="shared" si="59"/>
        <v>ZERO</v>
      </c>
      <c r="I1880">
        <v>0</v>
      </c>
      <c r="J1880">
        <f>IFERROR(Table4[[#This Row],[energy_kwh]]/Table4[[#This Row],[expected_kwh]],0)</f>
        <v>0</v>
      </c>
      <c r="K1880" t="str">
        <f>IF(Table4[[#This Row],[Performance_Ratio]] &lt; 0.85, "Underperforming", "Performing")</f>
        <v>Underperforming</v>
      </c>
      <c r="L1880">
        <f>Table4[[#This Row],[energy_kwh]] - Table4[[#This Row],[expected_kwh]]</f>
        <v>0</v>
      </c>
      <c r="M1880" t="str">
        <f>IF(Table4[[#This Row],[Performance_Deviation]] &lt; 0, "Underperforming", "Outperforming")</f>
        <v>Outperforming</v>
      </c>
      <c r="N1880">
        <f>IF(Table4[[#This Row],[Performance_Ratio]] &lt; 0.85, Table4[[#This Row],[Performance_Deviation]] * 50 / 1000, 0)</f>
        <v>0</v>
      </c>
    </row>
    <row r="1881" spans="1:14" x14ac:dyDescent="0.3">
      <c r="A1881" s="6" t="s">
        <v>8</v>
      </c>
      <c r="B1881" s="5">
        <v>45308.291666666664</v>
      </c>
      <c r="C1881" s="6">
        <v>210.844321570928</v>
      </c>
      <c r="D1881" s="6">
        <v>204.36713291888299</v>
      </c>
      <c r="E1881" s="6">
        <v>204.36713291888299</v>
      </c>
      <c r="F1881" s="6">
        <v>81.966303183141505</v>
      </c>
      <c r="G1881" s="6" t="str">
        <f t="shared" si="58"/>
        <v>OK</v>
      </c>
      <c r="H1881" s="6" t="str">
        <f t="shared" si="59"/>
        <v>NON-ZERO</v>
      </c>
      <c r="I1881">
        <v>207.05523608201599</v>
      </c>
      <c r="J1881">
        <f>IFERROR(Table4[[#This Row],[energy_kwh]]/Table4[[#This Row],[expected_kwh]],0)</f>
        <v>0.98701745865500246</v>
      </c>
      <c r="K1881" t="str">
        <f>IF(Table4[[#This Row],[Performance_Ratio]] &lt; 0.85, "Underperforming", "Performing")</f>
        <v>Performing</v>
      </c>
      <c r="L1881">
        <f>Table4[[#This Row],[energy_kwh]] - Table4[[#This Row],[expected_kwh]]</f>
        <v>-2.6881031631330075</v>
      </c>
      <c r="M1881" t="str">
        <f>IF(Table4[[#This Row],[Performance_Deviation]] &lt; 0, "Underperforming", "Outperforming")</f>
        <v>Underperforming</v>
      </c>
      <c r="N1881">
        <f>IF(Table4[[#This Row],[Performance_Ratio]] &lt; 0.85, Table4[[#This Row],[Performance_Deviation]] * 50 / 1000, 0)</f>
        <v>0</v>
      </c>
    </row>
    <row r="1882" spans="1:14" x14ac:dyDescent="0.3">
      <c r="A1882" s="4" t="s">
        <v>8</v>
      </c>
      <c r="B1882" s="3">
        <v>45308.333333333336</v>
      </c>
      <c r="C1882" s="4">
        <v>383.887298316098</v>
      </c>
      <c r="D1882" s="4">
        <v>372.094187485362</v>
      </c>
      <c r="E1882" s="4">
        <v>372.094187485362</v>
      </c>
      <c r="F1882" s="4">
        <v>68.165722775202298</v>
      </c>
      <c r="G1882" s="4" t="str">
        <f t="shared" si="58"/>
        <v>OK</v>
      </c>
      <c r="H1882" s="4" t="str">
        <f t="shared" si="59"/>
        <v>NON-ZERO</v>
      </c>
      <c r="I1882">
        <v>399.99999999999898</v>
      </c>
      <c r="J1882">
        <f>IFERROR(Table4[[#This Row],[energy_kwh]]/Table4[[#This Row],[expected_kwh]],0)</f>
        <v>0.93023546871340734</v>
      </c>
      <c r="K1882" t="str">
        <f>IF(Table4[[#This Row],[Performance_Ratio]] &lt; 0.85, "Underperforming", "Performing")</f>
        <v>Performing</v>
      </c>
      <c r="L1882">
        <f>Table4[[#This Row],[energy_kwh]] - Table4[[#This Row],[expected_kwh]]</f>
        <v>-27.905812514636978</v>
      </c>
      <c r="M1882" t="str">
        <f>IF(Table4[[#This Row],[Performance_Deviation]] &lt; 0, "Underperforming", "Outperforming")</f>
        <v>Underperforming</v>
      </c>
      <c r="N1882">
        <f>IF(Table4[[#This Row],[Performance_Ratio]] &lt; 0.85, Table4[[#This Row],[Performance_Deviation]] * 50 / 1000, 0)</f>
        <v>0</v>
      </c>
    </row>
    <row r="1883" spans="1:14" x14ac:dyDescent="0.3">
      <c r="A1883" s="6" t="s">
        <v>8</v>
      </c>
      <c r="B1883" s="5">
        <v>45308.375</v>
      </c>
      <c r="C1883" s="6">
        <v>476.12636360341099</v>
      </c>
      <c r="D1883" s="6">
        <v>461.499646334982</v>
      </c>
      <c r="E1883" s="6">
        <v>461.499646334982</v>
      </c>
      <c r="F1883" s="6">
        <v>79.578816881964201</v>
      </c>
      <c r="G1883" s="6" t="str">
        <f t="shared" si="58"/>
        <v>OK</v>
      </c>
      <c r="H1883" s="6" t="str">
        <f t="shared" si="59"/>
        <v>NON-ZERO</v>
      </c>
      <c r="I1883">
        <v>565.68542494923804</v>
      </c>
      <c r="J1883">
        <f>IFERROR(Table4[[#This Row],[energy_kwh]]/Table4[[#This Row],[expected_kwh]],0)</f>
        <v>0.81582382359664796</v>
      </c>
      <c r="K1883" t="str">
        <f>IF(Table4[[#This Row],[Performance_Ratio]] &lt; 0.85, "Underperforming", "Performing")</f>
        <v>Underperforming</v>
      </c>
      <c r="L1883">
        <f>Table4[[#This Row],[energy_kwh]] - Table4[[#This Row],[expected_kwh]]</f>
        <v>-104.18577861425604</v>
      </c>
      <c r="M1883" t="str">
        <f>IF(Table4[[#This Row],[Performance_Deviation]] &lt; 0, "Underperforming", "Outperforming")</f>
        <v>Underperforming</v>
      </c>
      <c r="N1883">
        <f>IF(Table4[[#This Row],[Performance_Ratio]] &lt; 0.85, Table4[[#This Row],[Performance_Deviation]] * 50 / 1000, 0)</f>
        <v>-5.2092889307128019</v>
      </c>
    </row>
    <row r="1884" spans="1:14" x14ac:dyDescent="0.3">
      <c r="A1884" s="4" t="s">
        <v>8</v>
      </c>
      <c r="B1884" s="3">
        <v>45308.416666666664</v>
      </c>
      <c r="C1884" s="4">
        <v>644.60368804773202</v>
      </c>
      <c r="D1884" s="4">
        <v>624.80130654567699</v>
      </c>
      <c r="E1884" s="4">
        <v>624.80130654567699</v>
      </c>
      <c r="F1884" s="4">
        <v>92.978401213561995</v>
      </c>
      <c r="G1884" s="4" t="str">
        <f t="shared" si="58"/>
        <v>OK</v>
      </c>
      <c r="H1884" s="4" t="str">
        <f t="shared" si="59"/>
        <v>NON-ZERO</v>
      </c>
      <c r="I1884">
        <v>692.82032302754999</v>
      </c>
      <c r="J1884">
        <f>IFERROR(Table4[[#This Row],[energy_kwh]]/Table4[[#This Row],[expected_kwh]],0)</f>
        <v>0.90182300631044243</v>
      </c>
      <c r="K1884" t="str">
        <f>IF(Table4[[#This Row],[Performance_Ratio]] &lt; 0.85, "Underperforming", "Performing")</f>
        <v>Performing</v>
      </c>
      <c r="L1884">
        <f>Table4[[#This Row],[energy_kwh]] - Table4[[#This Row],[expected_kwh]]</f>
        <v>-68.019016481872995</v>
      </c>
      <c r="M1884" t="str">
        <f>IF(Table4[[#This Row],[Performance_Deviation]] &lt; 0, "Underperforming", "Outperforming")</f>
        <v>Underperforming</v>
      </c>
      <c r="N1884">
        <f>IF(Table4[[#This Row],[Performance_Ratio]] &lt; 0.85, Table4[[#This Row],[Performance_Deviation]] * 50 / 1000, 0)</f>
        <v>0</v>
      </c>
    </row>
    <row r="1885" spans="1:14" x14ac:dyDescent="0.3">
      <c r="A1885" s="6" t="s">
        <v>8</v>
      </c>
      <c r="B1885" s="5">
        <v>45308.458333333336</v>
      </c>
      <c r="C1885" s="6">
        <v>707.54292503617796</v>
      </c>
      <c r="D1885" s="6">
        <v>685.80703492192799</v>
      </c>
      <c r="E1885" s="6">
        <v>685.80703492192799</v>
      </c>
      <c r="F1885" s="6">
        <v>23.073366668741699</v>
      </c>
      <c r="G1885" s="6" t="str">
        <f t="shared" si="58"/>
        <v>OK</v>
      </c>
      <c r="H1885" s="6" t="str">
        <f t="shared" si="59"/>
        <v>NON-ZERO</v>
      </c>
      <c r="I1885">
        <v>772.74066103125404</v>
      </c>
      <c r="J1885">
        <f>IFERROR(Table4[[#This Row],[energy_kwh]]/Table4[[#This Row],[expected_kwh]],0)</f>
        <v>0.88749960951542328</v>
      </c>
      <c r="K1885" t="str">
        <f>IF(Table4[[#This Row],[Performance_Ratio]] &lt; 0.85, "Underperforming", "Performing")</f>
        <v>Performing</v>
      </c>
      <c r="L1885">
        <f>Table4[[#This Row],[energy_kwh]] - Table4[[#This Row],[expected_kwh]]</f>
        <v>-86.933626109326042</v>
      </c>
      <c r="M1885" t="str">
        <f>IF(Table4[[#This Row],[Performance_Deviation]] &lt; 0, "Underperforming", "Outperforming")</f>
        <v>Underperforming</v>
      </c>
      <c r="N1885">
        <f>IF(Table4[[#This Row],[Performance_Ratio]] &lt; 0.85, Table4[[#This Row],[Performance_Deviation]] * 50 / 1000, 0)</f>
        <v>0</v>
      </c>
    </row>
    <row r="1886" spans="1:14" x14ac:dyDescent="0.3">
      <c r="A1886" s="4" t="s">
        <v>8</v>
      </c>
      <c r="B1886" s="3">
        <v>45308.5</v>
      </c>
      <c r="C1886" s="4">
        <v>735.80554640229195</v>
      </c>
      <c r="D1886" s="4">
        <v>713.20142171086297</v>
      </c>
      <c r="E1886" s="4">
        <v>713.20142171086297</v>
      </c>
      <c r="F1886" s="4">
        <v>22.338118183393998</v>
      </c>
      <c r="G1886" s="4" t="str">
        <f t="shared" si="58"/>
        <v>OK</v>
      </c>
      <c r="H1886" s="4" t="str">
        <f t="shared" si="59"/>
        <v>NON-ZERO</v>
      </c>
      <c r="I1886">
        <v>800</v>
      </c>
      <c r="J1886">
        <f>IFERROR(Table4[[#This Row],[energy_kwh]]/Table4[[#This Row],[expected_kwh]],0)</f>
        <v>0.8915017771385787</v>
      </c>
      <c r="K1886" t="str">
        <f>IF(Table4[[#This Row],[Performance_Ratio]] &lt; 0.85, "Underperforming", "Performing")</f>
        <v>Performing</v>
      </c>
      <c r="L1886">
        <f>Table4[[#This Row],[energy_kwh]] - Table4[[#This Row],[expected_kwh]]</f>
        <v>-86.798578289137026</v>
      </c>
      <c r="M1886" t="str">
        <f>IF(Table4[[#This Row],[Performance_Deviation]] &lt; 0, "Underperforming", "Outperforming")</f>
        <v>Underperforming</v>
      </c>
      <c r="N1886">
        <f>IF(Table4[[#This Row],[Performance_Ratio]] &lt; 0.85, Table4[[#This Row],[Performance_Deviation]] * 50 / 1000, 0)</f>
        <v>0</v>
      </c>
    </row>
    <row r="1887" spans="1:14" x14ac:dyDescent="0.3">
      <c r="A1887" s="6" t="s">
        <v>8</v>
      </c>
      <c r="B1887" s="5">
        <v>45308.541666666664</v>
      </c>
      <c r="C1887" s="6">
        <v>831.87952581081197</v>
      </c>
      <c r="D1887" s="6">
        <v>806.32398519058199</v>
      </c>
      <c r="E1887" s="6">
        <v>806.32398519058199</v>
      </c>
      <c r="F1887" s="6">
        <v>29.5483909060043</v>
      </c>
      <c r="G1887" s="6" t="str">
        <f t="shared" si="58"/>
        <v>OK</v>
      </c>
      <c r="H1887" s="6" t="str">
        <f t="shared" si="59"/>
        <v>NON-ZERO</v>
      </c>
      <c r="I1887">
        <v>772.74066103125404</v>
      </c>
      <c r="J1887">
        <f>IFERROR(Table4[[#This Row],[energy_kwh]]/Table4[[#This Row],[expected_kwh]],0)</f>
        <v>1.0434600194514285</v>
      </c>
      <c r="K1887" t="str">
        <f>IF(Table4[[#This Row],[Performance_Ratio]] &lt; 0.85, "Underperforming", "Performing")</f>
        <v>Performing</v>
      </c>
      <c r="L1887">
        <f>Table4[[#This Row],[energy_kwh]] - Table4[[#This Row],[expected_kwh]]</f>
        <v>33.583324159327958</v>
      </c>
      <c r="M1887" t="str">
        <f>IF(Table4[[#This Row],[Performance_Deviation]] &lt; 0, "Underperforming", "Outperforming")</f>
        <v>Outperforming</v>
      </c>
      <c r="N1887">
        <f>IF(Table4[[#This Row],[Performance_Ratio]] &lt; 0.85, Table4[[#This Row],[Performance_Deviation]] * 50 / 1000, 0)</f>
        <v>0</v>
      </c>
    </row>
    <row r="1888" spans="1:14" x14ac:dyDescent="0.3">
      <c r="A1888" s="4" t="s">
        <v>8</v>
      </c>
      <c r="B1888" s="3">
        <v>45308.583333333336</v>
      </c>
      <c r="C1888" s="4">
        <v>705.38504682993005</v>
      </c>
      <c r="D1888" s="4">
        <v>683.71544725708895</v>
      </c>
      <c r="E1888" s="4">
        <v>683.71544725708895</v>
      </c>
      <c r="F1888" s="4">
        <v>37.5863005087377</v>
      </c>
      <c r="G1888" s="4" t="str">
        <f t="shared" si="58"/>
        <v>OK</v>
      </c>
      <c r="H1888" s="4" t="str">
        <f t="shared" si="59"/>
        <v>NON-ZERO</v>
      </c>
      <c r="I1888">
        <v>692.82032302755101</v>
      </c>
      <c r="J1888">
        <f>IFERROR(Table4[[#This Row],[energy_kwh]]/Table4[[#This Row],[expected_kwh]],0)</f>
        <v>0.98685824380746412</v>
      </c>
      <c r="K1888" t="str">
        <f>IF(Table4[[#This Row],[Performance_Ratio]] &lt; 0.85, "Underperforming", "Performing")</f>
        <v>Performing</v>
      </c>
      <c r="L1888">
        <f>Table4[[#This Row],[energy_kwh]] - Table4[[#This Row],[expected_kwh]]</f>
        <v>-9.1048757704620584</v>
      </c>
      <c r="M1888" t="str">
        <f>IF(Table4[[#This Row],[Performance_Deviation]] &lt; 0, "Underperforming", "Outperforming")</f>
        <v>Underperforming</v>
      </c>
      <c r="N1888">
        <f>IF(Table4[[#This Row],[Performance_Ratio]] &lt; 0.85, Table4[[#This Row],[Performance_Deviation]] * 50 / 1000, 0)</f>
        <v>0</v>
      </c>
    </row>
    <row r="1889" spans="1:14" x14ac:dyDescent="0.3">
      <c r="A1889" s="6" t="s">
        <v>8</v>
      </c>
      <c r="B1889" s="5">
        <v>45308.625</v>
      </c>
      <c r="C1889" s="6">
        <v>562.10617261961204</v>
      </c>
      <c r="D1889" s="6">
        <v>544.83813478292996</v>
      </c>
      <c r="E1889" s="6">
        <v>544.83813478292996</v>
      </c>
      <c r="F1889" s="6">
        <v>67.383113273956596</v>
      </c>
      <c r="G1889" s="6" t="str">
        <f t="shared" si="58"/>
        <v>OK</v>
      </c>
      <c r="H1889" s="6" t="str">
        <f t="shared" si="59"/>
        <v>NON-ZERO</v>
      </c>
      <c r="I1889">
        <v>565.68542494923804</v>
      </c>
      <c r="J1889">
        <f>IFERROR(Table4[[#This Row],[energy_kwh]]/Table4[[#This Row],[expected_kwh]],0)</f>
        <v>0.96314684938509987</v>
      </c>
      <c r="K1889" t="str">
        <f>IF(Table4[[#This Row],[Performance_Ratio]] &lt; 0.85, "Underperforming", "Performing")</f>
        <v>Performing</v>
      </c>
      <c r="L1889">
        <f>Table4[[#This Row],[energy_kwh]] - Table4[[#This Row],[expected_kwh]]</f>
        <v>-20.847290166308085</v>
      </c>
      <c r="M1889" t="str">
        <f>IF(Table4[[#This Row],[Performance_Deviation]] &lt; 0, "Underperforming", "Outperforming")</f>
        <v>Underperforming</v>
      </c>
      <c r="N1889">
        <f>IF(Table4[[#This Row],[Performance_Ratio]] &lt; 0.85, Table4[[#This Row],[Performance_Deviation]] * 50 / 1000, 0)</f>
        <v>0</v>
      </c>
    </row>
    <row r="1890" spans="1:14" x14ac:dyDescent="0.3">
      <c r="A1890" s="4" t="s">
        <v>8</v>
      </c>
      <c r="B1890" s="3">
        <v>45308.666666666664</v>
      </c>
      <c r="C1890" s="4">
        <v>379.62668028297799</v>
      </c>
      <c r="D1890" s="4">
        <v>367.964456670684</v>
      </c>
      <c r="E1890" s="4">
        <v>367.964456670684</v>
      </c>
      <c r="F1890" s="4">
        <v>62.799843423559103</v>
      </c>
      <c r="G1890" s="4" t="str">
        <f t="shared" si="58"/>
        <v>OK</v>
      </c>
      <c r="H1890" s="4" t="str">
        <f t="shared" si="59"/>
        <v>NON-ZERO</v>
      </c>
      <c r="I1890">
        <v>399.99999999999898</v>
      </c>
      <c r="J1890">
        <f>IFERROR(Table4[[#This Row],[energy_kwh]]/Table4[[#This Row],[expected_kwh]],0)</f>
        <v>0.9199111416767124</v>
      </c>
      <c r="K1890" t="str">
        <f>IF(Table4[[#This Row],[Performance_Ratio]] &lt; 0.85, "Underperforming", "Performing")</f>
        <v>Performing</v>
      </c>
      <c r="L1890">
        <f>Table4[[#This Row],[energy_kwh]] - Table4[[#This Row],[expected_kwh]]</f>
        <v>-32.035543329314976</v>
      </c>
      <c r="M1890" t="str">
        <f>IF(Table4[[#This Row],[Performance_Deviation]] &lt; 0, "Underperforming", "Outperforming")</f>
        <v>Underperforming</v>
      </c>
      <c r="N1890">
        <f>IF(Table4[[#This Row],[Performance_Ratio]] &lt; 0.85, Table4[[#This Row],[Performance_Deviation]] * 50 / 1000, 0)</f>
        <v>0</v>
      </c>
    </row>
    <row r="1891" spans="1:14" x14ac:dyDescent="0.3">
      <c r="A1891" s="6" t="s">
        <v>8</v>
      </c>
      <c r="B1891" s="5">
        <v>45308.708333333336</v>
      </c>
      <c r="C1891" s="6">
        <v>191.73533123234799</v>
      </c>
      <c r="D1891" s="6">
        <v>185.84517539413801</v>
      </c>
      <c r="E1891" s="6">
        <v>185.84517539413801</v>
      </c>
      <c r="F1891" s="6">
        <v>74.954256155997996</v>
      </c>
      <c r="G1891" s="6" t="str">
        <f t="shared" si="58"/>
        <v>OK</v>
      </c>
      <c r="H1891" s="6" t="str">
        <f t="shared" si="59"/>
        <v>NON-ZERO</v>
      </c>
      <c r="I1891">
        <v>207.05523608201599</v>
      </c>
      <c r="J1891">
        <f>IFERROR(Table4[[#This Row],[energy_kwh]]/Table4[[#This Row],[expected_kwh]],0)</f>
        <v>0.89756327302210059</v>
      </c>
      <c r="K1891" t="str">
        <f>IF(Table4[[#This Row],[Performance_Ratio]] &lt; 0.85, "Underperforming", "Performing")</f>
        <v>Performing</v>
      </c>
      <c r="L1891">
        <f>Table4[[#This Row],[energy_kwh]] - Table4[[#This Row],[expected_kwh]]</f>
        <v>-21.210060687877984</v>
      </c>
      <c r="M1891" t="str">
        <f>IF(Table4[[#This Row],[Performance_Deviation]] &lt; 0, "Underperforming", "Outperforming")</f>
        <v>Underperforming</v>
      </c>
      <c r="N1891">
        <f>IF(Table4[[#This Row],[Performance_Ratio]] &lt; 0.85, Table4[[#This Row],[Performance_Deviation]] * 50 / 1000, 0)</f>
        <v>0</v>
      </c>
    </row>
    <row r="1892" spans="1:14" x14ac:dyDescent="0.3">
      <c r="A1892" s="4" t="s">
        <v>8</v>
      </c>
      <c r="B1892" s="3">
        <v>45308.75</v>
      </c>
      <c r="C1892" s="7">
        <v>9.9300234992583905E-14</v>
      </c>
      <c r="D1892" s="7">
        <v>9.6249707710429706E-14</v>
      </c>
      <c r="E1892" s="7">
        <v>9.6249707710429706E-14</v>
      </c>
      <c r="F1892" s="4">
        <v>63.889608904463998</v>
      </c>
      <c r="G1892" s="4" t="str">
        <f t="shared" si="58"/>
        <v>OK</v>
      </c>
      <c r="H1892" s="4" t="str">
        <f t="shared" si="59"/>
        <v>NON-ZERO</v>
      </c>
      <c r="I1892" s="2">
        <v>9.7971743931788194E-14</v>
      </c>
      <c r="J1892">
        <f>IFERROR(Table4[[#This Row],[energy_kwh]]/Table4[[#This Row],[expected_kwh]],0)</f>
        <v>0.98242313393382652</v>
      </c>
      <c r="K1892" t="str">
        <f>IF(Table4[[#This Row],[Performance_Ratio]] &lt; 0.85, "Underperforming", "Performing")</f>
        <v>Performing</v>
      </c>
      <c r="L1892">
        <f>Table4[[#This Row],[energy_kwh]] - Table4[[#This Row],[expected_kwh]]</f>
        <v>-1.7220362213584885E-15</v>
      </c>
      <c r="M1892" t="str">
        <f>IF(Table4[[#This Row],[Performance_Deviation]] &lt; 0, "Underperforming", "Outperforming")</f>
        <v>Underperforming</v>
      </c>
      <c r="N1892">
        <f>IF(Table4[[#This Row],[Performance_Ratio]] &lt; 0.85, Table4[[#This Row],[Performance_Deviation]] * 50 / 1000, 0)</f>
        <v>0</v>
      </c>
    </row>
    <row r="1893" spans="1:14" x14ac:dyDescent="0.3">
      <c r="A1893" s="6" t="s">
        <v>8</v>
      </c>
      <c r="B1893" s="5">
        <v>45308.791666666664</v>
      </c>
      <c r="C1893" s="6">
        <v>0</v>
      </c>
      <c r="D1893" s="6">
        <v>0</v>
      </c>
      <c r="E1893" s="6">
        <v>0</v>
      </c>
      <c r="F1893" s="6">
        <v>43.533660747929602</v>
      </c>
      <c r="G1893" s="6" t="str">
        <f t="shared" si="58"/>
        <v>OK</v>
      </c>
      <c r="H1893" s="6" t="str">
        <f t="shared" si="59"/>
        <v>ZERO</v>
      </c>
      <c r="I1893">
        <v>0</v>
      </c>
      <c r="J1893">
        <f>IFERROR(Table4[[#This Row],[energy_kwh]]/Table4[[#This Row],[expected_kwh]],0)</f>
        <v>0</v>
      </c>
      <c r="K1893" t="str">
        <f>IF(Table4[[#This Row],[Performance_Ratio]] &lt; 0.85, "Underperforming", "Performing")</f>
        <v>Underperforming</v>
      </c>
      <c r="L1893">
        <f>Table4[[#This Row],[energy_kwh]] - Table4[[#This Row],[expected_kwh]]</f>
        <v>0</v>
      </c>
      <c r="M1893" t="str">
        <f>IF(Table4[[#This Row],[Performance_Deviation]] &lt; 0, "Underperforming", "Outperforming")</f>
        <v>Outperforming</v>
      </c>
      <c r="N1893">
        <f>IF(Table4[[#This Row],[Performance_Ratio]] &lt; 0.85, Table4[[#This Row],[Performance_Deviation]] * 50 / 1000, 0)</f>
        <v>0</v>
      </c>
    </row>
    <row r="1894" spans="1:14" x14ac:dyDescent="0.3">
      <c r="A1894" s="4" t="s">
        <v>8</v>
      </c>
      <c r="B1894" s="3">
        <v>45308.833333333336</v>
      </c>
      <c r="C1894" s="4">
        <v>0</v>
      </c>
      <c r="D1894" s="4">
        <v>0</v>
      </c>
      <c r="E1894" s="4">
        <v>0</v>
      </c>
      <c r="F1894" s="4">
        <v>69.554554483186294</v>
      </c>
      <c r="G1894" s="4" t="str">
        <f t="shared" si="58"/>
        <v>OK</v>
      </c>
      <c r="H1894" s="4" t="str">
        <f t="shared" si="59"/>
        <v>ZERO</v>
      </c>
      <c r="I1894">
        <v>0</v>
      </c>
      <c r="J1894">
        <f>IFERROR(Table4[[#This Row],[energy_kwh]]/Table4[[#This Row],[expected_kwh]],0)</f>
        <v>0</v>
      </c>
      <c r="K1894" t="str">
        <f>IF(Table4[[#This Row],[Performance_Ratio]] &lt; 0.85, "Underperforming", "Performing")</f>
        <v>Underperforming</v>
      </c>
      <c r="L1894">
        <f>Table4[[#This Row],[energy_kwh]] - Table4[[#This Row],[expected_kwh]]</f>
        <v>0</v>
      </c>
      <c r="M1894" t="str">
        <f>IF(Table4[[#This Row],[Performance_Deviation]] &lt; 0, "Underperforming", "Outperforming")</f>
        <v>Outperforming</v>
      </c>
      <c r="N1894">
        <f>IF(Table4[[#This Row],[Performance_Ratio]] &lt; 0.85, Table4[[#This Row],[Performance_Deviation]] * 50 / 1000, 0)</f>
        <v>0</v>
      </c>
    </row>
    <row r="1895" spans="1:14" x14ac:dyDescent="0.3">
      <c r="A1895" s="6" t="s">
        <v>8</v>
      </c>
      <c r="B1895" s="5">
        <v>45308.875</v>
      </c>
      <c r="C1895" s="6">
        <v>0</v>
      </c>
      <c r="D1895" s="6">
        <v>0</v>
      </c>
      <c r="E1895" s="6">
        <v>0</v>
      </c>
      <c r="F1895" s="6">
        <v>23.903437906709801</v>
      </c>
      <c r="G1895" s="6" t="str">
        <f t="shared" si="58"/>
        <v>OK</v>
      </c>
      <c r="H1895" s="6" t="str">
        <f t="shared" si="59"/>
        <v>ZERO</v>
      </c>
      <c r="I1895">
        <v>0</v>
      </c>
      <c r="J1895">
        <f>IFERROR(Table4[[#This Row],[energy_kwh]]/Table4[[#This Row],[expected_kwh]],0)</f>
        <v>0</v>
      </c>
      <c r="K1895" t="str">
        <f>IF(Table4[[#This Row],[Performance_Ratio]] &lt; 0.85, "Underperforming", "Performing")</f>
        <v>Underperforming</v>
      </c>
      <c r="L1895">
        <f>Table4[[#This Row],[energy_kwh]] - Table4[[#This Row],[expected_kwh]]</f>
        <v>0</v>
      </c>
      <c r="M1895" t="str">
        <f>IF(Table4[[#This Row],[Performance_Deviation]] &lt; 0, "Underperforming", "Outperforming")</f>
        <v>Outperforming</v>
      </c>
      <c r="N1895">
        <f>IF(Table4[[#This Row],[Performance_Ratio]] &lt; 0.85, Table4[[#This Row],[Performance_Deviation]] * 50 / 1000, 0)</f>
        <v>0</v>
      </c>
    </row>
    <row r="1896" spans="1:14" x14ac:dyDescent="0.3">
      <c r="A1896" s="4" t="s">
        <v>8</v>
      </c>
      <c r="B1896" s="3">
        <v>45308.916666666664</v>
      </c>
      <c r="C1896" s="4">
        <v>0</v>
      </c>
      <c r="D1896" s="4">
        <v>0</v>
      </c>
      <c r="E1896" s="4">
        <v>0</v>
      </c>
      <c r="F1896" s="4">
        <v>87.899137128206704</v>
      </c>
      <c r="G1896" s="4" t="str">
        <f t="shared" si="58"/>
        <v>OK</v>
      </c>
      <c r="H1896" s="4" t="str">
        <f t="shared" si="59"/>
        <v>ZERO</v>
      </c>
      <c r="I1896">
        <v>0</v>
      </c>
      <c r="J1896">
        <f>IFERROR(Table4[[#This Row],[energy_kwh]]/Table4[[#This Row],[expected_kwh]],0)</f>
        <v>0</v>
      </c>
      <c r="K1896" t="str">
        <f>IF(Table4[[#This Row],[Performance_Ratio]] &lt; 0.85, "Underperforming", "Performing")</f>
        <v>Underperforming</v>
      </c>
      <c r="L1896">
        <f>Table4[[#This Row],[energy_kwh]] - Table4[[#This Row],[expected_kwh]]</f>
        <v>0</v>
      </c>
      <c r="M1896" t="str">
        <f>IF(Table4[[#This Row],[Performance_Deviation]] &lt; 0, "Underperforming", "Outperforming")</f>
        <v>Outperforming</v>
      </c>
      <c r="N1896">
        <f>IF(Table4[[#This Row],[Performance_Ratio]] &lt; 0.85, Table4[[#This Row],[Performance_Deviation]] * 50 / 1000, 0)</f>
        <v>0</v>
      </c>
    </row>
    <row r="1897" spans="1:14" x14ac:dyDescent="0.3">
      <c r="A1897" s="6" t="s">
        <v>8</v>
      </c>
      <c r="B1897" s="5">
        <v>45308.958333333336</v>
      </c>
      <c r="C1897" s="6">
        <v>0</v>
      </c>
      <c r="D1897" s="6">
        <v>0</v>
      </c>
      <c r="E1897" s="6">
        <v>0</v>
      </c>
      <c r="F1897" s="6">
        <v>53.056620758098802</v>
      </c>
      <c r="G1897" s="6" t="str">
        <f t="shared" si="58"/>
        <v>OK</v>
      </c>
      <c r="H1897" s="6" t="str">
        <f t="shared" si="59"/>
        <v>ZERO</v>
      </c>
      <c r="I1897">
        <v>0</v>
      </c>
      <c r="J1897">
        <f>IFERROR(Table4[[#This Row],[energy_kwh]]/Table4[[#This Row],[expected_kwh]],0)</f>
        <v>0</v>
      </c>
      <c r="K1897" t="str">
        <f>IF(Table4[[#This Row],[Performance_Ratio]] &lt; 0.85, "Underperforming", "Performing")</f>
        <v>Underperforming</v>
      </c>
      <c r="L1897">
        <f>Table4[[#This Row],[energy_kwh]] - Table4[[#This Row],[expected_kwh]]</f>
        <v>0</v>
      </c>
      <c r="M1897" t="str">
        <f>IF(Table4[[#This Row],[Performance_Deviation]] &lt; 0, "Underperforming", "Outperforming")</f>
        <v>Outperforming</v>
      </c>
      <c r="N1897">
        <f>IF(Table4[[#This Row],[Performance_Ratio]] &lt; 0.85, Table4[[#This Row],[Performance_Deviation]] * 50 / 1000, 0)</f>
        <v>0</v>
      </c>
    </row>
    <row r="1898" spans="1:14" x14ac:dyDescent="0.3">
      <c r="A1898" s="4" t="s">
        <v>8</v>
      </c>
      <c r="B1898" s="3">
        <v>45309</v>
      </c>
      <c r="C1898" s="4">
        <v>0</v>
      </c>
      <c r="D1898" s="4">
        <v>0</v>
      </c>
      <c r="E1898" s="4">
        <v>0</v>
      </c>
      <c r="F1898" s="4">
        <v>23.556172710506299</v>
      </c>
      <c r="G1898" s="4" t="str">
        <f t="shared" si="58"/>
        <v>OK</v>
      </c>
      <c r="H1898" s="4" t="str">
        <f t="shared" si="59"/>
        <v>ZERO</v>
      </c>
      <c r="I1898">
        <v>0</v>
      </c>
      <c r="J1898">
        <f>IFERROR(Table4[[#This Row],[energy_kwh]]/Table4[[#This Row],[expected_kwh]],0)</f>
        <v>0</v>
      </c>
      <c r="K1898" t="str">
        <f>IF(Table4[[#This Row],[Performance_Ratio]] &lt; 0.85, "Underperforming", "Performing")</f>
        <v>Underperforming</v>
      </c>
      <c r="L1898">
        <f>Table4[[#This Row],[energy_kwh]] - Table4[[#This Row],[expected_kwh]]</f>
        <v>0</v>
      </c>
      <c r="M1898" t="str">
        <f>IF(Table4[[#This Row],[Performance_Deviation]] &lt; 0, "Underperforming", "Outperforming")</f>
        <v>Outperforming</v>
      </c>
      <c r="N1898">
        <f>IF(Table4[[#This Row],[Performance_Ratio]] &lt; 0.85, Table4[[#This Row],[Performance_Deviation]] * 50 / 1000, 0)</f>
        <v>0</v>
      </c>
    </row>
    <row r="1899" spans="1:14" x14ac:dyDescent="0.3">
      <c r="A1899" s="6" t="s">
        <v>8</v>
      </c>
      <c r="B1899" s="5">
        <v>45309.041666666664</v>
      </c>
      <c r="C1899" s="6">
        <v>0</v>
      </c>
      <c r="D1899" s="6">
        <v>0</v>
      </c>
      <c r="E1899" s="6">
        <v>0</v>
      </c>
      <c r="F1899" s="6">
        <v>34.890714415115099</v>
      </c>
      <c r="G1899" s="6" t="str">
        <f t="shared" si="58"/>
        <v>OK</v>
      </c>
      <c r="H1899" s="6" t="str">
        <f t="shared" si="59"/>
        <v>ZERO</v>
      </c>
      <c r="I1899">
        <v>0</v>
      </c>
      <c r="J1899">
        <f>IFERROR(Table4[[#This Row],[energy_kwh]]/Table4[[#This Row],[expected_kwh]],0)</f>
        <v>0</v>
      </c>
      <c r="K1899" t="str">
        <f>IF(Table4[[#This Row],[Performance_Ratio]] &lt; 0.85, "Underperforming", "Performing")</f>
        <v>Underperforming</v>
      </c>
      <c r="L1899">
        <f>Table4[[#This Row],[energy_kwh]] - Table4[[#This Row],[expected_kwh]]</f>
        <v>0</v>
      </c>
      <c r="M1899" t="str">
        <f>IF(Table4[[#This Row],[Performance_Deviation]] &lt; 0, "Underperforming", "Outperforming")</f>
        <v>Outperforming</v>
      </c>
      <c r="N1899">
        <f>IF(Table4[[#This Row],[Performance_Ratio]] &lt; 0.85, Table4[[#This Row],[Performance_Deviation]] * 50 / 1000, 0)</f>
        <v>0</v>
      </c>
    </row>
    <row r="1900" spans="1:14" x14ac:dyDescent="0.3">
      <c r="A1900" s="4" t="s">
        <v>8</v>
      </c>
      <c r="B1900" s="3">
        <v>45309.083333333336</v>
      </c>
      <c r="C1900" s="4">
        <v>0</v>
      </c>
      <c r="D1900" s="4">
        <v>0</v>
      </c>
      <c r="E1900" s="4">
        <v>0</v>
      </c>
      <c r="F1900" s="4">
        <v>42.891089759664403</v>
      </c>
      <c r="G1900" s="4" t="str">
        <f t="shared" si="58"/>
        <v>OK</v>
      </c>
      <c r="H1900" s="4" t="str">
        <f t="shared" si="59"/>
        <v>ZERO</v>
      </c>
      <c r="I1900">
        <v>0</v>
      </c>
      <c r="J1900">
        <f>IFERROR(Table4[[#This Row],[energy_kwh]]/Table4[[#This Row],[expected_kwh]],0)</f>
        <v>0</v>
      </c>
      <c r="K1900" t="str">
        <f>IF(Table4[[#This Row],[Performance_Ratio]] &lt; 0.85, "Underperforming", "Performing")</f>
        <v>Underperforming</v>
      </c>
      <c r="L1900">
        <f>Table4[[#This Row],[energy_kwh]] - Table4[[#This Row],[expected_kwh]]</f>
        <v>0</v>
      </c>
      <c r="M1900" t="str">
        <f>IF(Table4[[#This Row],[Performance_Deviation]] &lt; 0, "Underperforming", "Outperforming")</f>
        <v>Outperforming</v>
      </c>
      <c r="N1900">
        <f>IF(Table4[[#This Row],[Performance_Ratio]] &lt; 0.85, Table4[[#This Row],[Performance_Deviation]] * 50 / 1000, 0)</f>
        <v>0</v>
      </c>
    </row>
    <row r="1901" spans="1:14" x14ac:dyDescent="0.3">
      <c r="A1901" s="6" t="s">
        <v>8</v>
      </c>
      <c r="B1901" s="5">
        <v>45309.125</v>
      </c>
      <c r="C1901" s="6">
        <v>0</v>
      </c>
      <c r="D1901" s="6">
        <v>0</v>
      </c>
      <c r="E1901" s="6">
        <v>0</v>
      </c>
      <c r="F1901" s="6">
        <v>50.617813950972398</v>
      </c>
      <c r="G1901" s="6" t="str">
        <f t="shared" si="58"/>
        <v>OK</v>
      </c>
      <c r="H1901" s="6" t="str">
        <f t="shared" si="59"/>
        <v>ZERO</v>
      </c>
      <c r="I1901">
        <v>0</v>
      </c>
      <c r="J1901">
        <f>IFERROR(Table4[[#This Row],[energy_kwh]]/Table4[[#This Row],[expected_kwh]],0)</f>
        <v>0</v>
      </c>
      <c r="K1901" t="str">
        <f>IF(Table4[[#This Row],[Performance_Ratio]] &lt; 0.85, "Underperforming", "Performing")</f>
        <v>Underperforming</v>
      </c>
      <c r="L1901">
        <f>Table4[[#This Row],[energy_kwh]] - Table4[[#This Row],[expected_kwh]]</f>
        <v>0</v>
      </c>
      <c r="M1901" t="str">
        <f>IF(Table4[[#This Row],[Performance_Deviation]] &lt; 0, "Underperforming", "Outperforming")</f>
        <v>Outperforming</v>
      </c>
      <c r="N1901">
        <f>IF(Table4[[#This Row],[Performance_Ratio]] &lt; 0.85, Table4[[#This Row],[Performance_Deviation]] * 50 / 1000, 0)</f>
        <v>0</v>
      </c>
    </row>
    <row r="1902" spans="1:14" x14ac:dyDescent="0.3">
      <c r="A1902" s="4" t="s">
        <v>8</v>
      </c>
      <c r="B1902" s="3">
        <v>45309.166666666664</v>
      </c>
      <c r="C1902" s="4">
        <v>0</v>
      </c>
      <c r="D1902" s="4">
        <v>0</v>
      </c>
      <c r="E1902" s="4">
        <v>0</v>
      </c>
      <c r="F1902" s="4">
        <v>59.737541672155203</v>
      </c>
      <c r="G1902" s="4" t="str">
        <f t="shared" si="58"/>
        <v>OK</v>
      </c>
      <c r="H1902" s="4" t="str">
        <f t="shared" si="59"/>
        <v>ZERO</v>
      </c>
      <c r="I1902">
        <v>0</v>
      </c>
      <c r="J1902">
        <f>IFERROR(Table4[[#This Row],[energy_kwh]]/Table4[[#This Row],[expected_kwh]],0)</f>
        <v>0</v>
      </c>
      <c r="K1902" t="str">
        <f>IF(Table4[[#This Row],[Performance_Ratio]] &lt; 0.85, "Underperforming", "Performing")</f>
        <v>Underperforming</v>
      </c>
      <c r="L1902">
        <f>Table4[[#This Row],[energy_kwh]] - Table4[[#This Row],[expected_kwh]]</f>
        <v>0</v>
      </c>
      <c r="M1902" t="str">
        <f>IF(Table4[[#This Row],[Performance_Deviation]] &lt; 0, "Underperforming", "Outperforming")</f>
        <v>Outperforming</v>
      </c>
      <c r="N1902">
        <f>IF(Table4[[#This Row],[Performance_Ratio]] &lt; 0.85, Table4[[#This Row],[Performance_Deviation]] * 50 / 1000, 0)</f>
        <v>0</v>
      </c>
    </row>
    <row r="1903" spans="1:14" x14ac:dyDescent="0.3">
      <c r="A1903" s="6" t="s">
        <v>8</v>
      </c>
      <c r="B1903" s="5">
        <v>45309.208333333336</v>
      </c>
      <c r="C1903" s="6">
        <v>0</v>
      </c>
      <c r="D1903" s="6">
        <v>0</v>
      </c>
      <c r="E1903" s="6">
        <v>0</v>
      </c>
      <c r="F1903" s="6">
        <v>28.845400615567499</v>
      </c>
      <c r="G1903" s="6" t="str">
        <f t="shared" si="58"/>
        <v>OK</v>
      </c>
      <c r="H1903" s="6" t="str">
        <f t="shared" si="59"/>
        <v>ZERO</v>
      </c>
      <c r="I1903">
        <v>0</v>
      </c>
      <c r="J1903">
        <f>IFERROR(Table4[[#This Row],[energy_kwh]]/Table4[[#This Row],[expected_kwh]],0)</f>
        <v>0</v>
      </c>
      <c r="K1903" t="str">
        <f>IF(Table4[[#This Row],[Performance_Ratio]] &lt; 0.85, "Underperforming", "Performing")</f>
        <v>Underperforming</v>
      </c>
      <c r="L1903">
        <f>Table4[[#This Row],[energy_kwh]] - Table4[[#This Row],[expected_kwh]]</f>
        <v>0</v>
      </c>
      <c r="M1903" t="str">
        <f>IF(Table4[[#This Row],[Performance_Deviation]] &lt; 0, "Underperforming", "Outperforming")</f>
        <v>Outperforming</v>
      </c>
      <c r="N1903">
        <f>IF(Table4[[#This Row],[Performance_Ratio]] &lt; 0.85, Table4[[#This Row],[Performance_Deviation]] * 50 / 1000, 0)</f>
        <v>0</v>
      </c>
    </row>
    <row r="1904" spans="1:14" x14ac:dyDescent="0.3">
      <c r="A1904" s="4" t="s">
        <v>8</v>
      </c>
      <c r="B1904" s="3">
        <v>45309.25</v>
      </c>
      <c r="C1904" s="4">
        <v>0</v>
      </c>
      <c r="D1904" s="4">
        <v>0</v>
      </c>
      <c r="E1904" s="4">
        <v>0</v>
      </c>
      <c r="F1904" s="4">
        <v>90.021153337632001</v>
      </c>
      <c r="G1904" s="4" t="str">
        <f t="shared" si="58"/>
        <v>OK</v>
      </c>
      <c r="H1904" s="4" t="str">
        <f t="shared" si="59"/>
        <v>ZERO</v>
      </c>
      <c r="I1904">
        <v>0</v>
      </c>
      <c r="J1904">
        <f>IFERROR(Table4[[#This Row],[energy_kwh]]/Table4[[#This Row],[expected_kwh]],0)</f>
        <v>0</v>
      </c>
      <c r="K1904" t="str">
        <f>IF(Table4[[#This Row],[Performance_Ratio]] &lt; 0.85, "Underperforming", "Performing")</f>
        <v>Underperforming</v>
      </c>
      <c r="L1904">
        <f>Table4[[#This Row],[energy_kwh]] - Table4[[#This Row],[expected_kwh]]</f>
        <v>0</v>
      </c>
      <c r="M1904" t="str">
        <f>IF(Table4[[#This Row],[Performance_Deviation]] &lt; 0, "Underperforming", "Outperforming")</f>
        <v>Outperforming</v>
      </c>
      <c r="N1904">
        <f>IF(Table4[[#This Row],[Performance_Ratio]] &lt; 0.85, Table4[[#This Row],[Performance_Deviation]] * 50 / 1000, 0)</f>
        <v>0</v>
      </c>
    </row>
    <row r="1905" spans="1:14" x14ac:dyDescent="0.3">
      <c r="A1905" s="6" t="s">
        <v>8</v>
      </c>
      <c r="B1905" s="5">
        <v>45309.291666666664</v>
      </c>
      <c r="C1905" s="6">
        <v>210.080504934956</v>
      </c>
      <c r="D1905" s="6">
        <v>203.626780915062</v>
      </c>
      <c r="E1905" s="6">
        <v>203.626780915062</v>
      </c>
      <c r="F1905" s="6">
        <v>78.377892840911798</v>
      </c>
      <c r="G1905" s="6" t="str">
        <f t="shared" si="58"/>
        <v>OK</v>
      </c>
      <c r="H1905" s="6" t="str">
        <f t="shared" si="59"/>
        <v>NON-ZERO</v>
      </c>
      <c r="I1905">
        <v>207.05523608201599</v>
      </c>
      <c r="J1905">
        <f>IFERROR(Table4[[#This Row],[energy_kwh]]/Table4[[#This Row],[expected_kwh]],0)</f>
        <v>0.98344183304982469</v>
      </c>
      <c r="K1905" t="str">
        <f>IF(Table4[[#This Row],[Performance_Ratio]] &lt; 0.85, "Underperforming", "Performing")</f>
        <v>Performing</v>
      </c>
      <c r="L1905">
        <f>Table4[[#This Row],[energy_kwh]] - Table4[[#This Row],[expected_kwh]]</f>
        <v>-3.4284551669539951</v>
      </c>
      <c r="M1905" t="str">
        <f>IF(Table4[[#This Row],[Performance_Deviation]] &lt; 0, "Underperforming", "Outperforming")</f>
        <v>Underperforming</v>
      </c>
      <c r="N1905">
        <f>IF(Table4[[#This Row],[Performance_Ratio]] &lt; 0.85, Table4[[#This Row],[Performance_Deviation]] * 50 / 1000, 0)</f>
        <v>0</v>
      </c>
    </row>
    <row r="1906" spans="1:14" x14ac:dyDescent="0.3">
      <c r="A1906" s="4" t="s">
        <v>8</v>
      </c>
      <c r="B1906" s="3">
        <v>45309.333333333336</v>
      </c>
      <c r="C1906" s="4">
        <v>390.070176420699</v>
      </c>
      <c r="D1906" s="4">
        <v>378.08712607630702</v>
      </c>
      <c r="E1906" s="4">
        <v>378.08712607630702</v>
      </c>
      <c r="F1906" s="4">
        <v>24.765179181793801</v>
      </c>
      <c r="G1906" s="4" t="str">
        <f t="shared" si="58"/>
        <v>OK</v>
      </c>
      <c r="H1906" s="4" t="str">
        <f t="shared" si="59"/>
        <v>NON-ZERO</v>
      </c>
      <c r="I1906">
        <v>399.99999999999898</v>
      </c>
      <c r="J1906">
        <f>IFERROR(Table4[[#This Row],[energy_kwh]]/Table4[[#This Row],[expected_kwh]],0)</f>
        <v>0.94521781519076997</v>
      </c>
      <c r="K1906" t="str">
        <f>IF(Table4[[#This Row],[Performance_Ratio]] &lt; 0.85, "Underperforming", "Performing")</f>
        <v>Performing</v>
      </c>
      <c r="L1906">
        <f>Table4[[#This Row],[energy_kwh]] - Table4[[#This Row],[expected_kwh]]</f>
        <v>-21.912873923691961</v>
      </c>
      <c r="M1906" t="str">
        <f>IF(Table4[[#This Row],[Performance_Deviation]] &lt; 0, "Underperforming", "Outperforming")</f>
        <v>Underperforming</v>
      </c>
      <c r="N1906">
        <f>IF(Table4[[#This Row],[Performance_Ratio]] &lt; 0.85, Table4[[#This Row],[Performance_Deviation]] * 50 / 1000, 0)</f>
        <v>0</v>
      </c>
    </row>
    <row r="1907" spans="1:14" x14ac:dyDescent="0.3">
      <c r="A1907" s="6" t="s">
        <v>8</v>
      </c>
      <c r="B1907" s="5">
        <v>45309.375</v>
      </c>
      <c r="C1907" s="6">
        <v>540.68464032988095</v>
      </c>
      <c r="D1907" s="6">
        <v>524.07467715616599</v>
      </c>
      <c r="E1907" s="6">
        <v>524.07467715616599</v>
      </c>
      <c r="F1907" s="6">
        <v>60.423565583759</v>
      </c>
      <c r="G1907" s="6" t="str">
        <f t="shared" si="58"/>
        <v>OK</v>
      </c>
      <c r="H1907" s="6" t="str">
        <f t="shared" si="59"/>
        <v>NON-ZERO</v>
      </c>
      <c r="I1907">
        <v>565.68542494923804</v>
      </c>
      <c r="J1907">
        <f>IFERROR(Table4[[#This Row],[energy_kwh]]/Table4[[#This Row],[expected_kwh]],0)</f>
        <v>0.92644189516318898</v>
      </c>
      <c r="K1907" t="str">
        <f>IF(Table4[[#This Row],[Performance_Ratio]] &lt; 0.85, "Underperforming", "Performing")</f>
        <v>Performing</v>
      </c>
      <c r="L1907">
        <f>Table4[[#This Row],[energy_kwh]] - Table4[[#This Row],[expected_kwh]]</f>
        <v>-41.610747793072051</v>
      </c>
      <c r="M1907" t="str">
        <f>IF(Table4[[#This Row],[Performance_Deviation]] &lt; 0, "Underperforming", "Outperforming")</f>
        <v>Underperforming</v>
      </c>
      <c r="N1907">
        <f>IF(Table4[[#This Row],[Performance_Ratio]] &lt; 0.85, Table4[[#This Row],[Performance_Deviation]] * 50 / 1000, 0)</f>
        <v>0</v>
      </c>
    </row>
    <row r="1908" spans="1:14" x14ac:dyDescent="0.3">
      <c r="A1908" s="4" t="s">
        <v>8</v>
      </c>
      <c r="B1908" s="3">
        <v>45309.416666666664</v>
      </c>
      <c r="C1908" s="4">
        <v>626.568329000159</v>
      </c>
      <c r="D1908" s="4">
        <v>607.31999809851004</v>
      </c>
      <c r="E1908" s="4">
        <v>607.31999809851004</v>
      </c>
      <c r="F1908" s="4">
        <v>48.045403520283003</v>
      </c>
      <c r="G1908" s="4" t="str">
        <f t="shared" si="58"/>
        <v>OK</v>
      </c>
      <c r="H1908" s="4" t="str">
        <f t="shared" si="59"/>
        <v>NON-ZERO</v>
      </c>
      <c r="I1908">
        <v>692.82032302754999</v>
      </c>
      <c r="J1908">
        <f>IFERROR(Table4[[#This Row],[energy_kwh]]/Table4[[#This Row],[expected_kwh]],0)</f>
        <v>0.87659091096604558</v>
      </c>
      <c r="K1908" t="str">
        <f>IF(Table4[[#This Row],[Performance_Ratio]] &lt; 0.85, "Underperforming", "Performing")</f>
        <v>Performing</v>
      </c>
      <c r="L1908">
        <f>Table4[[#This Row],[energy_kwh]] - Table4[[#This Row],[expected_kwh]]</f>
        <v>-85.500324929039948</v>
      </c>
      <c r="M1908" t="str">
        <f>IF(Table4[[#This Row],[Performance_Deviation]] &lt; 0, "Underperforming", "Outperforming")</f>
        <v>Underperforming</v>
      </c>
      <c r="N1908">
        <f>IF(Table4[[#This Row],[Performance_Ratio]] &lt; 0.85, Table4[[#This Row],[Performance_Deviation]] * 50 / 1000, 0)</f>
        <v>0</v>
      </c>
    </row>
    <row r="1909" spans="1:14" x14ac:dyDescent="0.3">
      <c r="A1909" s="6" t="s">
        <v>8</v>
      </c>
      <c r="B1909" s="5">
        <v>45309.458333333336</v>
      </c>
      <c r="C1909" s="6">
        <v>714.40845022555902</v>
      </c>
      <c r="D1909" s="6">
        <v>692.46164951378501</v>
      </c>
      <c r="E1909" s="6">
        <v>692.46164951378501</v>
      </c>
      <c r="F1909" s="6">
        <v>42.7792888723869</v>
      </c>
      <c r="G1909" s="6" t="str">
        <f t="shared" si="58"/>
        <v>OK</v>
      </c>
      <c r="H1909" s="6" t="str">
        <f t="shared" si="59"/>
        <v>NON-ZERO</v>
      </c>
      <c r="I1909">
        <v>772.74066103125404</v>
      </c>
      <c r="J1909">
        <f>IFERROR(Table4[[#This Row],[energy_kwh]]/Table4[[#This Row],[expected_kwh]],0)</f>
        <v>0.89611131448637193</v>
      </c>
      <c r="K1909" t="str">
        <f>IF(Table4[[#This Row],[Performance_Ratio]] &lt; 0.85, "Underperforming", "Performing")</f>
        <v>Performing</v>
      </c>
      <c r="L1909">
        <f>Table4[[#This Row],[energy_kwh]] - Table4[[#This Row],[expected_kwh]]</f>
        <v>-80.27901151746903</v>
      </c>
      <c r="M1909" t="str">
        <f>IF(Table4[[#This Row],[Performance_Deviation]] &lt; 0, "Underperforming", "Outperforming")</f>
        <v>Underperforming</v>
      </c>
      <c r="N1909">
        <f>IF(Table4[[#This Row],[Performance_Ratio]] &lt; 0.85, Table4[[#This Row],[Performance_Deviation]] * 50 / 1000, 0)</f>
        <v>0</v>
      </c>
    </row>
    <row r="1910" spans="1:14" x14ac:dyDescent="0.3">
      <c r="A1910" s="4" t="s">
        <v>8</v>
      </c>
      <c r="B1910" s="3">
        <v>45309.5</v>
      </c>
      <c r="C1910" s="4">
        <v>746.94657242191897</v>
      </c>
      <c r="D1910" s="4">
        <v>724.00019271139001</v>
      </c>
      <c r="E1910" s="4">
        <v>724.00019271139001</v>
      </c>
      <c r="F1910" s="4">
        <v>81.785131244040301</v>
      </c>
      <c r="G1910" s="4" t="str">
        <f t="shared" si="58"/>
        <v>OK</v>
      </c>
      <c r="H1910" s="4" t="str">
        <f t="shared" si="59"/>
        <v>NON-ZERO</v>
      </c>
      <c r="I1910">
        <v>800</v>
      </c>
      <c r="J1910">
        <f>IFERROR(Table4[[#This Row],[energy_kwh]]/Table4[[#This Row],[expected_kwh]],0)</f>
        <v>0.90500024088923747</v>
      </c>
      <c r="K1910" t="str">
        <f>IF(Table4[[#This Row],[Performance_Ratio]] &lt; 0.85, "Underperforming", "Performing")</f>
        <v>Performing</v>
      </c>
      <c r="L1910">
        <f>Table4[[#This Row],[energy_kwh]] - Table4[[#This Row],[expected_kwh]]</f>
        <v>-75.999807288609986</v>
      </c>
      <c r="M1910" t="str">
        <f>IF(Table4[[#This Row],[Performance_Deviation]] &lt; 0, "Underperforming", "Outperforming")</f>
        <v>Underperforming</v>
      </c>
      <c r="N1910">
        <f>IF(Table4[[#This Row],[Performance_Ratio]] &lt; 0.85, Table4[[#This Row],[Performance_Deviation]] * 50 / 1000, 0)</f>
        <v>0</v>
      </c>
    </row>
    <row r="1911" spans="1:14" x14ac:dyDescent="0.3">
      <c r="A1911" s="6" t="s">
        <v>8</v>
      </c>
      <c r="B1911" s="5">
        <v>45309.541666666664</v>
      </c>
      <c r="C1911" s="6">
        <v>763.75279309094697</v>
      </c>
      <c r="D1911" s="6">
        <v>740.29012220885397</v>
      </c>
      <c r="E1911" s="6">
        <v>740.29012220885397</v>
      </c>
      <c r="F1911" s="6">
        <v>79.630466088587298</v>
      </c>
      <c r="G1911" s="6" t="str">
        <f t="shared" si="58"/>
        <v>OK</v>
      </c>
      <c r="H1911" s="6" t="str">
        <f t="shared" si="59"/>
        <v>NON-ZERO</v>
      </c>
      <c r="I1911">
        <v>772.74066103125404</v>
      </c>
      <c r="J1911">
        <f>IFERROR(Table4[[#This Row],[energy_kwh]]/Table4[[#This Row],[expected_kwh]],0)</f>
        <v>0.95800591264462065</v>
      </c>
      <c r="K1911" t="str">
        <f>IF(Table4[[#This Row],[Performance_Ratio]] &lt; 0.85, "Underperforming", "Performing")</f>
        <v>Performing</v>
      </c>
      <c r="L1911">
        <f>Table4[[#This Row],[energy_kwh]] - Table4[[#This Row],[expected_kwh]]</f>
        <v>-32.450538822400063</v>
      </c>
      <c r="M1911" t="str">
        <f>IF(Table4[[#This Row],[Performance_Deviation]] &lt; 0, "Underperforming", "Outperforming")</f>
        <v>Underperforming</v>
      </c>
      <c r="N1911">
        <f>IF(Table4[[#This Row],[Performance_Ratio]] &lt; 0.85, Table4[[#This Row],[Performance_Deviation]] * 50 / 1000, 0)</f>
        <v>0</v>
      </c>
    </row>
    <row r="1912" spans="1:14" x14ac:dyDescent="0.3">
      <c r="A1912" s="4" t="s">
        <v>8</v>
      </c>
      <c r="B1912" s="3">
        <v>45309.583333333336</v>
      </c>
      <c r="C1912" s="4">
        <v>685.93851538423598</v>
      </c>
      <c r="D1912" s="4">
        <v>664.86631796983704</v>
      </c>
      <c r="E1912" s="4">
        <v>664.86631796983704</v>
      </c>
      <c r="F1912" s="4">
        <v>78.746756932914906</v>
      </c>
      <c r="G1912" s="4" t="str">
        <f t="shared" si="58"/>
        <v>OK</v>
      </c>
      <c r="H1912" s="4" t="str">
        <f t="shared" si="59"/>
        <v>NON-ZERO</v>
      </c>
      <c r="I1912">
        <v>692.82032302755101</v>
      </c>
      <c r="J1912">
        <f>IFERROR(Table4[[#This Row],[energy_kwh]]/Table4[[#This Row],[expected_kwh]],0)</f>
        <v>0.95965186913750167</v>
      </c>
      <c r="K1912" t="str">
        <f>IF(Table4[[#This Row],[Performance_Ratio]] &lt; 0.85, "Underperforming", "Performing")</f>
        <v>Performing</v>
      </c>
      <c r="L1912">
        <f>Table4[[#This Row],[energy_kwh]] - Table4[[#This Row],[expected_kwh]]</f>
        <v>-27.954005057713971</v>
      </c>
      <c r="M1912" t="str">
        <f>IF(Table4[[#This Row],[Performance_Deviation]] &lt; 0, "Underperforming", "Outperforming")</f>
        <v>Underperforming</v>
      </c>
      <c r="N1912">
        <f>IF(Table4[[#This Row],[Performance_Ratio]] &lt; 0.85, Table4[[#This Row],[Performance_Deviation]] * 50 / 1000, 0)</f>
        <v>0</v>
      </c>
    </row>
    <row r="1913" spans="1:14" x14ac:dyDescent="0.3">
      <c r="A1913" s="6" t="s">
        <v>8</v>
      </c>
      <c r="B1913" s="5">
        <v>45309.625</v>
      </c>
      <c r="C1913" s="6">
        <v>503.32432860981697</v>
      </c>
      <c r="D1913" s="6">
        <v>487.862083265575</v>
      </c>
      <c r="E1913" s="6">
        <v>487.862083265575</v>
      </c>
      <c r="F1913" s="6">
        <v>51.5472677659114</v>
      </c>
      <c r="G1913" s="6" t="str">
        <f t="shared" si="58"/>
        <v>OK</v>
      </c>
      <c r="H1913" s="6" t="str">
        <f t="shared" si="59"/>
        <v>NON-ZERO</v>
      </c>
      <c r="I1913">
        <v>565.68542494923804</v>
      </c>
      <c r="J1913">
        <f>IFERROR(Table4[[#This Row],[energy_kwh]]/Table4[[#This Row],[expected_kwh]],0)</f>
        <v>0.86242646840221038</v>
      </c>
      <c r="K1913" t="str">
        <f>IF(Table4[[#This Row],[Performance_Ratio]] &lt; 0.85, "Underperforming", "Performing")</f>
        <v>Performing</v>
      </c>
      <c r="L1913">
        <f>Table4[[#This Row],[energy_kwh]] - Table4[[#This Row],[expected_kwh]]</f>
        <v>-77.823341683663045</v>
      </c>
      <c r="M1913" t="str">
        <f>IF(Table4[[#This Row],[Performance_Deviation]] &lt; 0, "Underperforming", "Outperforming")</f>
        <v>Underperforming</v>
      </c>
      <c r="N1913">
        <f>IF(Table4[[#This Row],[Performance_Ratio]] &lt; 0.85, Table4[[#This Row],[Performance_Deviation]] * 50 / 1000, 0)</f>
        <v>0</v>
      </c>
    </row>
    <row r="1914" spans="1:14" x14ac:dyDescent="0.3">
      <c r="A1914" s="4" t="s">
        <v>8</v>
      </c>
      <c r="B1914" s="3">
        <v>45309.666666666664</v>
      </c>
      <c r="C1914" s="4">
        <v>314.86187632730201</v>
      </c>
      <c r="D1914" s="4">
        <v>305.18924318682201</v>
      </c>
      <c r="E1914" s="4">
        <v>305.18924318682201</v>
      </c>
      <c r="F1914" s="4">
        <v>71.415396542196703</v>
      </c>
      <c r="G1914" s="4" t="str">
        <f t="shared" si="58"/>
        <v>OK</v>
      </c>
      <c r="H1914" s="4" t="str">
        <f t="shared" si="59"/>
        <v>NON-ZERO</v>
      </c>
      <c r="I1914">
        <v>399.99999999999898</v>
      </c>
      <c r="J1914">
        <f>IFERROR(Table4[[#This Row],[energy_kwh]]/Table4[[#This Row],[expected_kwh]],0)</f>
        <v>0.76297310796705697</v>
      </c>
      <c r="K1914" t="str">
        <f>IF(Table4[[#This Row],[Performance_Ratio]] &lt; 0.85, "Underperforming", "Performing")</f>
        <v>Underperforming</v>
      </c>
      <c r="L1914">
        <f>Table4[[#This Row],[energy_kwh]] - Table4[[#This Row],[expected_kwh]]</f>
        <v>-94.810756813176965</v>
      </c>
      <c r="M1914" t="str">
        <f>IF(Table4[[#This Row],[Performance_Deviation]] &lt; 0, "Underperforming", "Outperforming")</f>
        <v>Underperforming</v>
      </c>
      <c r="N1914">
        <f>IF(Table4[[#This Row],[Performance_Ratio]] &lt; 0.85, Table4[[#This Row],[Performance_Deviation]] * 50 / 1000, 0)</f>
        <v>-4.7405378406588481</v>
      </c>
    </row>
    <row r="1915" spans="1:14" x14ac:dyDescent="0.3">
      <c r="A1915" s="6" t="s">
        <v>8</v>
      </c>
      <c r="B1915" s="5">
        <v>45309.708333333336</v>
      </c>
      <c r="C1915" s="6">
        <v>191.507068006406</v>
      </c>
      <c r="D1915" s="6">
        <v>185.62392446981201</v>
      </c>
      <c r="E1915" s="6">
        <v>185.62392446981201</v>
      </c>
      <c r="F1915" s="6">
        <v>81.202512672655104</v>
      </c>
      <c r="G1915" s="6" t="str">
        <f t="shared" si="58"/>
        <v>OK</v>
      </c>
      <c r="H1915" s="6" t="str">
        <f t="shared" si="59"/>
        <v>NON-ZERO</v>
      </c>
      <c r="I1915">
        <v>207.05523608201599</v>
      </c>
      <c r="J1915">
        <f>IFERROR(Table4[[#This Row],[energy_kwh]]/Table4[[#This Row],[expected_kwh]],0)</f>
        <v>0.89649471311261653</v>
      </c>
      <c r="K1915" t="str">
        <f>IF(Table4[[#This Row],[Performance_Ratio]] &lt; 0.85, "Underperforming", "Performing")</f>
        <v>Performing</v>
      </c>
      <c r="L1915">
        <f>Table4[[#This Row],[energy_kwh]] - Table4[[#This Row],[expected_kwh]]</f>
        <v>-21.431311612203984</v>
      </c>
      <c r="M1915" t="str">
        <f>IF(Table4[[#This Row],[Performance_Deviation]] &lt; 0, "Underperforming", "Outperforming")</f>
        <v>Underperforming</v>
      </c>
      <c r="N1915">
        <f>IF(Table4[[#This Row],[Performance_Ratio]] &lt; 0.85, Table4[[#This Row],[Performance_Deviation]] * 50 / 1000, 0)</f>
        <v>0</v>
      </c>
    </row>
    <row r="1916" spans="1:14" x14ac:dyDescent="0.3">
      <c r="A1916" s="4" t="s">
        <v>8</v>
      </c>
      <c r="B1916" s="3">
        <v>45309.75</v>
      </c>
      <c r="C1916" s="7">
        <v>9.2636802479408006E-14</v>
      </c>
      <c r="D1916" s="7">
        <v>8.9790977458791805E-14</v>
      </c>
      <c r="E1916" s="7">
        <v>8.9790977458791805E-14</v>
      </c>
      <c r="F1916" s="4">
        <v>41.611410183305203</v>
      </c>
      <c r="G1916" s="4" t="str">
        <f t="shared" si="58"/>
        <v>OK</v>
      </c>
      <c r="H1916" s="4" t="str">
        <f t="shared" si="59"/>
        <v>NON-ZERO</v>
      </c>
      <c r="I1916" s="2">
        <v>9.7971743931788194E-14</v>
      </c>
      <c r="J1916">
        <f>IFERROR(Table4[[#This Row],[energy_kwh]]/Table4[[#This Row],[expected_kwh]],0)</f>
        <v>0.91649871539806249</v>
      </c>
      <c r="K1916" t="str">
        <f>IF(Table4[[#This Row],[Performance_Ratio]] &lt; 0.85, "Underperforming", "Performing")</f>
        <v>Performing</v>
      </c>
      <c r="L1916">
        <f>Table4[[#This Row],[energy_kwh]] - Table4[[#This Row],[expected_kwh]]</f>
        <v>-8.1807664729963892E-15</v>
      </c>
      <c r="M1916" t="str">
        <f>IF(Table4[[#This Row],[Performance_Deviation]] &lt; 0, "Underperforming", "Outperforming")</f>
        <v>Underperforming</v>
      </c>
      <c r="N1916">
        <f>IF(Table4[[#This Row],[Performance_Ratio]] &lt; 0.85, Table4[[#This Row],[Performance_Deviation]] * 50 / 1000, 0)</f>
        <v>0</v>
      </c>
    </row>
    <row r="1917" spans="1:14" x14ac:dyDescent="0.3">
      <c r="A1917" s="6" t="s">
        <v>8</v>
      </c>
      <c r="B1917" s="5">
        <v>45309.791666666664</v>
      </c>
      <c r="C1917" s="6">
        <v>0</v>
      </c>
      <c r="D1917" s="6">
        <v>0</v>
      </c>
      <c r="E1917" s="6">
        <v>0</v>
      </c>
      <c r="F1917" s="6">
        <v>23.024392979071301</v>
      </c>
      <c r="G1917" s="6" t="str">
        <f t="shared" si="58"/>
        <v>OK</v>
      </c>
      <c r="H1917" s="6" t="str">
        <f t="shared" si="59"/>
        <v>ZERO</v>
      </c>
      <c r="I1917">
        <v>0</v>
      </c>
      <c r="J1917">
        <f>IFERROR(Table4[[#This Row],[energy_kwh]]/Table4[[#This Row],[expected_kwh]],0)</f>
        <v>0</v>
      </c>
      <c r="K1917" t="str">
        <f>IF(Table4[[#This Row],[Performance_Ratio]] &lt; 0.85, "Underperforming", "Performing")</f>
        <v>Underperforming</v>
      </c>
      <c r="L1917">
        <f>Table4[[#This Row],[energy_kwh]] - Table4[[#This Row],[expected_kwh]]</f>
        <v>0</v>
      </c>
      <c r="M1917" t="str">
        <f>IF(Table4[[#This Row],[Performance_Deviation]] &lt; 0, "Underperforming", "Outperforming")</f>
        <v>Outperforming</v>
      </c>
      <c r="N1917">
        <f>IF(Table4[[#This Row],[Performance_Ratio]] &lt; 0.85, Table4[[#This Row],[Performance_Deviation]] * 50 / 1000, 0)</f>
        <v>0</v>
      </c>
    </row>
    <row r="1918" spans="1:14" x14ac:dyDescent="0.3">
      <c r="A1918" s="4" t="s">
        <v>8</v>
      </c>
      <c r="B1918" s="3">
        <v>45309.833333333336</v>
      </c>
      <c r="C1918" s="4">
        <v>0</v>
      </c>
      <c r="D1918" s="4">
        <v>0</v>
      </c>
      <c r="E1918" s="4">
        <v>0</v>
      </c>
      <c r="F1918" s="4">
        <v>47.3613572230892</v>
      </c>
      <c r="G1918" s="4" t="str">
        <f t="shared" si="58"/>
        <v>OK</v>
      </c>
      <c r="H1918" s="4" t="str">
        <f t="shared" si="59"/>
        <v>ZERO</v>
      </c>
      <c r="I1918">
        <v>0</v>
      </c>
      <c r="J1918">
        <f>IFERROR(Table4[[#This Row],[energy_kwh]]/Table4[[#This Row],[expected_kwh]],0)</f>
        <v>0</v>
      </c>
      <c r="K1918" t="str">
        <f>IF(Table4[[#This Row],[Performance_Ratio]] &lt; 0.85, "Underperforming", "Performing")</f>
        <v>Underperforming</v>
      </c>
      <c r="L1918">
        <f>Table4[[#This Row],[energy_kwh]] - Table4[[#This Row],[expected_kwh]]</f>
        <v>0</v>
      </c>
      <c r="M1918" t="str">
        <f>IF(Table4[[#This Row],[Performance_Deviation]] &lt; 0, "Underperforming", "Outperforming")</f>
        <v>Outperforming</v>
      </c>
      <c r="N1918">
        <f>IF(Table4[[#This Row],[Performance_Ratio]] &lt; 0.85, Table4[[#This Row],[Performance_Deviation]] * 50 / 1000, 0)</f>
        <v>0</v>
      </c>
    </row>
    <row r="1919" spans="1:14" x14ac:dyDescent="0.3">
      <c r="A1919" s="6" t="s">
        <v>8</v>
      </c>
      <c r="B1919" s="5">
        <v>45309.875</v>
      </c>
      <c r="C1919" s="6">
        <v>0</v>
      </c>
      <c r="D1919" s="6">
        <v>0</v>
      </c>
      <c r="E1919" s="6">
        <v>0</v>
      </c>
      <c r="F1919" s="6">
        <v>45.125642746827097</v>
      </c>
      <c r="G1919" s="6" t="str">
        <f t="shared" si="58"/>
        <v>OK</v>
      </c>
      <c r="H1919" s="6" t="str">
        <f t="shared" si="59"/>
        <v>ZERO</v>
      </c>
      <c r="I1919">
        <v>0</v>
      </c>
      <c r="J1919">
        <f>IFERROR(Table4[[#This Row],[energy_kwh]]/Table4[[#This Row],[expected_kwh]],0)</f>
        <v>0</v>
      </c>
      <c r="K1919" t="str">
        <f>IF(Table4[[#This Row],[Performance_Ratio]] &lt; 0.85, "Underperforming", "Performing")</f>
        <v>Underperforming</v>
      </c>
      <c r="L1919">
        <f>Table4[[#This Row],[energy_kwh]] - Table4[[#This Row],[expected_kwh]]</f>
        <v>0</v>
      </c>
      <c r="M1919" t="str">
        <f>IF(Table4[[#This Row],[Performance_Deviation]] &lt; 0, "Underperforming", "Outperforming")</f>
        <v>Outperforming</v>
      </c>
      <c r="N1919">
        <f>IF(Table4[[#This Row],[Performance_Ratio]] &lt; 0.85, Table4[[#This Row],[Performance_Deviation]] * 50 / 1000, 0)</f>
        <v>0</v>
      </c>
    </row>
    <row r="1920" spans="1:14" x14ac:dyDescent="0.3">
      <c r="A1920" s="4" t="s">
        <v>8</v>
      </c>
      <c r="B1920" s="3">
        <v>45309.916666666664</v>
      </c>
      <c r="C1920" s="4">
        <v>0</v>
      </c>
      <c r="D1920" s="4">
        <v>0</v>
      </c>
      <c r="E1920" s="4">
        <v>0</v>
      </c>
      <c r="F1920" s="4">
        <v>41.718702850304503</v>
      </c>
      <c r="G1920" s="4" t="str">
        <f t="shared" si="58"/>
        <v>OK</v>
      </c>
      <c r="H1920" s="4" t="str">
        <f t="shared" si="59"/>
        <v>ZERO</v>
      </c>
      <c r="I1920">
        <v>0</v>
      </c>
      <c r="J1920">
        <f>IFERROR(Table4[[#This Row],[energy_kwh]]/Table4[[#This Row],[expected_kwh]],0)</f>
        <v>0</v>
      </c>
      <c r="K1920" t="str">
        <f>IF(Table4[[#This Row],[Performance_Ratio]] &lt; 0.85, "Underperforming", "Performing")</f>
        <v>Underperforming</v>
      </c>
      <c r="L1920">
        <f>Table4[[#This Row],[energy_kwh]] - Table4[[#This Row],[expected_kwh]]</f>
        <v>0</v>
      </c>
      <c r="M1920" t="str">
        <f>IF(Table4[[#This Row],[Performance_Deviation]] &lt; 0, "Underperforming", "Outperforming")</f>
        <v>Outperforming</v>
      </c>
      <c r="N1920">
        <f>IF(Table4[[#This Row],[Performance_Ratio]] &lt; 0.85, Table4[[#This Row],[Performance_Deviation]] * 50 / 1000, 0)</f>
        <v>0</v>
      </c>
    </row>
    <row r="1921" spans="1:14" x14ac:dyDescent="0.3">
      <c r="A1921" s="6" t="s">
        <v>8</v>
      </c>
      <c r="B1921" s="5">
        <v>45309.958333333336</v>
      </c>
      <c r="C1921" s="6">
        <v>0</v>
      </c>
      <c r="D1921" s="6">
        <v>0</v>
      </c>
      <c r="E1921" s="6">
        <v>0</v>
      </c>
      <c r="F1921" s="6">
        <v>34.346686752238497</v>
      </c>
      <c r="G1921" s="6" t="str">
        <f t="shared" si="58"/>
        <v>OK</v>
      </c>
      <c r="H1921" s="6" t="str">
        <f t="shared" si="59"/>
        <v>ZERO</v>
      </c>
      <c r="I1921">
        <v>0</v>
      </c>
      <c r="J1921">
        <f>IFERROR(Table4[[#This Row],[energy_kwh]]/Table4[[#This Row],[expected_kwh]],0)</f>
        <v>0</v>
      </c>
      <c r="K1921" t="str">
        <f>IF(Table4[[#This Row],[Performance_Ratio]] &lt; 0.85, "Underperforming", "Performing")</f>
        <v>Underperforming</v>
      </c>
      <c r="L1921">
        <f>Table4[[#This Row],[energy_kwh]] - Table4[[#This Row],[expected_kwh]]</f>
        <v>0</v>
      </c>
      <c r="M1921" t="str">
        <f>IF(Table4[[#This Row],[Performance_Deviation]] &lt; 0, "Underperforming", "Outperforming")</f>
        <v>Outperforming</v>
      </c>
      <c r="N1921">
        <f>IF(Table4[[#This Row],[Performance_Ratio]] &lt; 0.85, Table4[[#This Row],[Performance_Deviation]] * 50 / 1000, 0)</f>
        <v>0</v>
      </c>
    </row>
    <row r="1922" spans="1:14" x14ac:dyDescent="0.3">
      <c r="A1922" s="4" t="s">
        <v>8</v>
      </c>
      <c r="B1922" s="3">
        <v>45310</v>
      </c>
      <c r="C1922" s="4">
        <v>0</v>
      </c>
      <c r="D1922" s="4">
        <v>0</v>
      </c>
      <c r="E1922" s="4">
        <v>0</v>
      </c>
      <c r="F1922" s="4">
        <v>39.131541681604801</v>
      </c>
      <c r="G1922" s="4" t="str">
        <f t="shared" ref="G1922:G1985" si="60">IF(D1922 &gt; C1922, "ERROR", "OK")</f>
        <v>OK</v>
      </c>
      <c r="H1922" s="4" t="str">
        <f t="shared" ref="H1922:H1985" si="61">IF(E1922=0,"ZERO","NON-ZERO")</f>
        <v>ZERO</v>
      </c>
      <c r="I1922">
        <v>0</v>
      </c>
      <c r="J1922">
        <f>IFERROR(Table4[[#This Row],[energy_kwh]]/Table4[[#This Row],[expected_kwh]],0)</f>
        <v>0</v>
      </c>
      <c r="K1922" t="str">
        <f>IF(Table4[[#This Row],[Performance_Ratio]] &lt; 0.85, "Underperforming", "Performing")</f>
        <v>Underperforming</v>
      </c>
      <c r="L1922">
        <f>Table4[[#This Row],[energy_kwh]] - Table4[[#This Row],[expected_kwh]]</f>
        <v>0</v>
      </c>
      <c r="M1922" t="str">
        <f>IF(Table4[[#This Row],[Performance_Deviation]] &lt; 0, "Underperforming", "Outperforming")</f>
        <v>Outperforming</v>
      </c>
      <c r="N1922">
        <f>IF(Table4[[#This Row],[Performance_Ratio]] &lt; 0.85, Table4[[#This Row],[Performance_Deviation]] * 50 / 1000, 0)</f>
        <v>0</v>
      </c>
    </row>
    <row r="1923" spans="1:14" x14ac:dyDescent="0.3">
      <c r="A1923" s="6" t="s">
        <v>8</v>
      </c>
      <c r="B1923" s="5">
        <v>45310.041666666664</v>
      </c>
      <c r="C1923" s="6">
        <v>0</v>
      </c>
      <c r="D1923" s="6">
        <v>0</v>
      </c>
      <c r="E1923" s="6">
        <v>0</v>
      </c>
      <c r="F1923" s="6">
        <v>42.906012390706302</v>
      </c>
      <c r="G1923" s="6" t="str">
        <f t="shared" si="60"/>
        <v>OK</v>
      </c>
      <c r="H1923" s="6" t="str">
        <f t="shared" si="61"/>
        <v>ZERO</v>
      </c>
      <c r="I1923">
        <v>0</v>
      </c>
      <c r="J1923">
        <f>IFERROR(Table4[[#This Row],[energy_kwh]]/Table4[[#This Row],[expected_kwh]],0)</f>
        <v>0</v>
      </c>
      <c r="K1923" t="str">
        <f>IF(Table4[[#This Row],[Performance_Ratio]] &lt; 0.85, "Underperforming", "Performing")</f>
        <v>Underperforming</v>
      </c>
      <c r="L1923">
        <f>Table4[[#This Row],[energy_kwh]] - Table4[[#This Row],[expected_kwh]]</f>
        <v>0</v>
      </c>
      <c r="M1923" t="str">
        <f>IF(Table4[[#This Row],[Performance_Deviation]] &lt; 0, "Underperforming", "Outperforming")</f>
        <v>Outperforming</v>
      </c>
      <c r="N1923">
        <f>IF(Table4[[#This Row],[Performance_Ratio]] &lt; 0.85, Table4[[#This Row],[Performance_Deviation]] * 50 / 1000, 0)</f>
        <v>0</v>
      </c>
    </row>
    <row r="1924" spans="1:14" x14ac:dyDescent="0.3">
      <c r="A1924" s="4" t="s">
        <v>8</v>
      </c>
      <c r="B1924" s="3">
        <v>45310.083333333336</v>
      </c>
      <c r="C1924" s="4">
        <v>0</v>
      </c>
      <c r="D1924" s="4">
        <v>0</v>
      </c>
      <c r="E1924" s="4">
        <v>0</v>
      </c>
      <c r="F1924" s="4">
        <v>61.835759430157502</v>
      </c>
      <c r="G1924" s="4" t="str">
        <f t="shared" si="60"/>
        <v>OK</v>
      </c>
      <c r="H1924" s="4" t="str">
        <f t="shared" si="61"/>
        <v>ZERO</v>
      </c>
      <c r="I1924">
        <v>0</v>
      </c>
      <c r="J1924">
        <f>IFERROR(Table4[[#This Row],[energy_kwh]]/Table4[[#This Row],[expected_kwh]],0)</f>
        <v>0</v>
      </c>
      <c r="K1924" t="str">
        <f>IF(Table4[[#This Row],[Performance_Ratio]] &lt; 0.85, "Underperforming", "Performing")</f>
        <v>Underperforming</v>
      </c>
      <c r="L1924">
        <f>Table4[[#This Row],[energy_kwh]] - Table4[[#This Row],[expected_kwh]]</f>
        <v>0</v>
      </c>
      <c r="M1924" t="str">
        <f>IF(Table4[[#This Row],[Performance_Deviation]] &lt; 0, "Underperforming", "Outperforming")</f>
        <v>Outperforming</v>
      </c>
      <c r="N1924">
        <f>IF(Table4[[#This Row],[Performance_Ratio]] &lt; 0.85, Table4[[#This Row],[Performance_Deviation]] * 50 / 1000, 0)</f>
        <v>0</v>
      </c>
    </row>
    <row r="1925" spans="1:14" x14ac:dyDescent="0.3">
      <c r="A1925" s="6" t="s">
        <v>8</v>
      </c>
      <c r="B1925" s="5">
        <v>45310.125</v>
      </c>
      <c r="C1925" s="6">
        <v>0</v>
      </c>
      <c r="D1925" s="6">
        <v>0</v>
      </c>
      <c r="E1925" s="6">
        <v>0</v>
      </c>
      <c r="F1925" s="6">
        <v>62.212267791095201</v>
      </c>
      <c r="G1925" s="6" t="str">
        <f t="shared" si="60"/>
        <v>OK</v>
      </c>
      <c r="H1925" s="6" t="str">
        <f t="shared" si="61"/>
        <v>ZERO</v>
      </c>
      <c r="I1925">
        <v>0</v>
      </c>
      <c r="J1925">
        <f>IFERROR(Table4[[#This Row],[energy_kwh]]/Table4[[#This Row],[expected_kwh]],0)</f>
        <v>0</v>
      </c>
      <c r="K1925" t="str">
        <f>IF(Table4[[#This Row],[Performance_Ratio]] &lt; 0.85, "Underperforming", "Performing")</f>
        <v>Underperforming</v>
      </c>
      <c r="L1925">
        <f>Table4[[#This Row],[energy_kwh]] - Table4[[#This Row],[expected_kwh]]</f>
        <v>0</v>
      </c>
      <c r="M1925" t="str">
        <f>IF(Table4[[#This Row],[Performance_Deviation]] &lt; 0, "Underperforming", "Outperforming")</f>
        <v>Outperforming</v>
      </c>
      <c r="N1925">
        <f>IF(Table4[[#This Row],[Performance_Ratio]] &lt; 0.85, Table4[[#This Row],[Performance_Deviation]] * 50 / 1000, 0)</f>
        <v>0</v>
      </c>
    </row>
    <row r="1926" spans="1:14" x14ac:dyDescent="0.3">
      <c r="A1926" s="4" t="s">
        <v>8</v>
      </c>
      <c r="B1926" s="3">
        <v>45310.166666666664</v>
      </c>
      <c r="C1926" s="4">
        <v>0</v>
      </c>
      <c r="D1926" s="4">
        <v>0</v>
      </c>
      <c r="E1926" s="4">
        <v>0</v>
      </c>
      <c r="F1926" s="4">
        <v>34.443622434389503</v>
      </c>
      <c r="G1926" s="4" t="str">
        <f t="shared" si="60"/>
        <v>OK</v>
      </c>
      <c r="H1926" s="4" t="str">
        <f t="shared" si="61"/>
        <v>ZERO</v>
      </c>
      <c r="I1926">
        <v>0</v>
      </c>
      <c r="J1926">
        <f>IFERROR(Table4[[#This Row],[energy_kwh]]/Table4[[#This Row],[expected_kwh]],0)</f>
        <v>0</v>
      </c>
      <c r="K1926" t="str">
        <f>IF(Table4[[#This Row],[Performance_Ratio]] &lt; 0.85, "Underperforming", "Performing")</f>
        <v>Underperforming</v>
      </c>
      <c r="L1926">
        <f>Table4[[#This Row],[energy_kwh]] - Table4[[#This Row],[expected_kwh]]</f>
        <v>0</v>
      </c>
      <c r="M1926" t="str">
        <f>IF(Table4[[#This Row],[Performance_Deviation]] &lt; 0, "Underperforming", "Outperforming")</f>
        <v>Outperforming</v>
      </c>
      <c r="N1926">
        <f>IF(Table4[[#This Row],[Performance_Ratio]] &lt; 0.85, Table4[[#This Row],[Performance_Deviation]] * 50 / 1000, 0)</f>
        <v>0</v>
      </c>
    </row>
    <row r="1927" spans="1:14" x14ac:dyDescent="0.3">
      <c r="A1927" s="6" t="s">
        <v>8</v>
      </c>
      <c r="B1927" s="5">
        <v>45310.208333333336</v>
      </c>
      <c r="C1927" s="6">
        <v>0</v>
      </c>
      <c r="D1927" s="6">
        <v>0</v>
      </c>
      <c r="E1927" s="6">
        <v>0</v>
      </c>
      <c r="F1927" s="6">
        <v>46.242159773554903</v>
      </c>
      <c r="G1927" s="6" t="str">
        <f t="shared" si="60"/>
        <v>OK</v>
      </c>
      <c r="H1927" s="6" t="str">
        <f t="shared" si="61"/>
        <v>ZERO</v>
      </c>
      <c r="I1927">
        <v>0</v>
      </c>
      <c r="J1927">
        <f>IFERROR(Table4[[#This Row],[energy_kwh]]/Table4[[#This Row],[expected_kwh]],0)</f>
        <v>0</v>
      </c>
      <c r="K1927" t="str">
        <f>IF(Table4[[#This Row],[Performance_Ratio]] &lt; 0.85, "Underperforming", "Performing")</f>
        <v>Underperforming</v>
      </c>
      <c r="L1927">
        <f>Table4[[#This Row],[energy_kwh]] - Table4[[#This Row],[expected_kwh]]</f>
        <v>0</v>
      </c>
      <c r="M1927" t="str">
        <f>IF(Table4[[#This Row],[Performance_Deviation]] &lt; 0, "Underperforming", "Outperforming")</f>
        <v>Outperforming</v>
      </c>
      <c r="N1927">
        <f>IF(Table4[[#This Row],[Performance_Ratio]] &lt; 0.85, Table4[[#This Row],[Performance_Deviation]] * 50 / 1000, 0)</f>
        <v>0</v>
      </c>
    </row>
    <row r="1928" spans="1:14" x14ac:dyDescent="0.3">
      <c r="A1928" s="4" t="s">
        <v>8</v>
      </c>
      <c r="B1928" s="3">
        <v>45310.25</v>
      </c>
      <c r="C1928" s="4">
        <v>0</v>
      </c>
      <c r="D1928" s="4">
        <v>0</v>
      </c>
      <c r="E1928" s="4">
        <v>0</v>
      </c>
      <c r="F1928" s="4">
        <v>59.385563882722202</v>
      </c>
      <c r="G1928" s="4" t="str">
        <f t="shared" si="60"/>
        <v>OK</v>
      </c>
      <c r="H1928" s="4" t="str">
        <f t="shared" si="61"/>
        <v>ZERO</v>
      </c>
      <c r="I1928">
        <v>0</v>
      </c>
      <c r="J1928">
        <f>IFERROR(Table4[[#This Row],[energy_kwh]]/Table4[[#This Row],[expected_kwh]],0)</f>
        <v>0</v>
      </c>
      <c r="K1928" t="str">
        <f>IF(Table4[[#This Row],[Performance_Ratio]] &lt; 0.85, "Underperforming", "Performing")</f>
        <v>Underperforming</v>
      </c>
      <c r="L1928">
        <f>Table4[[#This Row],[energy_kwh]] - Table4[[#This Row],[expected_kwh]]</f>
        <v>0</v>
      </c>
      <c r="M1928" t="str">
        <f>IF(Table4[[#This Row],[Performance_Deviation]] &lt; 0, "Underperforming", "Outperforming")</f>
        <v>Outperforming</v>
      </c>
      <c r="N1928">
        <f>IF(Table4[[#This Row],[Performance_Ratio]] &lt; 0.85, Table4[[#This Row],[Performance_Deviation]] * 50 / 1000, 0)</f>
        <v>0</v>
      </c>
    </row>
    <row r="1929" spans="1:14" x14ac:dyDescent="0.3">
      <c r="A1929" s="6" t="s">
        <v>8</v>
      </c>
      <c r="B1929" s="5">
        <v>45310.291666666664</v>
      </c>
      <c r="C1929" s="6">
        <v>207.63175010212001</v>
      </c>
      <c r="D1929" s="6">
        <v>201.25325242409099</v>
      </c>
      <c r="E1929" s="6">
        <v>201.25325242409099</v>
      </c>
      <c r="F1929" s="6">
        <v>79.7710628011734</v>
      </c>
      <c r="G1929" s="6" t="str">
        <f t="shared" si="60"/>
        <v>OK</v>
      </c>
      <c r="H1929" s="6" t="str">
        <f t="shared" si="61"/>
        <v>NON-ZERO</v>
      </c>
      <c r="I1929">
        <v>207.05523608201599</v>
      </c>
      <c r="J1929">
        <f>IFERROR(Table4[[#This Row],[energy_kwh]]/Table4[[#This Row],[expected_kwh]],0)</f>
        <v>0.97197857070551552</v>
      </c>
      <c r="K1929" t="str">
        <f>IF(Table4[[#This Row],[Performance_Ratio]] &lt; 0.85, "Underperforming", "Performing")</f>
        <v>Performing</v>
      </c>
      <c r="L1929">
        <f>Table4[[#This Row],[energy_kwh]] - Table4[[#This Row],[expected_kwh]]</f>
        <v>-5.8019836579250068</v>
      </c>
      <c r="M1929" t="str">
        <f>IF(Table4[[#This Row],[Performance_Deviation]] &lt; 0, "Underperforming", "Outperforming")</f>
        <v>Underperforming</v>
      </c>
      <c r="N1929">
        <f>IF(Table4[[#This Row],[Performance_Ratio]] &lt; 0.85, Table4[[#This Row],[Performance_Deviation]] * 50 / 1000, 0)</f>
        <v>0</v>
      </c>
    </row>
    <row r="1930" spans="1:14" x14ac:dyDescent="0.3">
      <c r="A1930" s="4" t="s">
        <v>8</v>
      </c>
      <c r="B1930" s="3">
        <v>45310.333333333336</v>
      </c>
      <c r="C1930" s="4">
        <v>356.12481954548002</v>
      </c>
      <c r="D1930" s="4">
        <v>345.18457879019002</v>
      </c>
      <c r="E1930" s="4">
        <v>345.18457879019002</v>
      </c>
      <c r="F1930" s="4">
        <v>79.452755433556305</v>
      </c>
      <c r="G1930" s="4" t="str">
        <f t="shared" si="60"/>
        <v>OK</v>
      </c>
      <c r="H1930" s="4" t="str">
        <f t="shared" si="61"/>
        <v>NON-ZERO</v>
      </c>
      <c r="I1930">
        <v>399.99999999999898</v>
      </c>
      <c r="J1930">
        <f>IFERROR(Table4[[#This Row],[energy_kwh]]/Table4[[#This Row],[expected_kwh]],0)</f>
        <v>0.86296144697547728</v>
      </c>
      <c r="K1930" t="str">
        <f>IF(Table4[[#This Row],[Performance_Ratio]] &lt; 0.85, "Underperforming", "Performing")</f>
        <v>Performing</v>
      </c>
      <c r="L1930">
        <f>Table4[[#This Row],[energy_kwh]] - Table4[[#This Row],[expected_kwh]]</f>
        <v>-54.81542120980896</v>
      </c>
      <c r="M1930" t="str">
        <f>IF(Table4[[#This Row],[Performance_Deviation]] &lt; 0, "Underperforming", "Outperforming")</f>
        <v>Underperforming</v>
      </c>
      <c r="N1930">
        <f>IF(Table4[[#This Row],[Performance_Ratio]] &lt; 0.85, Table4[[#This Row],[Performance_Deviation]] * 50 / 1000, 0)</f>
        <v>0</v>
      </c>
    </row>
    <row r="1931" spans="1:14" x14ac:dyDescent="0.3">
      <c r="A1931" s="6" t="s">
        <v>8</v>
      </c>
      <c r="B1931" s="5">
        <v>45310.375</v>
      </c>
      <c r="C1931" s="6">
        <v>544.97578235238404</v>
      </c>
      <c r="D1931" s="6">
        <v>528.23399425587604</v>
      </c>
      <c r="E1931" s="6">
        <v>528.23399425587604</v>
      </c>
      <c r="F1931" s="6">
        <v>73.262994994262002</v>
      </c>
      <c r="G1931" s="6" t="str">
        <f t="shared" si="60"/>
        <v>OK</v>
      </c>
      <c r="H1931" s="6" t="str">
        <f t="shared" si="61"/>
        <v>NON-ZERO</v>
      </c>
      <c r="I1931">
        <v>565.68542494923804</v>
      </c>
      <c r="J1931">
        <f>IFERROR(Table4[[#This Row],[energy_kwh]]/Table4[[#This Row],[expected_kwh]],0)</f>
        <v>0.93379459847896429</v>
      </c>
      <c r="K1931" t="str">
        <f>IF(Table4[[#This Row],[Performance_Ratio]] &lt; 0.85, "Underperforming", "Performing")</f>
        <v>Performing</v>
      </c>
      <c r="L1931">
        <f>Table4[[#This Row],[energy_kwh]] - Table4[[#This Row],[expected_kwh]]</f>
        <v>-37.451430693361999</v>
      </c>
      <c r="M1931" t="str">
        <f>IF(Table4[[#This Row],[Performance_Deviation]] &lt; 0, "Underperforming", "Outperforming")</f>
        <v>Underperforming</v>
      </c>
      <c r="N1931">
        <f>IF(Table4[[#This Row],[Performance_Ratio]] &lt; 0.85, Table4[[#This Row],[Performance_Deviation]] * 50 / 1000, 0)</f>
        <v>0</v>
      </c>
    </row>
    <row r="1932" spans="1:14" x14ac:dyDescent="0.3">
      <c r="A1932" s="4" t="s">
        <v>8</v>
      </c>
      <c r="B1932" s="3">
        <v>45310.416666666664</v>
      </c>
      <c r="C1932" s="4">
        <v>573.572403130015</v>
      </c>
      <c r="D1932" s="4">
        <v>555.95211991346901</v>
      </c>
      <c r="E1932" s="4">
        <v>555.95211991346901</v>
      </c>
      <c r="F1932" s="4">
        <v>64.315394223069305</v>
      </c>
      <c r="G1932" s="4" t="str">
        <f t="shared" si="60"/>
        <v>OK</v>
      </c>
      <c r="H1932" s="4" t="str">
        <f t="shared" si="61"/>
        <v>NON-ZERO</v>
      </c>
      <c r="I1932">
        <v>692.82032302754999</v>
      </c>
      <c r="J1932">
        <f>IFERROR(Table4[[#This Row],[energy_kwh]]/Table4[[#This Row],[expected_kwh]],0)</f>
        <v>0.80244776522146211</v>
      </c>
      <c r="K1932" t="str">
        <f>IF(Table4[[#This Row],[Performance_Ratio]] &lt; 0.85, "Underperforming", "Performing")</f>
        <v>Underperforming</v>
      </c>
      <c r="L1932">
        <f>Table4[[#This Row],[energy_kwh]] - Table4[[#This Row],[expected_kwh]]</f>
        <v>-136.86820311408098</v>
      </c>
      <c r="M1932" t="str">
        <f>IF(Table4[[#This Row],[Performance_Deviation]] &lt; 0, "Underperforming", "Outperforming")</f>
        <v>Underperforming</v>
      </c>
      <c r="N1932">
        <f>IF(Table4[[#This Row],[Performance_Ratio]] &lt; 0.85, Table4[[#This Row],[Performance_Deviation]] * 50 / 1000, 0)</f>
        <v>-6.8434101557040492</v>
      </c>
    </row>
    <row r="1933" spans="1:14" x14ac:dyDescent="0.3">
      <c r="A1933" s="6" t="s">
        <v>8</v>
      </c>
      <c r="B1933" s="5">
        <v>45310.458333333336</v>
      </c>
      <c r="C1933" s="6">
        <v>684.24970910836305</v>
      </c>
      <c r="D1933" s="6">
        <v>663.22939223200297</v>
      </c>
      <c r="E1933" s="6">
        <v>663.22939223200297</v>
      </c>
      <c r="F1933" s="6">
        <v>89.109330216239698</v>
      </c>
      <c r="G1933" s="6" t="str">
        <f t="shared" si="60"/>
        <v>OK</v>
      </c>
      <c r="H1933" s="6" t="str">
        <f t="shared" si="61"/>
        <v>NON-ZERO</v>
      </c>
      <c r="I1933">
        <v>772.74066103125404</v>
      </c>
      <c r="J1933">
        <f>IFERROR(Table4[[#This Row],[energy_kwh]]/Table4[[#This Row],[expected_kwh]],0)</f>
        <v>0.85828198990706173</v>
      </c>
      <c r="K1933" t="str">
        <f>IF(Table4[[#This Row],[Performance_Ratio]] &lt; 0.85, "Underperforming", "Performing")</f>
        <v>Performing</v>
      </c>
      <c r="L1933">
        <f>Table4[[#This Row],[energy_kwh]] - Table4[[#This Row],[expected_kwh]]</f>
        <v>-109.51126879925107</v>
      </c>
      <c r="M1933" t="str">
        <f>IF(Table4[[#This Row],[Performance_Deviation]] &lt; 0, "Underperforming", "Outperforming")</f>
        <v>Underperforming</v>
      </c>
      <c r="N1933">
        <f>IF(Table4[[#This Row],[Performance_Ratio]] &lt; 0.85, Table4[[#This Row],[Performance_Deviation]] * 50 / 1000, 0)</f>
        <v>0</v>
      </c>
    </row>
    <row r="1934" spans="1:14" x14ac:dyDescent="0.3">
      <c r="A1934" s="4" t="s">
        <v>8</v>
      </c>
      <c r="B1934" s="3">
        <v>45310.5</v>
      </c>
      <c r="C1934" s="4">
        <v>688.95324929678202</v>
      </c>
      <c r="D1934" s="4">
        <v>667.78843852603597</v>
      </c>
      <c r="E1934" s="4">
        <v>667.78843852603597</v>
      </c>
      <c r="F1934" s="4">
        <v>93.577211683630694</v>
      </c>
      <c r="G1934" s="4" t="str">
        <f t="shared" si="60"/>
        <v>OK</v>
      </c>
      <c r="H1934" s="4" t="str">
        <f t="shared" si="61"/>
        <v>NON-ZERO</v>
      </c>
      <c r="I1934">
        <v>800</v>
      </c>
      <c r="J1934">
        <f>IFERROR(Table4[[#This Row],[energy_kwh]]/Table4[[#This Row],[expected_kwh]],0)</f>
        <v>0.83473554815754492</v>
      </c>
      <c r="K1934" t="str">
        <f>IF(Table4[[#This Row],[Performance_Ratio]] &lt; 0.85, "Underperforming", "Performing")</f>
        <v>Underperforming</v>
      </c>
      <c r="L1934">
        <f>Table4[[#This Row],[energy_kwh]] - Table4[[#This Row],[expected_kwh]]</f>
        <v>-132.21156147396403</v>
      </c>
      <c r="M1934" t="str">
        <f>IF(Table4[[#This Row],[Performance_Deviation]] &lt; 0, "Underperforming", "Outperforming")</f>
        <v>Underperforming</v>
      </c>
      <c r="N1934">
        <f>IF(Table4[[#This Row],[Performance_Ratio]] &lt; 0.85, Table4[[#This Row],[Performance_Deviation]] * 50 / 1000, 0)</f>
        <v>-6.6105780736982016</v>
      </c>
    </row>
    <row r="1935" spans="1:14" x14ac:dyDescent="0.3">
      <c r="A1935" s="6" t="s">
        <v>8</v>
      </c>
      <c r="B1935" s="5">
        <v>45310.541666666664</v>
      </c>
      <c r="C1935" s="6">
        <v>830.74395954828196</v>
      </c>
      <c r="D1935" s="6">
        <v>805.223303798816</v>
      </c>
      <c r="E1935" s="6">
        <v>805.223303798816</v>
      </c>
      <c r="F1935" s="6">
        <v>26.419966461707599</v>
      </c>
      <c r="G1935" s="6" t="str">
        <f t="shared" si="60"/>
        <v>OK</v>
      </c>
      <c r="H1935" s="6" t="str">
        <f t="shared" si="61"/>
        <v>NON-ZERO</v>
      </c>
      <c r="I1935">
        <v>772.74066103125404</v>
      </c>
      <c r="J1935">
        <f>IFERROR(Table4[[#This Row],[energy_kwh]]/Table4[[#This Row],[expected_kwh]],0)</f>
        <v>1.0420356329175335</v>
      </c>
      <c r="K1935" t="str">
        <f>IF(Table4[[#This Row],[Performance_Ratio]] &lt; 0.85, "Underperforming", "Performing")</f>
        <v>Performing</v>
      </c>
      <c r="L1935">
        <f>Table4[[#This Row],[energy_kwh]] - Table4[[#This Row],[expected_kwh]]</f>
        <v>32.48264276756197</v>
      </c>
      <c r="M1935" t="str">
        <f>IF(Table4[[#This Row],[Performance_Deviation]] &lt; 0, "Underperforming", "Outperforming")</f>
        <v>Outperforming</v>
      </c>
      <c r="N1935">
        <f>IF(Table4[[#This Row],[Performance_Ratio]] &lt; 0.85, Table4[[#This Row],[Performance_Deviation]] * 50 / 1000, 0)</f>
        <v>0</v>
      </c>
    </row>
    <row r="1936" spans="1:14" x14ac:dyDescent="0.3">
      <c r="A1936" s="4" t="s">
        <v>8</v>
      </c>
      <c r="B1936" s="3">
        <v>45310.583333333336</v>
      </c>
      <c r="C1936" s="4">
        <v>685.73476660750998</v>
      </c>
      <c r="D1936" s="4">
        <v>664.66882840490496</v>
      </c>
      <c r="E1936" s="4">
        <v>664.66882840490496</v>
      </c>
      <c r="F1936" s="4">
        <v>21.046176401893302</v>
      </c>
      <c r="G1936" s="4" t="str">
        <f t="shared" si="60"/>
        <v>OK</v>
      </c>
      <c r="H1936" s="4" t="str">
        <f t="shared" si="61"/>
        <v>NON-ZERO</v>
      </c>
      <c r="I1936">
        <v>692.82032302755101</v>
      </c>
      <c r="J1936">
        <f>IFERROR(Table4[[#This Row],[energy_kwh]]/Table4[[#This Row],[expected_kwh]],0)</f>
        <v>0.95936681750381247</v>
      </c>
      <c r="K1936" t="str">
        <f>IF(Table4[[#This Row],[Performance_Ratio]] &lt; 0.85, "Underperforming", "Performing")</f>
        <v>Performing</v>
      </c>
      <c r="L1936">
        <f>Table4[[#This Row],[energy_kwh]] - Table4[[#This Row],[expected_kwh]]</f>
        <v>-28.151494622646055</v>
      </c>
      <c r="M1936" t="str">
        <f>IF(Table4[[#This Row],[Performance_Deviation]] &lt; 0, "Underperforming", "Outperforming")</f>
        <v>Underperforming</v>
      </c>
      <c r="N1936">
        <f>IF(Table4[[#This Row],[Performance_Ratio]] &lt; 0.85, Table4[[#This Row],[Performance_Deviation]] * 50 / 1000, 0)</f>
        <v>0</v>
      </c>
    </row>
    <row r="1937" spans="1:14" x14ac:dyDescent="0.3">
      <c r="A1937" s="6" t="s">
        <v>8</v>
      </c>
      <c r="B1937" s="5">
        <v>45310.625</v>
      </c>
      <c r="C1937" s="6">
        <v>509.84016143958303</v>
      </c>
      <c r="D1937" s="6">
        <v>494.17774813184502</v>
      </c>
      <c r="E1937" s="6">
        <v>494.17774813184502</v>
      </c>
      <c r="F1937" s="6">
        <v>65.862113953939897</v>
      </c>
      <c r="G1937" s="6" t="str">
        <f t="shared" si="60"/>
        <v>OK</v>
      </c>
      <c r="H1937" s="6" t="str">
        <f t="shared" si="61"/>
        <v>NON-ZERO</v>
      </c>
      <c r="I1937">
        <v>565.68542494923804</v>
      </c>
      <c r="J1937">
        <f>IFERROR(Table4[[#This Row],[energy_kwh]]/Table4[[#This Row],[expected_kwh]],0)</f>
        <v>0.87359109203881324</v>
      </c>
      <c r="K1937" t="str">
        <f>IF(Table4[[#This Row],[Performance_Ratio]] &lt; 0.85, "Underperforming", "Performing")</f>
        <v>Performing</v>
      </c>
      <c r="L1937">
        <f>Table4[[#This Row],[energy_kwh]] - Table4[[#This Row],[expected_kwh]]</f>
        <v>-71.507676817393019</v>
      </c>
      <c r="M1937" t="str">
        <f>IF(Table4[[#This Row],[Performance_Deviation]] &lt; 0, "Underperforming", "Outperforming")</f>
        <v>Underperforming</v>
      </c>
      <c r="N1937">
        <f>IF(Table4[[#This Row],[Performance_Ratio]] &lt; 0.85, Table4[[#This Row],[Performance_Deviation]] * 50 / 1000, 0)</f>
        <v>0</v>
      </c>
    </row>
    <row r="1938" spans="1:14" x14ac:dyDescent="0.3">
      <c r="A1938" s="4" t="s">
        <v>8</v>
      </c>
      <c r="B1938" s="3">
        <v>45310.666666666664</v>
      </c>
      <c r="C1938" s="4">
        <v>350.92042343099502</v>
      </c>
      <c r="D1938" s="4">
        <v>340.14006298550999</v>
      </c>
      <c r="E1938" s="4">
        <v>340.14006298550999</v>
      </c>
      <c r="F1938" s="4">
        <v>64.170201692191</v>
      </c>
      <c r="G1938" s="4" t="str">
        <f t="shared" si="60"/>
        <v>OK</v>
      </c>
      <c r="H1938" s="4" t="str">
        <f t="shared" si="61"/>
        <v>NON-ZERO</v>
      </c>
      <c r="I1938">
        <v>399.99999999999898</v>
      </c>
      <c r="J1938">
        <f>IFERROR(Table4[[#This Row],[energy_kwh]]/Table4[[#This Row],[expected_kwh]],0)</f>
        <v>0.85035015746377718</v>
      </c>
      <c r="K1938" t="str">
        <f>IF(Table4[[#This Row],[Performance_Ratio]] &lt; 0.85, "Underperforming", "Performing")</f>
        <v>Performing</v>
      </c>
      <c r="L1938">
        <f>Table4[[#This Row],[energy_kwh]] - Table4[[#This Row],[expected_kwh]]</f>
        <v>-59.859937014488992</v>
      </c>
      <c r="M1938" t="str">
        <f>IF(Table4[[#This Row],[Performance_Deviation]] &lt; 0, "Underperforming", "Outperforming")</f>
        <v>Underperforming</v>
      </c>
      <c r="N1938">
        <f>IF(Table4[[#This Row],[Performance_Ratio]] &lt; 0.85, Table4[[#This Row],[Performance_Deviation]] * 50 / 1000, 0)</f>
        <v>0</v>
      </c>
    </row>
    <row r="1939" spans="1:14" x14ac:dyDescent="0.3">
      <c r="A1939" s="6" t="s">
        <v>8</v>
      </c>
      <c r="B1939" s="5">
        <v>45310.708333333336</v>
      </c>
      <c r="C1939" s="6">
        <v>215.43477312350399</v>
      </c>
      <c r="D1939" s="6">
        <v>208.816564687371</v>
      </c>
      <c r="E1939" s="6">
        <v>208.816564687371</v>
      </c>
      <c r="F1939" s="6">
        <v>58.230163250295199</v>
      </c>
      <c r="G1939" s="6" t="str">
        <f t="shared" si="60"/>
        <v>OK</v>
      </c>
      <c r="H1939" s="6" t="str">
        <f t="shared" si="61"/>
        <v>NON-ZERO</v>
      </c>
      <c r="I1939">
        <v>207.05523608201599</v>
      </c>
      <c r="J1939">
        <f>IFERROR(Table4[[#This Row],[energy_kwh]]/Table4[[#This Row],[expected_kwh]],0)</f>
        <v>1.0085065639424706</v>
      </c>
      <c r="K1939" t="str">
        <f>IF(Table4[[#This Row],[Performance_Ratio]] &lt; 0.85, "Underperforming", "Performing")</f>
        <v>Performing</v>
      </c>
      <c r="L1939">
        <f>Table4[[#This Row],[energy_kwh]] - Table4[[#This Row],[expected_kwh]]</f>
        <v>1.7613286053550041</v>
      </c>
      <c r="M1939" t="str">
        <f>IF(Table4[[#This Row],[Performance_Deviation]] &lt; 0, "Underperforming", "Outperforming")</f>
        <v>Outperforming</v>
      </c>
      <c r="N1939">
        <f>IF(Table4[[#This Row],[Performance_Ratio]] &lt; 0.85, Table4[[#This Row],[Performance_Deviation]] * 50 / 1000, 0)</f>
        <v>0</v>
      </c>
    </row>
    <row r="1940" spans="1:14" x14ac:dyDescent="0.3">
      <c r="A1940" s="4" t="s">
        <v>8</v>
      </c>
      <c r="B1940" s="3">
        <v>45310.75</v>
      </c>
      <c r="C1940" s="7">
        <v>8.0334526239430798E-14</v>
      </c>
      <c r="D1940" s="7">
        <v>7.7866630126086997E-14</v>
      </c>
      <c r="E1940" s="7">
        <v>7.7866630126086997E-14</v>
      </c>
      <c r="F1940" s="4">
        <v>93.201511814336996</v>
      </c>
      <c r="G1940" s="4" t="str">
        <f t="shared" si="60"/>
        <v>OK</v>
      </c>
      <c r="H1940" s="4" t="str">
        <f t="shared" si="61"/>
        <v>NON-ZERO</v>
      </c>
      <c r="I1940" s="2">
        <v>9.7971743931788194E-14</v>
      </c>
      <c r="J1940">
        <f>IFERROR(Table4[[#This Row],[energy_kwh]]/Table4[[#This Row],[expected_kwh]],0)</f>
        <v>0.79478660888491304</v>
      </c>
      <c r="K1940" t="str">
        <f>IF(Table4[[#This Row],[Performance_Ratio]] &lt; 0.85, "Underperforming", "Performing")</f>
        <v>Underperforming</v>
      </c>
      <c r="L1940">
        <f>Table4[[#This Row],[energy_kwh]] - Table4[[#This Row],[expected_kwh]]</f>
        <v>-2.0105113805701197E-14</v>
      </c>
      <c r="M1940" t="str">
        <f>IF(Table4[[#This Row],[Performance_Deviation]] &lt; 0, "Underperforming", "Outperforming")</f>
        <v>Underperforming</v>
      </c>
      <c r="N1940">
        <f>IF(Table4[[#This Row],[Performance_Ratio]] &lt; 0.85, Table4[[#This Row],[Performance_Deviation]] * 50 / 1000, 0)</f>
        <v>-1.0052556902850599E-15</v>
      </c>
    </row>
    <row r="1941" spans="1:14" x14ac:dyDescent="0.3">
      <c r="A1941" s="6" t="s">
        <v>8</v>
      </c>
      <c r="B1941" s="5">
        <v>45310.791666666664</v>
      </c>
      <c r="C1941" s="6">
        <v>0</v>
      </c>
      <c r="D1941" s="6">
        <v>0</v>
      </c>
      <c r="E1941" s="6">
        <v>0</v>
      </c>
      <c r="F1941" s="6">
        <v>64.084655379977903</v>
      </c>
      <c r="G1941" s="6" t="str">
        <f t="shared" si="60"/>
        <v>OK</v>
      </c>
      <c r="H1941" s="6" t="str">
        <f t="shared" si="61"/>
        <v>ZERO</v>
      </c>
      <c r="I1941">
        <v>0</v>
      </c>
      <c r="J1941">
        <f>IFERROR(Table4[[#This Row],[energy_kwh]]/Table4[[#This Row],[expected_kwh]],0)</f>
        <v>0</v>
      </c>
      <c r="K1941" t="str">
        <f>IF(Table4[[#This Row],[Performance_Ratio]] &lt; 0.85, "Underperforming", "Performing")</f>
        <v>Underperforming</v>
      </c>
      <c r="L1941">
        <f>Table4[[#This Row],[energy_kwh]] - Table4[[#This Row],[expected_kwh]]</f>
        <v>0</v>
      </c>
      <c r="M1941" t="str">
        <f>IF(Table4[[#This Row],[Performance_Deviation]] &lt; 0, "Underperforming", "Outperforming")</f>
        <v>Outperforming</v>
      </c>
      <c r="N1941">
        <f>IF(Table4[[#This Row],[Performance_Ratio]] &lt; 0.85, Table4[[#This Row],[Performance_Deviation]] * 50 / 1000, 0)</f>
        <v>0</v>
      </c>
    </row>
    <row r="1942" spans="1:14" x14ac:dyDescent="0.3">
      <c r="A1942" s="4" t="s">
        <v>8</v>
      </c>
      <c r="B1942" s="3">
        <v>45310.833333333336</v>
      </c>
      <c r="C1942" s="4">
        <v>0</v>
      </c>
      <c r="D1942" s="4">
        <v>0</v>
      </c>
      <c r="E1942" s="4">
        <v>0</v>
      </c>
      <c r="F1942" s="4">
        <v>58.279454101152901</v>
      </c>
      <c r="G1942" s="4" t="str">
        <f t="shared" si="60"/>
        <v>OK</v>
      </c>
      <c r="H1942" s="4" t="str">
        <f t="shared" si="61"/>
        <v>ZERO</v>
      </c>
      <c r="I1942">
        <v>0</v>
      </c>
      <c r="J1942">
        <f>IFERROR(Table4[[#This Row],[energy_kwh]]/Table4[[#This Row],[expected_kwh]],0)</f>
        <v>0</v>
      </c>
      <c r="K1942" t="str">
        <f>IF(Table4[[#This Row],[Performance_Ratio]] &lt; 0.85, "Underperforming", "Performing")</f>
        <v>Underperforming</v>
      </c>
      <c r="L1942">
        <f>Table4[[#This Row],[energy_kwh]] - Table4[[#This Row],[expected_kwh]]</f>
        <v>0</v>
      </c>
      <c r="M1942" t="str">
        <f>IF(Table4[[#This Row],[Performance_Deviation]] &lt; 0, "Underperforming", "Outperforming")</f>
        <v>Outperforming</v>
      </c>
      <c r="N1942">
        <f>IF(Table4[[#This Row],[Performance_Ratio]] &lt; 0.85, Table4[[#This Row],[Performance_Deviation]] * 50 / 1000, 0)</f>
        <v>0</v>
      </c>
    </row>
    <row r="1943" spans="1:14" x14ac:dyDescent="0.3">
      <c r="A1943" s="6" t="s">
        <v>8</v>
      </c>
      <c r="B1943" s="5">
        <v>45310.875</v>
      </c>
      <c r="C1943" s="6">
        <v>0</v>
      </c>
      <c r="D1943" s="6">
        <v>0</v>
      </c>
      <c r="E1943" s="6">
        <v>0</v>
      </c>
      <c r="F1943" s="6">
        <v>25.318714357892699</v>
      </c>
      <c r="G1943" s="6" t="str">
        <f t="shared" si="60"/>
        <v>OK</v>
      </c>
      <c r="H1943" s="6" t="str">
        <f t="shared" si="61"/>
        <v>ZERO</v>
      </c>
      <c r="I1943">
        <v>0</v>
      </c>
      <c r="J1943">
        <f>IFERROR(Table4[[#This Row],[energy_kwh]]/Table4[[#This Row],[expected_kwh]],0)</f>
        <v>0</v>
      </c>
      <c r="K1943" t="str">
        <f>IF(Table4[[#This Row],[Performance_Ratio]] &lt; 0.85, "Underperforming", "Performing")</f>
        <v>Underperforming</v>
      </c>
      <c r="L1943">
        <f>Table4[[#This Row],[energy_kwh]] - Table4[[#This Row],[expected_kwh]]</f>
        <v>0</v>
      </c>
      <c r="M1943" t="str">
        <f>IF(Table4[[#This Row],[Performance_Deviation]] &lt; 0, "Underperforming", "Outperforming")</f>
        <v>Outperforming</v>
      </c>
      <c r="N1943">
        <f>IF(Table4[[#This Row],[Performance_Ratio]] &lt; 0.85, Table4[[#This Row],[Performance_Deviation]] * 50 / 1000, 0)</f>
        <v>0</v>
      </c>
    </row>
    <row r="1944" spans="1:14" x14ac:dyDescent="0.3">
      <c r="A1944" s="4" t="s">
        <v>8</v>
      </c>
      <c r="B1944" s="3">
        <v>45310.916666666664</v>
      </c>
      <c r="C1944" s="4">
        <v>0</v>
      </c>
      <c r="D1944" s="4">
        <v>0</v>
      </c>
      <c r="E1944" s="4">
        <v>0</v>
      </c>
      <c r="F1944" s="4">
        <v>68.331737722236198</v>
      </c>
      <c r="G1944" s="4" t="str">
        <f t="shared" si="60"/>
        <v>OK</v>
      </c>
      <c r="H1944" s="4" t="str">
        <f t="shared" si="61"/>
        <v>ZERO</v>
      </c>
      <c r="I1944">
        <v>0</v>
      </c>
      <c r="J1944">
        <f>IFERROR(Table4[[#This Row],[energy_kwh]]/Table4[[#This Row],[expected_kwh]],0)</f>
        <v>0</v>
      </c>
      <c r="K1944" t="str">
        <f>IF(Table4[[#This Row],[Performance_Ratio]] &lt; 0.85, "Underperforming", "Performing")</f>
        <v>Underperforming</v>
      </c>
      <c r="L1944">
        <f>Table4[[#This Row],[energy_kwh]] - Table4[[#This Row],[expected_kwh]]</f>
        <v>0</v>
      </c>
      <c r="M1944" t="str">
        <f>IF(Table4[[#This Row],[Performance_Deviation]] &lt; 0, "Underperforming", "Outperforming")</f>
        <v>Outperforming</v>
      </c>
      <c r="N1944">
        <f>IF(Table4[[#This Row],[Performance_Ratio]] &lt; 0.85, Table4[[#This Row],[Performance_Deviation]] * 50 / 1000, 0)</f>
        <v>0</v>
      </c>
    </row>
    <row r="1945" spans="1:14" x14ac:dyDescent="0.3">
      <c r="A1945" s="6" t="s">
        <v>8</v>
      </c>
      <c r="B1945" s="5">
        <v>45310.958333333336</v>
      </c>
      <c r="C1945" s="6">
        <v>0</v>
      </c>
      <c r="D1945" s="6">
        <v>0</v>
      </c>
      <c r="E1945" s="6">
        <v>0</v>
      </c>
      <c r="F1945" s="6">
        <v>79.120640612812196</v>
      </c>
      <c r="G1945" s="6" t="str">
        <f t="shared" si="60"/>
        <v>OK</v>
      </c>
      <c r="H1945" s="6" t="str">
        <f t="shared" si="61"/>
        <v>ZERO</v>
      </c>
      <c r="I1945">
        <v>0</v>
      </c>
      <c r="J1945">
        <f>IFERROR(Table4[[#This Row],[energy_kwh]]/Table4[[#This Row],[expected_kwh]],0)</f>
        <v>0</v>
      </c>
      <c r="K1945" t="str">
        <f>IF(Table4[[#This Row],[Performance_Ratio]] &lt; 0.85, "Underperforming", "Performing")</f>
        <v>Underperforming</v>
      </c>
      <c r="L1945">
        <f>Table4[[#This Row],[energy_kwh]] - Table4[[#This Row],[expected_kwh]]</f>
        <v>0</v>
      </c>
      <c r="M1945" t="str">
        <f>IF(Table4[[#This Row],[Performance_Deviation]] &lt; 0, "Underperforming", "Outperforming")</f>
        <v>Outperforming</v>
      </c>
      <c r="N1945">
        <f>IF(Table4[[#This Row],[Performance_Ratio]] &lt; 0.85, Table4[[#This Row],[Performance_Deviation]] * 50 / 1000, 0)</f>
        <v>0</v>
      </c>
    </row>
    <row r="1946" spans="1:14" x14ac:dyDescent="0.3">
      <c r="A1946" s="4" t="s">
        <v>8</v>
      </c>
      <c r="B1946" s="3">
        <v>45311</v>
      </c>
      <c r="C1946" s="4">
        <v>0</v>
      </c>
      <c r="D1946" s="4">
        <v>0</v>
      </c>
      <c r="E1946" s="4">
        <v>0</v>
      </c>
      <c r="F1946" s="4">
        <v>35.085240694278298</v>
      </c>
      <c r="G1946" s="4" t="str">
        <f t="shared" si="60"/>
        <v>OK</v>
      </c>
      <c r="H1946" s="4" t="str">
        <f t="shared" si="61"/>
        <v>ZERO</v>
      </c>
      <c r="I1946">
        <v>0</v>
      </c>
      <c r="J1946">
        <f>IFERROR(Table4[[#This Row],[energy_kwh]]/Table4[[#This Row],[expected_kwh]],0)</f>
        <v>0</v>
      </c>
      <c r="K1946" t="str">
        <f>IF(Table4[[#This Row],[Performance_Ratio]] &lt; 0.85, "Underperforming", "Performing")</f>
        <v>Underperforming</v>
      </c>
      <c r="L1946">
        <f>Table4[[#This Row],[energy_kwh]] - Table4[[#This Row],[expected_kwh]]</f>
        <v>0</v>
      </c>
      <c r="M1946" t="str">
        <f>IF(Table4[[#This Row],[Performance_Deviation]] &lt; 0, "Underperforming", "Outperforming")</f>
        <v>Outperforming</v>
      </c>
      <c r="N1946">
        <f>IF(Table4[[#This Row],[Performance_Ratio]] &lt; 0.85, Table4[[#This Row],[Performance_Deviation]] * 50 / 1000, 0)</f>
        <v>0</v>
      </c>
    </row>
    <row r="1947" spans="1:14" x14ac:dyDescent="0.3">
      <c r="A1947" s="6" t="s">
        <v>8</v>
      </c>
      <c r="B1947" s="5">
        <v>45311.041666666664</v>
      </c>
      <c r="C1947" s="6">
        <v>0</v>
      </c>
      <c r="D1947" s="6">
        <v>0</v>
      </c>
      <c r="E1947" s="6">
        <v>0</v>
      </c>
      <c r="F1947" s="6">
        <v>51.383712288159302</v>
      </c>
      <c r="G1947" s="6" t="str">
        <f t="shared" si="60"/>
        <v>OK</v>
      </c>
      <c r="H1947" s="6" t="str">
        <f t="shared" si="61"/>
        <v>ZERO</v>
      </c>
      <c r="I1947">
        <v>0</v>
      </c>
      <c r="J1947">
        <f>IFERROR(Table4[[#This Row],[energy_kwh]]/Table4[[#This Row],[expected_kwh]],0)</f>
        <v>0</v>
      </c>
      <c r="K1947" t="str">
        <f>IF(Table4[[#This Row],[Performance_Ratio]] &lt; 0.85, "Underperforming", "Performing")</f>
        <v>Underperforming</v>
      </c>
      <c r="L1947">
        <f>Table4[[#This Row],[energy_kwh]] - Table4[[#This Row],[expected_kwh]]</f>
        <v>0</v>
      </c>
      <c r="M1947" t="str">
        <f>IF(Table4[[#This Row],[Performance_Deviation]] &lt; 0, "Underperforming", "Outperforming")</f>
        <v>Outperforming</v>
      </c>
      <c r="N1947">
        <f>IF(Table4[[#This Row],[Performance_Ratio]] &lt; 0.85, Table4[[#This Row],[Performance_Deviation]] * 50 / 1000, 0)</f>
        <v>0</v>
      </c>
    </row>
    <row r="1948" spans="1:14" x14ac:dyDescent="0.3">
      <c r="A1948" s="4" t="s">
        <v>8</v>
      </c>
      <c r="B1948" s="3">
        <v>45311.083333333336</v>
      </c>
      <c r="C1948" s="4">
        <v>0</v>
      </c>
      <c r="D1948" s="4">
        <v>0</v>
      </c>
      <c r="E1948" s="4">
        <v>0</v>
      </c>
      <c r="F1948" s="4">
        <v>65.382621667786296</v>
      </c>
      <c r="G1948" s="4" t="str">
        <f t="shared" si="60"/>
        <v>OK</v>
      </c>
      <c r="H1948" s="4" t="str">
        <f t="shared" si="61"/>
        <v>ZERO</v>
      </c>
      <c r="I1948">
        <v>0</v>
      </c>
      <c r="J1948">
        <f>IFERROR(Table4[[#This Row],[energy_kwh]]/Table4[[#This Row],[expected_kwh]],0)</f>
        <v>0</v>
      </c>
      <c r="K1948" t="str">
        <f>IF(Table4[[#This Row],[Performance_Ratio]] &lt; 0.85, "Underperforming", "Performing")</f>
        <v>Underperforming</v>
      </c>
      <c r="L1948">
        <f>Table4[[#This Row],[energy_kwh]] - Table4[[#This Row],[expected_kwh]]</f>
        <v>0</v>
      </c>
      <c r="M1948" t="str">
        <f>IF(Table4[[#This Row],[Performance_Deviation]] &lt; 0, "Underperforming", "Outperforming")</f>
        <v>Outperforming</v>
      </c>
      <c r="N1948">
        <f>IF(Table4[[#This Row],[Performance_Ratio]] &lt; 0.85, Table4[[#This Row],[Performance_Deviation]] * 50 / 1000, 0)</f>
        <v>0</v>
      </c>
    </row>
    <row r="1949" spans="1:14" x14ac:dyDescent="0.3">
      <c r="A1949" s="6" t="s">
        <v>8</v>
      </c>
      <c r="B1949" s="5">
        <v>45311.125</v>
      </c>
      <c r="C1949" s="6">
        <v>0</v>
      </c>
      <c r="D1949" s="6">
        <v>0</v>
      </c>
      <c r="E1949" s="6">
        <v>0</v>
      </c>
      <c r="F1949" s="6">
        <v>85.020578212288399</v>
      </c>
      <c r="G1949" s="6" t="str">
        <f t="shared" si="60"/>
        <v>OK</v>
      </c>
      <c r="H1949" s="6" t="str">
        <f t="shared" si="61"/>
        <v>ZERO</v>
      </c>
      <c r="I1949">
        <v>0</v>
      </c>
      <c r="J1949">
        <f>IFERROR(Table4[[#This Row],[energy_kwh]]/Table4[[#This Row],[expected_kwh]],0)</f>
        <v>0</v>
      </c>
      <c r="K1949" t="str">
        <f>IF(Table4[[#This Row],[Performance_Ratio]] &lt; 0.85, "Underperforming", "Performing")</f>
        <v>Underperforming</v>
      </c>
      <c r="L1949">
        <f>Table4[[#This Row],[energy_kwh]] - Table4[[#This Row],[expected_kwh]]</f>
        <v>0</v>
      </c>
      <c r="M1949" t="str">
        <f>IF(Table4[[#This Row],[Performance_Deviation]] &lt; 0, "Underperforming", "Outperforming")</f>
        <v>Outperforming</v>
      </c>
      <c r="N1949">
        <f>IF(Table4[[#This Row],[Performance_Ratio]] &lt; 0.85, Table4[[#This Row],[Performance_Deviation]] * 50 / 1000, 0)</f>
        <v>0</v>
      </c>
    </row>
    <row r="1950" spans="1:14" x14ac:dyDescent="0.3">
      <c r="A1950" s="4" t="s">
        <v>8</v>
      </c>
      <c r="B1950" s="3">
        <v>45311.166666666664</v>
      </c>
      <c r="C1950" s="4">
        <v>0</v>
      </c>
      <c r="D1950" s="4">
        <v>0</v>
      </c>
      <c r="E1950" s="4">
        <v>0</v>
      </c>
      <c r="F1950" s="4">
        <v>72.216607709095399</v>
      </c>
      <c r="G1950" s="4" t="str">
        <f t="shared" si="60"/>
        <v>OK</v>
      </c>
      <c r="H1950" s="4" t="str">
        <f t="shared" si="61"/>
        <v>ZERO</v>
      </c>
      <c r="I1950">
        <v>0</v>
      </c>
      <c r="J1950">
        <f>IFERROR(Table4[[#This Row],[energy_kwh]]/Table4[[#This Row],[expected_kwh]],0)</f>
        <v>0</v>
      </c>
      <c r="K1950" t="str">
        <f>IF(Table4[[#This Row],[Performance_Ratio]] &lt; 0.85, "Underperforming", "Performing")</f>
        <v>Underperforming</v>
      </c>
      <c r="L1950">
        <f>Table4[[#This Row],[energy_kwh]] - Table4[[#This Row],[expected_kwh]]</f>
        <v>0</v>
      </c>
      <c r="M1950" t="str">
        <f>IF(Table4[[#This Row],[Performance_Deviation]] &lt; 0, "Underperforming", "Outperforming")</f>
        <v>Outperforming</v>
      </c>
      <c r="N1950">
        <f>IF(Table4[[#This Row],[Performance_Ratio]] &lt; 0.85, Table4[[#This Row],[Performance_Deviation]] * 50 / 1000, 0)</f>
        <v>0</v>
      </c>
    </row>
    <row r="1951" spans="1:14" x14ac:dyDescent="0.3">
      <c r="A1951" s="6" t="s">
        <v>8</v>
      </c>
      <c r="B1951" s="5">
        <v>45311.208333333336</v>
      </c>
      <c r="C1951" s="6">
        <v>0</v>
      </c>
      <c r="D1951" s="6">
        <v>0</v>
      </c>
      <c r="E1951" s="6">
        <v>0</v>
      </c>
      <c r="F1951" s="6">
        <v>24.875059171166601</v>
      </c>
      <c r="G1951" s="6" t="str">
        <f t="shared" si="60"/>
        <v>OK</v>
      </c>
      <c r="H1951" s="6" t="str">
        <f t="shared" si="61"/>
        <v>ZERO</v>
      </c>
      <c r="I1951">
        <v>0</v>
      </c>
      <c r="J1951">
        <f>IFERROR(Table4[[#This Row],[energy_kwh]]/Table4[[#This Row],[expected_kwh]],0)</f>
        <v>0</v>
      </c>
      <c r="K1951" t="str">
        <f>IF(Table4[[#This Row],[Performance_Ratio]] &lt; 0.85, "Underperforming", "Performing")</f>
        <v>Underperforming</v>
      </c>
      <c r="L1951">
        <f>Table4[[#This Row],[energy_kwh]] - Table4[[#This Row],[expected_kwh]]</f>
        <v>0</v>
      </c>
      <c r="M1951" t="str">
        <f>IF(Table4[[#This Row],[Performance_Deviation]] &lt; 0, "Underperforming", "Outperforming")</f>
        <v>Outperforming</v>
      </c>
      <c r="N1951">
        <f>IF(Table4[[#This Row],[Performance_Ratio]] &lt; 0.85, Table4[[#This Row],[Performance_Deviation]] * 50 / 1000, 0)</f>
        <v>0</v>
      </c>
    </row>
    <row r="1952" spans="1:14" x14ac:dyDescent="0.3">
      <c r="A1952" s="4" t="s">
        <v>8</v>
      </c>
      <c r="B1952" s="3">
        <v>45311.25</v>
      </c>
      <c r="C1952" s="4">
        <v>0</v>
      </c>
      <c r="D1952" s="4">
        <v>0</v>
      </c>
      <c r="E1952" s="4">
        <v>0</v>
      </c>
      <c r="F1952" s="4">
        <v>54.843707332943403</v>
      </c>
      <c r="G1952" s="4" t="str">
        <f t="shared" si="60"/>
        <v>OK</v>
      </c>
      <c r="H1952" s="4" t="str">
        <f t="shared" si="61"/>
        <v>ZERO</v>
      </c>
      <c r="I1952">
        <v>0</v>
      </c>
      <c r="J1952">
        <f>IFERROR(Table4[[#This Row],[energy_kwh]]/Table4[[#This Row],[expected_kwh]],0)</f>
        <v>0</v>
      </c>
      <c r="K1952" t="str">
        <f>IF(Table4[[#This Row],[Performance_Ratio]] &lt; 0.85, "Underperforming", "Performing")</f>
        <v>Underperforming</v>
      </c>
      <c r="L1952">
        <f>Table4[[#This Row],[energy_kwh]] - Table4[[#This Row],[expected_kwh]]</f>
        <v>0</v>
      </c>
      <c r="M1952" t="str">
        <f>IF(Table4[[#This Row],[Performance_Deviation]] &lt; 0, "Underperforming", "Outperforming")</f>
        <v>Outperforming</v>
      </c>
      <c r="N1952">
        <f>IF(Table4[[#This Row],[Performance_Ratio]] &lt; 0.85, Table4[[#This Row],[Performance_Deviation]] * 50 / 1000, 0)</f>
        <v>0</v>
      </c>
    </row>
    <row r="1953" spans="1:14" x14ac:dyDescent="0.3">
      <c r="A1953" s="6" t="s">
        <v>8</v>
      </c>
      <c r="B1953" s="5">
        <v>45311.291666666664</v>
      </c>
      <c r="C1953" s="6">
        <v>198.464624084066</v>
      </c>
      <c r="D1953" s="6">
        <v>192.36774273875901</v>
      </c>
      <c r="E1953" s="6">
        <v>192.36774273875901</v>
      </c>
      <c r="F1953" s="6">
        <v>80.230673175330793</v>
      </c>
      <c r="G1953" s="6" t="str">
        <f t="shared" si="60"/>
        <v>OK</v>
      </c>
      <c r="H1953" s="6" t="str">
        <f t="shared" si="61"/>
        <v>NON-ZERO</v>
      </c>
      <c r="I1953">
        <v>207.05523608201599</v>
      </c>
      <c r="J1953">
        <f>IFERROR(Table4[[#This Row],[energy_kwh]]/Table4[[#This Row],[expected_kwh]],0)</f>
        <v>0.92906485428149632</v>
      </c>
      <c r="K1953" t="str">
        <f>IF(Table4[[#This Row],[Performance_Ratio]] &lt; 0.85, "Underperforming", "Performing")</f>
        <v>Performing</v>
      </c>
      <c r="L1953">
        <f>Table4[[#This Row],[energy_kwh]] - Table4[[#This Row],[expected_kwh]]</f>
        <v>-14.687493343256989</v>
      </c>
      <c r="M1953" t="str">
        <f>IF(Table4[[#This Row],[Performance_Deviation]] &lt; 0, "Underperforming", "Outperforming")</f>
        <v>Underperforming</v>
      </c>
      <c r="N1953">
        <f>IF(Table4[[#This Row],[Performance_Ratio]] &lt; 0.85, Table4[[#This Row],[Performance_Deviation]] * 50 / 1000, 0)</f>
        <v>0</v>
      </c>
    </row>
    <row r="1954" spans="1:14" x14ac:dyDescent="0.3">
      <c r="A1954" s="4" t="s">
        <v>8</v>
      </c>
      <c r="B1954" s="3">
        <v>45311.333333333336</v>
      </c>
      <c r="C1954" s="4">
        <v>419.71527128902397</v>
      </c>
      <c r="D1954" s="4">
        <v>406.82151644645398</v>
      </c>
      <c r="E1954" s="4">
        <v>406.82151644645398</v>
      </c>
      <c r="F1954" s="4">
        <v>56.477907561885999</v>
      </c>
      <c r="G1954" s="4" t="str">
        <f t="shared" si="60"/>
        <v>OK</v>
      </c>
      <c r="H1954" s="4" t="str">
        <f t="shared" si="61"/>
        <v>NON-ZERO</v>
      </c>
      <c r="I1954">
        <v>399.99999999999898</v>
      </c>
      <c r="J1954">
        <f>IFERROR(Table4[[#This Row],[energy_kwh]]/Table4[[#This Row],[expected_kwh]],0)</f>
        <v>1.0170537911161375</v>
      </c>
      <c r="K1954" t="str">
        <f>IF(Table4[[#This Row],[Performance_Ratio]] &lt; 0.85, "Underperforming", "Performing")</f>
        <v>Performing</v>
      </c>
      <c r="L1954">
        <f>Table4[[#This Row],[energy_kwh]] - Table4[[#This Row],[expected_kwh]]</f>
        <v>6.8215164464550071</v>
      </c>
      <c r="M1954" t="str">
        <f>IF(Table4[[#This Row],[Performance_Deviation]] &lt; 0, "Underperforming", "Outperforming")</f>
        <v>Outperforming</v>
      </c>
      <c r="N1954">
        <f>IF(Table4[[#This Row],[Performance_Ratio]] &lt; 0.85, Table4[[#This Row],[Performance_Deviation]] * 50 / 1000, 0)</f>
        <v>0</v>
      </c>
    </row>
    <row r="1955" spans="1:14" x14ac:dyDescent="0.3">
      <c r="A1955" s="6" t="s">
        <v>8</v>
      </c>
      <c r="B1955" s="5">
        <v>45311.375</v>
      </c>
      <c r="C1955" s="6">
        <v>523.99978034920605</v>
      </c>
      <c r="D1955" s="6">
        <v>507.90238011729798</v>
      </c>
      <c r="E1955" s="6">
        <v>507.90238011729798</v>
      </c>
      <c r="F1955" s="6">
        <v>81.618326882062803</v>
      </c>
      <c r="G1955" s="6" t="str">
        <f t="shared" si="60"/>
        <v>OK</v>
      </c>
      <c r="H1955" s="6" t="str">
        <f t="shared" si="61"/>
        <v>NON-ZERO</v>
      </c>
      <c r="I1955">
        <v>565.68542494923804</v>
      </c>
      <c r="J1955">
        <f>IFERROR(Table4[[#This Row],[energy_kwh]]/Table4[[#This Row],[expected_kwh]],0)</f>
        <v>0.89785304290432222</v>
      </c>
      <c r="K1955" t="str">
        <f>IF(Table4[[#This Row],[Performance_Ratio]] &lt; 0.85, "Underperforming", "Performing")</f>
        <v>Performing</v>
      </c>
      <c r="L1955">
        <f>Table4[[#This Row],[energy_kwh]] - Table4[[#This Row],[expected_kwh]]</f>
        <v>-57.78304483194006</v>
      </c>
      <c r="M1955" t="str">
        <f>IF(Table4[[#This Row],[Performance_Deviation]] &lt; 0, "Underperforming", "Outperforming")</f>
        <v>Underperforming</v>
      </c>
      <c r="N1955">
        <f>IF(Table4[[#This Row],[Performance_Ratio]] &lt; 0.85, Table4[[#This Row],[Performance_Deviation]] * 50 / 1000, 0)</f>
        <v>0</v>
      </c>
    </row>
    <row r="1956" spans="1:14" x14ac:dyDescent="0.3">
      <c r="A1956" s="4" t="s">
        <v>8</v>
      </c>
      <c r="B1956" s="3">
        <v>45311.416666666664</v>
      </c>
      <c r="C1956" s="4">
        <v>595.37624118665303</v>
      </c>
      <c r="D1956" s="4">
        <v>577.08613878133701</v>
      </c>
      <c r="E1956" s="4">
        <v>577.08613878133701</v>
      </c>
      <c r="F1956" s="4">
        <v>76.473964477938793</v>
      </c>
      <c r="G1956" s="4" t="str">
        <f t="shared" si="60"/>
        <v>OK</v>
      </c>
      <c r="H1956" s="4" t="str">
        <f t="shared" si="61"/>
        <v>NON-ZERO</v>
      </c>
      <c r="I1956">
        <v>692.82032302754999</v>
      </c>
      <c r="J1956">
        <f>IFERROR(Table4[[#This Row],[energy_kwh]]/Table4[[#This Row],[expected_kwh]],0)</f>
        <v>0.83295209392751779</v>
      </c>
      <c r="K1956" t="str">
        <f>IF(Table4[[#This Row],[Performance_Ratio]] &lt; 0.85, "Underperforming", "Performing")</f>
        <v>Underperforming</v>
      </c>
      <c r="L1956">
        <f>Table4[[#This Row],[energy_kwh]] - Table4[[#This Row],[expected_kwh]]</f>
        <v>-115.73418424621298</v>
      </c>
      <c r="M1956" t="str">
        <f>IF(Table4[[#This Row],[Performance_Deviation]] &lt; 0, "Underperforming", "Outperforming")</f>
        <v>Underperforming</v>
      </c>
      <c r="N1956">
        <f>IF(Table4[[#This Row],[Performance_Ratio]] &lt; 0.85, Table4[[#This Row],[Performance_Deviation]] * 50 / 1000, 0)</f>
        <v>-5.7867092123106483</v>
      </c>
    </row>
    <row r="1957" spans="1:14" x14ac:dyDescent="0.3">
      <c r="A1957" s="6" t="s">
        <v>8</v>
      </c>
      <c r="B1957" s="5">
        <v>45311.458333333336</v>
      </c>
      <c r="C1957" s="6">
        <v>746.02371555481602</v>
      </c>
      <c r="D1957" s="6">
        <v>723.10568623087704</v>
      </c>
      <c r="E1957" s="6">
        <v>723.10568623087704</v>
      </c>
      <c r="F1957" s="6">
        <v>55.0894596975619</v>
      </c>
      <c r="G1957" s="6" t="str">
        <f t="shared" si="60"/>
        <v>OK</v>
      </c>
      <c r="H1957" s="6" t="str">
        <f t="shared" si="61"/>
        <v>NON-ZERO</v>
      </c>
      <c r="I1957">
        <v>772.74066103125404</v>
      </c>
      <c r="J1957">
        <f>IFERROR(Table4[[#This Row],[energy_kwh]]/Table4[[#This Row],[expected_kwh]],0)</f>
        <v>0.93576761609239367</v>
      </c>
      <c r="K1957" t="str">
        <f>IF(Table4[[#This Row],[Performance_Ratio]] &lt; 0.85, "Underperforming", "Performing")</f>
        <v>Performing</v>
      </c>
      <c r="L1957">
        <f>Table4[[#This Row],[energy_kwh]] - Table4[[#This Row],[expected_kwh]]</f>
        <v>-49.634974800376995</v>
      </c>
      <c r="M1957" t="str">
        <f>IF(Table4[[#This Row],[Performance_Deviation]] &lt; 0, "Underperforming", "Outperforming")</f>
        <v>Underperforming</v>
      </c>
      <c r="N1957">
        <f>IF(Table4[[#This Row],[Performance_Ratio]] &lt; 0.85, Table4[[#This Row],[Performance_Deviation]] * 50 / 1000, 0)</f>
        <v>0</v>
      </c>
    </row>
    <row r="1958" spans="1:14" x14ac:dyDescent="0.3">
      <c r="A1958" s="4" t="s">
        <v>8</v>
      </c>
      <c r="B1958" s="3">
        <v>45311.5</v>
      </c>
      <c r="C1958" s="4">
        <v>818.38232915718004</v>
      </c>
      <c r="D1958" s="4">
        <v>793.24142568889204</v>
      </c>
      <c r="E1958" s="4">
        <v>793.24142568889204</v>
      </c>
      <c r="F1958" s="4">
        <v>61.130070255643297</v>
      </c>
      <c r="G1958" s="4" t="str">
        <f t="shared" si="60"/>
        <v>OK</v>
      </c>
      <c r="H1958" s="4" t="str">
        <f t="shared" si="61"/>
        <v>NON-ZERO</v>
      </c>
      <c r="I1958">
        <v>800</v>
      </c>
      <c r="J1958">
        <f>IFERROR(Table4[[#This Row],[energy_kwh]]/Table4[[#This Row],[expected_kwh]],0)</f>
        <v>0.99155178211111505</v>
      </c>
      <c r="K1958" t="str">
        <f>IF(Table4[[#This Row],[Performance_Ratio]] &lt; 0.85, "Underperforming", "Performing")</f>
        <v>Performing</v>
      </c>
      <c r="L1958">
        <f>Table4[[#This Row],[energy_kwh]] - Table4[[#This Row],[expected_kwh]]</f>
        <v>-6.7585743111079637</v>
      </c>
      <c r="M1958" t="str">
        <f>IF(Table4[[#This Row],[Performance_Deviation]] &lt; 0, "Underperforming", "Outperforming")</f>
        <v>Underperforming</v>
      </c>
      <c r="N1958">
        <f>IF(Table4[[#This Row],[Performance_Ratio]] &lt; 0.85, Table4[[#This Row],[Performance_Deviation]] * 50 / 1000, 0)</f>
        <v>0</v>
      </c>
    </row>
    <row r="1959" spans="1:14" x14ac:dyDescent="0.3">
      <c r="A1959" s="6" t="s">
        <v>8</v>
      </c>
      <c r="B1959" s="5">
        <v>45311.541666666664</v>
      </c>
      <c r="C1959" s="6">
        <v>759.15692097725696</v>
      </c>
      <c r="D1959" s="6">
        <v>735.83543640020298</v>
      </c>
      <c r="E1959" s="6">
        <v>735.83543640020298</v>
      </c>
      <c r="F1959" s="6">
        <v>41.144716381366997</v>
      </c>
      <c r="G1959" s="6" t="str">
        <f t="shared" si="60"/>
        <v>OK</v>
      </c>
      <c r="H1959" s="6" t="str">
        <f t="shared" si="61"/>
        <v>NON-ZERO</v>
      </c>
      <c r="I1959">
        <v>772.74066103125404</v>
      </c>
      <c r="J1959">
        <f>IFERROR(Table4[[#This Row],[energy_kwh]]/Table4[[#This Row],[expected_kwh]],0)</f>
        <v>0.95224112500848668</v>
      </c>
      <c r="K1959" t="str">
        <f>IF(Table4[[#This Row],[Performance_Ratio]] &lt; 0.85, "Underperforming", "Performing")</f>
        <v>Performing</v>
      </c>
      <c r="L1959">
        <f>Table4[[#This Row],[energy_kwh]] - Table4[[#This Row],[expected_kwh]]</f>
        <v>-36.905224631051055</v>
      </c>
      <c r="M1959" t="str">
        <f>IF(Table4[[#This Row],[Performance_Deviation]] &lt; 0, "Underperforming", "Outperforming")</f>
        <v>Underperforming</v>
      </c>
      <c r="N1959">
        <f>IF(Table4[[#This Row],[Performance_Ratio]] &lt; 0.85, Table4[[#This Row],[Performance_Deviation]] * 50 / 1000, 0)</f>
        <v>0</v>
      </c>
    </row>
    <row r="1960" spans="1:14" x14ac:dyDescent="0.3">
      <c r="A1960" s="4" t="s">
        <v>8</v>
      </c>
      <c r="B1960" s="3">
        <v>45311.583333333336</v>
      </c>
      <c r="C1960" s="4">
        <v>626.56335038511804</v>
      </c>
      <c r="D1960" s="4">
        <v>607.31517242772998</v>
      </c>
      <c r="E1960" s="4">
        <v>607.31517242772998</v>
      </c>
      <c r="F1960" s="4">
        <v>29.945299306010799</v>
      </c>
      <c r="G1960" s="4" t="str">
        <f t="shared" si="60"/>
        <v>OK</v>
      </c>
      <c r="H1960" s="4" t="str">
        <f t="shared" si="61"/>
        <v>NON-ZERO</v>
      </c>
      <c r="I1960">
        <v>692.82032302755101</v>
      </c>
      <c r="J1960">
        <f>IFERROR(Table4[[#This Row],[energy_kwh]]/Table4[[#This Row],[expected_kwh]],0)</f>
        <v>0.87658394571023457</v>
      </c>
      <c r="K1960" t="str">
        <f>IF(Table4[[#This Row],[Performance_Ratio]] &lt; 0.85, "Underperforming", "Performing")</f>
        <v>Performing</v>
      </c>
      <c r="L1960">
        <f>Table4[[#This Row],[energy_kwh]] - Table4[[#This Row],[expected_kwh]]</f>
        <v>-85.505150599821036</v>
      </c>
      <c r="M1960" t="str">
        <f>IF(Table4[[#This Row],[Performance_Deviation]] &lt; 0, "Underperforming", "Outperforming")</f>
        <v>Underperforming</v>
      </c>
      <c r="N1960">
        <f>IF(Table4[[#This Row],[Performance_Ratio]] &lt; 0.85, Table4[[#This Row],[Performance_Deviation]] * 50 / 1000, 0)</f>
        <v>0</v>
      </c>
    </row>
    <row r="1961" spans="1:14" x14ac:dyDescent="0.3">
      <c r="A1961" s="6" t="s">
        <v>8</v>
      </c>
      <c r="B1961" s="5">
        <v>45311.625</v>
      </c>
      <c r="C1961" s="6">
        <v>539.17804317858599</v>
      </c>
      <c r="D1961" s="6">
        <v>522.61436303444896</v>
      </c>
      <c r="E1961" s="6">
        <v>522.61436303444896</v>
      </c>
      <c r="F1961" s="6">
        <v>58.7840666084997</v>
      </c>
      <c r="G1961" s="6" t="str">
        <f t="shared" si="60"/>
        <v>OK</v>
      </c>
      <c r="H1961" s="6" t="str">
        <f t="shared" si="61"/>
        <v>NON-ZERO</v>
      </c>
      <c r="I1961">
        <v>565.68542494923804</v>
      </c>
      <c r="J1961">
        <f>IFERROR(Table4[[#This Row],[energy_kwh]]/Table4[[#This Row],[expected_kwh]],0)</f>
        <v>0.92386040011786752</v>
      </c>
      <c r="K1961" t="str">
        <f>IF(Table4[[#This Row],[Performance_Ratio]] &lt; 0.85, "Underperforming", "Performing")</f>
        <v>Performing</v>
      </c>
      <c r="L1961">
        <f>Table4[[#This Row],[energy_kwh]] - Table4[[#This Row],[expected_kwh]]</f>
        <v>-43.071061914789084</v>
      </c>
      <c r="M1961" t="str">
        <f>IF(Table4[[#This Row],[Performance_Deviation]] &lt; 0, "Underperforming", "Outperforming")</f>
        <v>Underperforming</v>
      </c>
      <c r="N1961">
        <f>IF(Table4[[#This Row],[Performance_Ratio]] &lt; 0.85, Table4[[#This Row],[Performance_Deviation]] * 50 / 1000, 0)</f>
        <v>0</v>
      </c>
    </row>
    <row r="1962" spans="1:14" x14ac:dyDescent="0.3">
      <c r="A1962" s="4" t="s">
        <v>8</v>
      </c>
      <c r="B1962" s="3">
        <v>45311.666666666664</v>
      </c>
      <c r="C1962" s="4">
        <v>371.35703252910599</v>
      </c>
      <c r="D1962" s="4">
        <v>359.94885449977397</v>
      </c>
      <c r="E1962" s="4">
        <v>359.94885449977397</v>
      </c>
      <c r="F1962" s="4">
        <v>28.4824804567866</v>
      </c>
      <c r="G1962" s="4" t="str">
        <f t="shared" si="60"/>
        <v>OK</v>
      </c>
      <c r="H1962" s="4" t="str">
        <f t="shared" si="61"/>
        <v>NON-ZERO</v>
      </c>
      <c r="I1962">
        <v>399.99999999999898</v>
      </c>
      <c r="J1962">
        <f>IFERROR(Table4[[#This Row],[energy_kwh]]/Table4[[#This Row],[expected_kwh]],0)</f>
        <v>0.89987213624943718</v>
      </c>
      <c r="K1962" t="str">
        <f>IF(Table4[[#This Row],[Performance_Ratio]] &lt; 0.85, "Underperforming", "Performing")</f>
        <v>Performing</v>
      </c>
      <c r="L1962">
        <f>Table4[[#This Row],[energy_kwh]] - Table4[[#This Row],[expected_kwh]]</f>
        <v>-40.051145500225005</v>
      </c>
      <c r="M1962" t="str">
        <f>IF(Table4[[#This Row],[Performance_Deviation]] &lt; 0, "Underperforming", "Outperforming")</f>
        <v>Underperforming</v>
      </c>
      <c r="N1962">
        <f>IF(Table4[[#This Row],[Performance_Ratio]] &lt; 0.85, Table4[[#This Row],[Performance_Deviation]] * 50 / 1000, 0)</f>
        <v>0</v>
      </c>
    </row>
    <row r="1963" spans="1:14" x14ac:dyDescent="0.3">
      <c r="A1963" s="6" t="s">
        <v>8</v>
      </c>
      <c r="B1963" s="5">
        <v>45311.708333333336</v>
      </c>
      <c r="C1963" s="6">
        <v>219.09527768648701</v>
      </c>
      <c r="D1963" s="6">
        <v>212.36461766313801</v>
      </c>
      <c r="E1963" s="6">
        <v>212.36461766313801</v>
      </c>
      <c r="F1963" s="6">
        <v>49.766704481677898</v>
      </c>
      <c r="G1963" s="6" t="str">
        <f t="shared" si="60"/>
        <v>OK</v>
      </c>
      <c r="H1963" s="6" t="str">
        <f t="shared" si="61"/>
        <v>NON-ZERO</v>
      </c>
      <c r="I1963">
        <v>207.05523608201599</v>
      </c>
      <c r="J1963">
        <f>IFERROR(Table4[[#This Row],[energy_kwh]]/Table4[[#This Row],[expected_kwh]],0)</f>
        <v>1.0256423439541462</v>
      </c>
      <c r="K1963" t="str">
        <f>IF(Table4[[#This Row],[Performance_Ratio]] &lt; 0.85, "Underperforming", "Performing")</f>
        <v>Performing</v>
      </c>
      <c r="L1963">
        <f>Table4[[#This Row],[energy_kwh]] - Table4[[#This Row],[expected_kwh]]</f>
        <v>5.3093815811220111</v>
      </c>
      <c r="M1963" t="str">
        <f>IF(Table4[[#This Row],[Performance_Deviation]] &lt; 0, "Underperforming", "Outperforming")</f>
        <v>Outperforming</v>
      </c>
      <c r="N1963">
        <f>IF(Table4[[#This Row],[Performance_Ratio]] &lt; 0.85, Table4[[#This Row],[Performance_Deviation]] * 50 / 1000, 0)</f>
        <v>0</v>
      </c>
    </row>
    <row r="1964" spans="1:14" x14ac:dyDescent="0.3">
      <c r="A1964" s="4" t="s">
        <v>8</v>
      </c>
      <c r="B1964" s="3">
        <v>45311.75</v>
      </c>
      <c r="C1964" s="7">
        <v>9.6598510231755094E-14</v>
      </c>
      <c r="D1964" s="7">
        <v>9.3630980588955803E-14</v>
      </c>
      <c r="E1964" s="7">
        <v>9.3630980588955803E-14</v>
      </c>
      <c r="F1964" s="4">
        <v>37.012782674412101</v>
      </c>
      <c r="G1964" s="4" t="str">
        <f t="shared" si="60"/>
        <v>OK</v>
      </c>
      <c r="H1964" s="4" t="str">
        <f t="shared" si="61"/>
        <v>NON-ZERO</v>
      </c>
      <c r="I1964" s="2">
        <v>9.7971743931788194E-14</v>
      </c>
      <c r="J1964">
        <f>IFERROR(Table4[[#This Row],[energy_kwh]]/Table4[[#This Row],[expected_kwh]],0)</f>
        <v>0.95569372179539236</v>
      </c>
      <c r="K1964" t="str">
        <f>IF(Table4[[#This Row],[Performance_Ratio]] &lt; 0.85, "Underperforming", "Performing")</f>
        <v>Performing</v>
      </c>
      <c r="L1964">
        <f>Table4[[#This Row],[energy_kwh]] - Table4[[#This Row],[expected_kwh]]</f>
        <v>-4.340763342832391E-15</v>
      </c>
      <c r="M1964" t="str">
        <f>IF(Table4[[#This Row],[Performance_Deviation]] &lt; 0, "Underperforming", "Outperforming")</f>
        <v>Underperforming</v>
      </c>
      <c r="N1964">
        <f>IF(Table4[[#This Row],[Performance_Ratio]] &lt; 0.85, Table4[[#This Row],[Performance_Deviation]] * 50 / 1000, 0)</f>
        <v>0</v>
      </c>
    </row>
    <row r="1965" spans="1:14" x14ac:dyDescent="0.3">
      <c r="A1965" s="6" t="s">
        <v>8</v>
      </c>
      <c r="B1965" s="5">
        <v>45311.791666666664</v>
      </c>
      <c r="C1965" s="6">
        <v>0</v>
      </c>
      <c r="D1965" s="6">
        <v>0</v>
      </c>
      <c r="E1965" s="6">
        <v>0</v>
      </c>
      <c r="F1965" s="6">
        <v>58.619563164550399</v>
      </c>
      <c r="G1965" s="6" t="str">
        <f t="shared" si="60"/>
        <v>OK</v>
      </c>
      <c r="H1965" s="6" t="str">
        <f t="shared" si="61"/>
        <v>ZERO</v>
      </c>
      <c r="I1965">
        <v>0</v>
      </c>
      <c r="J1965">
        <f>IFERROR(Table4[[#This Row],[energy_kwh]]/Table4[[#This Row],[expected_kwh]],0)</f>
        <v>0</v>
      </c>
      <c r="K1965" t="str">
        <f>IF(Table4[[#This Row],[Performance_Ratio]] &lt; 0.85, "Underperforming", "Performing")</f>
        <v>Underperforming</v>
      </c>
      <c r="L1965">
        <f>Table4[[#This Row],[energy_kwh]] - Table4[[#This Row],[expected_kwh]]</f>
        <v>0</v>
      </c>
      <c r="M1965" t="str">
        <f>IF(Table4[[#This Row],[Performance_Deviation]] &lt; 0, "Underperforming", "Outperforming")</f>
        <v>Outperforming</v>
      </c>
      <c r="N1965">
        <f>IF(Table4[[#This Row],[Performance_Ratio]] &lt; 0.85, Table4[[#This Row],[Performance_Deviation]] * 50 / 1000, 0)</f>
        <v>0</v>
      </c>
    </row>
    <row r="1966" spans="1:14" x14ac:dyDescent="0.3">
      <c r="A1966" s="4" t="s">
        <v>8</v>
      </c>
      <c r="B1966" s="3">
        <v>45311.833333333336</v>
      </c>
      <c r="C1966" s="4">
        <v>0</v>
      </c>
      <c r="D1966" s="4">
        <v>0</v>
      </c>
      <c r="E1966" s="4">
        <v>0</v>
      </c>
      <c r="F1966" s="4">
        <v>56.863566937386899</v>
      </c>
      <c r="G1966" s="4" t="str">
        <f t="shared" si="60"/>
        <v>OK</v>
      </c>
      <c r="H1966" s="4" t="str">
        <f t="shared" si="61"/>
        <v>ZERO</v>
      </c>
      <c r="I1966">
        <v>0</v>
      </c>
      <c r="J1966">
        <f>IFERROR(Table4[[#This Row],[energy_kwh]]/Table4[[#This Row],[expected_kwh]],0)</f>
        <v>0</v>
      </c>
      <c r="K1966" t="str">
        <f>IF(Table4[[#This Row],[Performance_Ratio]] &lt; 0.85, "Underperforming", "Performing")</f>
        <v>Underperforming</v>
      </c>
      <c r="L1966">
        <f>Table4[[#This Row],[energy_kwh]] - Table4[[#This Row],[expected_kwh]]</f>
        <v>0</v>
      </c>
      <c r="M1966" t="str">
        <f>IF(Table4[[#This Row],[Performance_Deviation]] &lt; 0, "Underperforming", "Outperforming")</f>
        <v>Outperforming</v>
      </c>
      <c r="N1966">
        <f>IF(Table4[[#This Row],[Performance_Ratio]] &lt; 0.85, Table4[[#This Row],[Performance_Deviation]] * 50 / 1000, 0)</f>
        <v>0</v>
      </c>
    </row>
    <row r="1967" spans="1:14" x14ac:dyDescent="0.3">
      <c r="A1967" s="6" t="s">
        <v>8</v>
      </c>
      <c r="B1967" s="5">
        <v>45311.875</v>
      </c>
      <c r="C1967" s="6">
        <v>0</v>
      </c>
      <c r="D1967" s="6">
        <v>0</v>
      </c>
      <c r="E1967" s="6">
        <v>0</v>
      </c>
      <c r="F1967" s="6">
        <v>64.628475869281999</v>
      </c>
      <c r="G1967" s="6" t="str">
        <f t="shared" si="60"/>
        <v>OK</v>
      </c>
      <c r="H1967" s="6" t="str">
        <f t="shared" si="61"/>
        <v>ZERO</v>
      </c>
      <c r="I1967">
        <v>0</v>
      </c>
      <c r="J1967">
        <f>IFERROR(Table4[[#This Row],[energy_kwh]]/Table4[[#This Row],[expected_kwh]],0)</f>
        <v>0</v>
      </c>
      <c r="K1967" t="str">
        <f>IF(Table4[[#This Row],[Performance_Ratio]] &lt; 0.85, "Underperforming", "Performing")</f>
        <v>Underperforming</v>
      </c>
      <c r="L1967">
        <f>Table4[[#This Row],[energy_kwh]] - Table4[[#This Row],[expected_kwh]]</f>
        <v>0</v>
      </c>
      <c r="M1967" t="str">
        <f>IF(Table4[[#This Row],[Performance_Deviation]] &lt; 0, "Underperforming", "Outperforming")</f>
        <v>Outperforming</v>
      </c>
      <c r="N1967">
        <f>IF(Table4[[#This Row],[Performance_Ratio]] &lt; 0.85, Table4[[#This Row],[Performance_Deviation]] * 50 / 1000, 0)</f>
        <v>0</v>
      </c>
    </row>
    <row r="1968" spans="1:14" x14ac:dyDescent="0.3">
      <c r="A1968" s="4" t="s">
        <v>8</v>
      </c>
      <c r="B1968" s="3">
        <v>45311.916666666664</v>
      </c>
      <c r="C1968" s="4">
        <v>0</v>
      </c>
      <c r="D1968" s="4">
        <v>0</v>
      </c>
      <c r="E1968" s="4">
        <v>0</v>
      </c>
      <c r="F1968" s="4">
        <v>73.674698905423298</v>
      </c>
      <c r="G1968" s="4" t="str">
        <f t="shared" si="60"/>
        <v>OK</v>
      </c>
      <c r="H1968" s="4" t="str">
        <f t="shared" si="61"/>
        <v>ZERO</v>
      </c>
      <c r="I1968">
        <v>0</v>
      </c>
      <c r="J1968">
        <f>IFERROR(Table4[[#This Row],[energy_kwh]]/Table4[[#This Row],[expected_kwh]],0)</f>
        <v>0</v>
      </c>
      <c r="K1968" t="str">
        <f>IF(Table4[[#This Row],[Performance_Ratio]] &lt; 0.85, "Underperforming", "Performing")</f>
        <v>Underperforming</v>
      </c>
      <c r="L1968">
        <f>Table4[[#This Row],[energy_kwh]] - Table4[[#This Row],[expected_kwh]]</f>
        <v>0</v>
      </c>
      <c r="M1968" t="str">
        <f>IF(Table4[[#This Row],[Performance_Deviation]] &lt; 0, "Underperforming", "Outperforming")</f>
        <v>Outperforming</v>
      </c>
      <c r="N1968">
        <f>IF(Table4[[#This Row],[Performance_Ratio]] &lt; 0.85, Table4[[#This Row],[Performance_Deviation]] * 50 / 1000, 0)</f>
        <v>0</v>
      </c>
    </row>
    <row r="1969" spans="1:14" x14ac:dyDescent="0.3">
      <c r="A1969" s="6" t="s">
        <v>8</v>
      </c>
      <c r="B1969" s="5">
        <v>45311.958333333336</v>
      </c>
      <c r="C1969" s="6">
        <v>0</v>
      </c>
      <c r="D1969" s="6">
        <v>0</v>
      </c>
      <c r="E1969" s="6">
        <v>0</v>
      </c>
      <c r="F1969" s="6">
        <v>64.2296777057349</v>
      </c>
      <c r="G1969" s="6" t="str">
        <f t="shared" si="60"/>
        <v>OK</v>
      </c>
      <c r="H1969" s="6" t="str">
        <f t="shared" si="61"/>
        <v>ZERO</v>
      </c>
      <c r="I1969">
        <v>0</v>
      </c>
      <c r="J1969">
        <f>IFERROR(Table4[[#This Row],[energy_kwh]]/Table4[[#This Row],[expected_kwh]],0)</f>
        <v>0</v>
      </c>
      <c r="K1969" t="str">
        <f>IF(Table4[[#This Row],[Performance_Ratio]] &lt; 0.85, "Underperforming", "Performing")</f>
        <v>Underperforming</v>
      </c>
      <c r="L1969">
        <f>Table4[[#This Row],[energy_kwh]] - Table4[[#This Row],[expected_kwh]]</f>
        <v>0</v>
      </c>
      <c r="M1969" t="str">
        <f>IF(Table4[[#This Row],[Performance_Deviation]] &lt; 0, "Underperforming", "Outperforming")</f>
        <v>Outperforming</v>
      </c>
      <c r="N1969">
        <f>IF(Table4[[#This Row],[Performance_Ratio]] &lt; 0.85, Table4[[#This Row],[Performance_Deviation]] * 50 / 1000, 0)</f>
        <v>0</v>
      </c>
    </row>
    <row r="1970" spans="1:14" x14ac:dyDescent="0.3">
      <c r="A1970" s="4" t="s">
        <v>8</v>
      </c>
      <c r="B1970" s="3">
        <v>45312</v>
      </c>
      <c r="C1970" s="4">
        <v>0</v>
      </c>
      <c r="D1970" s="4">
        <v>0</v>
      </c>
      <c r="E1970" s="4">
        <v>0</v>
      </c>
      <c r="F1970" s="4">
        <v>89.865128686644596</v>
      </c>
      <c r="G1970" s="4" t="str">
        <f t="shared" si="60"/>
        <v>OK</v>
      </c>
      <c r="H1970" s="4" t="str">
        <f t="shared" si="61"/>
        <v>ZERO</v>
      </c>
      <c r="I1970">
        <v>0</v>
      </c>
      <c r="J1970">
        <f>IFERROR(Table4[[#This Row],[energy_kwh]]/Table4[[#This Row],[expected_kwh]],0)</f>
        <v>0</v>
      </c>
      <c r="K1970" t="str">
        <f>IF(Table4[[#This Row],[Performance_Ratio]] &lt; 0.85, "Underperforming", "Performing")</f>
        <v>Underperforming</v>
      </c>
      <c r="L1970">
        <f>Table4[[#This Row],[energy_kwh]] - Table4[[#This Row],[expected_kwh]]</f>
        <v>0</v>
      </c>
      <c r="M1970" t="str">
        <f>IF(Table4[[#This Row],[Performance_Deviation]] &lt; 0, "Underperforming", "Outperforming")</f>
        <v>Outperforming</v>
      </c>
      <c r="N1970">
        <f>IF(Table4[[#This Row],[Performance_Ratio]] &lt; 0.85, Table4[[#This Row],[Performance_Deviation]] * 50 / 1000, 0)</f>
        <v>0</v>
      </c>
    </row>
    <row r="1971" spans="1:14" x14ac:dyDescent="0.3">
      <c r="A1971" s="6" t="s">
        <v>8</v>
      </c>
      <c r="B1971" s="5">
        <v>45312.041666666664</v>
      </c>
      <c r="C1971" s="6">
        <v>0</v>
      </c>
      <c r="D1971" s="6">
        <v>0</v>
      </c>
      <c r="E1971" s="6">
        <v>0</v>
      </c>
      <c r="F1971" s="6">
        <v>54.086204971651703</v>
      </c>
      <c r="G1971" s="6" t="str">
        <f t="shared" si="60"/>
        <v>OK</v>
      </c>
      <c r="H1971" s="6" t="str">
        <f t="shared" si="61"/>
        <v>ZERO</v>
      </c>
      <c r="I1971">
        <v>0</v>
      </c>
      <c r="J1971">
        <f>IFERROR(Table4[[#This Row],[energy_kwh]]/Table4[[#This Row],[expected_kwh]],0)</f>
        <v>0</v>
      </c>
      <c r="K1971" t="str">
        <f>IF(Table4[[#This Row],[Performance_Ratio]] &lt; 0.85, "Underperforming", "Performing")</f>
        <v>Underperforming</v>
      </c>
      <c r="L1971">
        <f>Table4[[#This Row],[energy_kwh]] - Table4[[#This Row],[expected_kwh]]</f>
        <v>0</v>
      </c>
      <c r="M1971" t="str">
        <f>IF(Table4[[#This Row],[Performance_Deviation]] &lt; 0, "Underperforming", "Outperforming")</f>
        <v>Outperforming</v>
      </c>
      <c r="N1971">
        <f>IF(Table4[[#This Row],[Performance_Ratio]] &lt; 0.85, Table4[[#This Row],[Performance_Deviation]] * 50 / 1000, 0)</f>
        <v>0</v>
      </c>
    </row>
    <row r="1972" spans="1:14" x14ac:dyDescent="0.3">
      <c r="A1972" s="4" t="s">
        <v>8</v>
      </c>
      <c r="B1972" s="3">
        <v>45312.083333333336</v>
      </c>
      <c r="C1972" s="4">
        <v>0</v>
      </c>
      <c r="D1972" s="4">
        <v>0</v>
      </c>
      <c r="E1972" s="4">
        <v>0</v>
      </c>
      <c r="F1972" s="4">
        <v>93.548616467303702</v>
      </c>
      <c r="G1972" s="4" t="str">
        <f t="shared" si="60"/>
        <v>OK</v>
      </c>
      <c r="H1972" s="4" t="str">
        <f t="shared" si="61"/>
        <v>ZERO</v>
      </c>
      <c r="I1972">
        <v>0</v>
      </c>
      <c r="J1972">
        <f>IFERROR(Table4[[#This Row],[energy_kwh]]/Table4[[#This Row],[expected_kwh]],0)</f>
        <v>0</v>
      </c>
      <c r="K1972" t="str">
        <f>IF(Table4[[#This Row],[Performance_Ratio]] &lt; 0.85, "Underperforming", "Performing")</f>
        <v>Underperforming</v>
      </c>
      <c r="L1972">
        <f>Table4[[#This Row],[energy_kwh]] - Table4[[#This Row],[expected_kwh]]</f>
        <v>0</v>
      </c>
      <c r="M1972" t="str">
        <f>IF(Table4[[#This Row],[Performance_Deviation]] &lt; 0, "Underperforming", "Outperforming")</f>
        <v>Outperforming</v>
      </c>
      <c r="N1972">
        <f>IF(Table4[[#This Row],[Performance_Ratio]] &lt; 0.85, Table4[[#This Row],[Performance_Deviation]] * 50 / 1000, 0)</f>
        <v>0</v>
      </c>
    </row>
    <row r="1973" spans="1:14" x14ac:dyDescent="0.3">
      <c r="A1973" s="6" t="s">
        <v>8</v>
      </c>
      <c r="B1973" s="5">
        <v>45312.125</v>
      </c>
      <c r="C1973" s="6">
        <v>0</v>
      </c>
      <c r="D1973" s="6">
        <v>0</v>
      </c>
      <c r="E1973" s="6">
        <v>0</v>
      </c>
      <c r="F1973" s="6">
        <v>30.013666351461399</v>
      </c>
      <c r="G1973" s="6" t="str">
        <f t="shared" si="60"/>
        <v>OK</v>
      </c>
      <c r="H1973" s="6" t="str">
        <f t="shared" si="61"/>
        <v>ZERO</v>
      </c>
      <c r="I1973">
        <v>0</v>
      </c>
      <c r="J1973">
        <f>IFERROR(Table4[[#This Row],[energy_kwh]]/Table4[[#This Row],[expected_kwh]],0)</f>
        <v>0</v>
      </c>
      <c r="K1973" t="str">
        <f>IF(Table4[[#This Row],[Performance_Ratio]] &lt; 0.85, "Underperforming", "Performing")</f>
        <v>Underperforming</v>
      </c>
      <c r="L1973">
        <f>Table4[[#This Row],[energy_kwh]] - Table4[[#This Row],[expected_kwh]]</f>
        <v>0</v>
      </c>
      <c r="M1973" t="str">
        <f>IF(Table4[[#This Row],[Performance_Deviation]] &lt; 0, "Underperforming", "Outperforming")</f>
        <v>Outperforming</v>
      </c>
      <c r="N1973">
        <f>IF(Table4[[#This Row],[Performance_Ratio]] &lt; 0.85, Table4[[#This Row],[Performance_Deviation]] * 50 / 1000, 0)</f>
        <v>0</v>
      </c>
    </row>
    <row r="1974" spans="1:14" x14ac:dyDescent="0.3">
      <c r="A1974" s="4" t="s">
        <v>8</v>
      </c>
      <c r="B1974" s="3">
        <v>45312.166666666664</v>
      </c>
      <c r="C1974" s="4">
        <v>0</v>
      </c>
      <c r="D1974" s="4">
        <v>0</v>
      </c>
      <c r="E1974" s="4">
        <v>0</v>
      </c>
      <c r="F1974" s="4">
        <v>39.023185575603101</v>
      </c>
      <c r="G1974" s="4" t="str">
        <f t="shared" si="60"/>
        <v>OK</v>
      </c>
      <c r="H1974" s="4" t="str">
        <f t="shared" si="61"/>
        <v>ZERO</v>
      </c>
      <c r="I1974">
        <v>0</v>
      </c>
      <c r="J1974">
        <f>IFERROR(Table4[[#This Row],[energy_kwh]]/Table4[[#This Row],[expected_kwh]],0)</f>
        <v>0</v>
      </c>
      <c r="K1974" t="str">
        <f>IF(Table4[[#This Row],[Performance_Ratio]] &lt; 0.85, "Underperforming", "Performing")</f>
        <v>Underperforming</v>
      </c>
      <c r="L1974">
        <f>Table4[[#This Row],[energy_kwh]] - Table4[[#This Row],[expected_kwh]]</f>
        <v>0</v>
      </c>
      <c r="M1974" t="str">
        <f>IF(Table4[[#This Row],[Performance_Deviation]] &lt; 0, "Underperforming", "Outperforming")</f>
        <v>Outperforming</v>
      </c>
      <c r="N1974">
        <f>IF(Table4[[#This Row],[Performance_Ratio]] &lt; 0.85, Table4[[#This Row],[Performance_Deviation]] * 50 / 1000, 0)</f>
        <v>0</v>
      </c>
    </row>
    <row r="1975" spans="1:14" x14ac:dyDescent="0.3">
      <c r="A1975" s="6" t="s">
        <v>8</v>
      </c>
      <c r="B1975" s="5">
        <v>45312.208333333336</v>
      </c>
      <c r="C1975" s="6">
        <v>0</v>
      </c>
      <c r="D1975" s="6">
        <v>0</v>
      </c>
      <c r="E1975" s="6">
        <v>0</v>
      </c>
      <c r="F1975" s="6">
        <v>29.775554267680299</v>
      </c>
      <c r="G1975" s="6" t="str">
        <f t="shared" si="60"/>
        <v>OK</v>
      </c>
      <c r="H1975" s="6" t="str">
        <f t="shared" si="61"/>
        <v>ZERO</v>
      </c>
      <c r="I1975">
        <v>0</v>
      </c>
      <c r="J1975">
        <f>IFERROR(Table4[[#This Row],[energy_kwh]]/Table4[[#This Row],[expected_kwh]],0)</f>
        <v>0</v>
      </c>
      <c r="K1975" t="str">
        <f>IF(Table4[[#This Row],[Performance_Ratio]] &lt; 0.85, "Underperforming", "Performing")</f>
        <v>Underperforming</v>
      </c>
      <c r="L1975">
        <f>Table4[[#This Row],[energy_kwh]] - Table4[[#This Row],[expected_kwh]]</f>
        <v>0</v>
      </c>
      <c r="M1975" t="str">
        <f>IF(Table4[[#This Row],[Performance_Deviation]] &lt; 0, "Underperforming", "Outperforming")</f>
        <v>Outperforming</v>
      </c>
      <c r="N1975">
        <f>IF(Table4[[#This Row],[Performance_Ratio]] &lt; 0.85, Table4[[#This Row],[Performance_Deviation]] * 50 / 1000, 0)</f>
        <v>0</v>
      </c>
    </row>
    <row r="1976" spans="1:14" x14ac:dyDescent="0.3">
      <c r="A1976" s="4" t="s">
        <v>8</v>
      </c>
      <c r="B1976" s="3">
        <v>45312.25</v>
      </c>
      <c r="C1976" s="4">
        <v>0</v>
      </c>
      <c r="D1976" s="4">
        <v>0</v>
      </c>
      <c r="E1976" s="4">
        <v>0</v>
      </c>
      <c r="F1976" s="4">
        <v>29.7742960026746</v>
      </c>
      <c r="G1976" s="4" t="str">
        <f t="shared" si="60"/>
        <v>OK</v>
      </c>
      <c r="H1976" s="4" t="str">
        <f t="shared" si="61"/>
        <v>ZERO</v>
      </c>
      <c r="I1976">
        <v>0</v>
      </c>
      <c r="J1976">
        <f>IFERROR(Table4[[#This Row],[energy_kwh]]/Table4[[#This Row],[expected_kwh]],0)</f>
        <v>0</v>
      </c>
      <c r="K1976" t="str">
        <f>IF(Table4[[#This Row],[Performance_Ratio]] &lt; 0.85, "Underperforming", "Performing")</f>
        <v>Underperforming</v>
      </c>
      <c r="L1976">
        <f>Table4[[#This Row],[energy_kwh]] - Table4[[#This Row],[expected_kwh]]</f>
        <v>0</v>
      </c>
      <c r="M1976" t="str">
        <f>IF(Table4[[#This Row],[Performance_Deviation]] &lt; 0, "Underperforming", "Outperforming")</f>
        <v>Outperforming</v>
      </c>
      <c r="N1976">
        <f>IF(Table4[[#This Row],[Performance_Ratio]] &lt; 0.85, Table4[[#This Row],[Performance_Deviation]] * 50 / 1000, 0)</f>
        <v>0</v>
      </c>
    </row>
    <row r="1977" spans="1:14" x14ac:dyDescent="0.3">
      <c r="A1977" s="6" t="s">
        <v>8</v>
      </c>
      <c r="B1977" s="5">
        <v>45312.291666666664</v>
      </c>
      <c r="C1977" s="6">
        <v>191.607345714692</v>
      </c>
      <c r="D1977" s="6">
        <v>185.72112162259899</v>
      </c>
      <c r="E1977" s="6">
        <v>185.72112162259899</v>
      </c>
      <c r="F1977" s="6">
        <v>24.803264289859101</v>
      </c>
      <c r="G1977" s="6" t="str">
        <f t="shared" si="60"/>
        <v>OK</v>
      </c>
      <c r="H1977" s="6" t="str">
        <f t="shared" si="61"/>
        <v>NON-ZERO</v>
      </c>
      <c r="I1977">
        <v>207.05523608201599</v>
      </c>
      <c r="J1977">
        <f>IFERROR(Table4[[#This Row],[energy_kwh]]/Table4[[#This Row],[expected_kwh]],0)</f>
        <v>0.89696413931321006</v>
      </c>
      <c r="K1977" t="str">
        <f>IF(Table4[[#This Row],[Performance_Ratio]] &lt; 0.85, "Underperforming", "Performing")</f>
        <v>Performing</v>
      </c>
      <c r="L1977">
        <f>Table4[[#This Row],[energy_kwh]] - Table4[[#This Row],[expected_kwh]]</f>
        <v>-21.334114459417009</v>
      </c>
      <c r="M1977" t="str">
        <f>IF(Table4[[#This Row],[Performance_Deviation]] &lt; 0, "Underperforming", "Outperforming")</f>
        <v>Underperforming</v>
      </c>
      <c r="N1977">
        <f>IF(Table4[[#This Row],[Performance_Ratio]] &lt; 0.85, Table4[[#This Row],[Performance_Deviation]] * 50 / 1000, 0)</f>
        <v>0</v>
      </c>
    </row>
    <row r="1978" spans="1:14" x14ac:dyDescent="0.3">
      <c r="A1978" s="4" t="s">
        <v>8</v>
      </c>
      <c r="B1978" s="3">
        <v>45312.333333333336</v>
      </c>
      <c r="C1978" s="4">
        <v>371.19638606573</v>
      </c>
      <c r="D1978" s="4">
        <v>359.793143134682</v>
      </c>
      <c r="E1978" s="4">
        <v>359.793143134682</v>
      </c>
      <c r="F1978" s="4">
        <v>51.044454353944097</v>
      </c>
      <c r="G1978" s="4" t="str">
        <f t="shared" si="60"/>
        <v>OK</v>
      </c>
      <c r="H1978" s="4" t="str">
        <f t="shared" si="61"/>
        <v>NON-ZERO</v>
      </c>
      <c r="I1978">
        <v>399.99999999999898</v>
      </c>
      <c r="J1978">
        <f>IFERROR(Table4[[#This Row],[energy_kwh]]/Table4[[#This Row],[expected_kwh]],0)</f>
        <v>0.89948285783670734</v>
      </c>
      <c r="K1978" t="str">
        <f>IF(Table4[[#This Row],[Performance_Ratio]] &lt; 0.85, "Underperforming", "Performing")</f>
        <v>Performing</v>
      </c>
      <c r="L1978">
        <f>Table4[[#This Row],[energy_kwh]] - Table4[[#This Row],[expected_kwh]]</f>
        <v>-40.206856865316979</v>
      </c>
      <c r="M1978" t="str">
        <f>IF(Table4[[#This Row],[Performance_Deviation]] &lt; 0, "Underperforming", "Outperforming")</f>
        <v>Underperforming</v>
      </c>
      <c r="N1978">
        <f>IF(Table4[[#This Row],[Performance_Ratio]] &lt; 0.85, Table4[[#This Row],[Performance_Deviation]] * 50 / 1000, 0)</f>
        <v>0</v>
      </c>
    </row>
    <row r="1979" spans="1:14" x14ac:dyDescent="0.3">
      <c r="A1979" s="6" t="s">
        <v>8</v>
      </c>
      <c r="B1979" s="5">
        <v>45312.375</v>
      </c>
      <c r="C1979" s="6">
        <v>474.21991420177397</v>
      </c>
      <c r="D1979" s="6">
        <v>459.65176352094898</v>
      </c>
      <c r="E1979" s="6">
        <v>459.65176352094898</v>
      </c>
      <c r="F1979" s="6">
        <v>69.051730824407002</v>
      </c>
      <c r="G1979" s="6" t="str">
        <f t="shared" si="60"/>
        <v>OK</v>
      </c>
      <c r="H1979" s="6" t="str">
        <f t="shared" si="61"/>
        <v>NON-ZERO</v>
      </c>
      <c r="I1979">
        <v>565.68542494923804</v>
      </c>
      <c r="J1979">
        <f>IFERROR(Table4[[#This Row],[energy_kwh]]/Table4[[#This Row],[expected_kwh]],0)</f>
        <v>0.81255719742504584</v>
      </c>
      <c r="K1979" t="str">
        <f>IF(Table4[[#This Row],[Performance_Ratio]] &lt; 0.85, "Underperforming", "Performing")</f>
        <v>Underperforming</v>
      </c>
      <c r="L1979">
        <f>Table4[[#This Row],[energy_kwh]] - Table4[[#This Row],[expected_kwh]]</f>
        <v>-106.03366142828907</v>
      </c>
      <c r="M1979" t="str">
        <f>IF(Table4[[#This Row],[Performance_Deviation]] &lt; 0, "Underperforming", "Outperforming")</f>
        <v>Underperforming</v>
      </c>
      <c r="N1979">
        <f>IF(Table4[[#This Row],[Performance_Ratio]] &lt; 0.85, Table4[[#This Row],[Performance_Deviation]] * 50 / 1000, 0)</f>
        <v>-5.3016830714144536</v>
      </c>
    </row>
    <row r="1980" spans="1:14" x14ac:dyDescent="0.3">
      <c r="A1980" s="4" t="s">
        <v>8</v>
      </c>
      <c r="B1980" s="3">
        <v>45312.416666666664</v>
      </c>
      <c r="C1980" s="4">
        <v>597.93682357185799</v>
      </c>
      <c r="D1980" s="4">
        <v>579.56805945516896</v>
      </c>
      <c r="E1980" s="4">
        <v>579.56805945516896</v>
      </c>
      <c r="F1980" s="4">
        <v>84.400404119712206</v>
      </c>
      <c r="G1980" s="4" t="str">
        <f t="shared" si="60"/>
        <v>OK</v>
      </c>
      <c r="H1980" s="4" t="str">
        <f t="shared" si="61"/>
        <v>NON-ZERO</v>
      </c>
      <c r="I1980">
        <v>692.82032302754999</v>
      </c>
      <c r="J1980">
        <f>IFERROR(Table4[[#This Row],[energy_kwh]]/Table4[[#This Row],[expected_kwh]],0)</f>
        <v>0.83653443785037818</v>
      </c>
      <c r="K1980" t="str">
        <f>IF(Table4[[#This Row],[Performance_Ratio]] &lt; 0.85, "Underperforming", "Performing")</f>
        <v>Underperforming</v>
      </c>
      <c r="L1980">
        <f>Table4[[#This Row],[energy_kwh]] - Table4[[#This Row],[expected_kwh]]</f>
        <v>-113.25226357238103</v>
      </c>
      <c r="M1980" t="str">
        <f>IF(Table4[[#This Row],[Performance_Deviation]] &lt; 0, "Underperforming", "Outperforming")</f>
        <v>Underperforming</v>
      </c>
      <c r="N1980">
        <f>IF(Table4[[#This Row],[Performance_Ratio]] &lt; 0.85, Table4[[#This Row],[Performance_Deviation]] * 50 / 1000, 0)</f>
        <v>-5.6626131786190506</v>
      </c>
    </row>
    <row r="1981" spans="1:14" x14ac:dyDescent="0.3">
      <c r="A1981" s="6" t="s">
        <v>8</v>
      </c>
      <c r="B1981" s="5">
        <v>45312.458333333336</v>
      </c>
      <c r="C1981" s="6">
        <v>716.530073042563</v>
      </c>
      <c r="D1981" s="6">
        <v>694.518095563722</v>
      </c>
      <c r="E1981" s="6">
        <v>694.518095563722</v>
      </c>
      <c r="F1981" s="6">
        <v>70.513759011294397</v>
      </c>
      <c r="G1981" s="6" t="str">
        <f t="shared" si="60"/>
        <v>OK</v>
      </c>
      <c r="H1981" s="6" t="str">
        <f t="shared" si="61"/>
        <v>NON-ZERO</v>
      </c>
      <c r="I1981">
        <v>772.74066103125404</v>
      </c>
      <c r="J1981">
        <f>IFERROR(Table4[[#This Row],[energy_kwh]]/Table4[[#This Row],[expected_kwh]],0)</f>
        <v>0.89877255150111968</v>
      </c>
      <c r="K1981" t="str">
        <f>IF(Table4[[#This Row],[Performance_Ratio]] &lt; 0.85, "Underperforming", "Performing")</f>
        <v>Performing</v>
      </c>
      <c r="L1981">
        <f>Table4[[#This Row],[energy_kwh]] - Table4[[#This Row],[expected_kwh]]</f>
        <v>-78.222565467532036</v>
      </c>
      <c r="M1981" t="str">
        <f>IF(Table4[[#This Row],[Performance_Deviation]] &lt; 0, "Underperforming", "Outperforming")</f>
        <v>Underperforming</v>
      </c>
      <c r="N1981">
        <f>IF(Table4[[#This Row],[Performance_Ratio]] &lt; 0.85, Table4[[#This Row],[Performance_Deviation]] * 50 / 1000, 0)</f>
        <v>0</v>
      </c>
    </row>
    <row r="1982" spans="1:14" x14ac:dyDescent="0.3">
      <c r="A1982" s="4" t="s">
        <v>8</v>
      </c>
      <c r="B1982" s="3">
        <v>45312.5</v>
      </c>
      <c r="C1982" s="4">
        <v>779.41506719609299</v>
      </c>
      <c r="D1982" s="4">
        <v>755.47124745809003</v>
      </c>
      <c r="E1982" s="4">
        <v>755.47124745809003</v>
      </c>
      <c r="F1982" s="4">
        <v>30.620851296342401</v>
      </c>
      <c r="G1982" s="4" t="str">
        <f t="shared" si="60"/>
        <v>OK</v>
      </c>
      <c r="H1982" s="4" t="str">
        <f t="shared" si="61"/>
        <v>NON-ZERO</v>
      </c>
      <c r="I1982">
        <v>800</v>
      </c>
      <c r="J1982">
        <f>IFERROR(Table4[[#This Row],[energy_kwh]]/Table4[[#This Row],[expected_kwh]],0)</f>
        <v>0.94433905932261253</v>
      </c>
      <c r="K1982" t="str">
        <f>IF(Table4[[#This Row],[Performance_Ratio]] &lt; 0.85, "Underperforming", "Performing")</f>
        <v>Performing</v>
      </c>
      <c r="L1982">
        <f>Table4[[#This Row],[energy_kwh]] - Table4[[#This Row],[expected_kwh]]</f>
        <v>-44.528752541909967</v>
      </c>
      <c r="M1982" t="str">
        <f>IF(Table4[[#This Row],[Performance_Deviation]] &lt; 0, "Underperforming", "Outperforming")</f>
        <v>Underperforming</v>
      </c>
      <c r="N1982">
        <f>IF(Table4[[#This Row],[Performance_Ratio]] &lt; 0.85, Table4[[#This Row],[Performance_Deviation]] * 50 / 1000, 0)</f>
        <v>0</v>
      </c>
    </row>
    <row r="1983" spans="1:14" x14ac:dyDescent="0.3">
      <c r="A1983" s="6" t="s">
        <v>8</v>
      </c>
      <c r="B1983" s="5">
        <v>45312.541666666664</v>
      </c>
      <c r="C1983" s="6">
        <v>697.04443973023797</v>
      </c>
      <c r="D1983" s="6">
        <v>675.63106562865801</v>
      </c>
      <c r="E1983" s="6">
        <v>675.63106562865801</v>
      </c>
      <c r="F1983" s="6">
        <v>91.761100294315796</v>
      </c>
      <c r="G1983" s="6" t="str">
        <f t="shared" si="60"/>
        <v>OK</v>
      </c>
      <c r="H1983" s="6" t="str">
        <f t="shared" si="61"/>
        <v>NON-ZERO</v>
      </c>
      <c r="I1983">
        <v>772.74066103125404</v>
      </c>
      <c r="J1983">
        <f>IFERROR(Table4[[#This Row],[energy_kwh]]/Table4[[#This Row],[expected_kwh]],0)</f>
        <v>0.8743309362380397</v>
      </c>
      <c r="K1983" t="str">
        <f>IF(Table4[[#This Row],[Performance_Ratio]] &lt; 0.85, "Underperforming", "Performing")</f>
        <v>Performing</v>
      </c>
      <c r="L1983">
        <f>Table4[[#This Row],[energy_kwh]] - Table4[[#This Row],[expected_kwh]]</f>
        <v>-97.109595402596028</v>
      </c>
      <c r="M1983" t="str">
        <f>IF(Table4[[#This Row],[Performance_Deviation]] &lt; 0, "Underperforming", "Outperforming")</f>
        <v>Underperforming</v>
      </c>
      <c r="N1983">
        <f>IF(Table4[[#This Row],[Performance_Ratio]] &lt; 0.85, Table4[[#This Row],[Performance_Deviation]] * 50 / 1000, 0)</f>
        <v>0</v>
      </c>
    </row>
    <row r="1984" spans="1:14" x14ac:dyDescent="0.3">
      <c r="A1984" s="4" t="s">
        <v>8</v>
      </c>
      <c r="B1984" s="3">
        <v>45312.583333333336</v>
      </c>
      <c r="C1984" s="4">
        <v>669.39471157364198</v>
      </c>
      <c r="D1984" s="4">
        <v>648.83074382132304</v>
      </c>
      <c r="E1984" s="4">
        <v>648.83074382132304</v>
      </c>
      <c r="F1984" s="4">
        <v>80.265633261982003</v>
      </c>
      <c r="G1984" s="4" t="str">
        <f t="shared" si="60"/>
        <v>OK</v>
      </c>
      <c r="H1984" s="4" t="str">
        <f t="shared" si="61"/>
        <v>NON-ZERO</v>
      </c>
      <c r="I1984">
        <v>692.82032302755101</v>
      </c>
      <c r="J1984">
        <f>IFERROR(Table4[[#This Row],[energy_kwh]]/Table4[[#This Row],[expected_kwh]],0)</f>
        <v>0.93650651150936481</v>
      </c>
      <c r="K1984" t="str">
        <f>IF(Table4[[#This Row],[Performance_Ratio]] &lt; 0.85, "Underperforming", "Performing")</f>
        <v>Performing</v>
      </c>
      <c r="L1984">
        <f>Table4[[#This Row],[energy_kwh]] - Table4[[#This Row],[expected_kwh]]</f>
        <v>-43.989579206227972</v>
      </c>
      <c r="M1984" t="str">
        <f>IF(Table4[[#This Row],[Performance_Deviation]] &lt; 0, "Underperforming", "Outperforming")</f>
        <v>Underperforming</v>
      </c>
      <c r="N1984">
        <f>IF(Table4[[#This Row],[Performance_Ratio]] &lt; 0.85, Table4[[#This Row],[Performance_Deviation]] * 50 / 1000, 0)</f>
        <v>0</v>
      </c>
    </row>
    <row r="1985" spans="1:14" x14ac:dyDescent="0.3">
      <c r="A1985" s="6" t="s">
        <v>8</v>
      </c>
      <c r="B1985" s="5">
        <v>45312.625</v>
      </c>
      <c r="C1985" s="6">
        <v>534.03242784808401</v>
      </c>
      <c r="D1985" s="6">
        <v>517.626822253824</v>
      </c>
      <c r="E1985" s="6">
        <v>517.626822253824</v>
      </c>
      <c r="F1985" s="6">
        <v>52.758287699248903</v>
      </c>
      <c r="G1985" s="6" t="str">
        <f t="shared" si="60"/>
        <v>OK</v>
      </c>
      <c r="H1985" s="6" t="str">
        <f t="shared" si="61"/>
        <v>NON-ZERO</v>
      </c>
      <c r="I1985">
        <v>565.68542494923804</v>
      </c>
      <c r="J1985">
        <f>IFERROR(Table4[[#This Row],[energy_kwh]]/Table4[[#This Row],[expected_kwh]],0)</f>
        <v>0.9150435903493066</v>
      </c>
      <c r="K1985" t="str">
        <f>IF(Table4[[#This Row],[Performance_Ratio]] &lt; 0.85, "Underperforming", "Performing")</f>
        <v>Performing</v>
      </c>
      <c r="L1985">
        <f>Table4[[#This Row],[energy_kwh]] - Table4[[#This Row],[expected_kwh]]</f>
        <v>-48.058602695414038</v>
      </c>
      <c r="M1985" t="str">
        <f>IF(Table4[[#This Row],[Performance_Deviation]] &lt; 0, "Underperforming", "Outperforming")</f>
        <v>Underperforming</v>
      </c>
      <c r="N1985">
        <f>IF(Table4[[#This Row],[Performance_Ratio]] &lt; 0.85, Table4[[#This Row],[Performance_Deviation]] * 50 / 1000, 0)</f>
        <v>0</v>
      </c>
    </row>
    <row r="1986" spans="1:14" x14ac:dyDescent="0.3">
      <c r="A1986" s="4" t="s">
        <v>8</v>
      </c>
      <c r="B1986" s="3">
        <v>45312.666666666664</v>
      </c>
      <c r="C1986" s="4">
        <v>327.52883788089099</v>
      </c>
      <c r="D1986" s="4">
        <v>317.46707261193097</v>
      </c>
      <c r="E1986" s="4">
        <v>317.46707261193097</v>
      </c>
      <c r="F1986" s="4">
        <v>41.145266325631802</v>
      </c>
      <c r="G1986" s="4" t="str">
        <f t="shared" ref="G1986:G2049" si="62">IF(D1986 &gt; C1986, "ERROR", "OK")</f>
        <v>OK</v>
      </c>
      <c r="H1986" s="4" t="str">
        <f t="shared" ref="H1986:H2049" si="63">IF(E1986=0,"ZERO","NON-ZERO")</f>
        <v>NON-ZERO</v>
      </c>
      <c r="I1986">
        <v>399.99999999999898</v>
      </c>
      <c r="J1986">
        <f>IFERROR(Table4[[#This Row],[energy_kwh]]/Table4[[#This Row],[expected_kwh]],0)</f>
        <v>0.79366768152982947</v>
      </c>
      <c r="K1986" t="str">
        <f>IF(Table4[[#This Row],[Performance_Ratio]] &lt; 0.85, "Underperforming", "Performing")</f>
        <v>Underperforming</v>
      </c>
      <c r="L1986">
        <f>Table4[[#This Row],[energy_kwh]] - Table4[[#This Row],[expected_kwh]]</f>
        <v>-82.532927388068003</v>
      </c>
      <c r="M1986" t="str">
        <f>IF(Table4[[#This Row],[Performance_Deviation]] &lt; 0, "Underperforming", "Outperforming")</f>
        <v>Underperforming</v>
      </c>
      <c r="N1986">
        <f>IF(Table4[[#This Row],[Performance_Ratio]] &lt; 0.85, Table4[[#This Row],[Performance_Deviation]] * 50 / 1000, 0)</f>
        <v>-4.1266463694034003</v>
      </c>
    </row>
    <row r="1987" spans="1:14" x14ac:dyDescent="0.3">
      <c r="A1987" s="6" t="s">
        <v>8</v>
      </c>
      <c r="B1987" s="5">
        <v>45312.708333333336</v>
      </c>
      <c r="C1987" s="6">
        <v>199.37538342032499</v>
      </c>
      <c r="D1987" s="6">
        <v>193.25052332750599</v>
      </c>
      <c r="E1987" s="6">
        <v>193.25052332750599</v>
      </c>
      <c r="F1987" s="6">
        <v>85.494076751875397</v>
      </c>
      <c r="G1987" s="6" t="str">
        <f t="shared" si="62"/>
        <v>OK</v>
      </c>
      <c r="H1987" s="6" t="str">
        <f t="shared" si="63"/>
        <v>NON-ZERO</v>
      </c>
      <c r="I1987">
        <v>207.05523608201599</v>
      </c>
      <c r="J1987">
        <f>IFERROR(Table4[[#This Row],[energy_kwh]]/Table4[[#This Row],[expected_kwh]],0)</f>
        <v>0.93332835712958317</v>
      </c>
      <c r="K1987" t="str">
        <f>IF(Table4[[#This Row],[Performance_Ratio]] &lt; 0.85, "Underperforming", "Performing")</f>
        <v>Performing</v>
      </c>
      <c r="L1987">
        <f>Table4[[#This Row],[energy_kwh]] - Table4[[#This Row],[expected_kwh]]</f>
        <v>-13.804712754510007</v>
      </c>
      <c r="M1987" t="str">
        <f>IF(Table4[[#This Row],[Performance_Deviation]] &lt; 0, "Underperforming", "Outperforming")</f>
        <v>Underperforming</v>
      </c>
      <c r="N1987">
        <f>IF(Table4[[#This Row],[Performance_Ratio]] &lt; 0.85, Table4[[#This Row],[Performance_Deviation]] * 50 / 1000, 0)</f>
        <v>0</v>
      </c>
    </row>
    <row r="1988" spans="1:14" x14ac:dyDescent="0.3">
      <c r="A1988" s="4" t="s">
        <v>8</v>
      </c>
      <c r="B1988" s="3">
        <v>45312.75</v>
      </c>
      <c r="C1988" s="7">
        <v>8.9646795683794697E-14</v>
      </c>
      <c r="D1988" s="7">
        <v>8.6892824396500694E-14</v>
      </c>
      <c r="E1988" s="7">
        <v>8.6892824396500694E-14</v>
      </c>
      <c r="F1988" s="4">
        <v>91.716588023271996</v>
      </c>
      <c r="G1988" s="4" t="str">
        <f t="shared" si="62"/>
        <v>OK</v>
      </c>
      <c r="H1988" s="4" t="str">
        <f t="shared" si="63"/>
        <v>NON-ZERO</v>
      </c>
      <c r="I1988" s="2">
        <v>9.7971743931788194E-14</v>
      </c>
      <c r="J1988">
        <f>IFERROR(Table4[[#This Row],[energy_kwh]]/Table4[[#This Row],[expected_kwh]],0)</f>
        <v>0.88691719580901729</v>
      </c>
      <c r="K1988" t="str">
        <f>IF(Table4[[#This Row],[Performance_Ratio]] &lt; 0.85, "Underperforming", "Performing")</f>
        <v>Performing</v>
      </c>
      <c r="L1988">
        <f>Table4[[#This Row],[energy_kwh]] - Table4[[#This Row],[expected_kwh]]</f>
        <v>-1.10789195352875E-14</v>
      </c>
      <c r="M1988" t="str">
        <f>IF(Table4[[#This Row],[Performance_Deviation]] &lt; 0, "Underperforming", "Outperforming")</f>
        <v>Underperforming</v>
      </c>
      <c r="N1988">
        <f>IF(Table4[[#This Row],[Performance_Ratio]] &lt; 0.85, Table4[[#This Row],[Performance_Deviation]] * 50 / 1000, 0)</f>
        <v>0</v>
      </c>
    </row>
    <row r="1989" spans="1:14" x14ac:dyDescent="0.3">
      <c r="A1989" s="6" t="s">
        <v>8</v>
      </c>
      <c r="B1989" s="5">
        <v>45312.791666666664</v>
      </c>
      <c r="C1989" s="6">
        <v>0</v>
      </c>
      <c r="D1989" s="6">
        <v>0</v>
      </c>
      <c r="E1989" s="6">
        <v>0</v>
      </c>
      <c r="F1989" s="6">
        <v>89.584360953148604</v>
      </c>
      <c r="G1989" s="6" t="str">
        <f t="shared" si="62"/>
        <v>OK</v>
      </c>
      <c r="H1989" s="6" t="str">
        <f t="shared" si="63"/>
        <v>ZERO</v>
      </c>
      <c r="I1989">
        <v>0</v>
      </c>
      <c r="J1989">
        <f>IFERROR(Table4[[#This Row],[energy_kwh]]/Table4[[#This Row],[expected_kwh]],0)</f>
        <v>0</v>
      </c>
      <c r="K1989" t="str">
        <f>IF(Table4[[#This Row],[Performance_Ratio]] &lt; 0.85, "Underperforming", "Performing")</f>
        <v>Underperforming</v>
      </c>
      <c r="L1989">
        <f>Table4[[#This Row],[energy_kwh]] - Table4[[#This Row],[expected_kwh]]</f>
        <v>0</v>
      </c>
      <c r="M1989" t="str">
        <f>IF(Table4[[#This Row],[Performance_Deviation]] &lt; 0, "Underperforming", "Outperforming")</f>
        <v>Outperforming</v>
      </c>
      <c r="N1989">
        <f>IF(Table4[[#This Row],[Performance_Ratio]] &lt; 0.85, Table4[[#This Row],[Performance_Deviation]] * 50 / 1000, 0)</f>
        <v>0</v>
      </c>
    </row>
    <row r="1990" spans="1:14" x14ac:dyDescent="0.3">
      <c r="A1990" s="4" t="s">
        <v>8</v>
      </c>
      <c r="B1990" s="3">
        <v>45312.833333333336</v>
      </c>
      <c r="C1990" s="4">
        <v>0</v>
      </c>
      <c r="D1990" s="4">
        <v>0</v>
      </c>
      <c r="E1990" s="4">
        <v>0</v>
      </c>
      <c r="F1990" s="4">
        <v>58.540687608367499</v>
      </c>
      <c r="G1990" s="4" t="str">
        <f t="shared" si="62"/>
        <v>OK</v>
      </c>
      <c r="H1990" s="4" t="str">
        <f t="shared" si="63"/>
        <v>ZERO</v>
      </c>
      <c r="I1990">
        <v>0</v>
      </c>
      <c r="J1990">
        <f>IFERROR(Table4[[#This Row],[energy_kwh]]/Table4[[#This Row],[expected_kwh]],0)</f>
        <v>0</v>
      </c>
      <c r="K1990" t="str">
        <f>IF(Table4[[#This Row],[Performance_Ratio]] &lt; 0.85, "Underperforming", "Performing")</f>
        <v>Underperforming</v>
      </c>
      <c r="L1990">
        <f>Table4[[#This Row],[energy_kwh]] - Table4[[#This Row],[expected_kwh]]</f>
        <v>0</v>
      </c>
      <c r="M1990" t="str">
        <f>IF(Table4[[#This Row],[Performance_Deviation]] &lt; 0, "Underperforming", "Outperforming")</f>
        <v>Outperforming</v>
      </c>
      <c r="N1990">
        <f>IF(Table4[[#This Row],[Performance_Ratio]] &lt; 0.85, Table4[[#This Row],[Performance_Deviation]] * 50 / 1000, 0)</f>
        <v>0</v>
      </c>
    </row>
    <row r="1991" spans="1:14" x14ac:dyDescent="0.3">
      <c r="A1991" s="6" t="s">
        <v>8</v>
      </c>
      <c r="B1991" s="5">
        <v>45312.875</v>
      </c>
      <c r="C1991" s="6">
        <v>0</v>
      </c>
      <c r="D1991" s="6">
        <v>0</v>
      </c>
      <c r="E1991" s="6">
        <v>0</v>
      </c>
      <c r="F1991" s="6">
        <v>80.772747434249894</v>
      </c>
      <c r="G1991" s="6" t="str">
        <f t="shared" si="62"/>
        <v>OK</v>
      </c>
      <c r="H1991" s="6" t="str">
        <f t="shared" si="63"/>
        <v>ZERO</v>
      </c>
      <c r="I1991">
        <v>0</v>
      </c>
      <c r="J1991">
        <f>IFERROR(Table4[[#This Row],[energy_kwh]]/Table4[[#This Row],[expected_kwh]],0)</f>
        <v>0</v>
      </c>
      <c r="K1991" t="str">
        <f>IF(Table4[[#This Row],[Performance_Ratio]] &lt; 0.85, "Underperforming", "Performing")</f>
        <v>Underperforming</v>
      </c>
      <c r="L1991">
        <f>Table4[[#This Row],[energy_kwh]] - Table4[[#This Row],[expected_kwh]]</f>
        <v>0</v>
      </c>
      <c r="M1991" t="str">
        <f>IF(Table4[[#This Row],[Performance_Deviation]] &lt; 0, "Underperforming", "Outperforming")</f>
        <v>Outperforming</v>
      </c>
      <c r="N1991">
        <f>IF(Table4[[#This Row],[Performance_Ratio]] &lt; 0.85, Table4[[#This Row],[Performance_Deviation]] * 50 / 1000, 0)</f>
        <v>0</v>
      </c>
    </row>
    <row r="1992" spans="1:14" x14ac:dyDescent="0.3">
      <c r="A1992" s="4" t="s">
        <v>8</v>
      </c>
      <c r="B1992" s="3">
        <v>45312.916666666664</v>
      </c>
      <c r="C1992" s="4">
        <v>0</v>
      </c>
      <c r="D1992" s="4">
        <v>0</v>
      </c>
      <c r="E1992" s="4">
        <v>0</v>
      </c>
      <c r="F1992" s="4">
        <v>93.349506780367506</v>
      </c>
      <c r="G1992" s="4" t="str">
        <f t="shared" si="62"/>
        <v>OK</v>
      </c>
      <c r="H1992" s="4" t="str">
        <f t="shared" si="63"/>
        <v>ZERO</v>
      </c>
      <c r="I1992">
        <v>0</v>
      </c>
      <c r="J1992">
        <f>IFERROR(Table4[[#This Row],[energy_kwh]]/Table4[[#This Row],[expected_kwh]],0)</f>
        <v>0</v>
      </c>
      <c r="K1992" t="str">
        <f>IF(Table4[[#This Row],[Performance_Ratio]] &lt; 0.85, "Underperforming", "Performing")</f>
        <v>Underperforming</v>
      </c>
      <c r="L1992">
        <f>Table4[[#This Row],[energy_kwh]] - Table4[[#This Row],[expected_kwh]]</f>
        <v>0</v>
      </c>
      <c r="M1992" t="str">
        <f>IF(Table4[[#This Row],[Performance_Deviation]] &lt; 0, "Underperforming", "Outperforming")</f>
        <v>Outperforming</v>
      </c>
      <c r="N1992">
        <f>IF(Table4[[#This Row],[Performance_Ratio]] &lt; 0.85, Table4[[#This Row],[Performance_Deviation]] * 50 / 1000, 0)</f>
        <v>0</v>
      </c>
    </row>
    <row r="1993" spans="1:14" x14ac:dyDescent="0.3">
      <c r="A1993" s="6" t="s">
        <v>8</v>
      </c>
      <c r="B1993" s="5">
        <v>45312.958333333336</v>
      </c>
      <c r="C1993" s="6">
        <v>0</v>
      </c>
      <c r="D1993" s="6">
        <v>0</v>
      </c>
      <c r="E1993" s="6">
        <v>0</v>
      </c>
      <c r="F1993" s="6">
        <v>32.760705513286801</v>
      </c>
      <c r="G1993" s="6" t="str">
        <f t="shared" si="62"/>
        <v>OK</v>
      </c>
      <c r="H1993" s="6" t="str">
        <f t="shared" si="63"/>
        <v>ZERO</v>
      </c>
      <c r="I1993">
        <v>0</v>
      </c>
      <c r="J1993">
        <f>IFERROR(Table4[[#This Row],[energy_kwh]]/Table4[[#This Row],[expected_kwh]],0)</f>
        <v>0</v>
      </c>
      <c r="K1993" t="str">
        <f>IF(Table4[[#This Row],[Performance_Ratio]] &lt; 0.85, "Underperforming", "Performing")</f>
        <v>Underperforming</v>
      </c>
      <c r="L1993">
        <f>Table4[[#This Row],[energy_kwh]] - Table4[[#This Row],[expected_kwh]]</f>
        <v>0</v>
      </c>
      <c r="M1993" t="str">
        <f>IF(Table4[[#This Row],[Performance_Deviation]] &lt; 0, "Underperforming", "Outperforming")</f>
        <v>Outperforming</v>
      </c>
      <c r="N1993">
        <f>IF(Table4[[#This Row],[Performance_Ratio]] &lt; 0.85, Table4[[#This Row],[Performance_Deviation]] * 50 / 1000, 0)</f>
        <v>0</v>
      </c>
    </row>
    <row r="1994" spans="1:14" x14ac:dyDescent="0.3">
      <c r="A1994" s="4" t="s">
        <v>8</v>
      </c>
      <c r="B1994" s="3">
        <v>45313</v>
      </c>
      <c r="C1994" s="4">
        <v>0</v>
      </c>
      <c r="D1994" s="4">
        <v>0</v>
      </c>
      <c r="E1994" s="4">
        <v>0</v>
      </c>
      <c r="F1994" s="4">
        <v>92.917228191226798</v>
      </c>
      <c r="G1994" s="4" t="str">
        <f t="shared" si="62"/>
        <v>OK</v>
      </c>
      <c r="H1994" s="4" t="str">
        <f t="shared" si="63"/>
        <v>ZERO</v>
      </c>
      <c r="I1994">
        <v>0</v>
      </c>
      <c r="J1994">
        <f>IFERROR(Table4[[#This Row],[energy_kwh]]/Table4[[#This Row],[expected_kwh]],0)</f>
        <v>0</v>
      </c>
      <c r="K1994" t="str">
        <f>IF(Table4[[#This Row],[Performance_Ratio]] &lt; 0.85, "Underperforming", "Performing")</f>
        <v>Underperforming</v>
      </c>
      <c r="L1994">
        <f>Table4[[#This Row],[energy_kwh]] - Table4[[#This Row],[expected_kwh]]</f>
        <v>0</v>
      </c>
      <c r="M1994" t="str">
        <f>IF(Table4[[#This Row],[Performance_Deviation]] &lt; 0, "Underperforming", "Outperforming")</f>
        <v>Outperforming</v>
      </c>
      <c r="N1994">
        <f>IF(Table4[[#This Row],[Performance_Ratio]] &lt; 0.85, Table4[[#This Row],[Performance_Deviation]] * 50 / 1000, 0)</f>
        <v>0</v>
      </c>
    </row>
    <row r="1995" spans="1:14" x14ac:dyDescent="0.3">
      <c r="A1995" s="6" t="s">
        <v>8</v>
      </c>
      <c r="B1995" s="5">
        <v>45313.041666666664</v>
      </c>
      <c r="C1995" s="6">
        <v>0</v>
      </c>
      <c r="D1995" s="6">
        <v>0</v>
      </c>
      <c r="E1995" s="6">
        <v>0</v>
      </c>
      <c r="F1995" s="6">
        <v>20.030771707938101</v>
      </c>
      <c r="G1995" s="6" t="str">
        <f t="shared" si="62"/>
        <v>OK</v>
      </c>
      <c r="H1995" s="6" t="str">
        <f t="shared" si="63"/>
        <v>ZERO</v>
      </c>
      <c r="I1995">
        <v>0</v>
      </c>
      <c r="J1995">
        <f>IFERROR(Table4[[#This Row],[energy_kwh]]/Table4[[#This Row],[expected_kwh]],0)</f>
        <v>0</v>
      </c>
      <c r="K1995" t="str">
        <f>IF(Table4[[#This Row],[Performance_Ratio]] &lt; 0.85, "Underperforming", "Performing")</f>
        <v>Underperforming</v>
      </c>
      <c r="L1995">
        <f>Table4[[#This Row],[energy_kwh]] - Table4[[#This Row],[expected_kwh]]</f>
        <v>0</v>
      </c>
      <c r="M1995" t="str">
        <f>IF(Table4[[#This Row],[Performance_Deviation]] &lt; 0, "Underperforming", "Outperforming")</f>
        <v>Outperforming</v>
      </c>
      <c r="N1995">
        <f>IF(Table4[[#This Row],[Performance_Ratio]] &lt; 0.85, Table4[[#This Row],[Performance_Deviation]] * 50 / 1000, 0)</f>
        <v>0</v>
      </c>
    </row>
    <row r="1996" spans="1:14" x14ac:dyDescent="0.3">
      <c r="A1996" s="4" t="s">
        <v>8</v>
      </c>
      <c r="B1996" s="3">
        <v>45313.083333333336</v>
      </c>
      <c r="C1996" s="4">
        <v>0</v>
      </c>
      <c r="D1996" s="4">
        <v>0</v>
      </c>
      <c r="E1996" s="4">
        <v>0</v>
      </c>
      <c r="F1996" s="4">
        <v>68.875984615882004</v>
      </c>
      <c r="G1996" s="4" t="str">
        <f t="shared" si="62"/>
        <v>OK</v>
      </c>
      <c r="H1996" s="4" t="str">
        <f t="shared" si="63"/>
        <v>ZERO</v>
      </c>
      <c r="I1996">
        <v>0</v>
      </c>
      <c r="J1996">
        <f>IFERROR(Table4[[#This Row],[energy_kwh]]/Table4[[#This Row],[expected_kwh]],0)</f>
        <v>0</v>
      </c>
      <c r="K1996" t="str">
        <f>IF(Table4[[#This Row],[Performance_Ratio]] &lt; 0.85, "Underperforming", "Performing")</f>
        <v>Underperforming</v>
      </c>
      <c r="L1996">
        <f>Table4[[#This Row],[energy_kwh]] - Table4[[#This Row],[expected_kwh]]</f>
        <v>0</v>
      </c>
      <c r="M1996" t="str">
        <f>IF(Table4[[#This Row],[Performance_Deviation]] &lt; 0, "Underperforming", "Outperforming")</f>
        <v>Outperforming</v>
      </c>
      <c r="N1996">
        <f>IF(Table4[[#This Row],[Performance_Ratio]] &lt; 0.85, Table4[[#This Row],[Performance_Deviation]] * 50 / 1000, 0)</f>
        <v>0</v>
      </c>
    </row>
    <row r="1997" spans="1:14" x14ac:dyDescent="0.3">
      <c r="A1997" s="6" t="s">
        <v>8</v>
      </c>
      <c r="B1997" s="5">
        <v>45313.125</v>
      </c>
      <c r="C1997" s="6">
        <v>0</v>
      </c>
      <c r="D1997" s="6">
        <v>0</v>
      </c>
      <c r="E1997" s="6">
        <v>0</v>
      </c>
      <c r="F1997" s="6">
        <v>43.948766001602998</v>
      </c>
      <c r="G1997" s="6" t="str">
        <f t="shared" si="62"/>
        <v>OK</v>
      </c>
      <c r="H1997" s="6" t="str">
        <f t="shared" si="63"/>
        <v>ZERO</v>
      </c>
      <c r="I1997">
        <v>0</v>
      </c>
      <c r="J1997">
        <f>IFERROR(Table4[[#This Row],[energy_kwh]]/Table4[[#This Row],[expected_kwh]],0)</f>
        <v>0</v>
      </c>
      <c r="K1997" t="str">
        <f>IF(Table4[[#This Row],[Performance_Ratio]] &lt; 0.85, "Underperforming", "Performing")</f>
        <v>Underperforming</v>
      </c>
      <c r="L1997">
        <f>Table4[[#This Row],[energy_kwh]] - Table4[[#This Row],[expected_kwh]]</f>
        <v>0</v>
      </c>
      <c r="M1997" t="str">
        <f>IF(Table4[[#This Row],[Performance_Deviation]] &lt; 0, "Underperforming", "Outperforming")</f>
        <v>Outperforming</v>
      </c>
      <c r="N1997">
        <f>IF(Table4[[#This Row],[Performance_Ratio]] &lt; 0.85, Table4[[#This Row],[Performance_Deviation]] * 50 / 1000, 0)</f>
        <v>0</v>
      </c>
    </row>
    <row r="1998" spans="1:14" x14ac:dyDescent="0.3">
      <c r="A1998" s="4" t="s">
        <v>8</v>
      </c>
      <c r="B1998" s="3">
        <v>45313.166666666664</v>
      </c>
      <c r="C1998" s="4">
        <v>0</v>
      </c>
      <c r="D1998" s="4">
        <v>0</v>
      </c>
      <c r="E1998" s="4">
        <v>0</v>
      </c>
      <c r="F1998" s="4">
        <v>51.8291763554382</v>
      </c>
      <c r="G1998" s="4" t="str">
        <f t="shared" si="62"/>
        <v>OK</v>
      </c>
      <c r="H1998" s="4" t="str">
        <f t="shared" si="63"/>
        <v>ZERO</v>
      </c>
      <c r="I1998">
        <v>0</v>
      </c>
      <c r="J1998">
        <f>IFERROR(Table4[[#This Row],[energy_kwh]]/Table4[[#This Row],[expected_kwh]],0)</f>
        <v>0</v>
      </c>
      <c r="K1998" t="str">
        <f>IF(Table4[[#This Row],[Performance_Ratio]] &lt; 0.85, "Underperforming", "Performing")</f>
        <v>Underperforming</v>
      </c>
      <c r="L1998">
        <f>Table4[[#This Row],[energy_kwh]] - Table4[[#This Row],[expected_kwh]]</f>
        <v>0</v>
      </c>
      <c r="M1998" t="str">
        <f>IF(Table4[[#This Row],[Performance_Deviation]] &lt; 0, "Underperforming", "Outperforming")</f>
        <v>Outperforming</v>
      </c>
      <c r="N1998">
        <f>IF(Table4[[#This Row],[Performance_Ratio]] &lt; 0.85, Table4[[#This Row],[Performance_Deviation]] * 50 / 1000, 0)</f>
        <v>0</v>
      </c>
    </row>
    <row r="1999" spans="1:14" x14ac:dyDescent="0.3">
      <c r="A1999" s="6" t="s">
        <v>8</v>
      </c>
      <c r="B1999" s="5">
        <v>45313.208333333336</v>
      </c>
      <c r="C1999" s="6">
        <v>0</v>
      </c>
      <c r="D1999" s="6">
        <v>0</v>
      </c>
      <c r="E1999" s="6">
        <v>0</v>
      </c>
      <c r="F1999" s="6">
        <v>60.306270394985503</v>
      </c>
      <c r="G1999" s="6" t="str">
        <f t="shared" si="62"/>
        <v>OK</v>
      </c>
      <c r="H1999" s="6" t="str">
        <f t="shared" si="63"/>
        <v>ZERO</v>
      </c>
      <c r="I1999">
        <v>0</v>
      </c>
      <c r="J1999">
        <f>IFERROR(Table4[[#This Row],[energy_kwh]]/Table4[[#This Row],[expected_kwh]],0)</f>
        <v>0</v>
      </c>
      <c r="K1999" t="str">
        <f>IF(Table4[[#This Row],[Performance_Ratio]] &lt; 0.85, "Underperforming", "Performing")</f>
        <v>Underperforming</v>
      </c>
      <c r="L1999">
        <f>Table4[[#This Row],[energy_kwh]] - Table4[[#This Row],[expected_kwh]]</f>
        <v>0</v>
      </c>
      <c r="M1999" t="str">
        <f>IF(Table4[[#This Row],[Performance_Deviation]] &lt; 0, "Underperforming", "Outperforming")</f>
        <v>Outperforming</v>
      </c>
      <c r="N1999">
        <f>IF(Table4[[#This Row],[Performance_Ratio]] &lt; 0.85, Table4[[#This Row],[Performance_Deviation]] * 50 / 1000, 0)</f>
        <v>0</v>
      </c>
    </row>
    <row r="2000" spans="1:14" x14ac:dyDescent="0.3">
      <c r="A2000" s="4" t="s">
        <v>8</v>
      </c>
      <c r="B2000" s="3">
        <v>45313.25</v>
      </c>
      <c r="C2000" s="4">
        <v>0</v>
      </c>
      <c r="D2000" s="4">
        <v>0</v>
      </c>
      <c r="E2000" s="4">
        <v>0</v>
      </c>
      <c r="F2000" s="4">
        <v>67.636774164795099</v>
      </c>
      <c r="G2000" s="4" t="str">
        <f t="shared" si="62"/>
        <v>OK</v>
      </c>
      <c r="H2000" s="4" t="str">
        <f t="shared" si="63"/>
        <v>ZERO</v>
      </c>
      <c r="I2000">
        <v>0</v>
      </c>
      <c r="J2000">
        <f>IFERROR(Table4[[#This Row],[energy_kwh]]/Table4[[#This Row],[expected_kwh]],0)</f>
        <v>0</v>
      </c>
      <c r="K2000" t="str">
        <f>IF(Table4[[#This Row],[Performance_Ratio]] &lt; 0.85, "Underperforming", "Performing")</f>
        <v>Underperforming</v>
      </c>
      <c r="L2000">
        <f>Table4[[#This Row],[energy_kwh]] - Table4[[#This Row],[expected_kwh]]</f>
        <v>0</v>
      </c>
      <c r="M2000" t="str">
        <f>IF(Table4[[#This Row],[Performance_Deviation]] &lt; 0, "Underperforming", "Outperforming")</f>
        <v>Outperforming</v>
      </c>
      <c r="N2000">
        <f>IF(Table4[[#This Row],[Performance_Ratio]] &lt; 0.85, Table4[[#This Row],[Performance_Deviation]] * 50 / 1000, 0)</f>
        <v>0</v>
      </c>
    </row>
    <row r="2001" spans="1:14" x14ac:dyDescent="0.3">
      <c r="A2001" s="6" t="s">
        <v>8</v>
      </c>
      <c r="B2001" s="5">
        <v>45313.291666666664</v>
      </c>
      <c r="C2001" s="6">
        <v>190.99846644597699</v>
      </c>
      <c r="D2001" s="6">
        <v>185.130947272567</v>
      </c>
      <c r="E2001" s="6">
        <v>185.130947272567</v>
      </c>
      <c r="F2001" s="6">
        <v>61.778568964417502</v>
      </c>
      <c r="G2001" s="6" t="str">
        <f t="shared" si="62"/>
        <v>OK</v>
      </c>
      <c r="H2001" s="6" t="str">
        <f t="shared" si="63"/>
        <v>NON-ZERO</v>
      </c>
      <c r="I2001">
        <v>207.05523608201599</v>
      </c>
      <c r="J2001">
        <f>IFERROR(Table4[[#This Row],[energy_kwh]]/Table4[[#This Row],[expected_kwh]],0)</f>
        <v>0.89411381607966367</v>
      </c>
      <c r="K2001" t="str">
        <f>IF(Table4[[#This Row],[Performance_Ratio]] &lt; 0.85, "Underperforming", "Performing")</f>
        <v>Performing</v>
      </c>
      <c r="L2001">
        <f>Table4[[#This Row],[energy_kwh]] - Table4[[#This Row],[expected_kwh]]</f>
        <v>-21.924288809448996</v>
      </c>
      <c r="M2001" t="str">
        <f>IF(Table4[[#This Row],[Performance_Deviation]] &lt; 0, "Underperforming", "Outperforming")</f>
        <v>Underperforming</v>
      </c>
      <c r="N2001">
        <f>IF(Table4[[#This Row],[Performance_Ratio]] &lt; 0.85, Table4[[#This Row],[Performance_Deviation]] * 50 / 1000, 0)</f>
        <v>0</v>
      </c>
    </row>
    <row r="2002" spans="1:14" x14ac:dyDescent="0.3">
      <c r="A2002" s="4" t="s">
        <v>8</v>
      </c>
      <c r="B2002" s="3">
        <v>45313.333333333336</v>
      </c>
      <c r="C2002" s="4">
        <v>385.87923340268901</v>
      </c>
      <c r="D2002" s="4">
        <v>374.02492984339199</v>
      </c>
      <c r="E2002" s="4">
        <v>374.02492984339199</v>
      </c>
      <c r="F2002" s="4">
        <v>86.567230386214305</v>
      </c>
      <c r="G2002" s="4" t="str">
        <f t="shared" si="62"/>
        <v>OK</v>
      </c>
      <c r="H2002" s="4" t="str">
        <f t="shared" si="63"/>
        <v>NON-ZERO</v>
      </c>
      <c r="I2002">
        <v>399.99999999999898</v>
      </c>
      <c r="J2002">
        <f>IFERROR(Table4[[#This Row],[energy_kwh]]/Table4[[#This Row],[expected_kwh]],0)</f>
        <v>0.93506232460848238</v>
      </c>
      <c r="K2002" t="str">
        <f>IF(Table4[[#This Row],[Performance_Ratio]] &lt; 0.85, "Underperforming", "Performing")</f>
        <v>Performing</v>
      </c>
      <c r="L2002">
        <f>Table4[[#This Row],[energy_kwh]] - Table4[[#This Row],[expected_kwh]]</f>
        <v>-25.975070156606989</v>
      </c>
      <c r="M2002" t="str">
        <f>IF(Table4[[#This Row],[Performance_Deviation]] &lt; 0, "Underperforming", "Outperforming")</f>
        <v>Underperforming</v>
      </c>
      <c r="N2002">
        <f>IF(Table4[[#This Row],[Performance_Ratio]] &lt; 0.85, Table4[[#This Row],[Performance_Deviation]] * 50 / 1000, 0)</f>
        <v>0</v>
      </c>
    </row>
    <row r="2003" spans="1:14" x14ac:dyDescent="0.3">
      <c r="A2003" s="6" t="s">
        <v>8</v>
      </c>
      <c r="B2003" s="5">
        <v>45313.375</v>
      </c>
      <c r="C2003" s="6">
        <v>595.20053608050603</v>
      </c>
      <c r="D2003" s="6">
        <v>576.91583137862904</v>
      </c>
      <c r="E2003" s="6">
        <v>576.91583137862904</v>
      </c>
      <c r="F2003" s="6">
        <v>63.938909182487599</v>
      </c>
      <c r="G2003" s="6" t="str">
        <f t="shared" si="62"/>
        <v>OK</v>
      </c>
      <c r="H2003" s="6" t="str">
        <f t="shared" si="63"/>
        <v>NON-ZERO</v>
      </c>
      <c r="I2003">
        <v>565.68542494923804</v>
      </c>
      <c r="J2003">
        <f>IFERROR(Table4[[#This Row],[energy_kwh]]/Table4[[#This Row],[expected_kwh]],0)</f>
        <v>1.0198527413542584</v>
      </c>
      <c r="K2003" t="str">
        <f>IF(Table4[[#This Row],[Performance_Ratio]] &lt; 0.85, "Underperforming", "Performing")</f>
        <v>Performing</v>
      </c>
      <c r="L2003">
        <f>Table4[[#This Row],[energy_kwh]] - Table4[[#This Row],[expected_kwh]]</f>
        <v>11.230406429390996</v>
      </c>
      <c r="M2003" t="str">
        <f>IF(Table4[[#This Row],[Performance_Deviation]] &lt; 0, "Underperforming", "Outperforming")</f>
        <v>Outperforming</v>
      </c>
      <c r="N2003">
        <f>IF(Table4[[#This Row],[Performance_Ratio]] &lt; 0.85, Table4[[#This Row],[Performance_Deviation]] * 50 / 1000, 0)</f>
        <v>0</v>
      </c>
    </row>
    <row r="2004" spans="1:14" x14ac:dyDescent="0.3">
      <c r="A2004" s="4" t="s">
        <v>8</v>
      </c>
      <c r="B2004" s="3">
        <v>45313.416666666664</v>
      </c>
      <c r="C2004" s="4">
        <v>708.33097611284302</v>
      </c>
      <c r="D2004" s="4">
        <v>686.57087687855096</v>
      </c>
      <c r="E2004" s="4">
        <v>686.57087687855096</v>
      </c>
      <c r="F2004" s="4">
        <v>58.522503794648799</v>
      </c>
      <c r="G2004" s="4" t="str">
        <f t="shared" si="62"/>
        <v>OK</v>
      </c>
      <c r="H2004" s="4" t="str">
        <f t="shared" si="63"/>
        <v>NON-ZERO</v>
      </c>
      <c r="I2004">
        <v>692.82032302754999</v>
      </c>
      <c r="J2004">
        <f>IFERROR(Table4[[#This Row],[energy_kwh]]/Table4[[#This Row],[expected_kwh]],0)</f>
        <v>0.99097970145897329</v>
      </c>
      <c r="K2004" t="str">
        <f>IF(Table4[[#This Row],[Performance_Ratio]] &lt; 0.85, "Underperforming", "Performing")</f>
        <v>Performing</v>
      </c>
      <c r="L2004">
        <f>Table4[[#This Row],[energy_kwh]] - Table4[[#This Row],[expected_kwh]]</f>
        <v>-6.2494461489990272</v>
      </c>
      <c r="M2004" t="str">
        <f>IF(Table4[[#This Row],[Performance_Deviation]] &lt; 0, "Underperforming", "Outperforming")</f>
        <v>Underperforming</v>
      </c>
      <c r="N2004">
        <f>IF(Table4[[#This Row],[Performance_Ratio]] &lt; 0.85, Table4[[#This Row],[Performance_Deviation]] * 50 / 1000, 0)</f>
        <v>0</v>
      </c>
    </row>
    <row r="2005" spans="1:14" x14ac:dyDescent="0.3">
      <c r="A2005" s="6" t="s">
        <v>8</v>
      </c>
      <c r="B2005" s="5">
        <v>45313.458333333336</v>
      </c>
      <c r="C2005" s="6">
        <v>766.12799294941999</v>
      </c>
      <c r="D2005" s="6">
        <v>742.59235535209905</v>
      </c>
      <c r="E2005" s="6">
        <v>742.59235535209905</v>
      </c>
      <c r="F2005" s="6">
        <v>49.109109257637201</v>
      </c>
      <c r="G2005" s="6" t="str">
        <f t="shared" si="62"/>
        <v>OK</v>
      </c>
      <c r="H2005" s="6" t="str">
        <f t="shared" si="63"/>
        <v>NON-ZERO</v>
      </c>
      <c r="I2005">
        <v>772.74066103125404</v>
      </c>
      <c r="J2005">
        <f>IFERROR(Table4[[#This Row],[energy_kwh]]/Table4[[#This Row],[expected_kwh]],0)</f>
        <v>0.96098522156331101</v>
      </c>
      <c r="K2005" t="str">
        <f>IF(Table4[[#This Row],[Performance_Ratio]] &lt; 0.85, "Underperforming", "Performing")</f>
        <v>Performing</v>
      </c>
      <c r="L2005">
        <f>Table4[[#This Row],[energy_kwh]] - Table4[[#This Row],[expected_kwh]]</f>
        <v>-30.148305679154987</v>
      </c>
      <c r="M2005" t="str">
        <f>IF(Table4[[#This Row],[Performance_Deviation]] &lt; 0, "Underperforming", "Outperforming")</f>
        <v>Underperforming</v>
      </c>
      <c r="N2005">
        <f>IF(Table4[[#This Row],[Performance_Ratio]] &lt; 0.85, Table4[[#This Row],[Performance_Deviation]] * 50 / 1000, 0)</f>
        <v>0</v>
      </c>
    </row>
    <row r="2006" spans="1:14" x14ac:dyDescent="0.3">
      <c r="A2006" s="4" t="s">
        <v>8</v>
      </c>
      <c r="B2006" s="3">
        <v>45313.5</v>
      </c>
      <c r="C2006" s="4">
        <v>774.24167508700702</v>
      </c>
      <c r="D2006" s="4">
        <v>750.45678320825095</v>
      </c>
      <c r="E2006" s="4">
        <v>750.45678320825095</v>
      </c>
      <c r="F2006" s="4">
        <v>70.966387742951298</v>
      </c>
      <c r="G2006" s="4" t="str">
        <f t="shared" si="62"/>
        <v>OK</v>
      </c>
      <c r="H2006" s="4" t="str">
        <f t="shared" si="63"/>
        <v>NON-ZERO</v>
      </c>
      <c r="I2006">
        <v>800</v>
      </c>
      <c r="J2006">
        <f>IFERROR(Table4[[#This Row],[energy_kwh]]/Table4[[#This Row],[expected_kwh]],0)</f>
        <v>0.93807097901031367</v>
      </c>
      <c r="K2006" t="str">
        <f>IF(Table4[[#This Row],[Performance_Ratio]] &lt; 0.85, "Underperforming", "Performing")</f>
        <v>Performing</v>
      </c>
      <c r="L2006">
        <f>Table4[[#This Row],[energy_kwh]] - Table4[[#This Row],[expected_kwh]]</f>
        <v>-49.543216791749046</v>
      </c>
      <c r="M2006" t="str">
        <f>IF(Table4[[#This Row],[Performance_Deviation]] &lt; 0, "Underperforming", "Outperforming")</f>
        <v>Underperforming</v>
      </c>
      <c r="N2006">
        <f>IF(Table4[[#This Row],[Performance_Ratio]] &lt; 0.85, Table4[[#This Row],[Performance_Deviation]] * 50 / 1000, 0)</f>
        <v>0</v>
      </c>
    </row>
    <row r="2007" spans="1:14" x14ac:dyDescent="0.3">
      <c r="A2007" s="6" t="s">
        <v>8</v>
      </c>
      <c r="B2007" s="5">
        <v>45313.541666666664</v>
      </c>
      <c r="C2007" s="6">
        <v>696.14465094251295</v>
      </c>
      <c r="D2007" s="6">
        <v>674.75891857053603</v>
      </c>
      <c r="E2007" s="6">
        <v>674.75891857053603</v>
      </c>
      <c r="F2007" s="6">
        <v>77.902383947926594</v>
      </c>
      <c r="G2007" s="6" t="str">
        <f t="shared" si="62"/>
        <v>OK</v>
      </c>
      <c r="H2007" s="6" t="str">
        <f t="shared" si="63"/>
        <v>NON-ZERO</v>
      </c>
      <c r="I2007">
        <v>772.74066103125404</v>
      </c>
      <c r="J2007">
        <f>IFERROR(Table4[[#This Row],[energy_kwh]]/Table4[[#This Row],[expected_kwh]],0)</f>
        <v>0.87320229489417911</v>
      </c>
      <c r="K2007" t="str">
        <f>IF(Table4[[#This Row],[Performance_Ratio]] &lt; 0.85, "Underperforming", "Performing")</f>
        <v>Performing</v>
      </c>
      <c r="L2007">
        <f>Table4[[#This Row],[energy_kwh]] - Table4[[#This Row],[expected_kwh]]</f>
        <v>-97.98174246071801</v>
      </c>
      <c r="M2007" t="str">
        <f>IF(Table4[[#This Row],[Performance_Deviation]] &lt; 0, "Underperforming", "Outperforming")</f>
        <v>Underperforming</v>
      </c>
      <c r="N2007">
        <f>IF(Table4[[#This Row],[Performance_Ratio]] &lt; 0.85, Table4[[#This Row],[Performance_Deviation]] * 50 / 1000, 0)</f>
        <v>0</v>
      </c>
    </row>
    <row r="2008" spans="1:14" x14ac:dyDescent="0.3">
      <c r="A2008" s="4" t="s">
        <v>8</v>
      </c>
      <c r="B2008" s="3">
        <v>45313.583333333336</v>
      </c>
      <c r="C2008" s="4">
        <v>639.68217017579695</v>
      </c>
      <c r="D2008" s="4">
        <v>620.03097889538697</v>
      </c>
      <c r="E2008" s="4">
        <v>620.03097889538697</v>
      </c>
      <c r="F2008" s="4">
        <v>86.139110061551193</v>
      </c>
      <c r="G2008" s="4" t="str">
        <f t="shared" si="62"/>
        <v>OK</v>
      </c>
      <c r="H2008" s="4" t="str">
        <f t="shared" si="63"/>
        <v>NON-ZERO</v>
      </c>
      <c r="I2008">
        <v>692.82032302755101</v>
      </c>
      <c r="J2008">
        <f>IFERROR(Table4[[#This Row],[energy_kwh]]/Table4[[#This Row],[expected_kwh]],0)</f>
        <v>0.89493763142789695</v>
      </c>
      <c r="K2008" t="str">
        <f>IF(Table4[[#This Row],[Performance_Ratio]] &lt; 0.85, "Underperforming", "Performing")</f>
        <v>Performing</v>
      </c>
      <c r="L2008">
        <f>Table4[[#This Row],[energy_kwh]] - Table4[[#This Row],[expected_kwh]]</f>
        <v>-72.789344132164047</v>
      </c>
      <c r="M2008" t="str">
        <f>IF(Table4[[#This Row],[Performance_Deviation]] &lt; 0, "Underperforming", "Outperforming")</f>
        <v>Underperforming</v>
      </c>
      <c r="N2008">
        <f>IF(Table4[[#This Row],[Performance_Ratio]] &lt; 0.85, Table4[[#This Row],[Performance_Deviation]] * 50 / 1000, 0)</f>
        <v>0</v>
      </c>
    </row>
    <row r="2009" spans="1:14" x14ac:dyDescent="0.3">
      <c r="A2009" s="6" t="s">
        <v>8</v>
      </c>
      <c r="B2009" s="5">
        <v>45313.625</v>
      </c>
      <c r="C2009" s="6">
        <v>552.44638859117401</v>
      </c>
      <c r="D2009" s="6">
        <v>535.47510166067696</v>
      </c>
      <c r="E2009" s="6">
        <v>535.47510166067696</v>
      </c>
      <c r="F2009" s="6">
        <v>88.927870777150304</v>
      </c>
      <c r="G2009" s="6" t="str">
        <f t="shared" si="62"/>
        <v>OK</v>
      </c>
      <c r="H2009" s="6" t="str">
        <f t="shared" si="63"/>
        <v>NON-ZERO</v>
      </c>
      <c r="I2009">
        <v>565.68542494923804</v>
      </c>
      <c r="J2009">
        <f>IFERROR(Table4[[#This Row],[energy_kwh]]/Table4[[#This Row],[expected_kwh]],0)</f>
        <v>0.94659518885205141</v>
      </c>
      <c r="K2009" t="str">
        <f>IF(Table4[[#This Row],[Performance_Ratio]] &lt; 0.85, "Underperforming", "Performing")</f>
        <v>Performing</v>
      </c>
      <c r="L2009">
        <f>Table4[[#This Row],[energy_kwh]] - Table4[[#This Row],[expected_kwh]]</f>
        <v>-30.210323288561085</v>
      </c>
      <c r="M2009" t="str">
        <f>IF(Table4[[#This Row],[Performance_Deviation]] &lt; 0, "Underperforming", "Outperforming")</f>
        <v>Underperforming</v>
      </c>
      <c r="N2009">
        <f>IF(Table4[[#This Row],[Performance_Ratio]] &lt; 0.85, Table4[[#This Row],[Performance_Deviation]] * 50 / 1000, 0)</f>
        <v>0</v>
      </c>
    </row>
    <row r="2010" spans="1:14" x14ac:dyDescent="0.3">
      <c r="A2010" s="4" t="s">
        <v>8</v>
      </c>
      <c r="B2010" s="3">
        <v>45313.666666666664</v>
      </c>
      <c r="C2010" s="4">
        <v>376.66171802455398</v>
      </c>
      <c r="D2010" s="4">
        <v>365.09057877133102</v>
      </c>
      <c r="E2010" s="4">
        <v>365.09057877133102</v>
      </c>
      <c r="F2010" s="4">
        <v>49.082324639731198</v>
      </c>
      <c r="G2010" s="4" t="str">
        <f t="shared" si="62"/>
        <v>OK</v>
      </c>
      <c r="H2010" s="4" t="str">
        <f t="shared" si="63"/>
        <v>NON-ZERO</v>
      </c>
      <c r="I2010">
        <v>399.99999999999898</v>
      </c>
      <c r="J2010">
        <f>IFERROR(Table4[[#This Row],[energy_kwh]]/Table4[[#This Row],[expected_kwh]],0)</f>
        <v>0.91272644692832994</v>
      </c>
      <c r="K2010" t="str">
        <f>IF(Table4[[#This Row],[Performance_Ratio]] &lt; 0.85, "Underperforming", "Performing")</f>
        <v>Performing</v>
      </c>
      <c r="L2010">
        <f>Table4[[#This Row],[energy_kwh]] - Table4[[#This Row],[expected_kwh]]</f>
        <v>-34.909421228667952</v>
      </c>
      <c r="M2010" t="str">
        <f>IF(Table4[[#This Row],[Performance_Deviation]] &lt; 0, "Underperforming", "Outperforming")</f>
        <v>Underperforming</v>
      </c>
      <c r="N2010">
        <f>IF(Table4[[#This Row],[Performance_Ratio]] &lt; 0.85, Table4[[#This Row],[Performance_Deviation]] * 50 / 1000, 0)</f>
        <v>0</v>
      </c>
    </row>
    <row r="2011" spans="1:14" x14ac:dyDescent="0.3">
      <c r="A2011" s="6" t="s">
        <v>8</v>
      </c>
      <c r="B2011" s="5">
        <v>45313.708333333336</v>
      </c>
      <c r="C2011" s="6">
        <v>210.03318596965599</v>
      </c>
      <c r="D2011" s="6">
        <v>203.580915599842</v>
      </c>
      <c r="E2011" s="6">
        <v>203.580915599842</v>
      </c>
      <c r="F2011" s="6">
        <v>84.579720235978897</v>
      </c>
      <c r="G2011" s="6" t="str">
        <f t="shared" si="62"/>
        <v>OK</v>
      </c>
      <c r="H2011" s="6" t="str">
        <f t="shared" si="63"/>
        <v>NON-ZERO</v>
      </c>
      <c r="I2011">
        <v>207.05523608201599</v>
      </c>
      <c r="J2011">
        <f>IFERROR(Table4[[#This Row],[energy_kwh]]/Table4[[#This Row],[expected_kwh]],0)</f>
        <v>0.98322032058731523</v>
      </c>
      <c r="K2011" t="str">
        <f>IF(Table4[[#This Row],[Performance_Ratio]] &lt; 0.85, "Underperforming", "Performing")</f>
        <v>Performing</v>
      </c>
      <c r="L2011">
        <f>Table4[[#This Row],[energy_kwh]] - Table4[[#This Row],[expected_kwh]]</f>
        <v>-3.4743204821739937</v>
      </c>
      <c r="M2011" t="str">
        <f>IF(Table4[[#This Row],[Performance_Deviation]] &lt; 0, "Underperforming", "Outperforming")</f>
        <v>Underperforming</v>
      </c>
      <c r="N2011">
        <f>IF(Table4[[#This Row],[Performance_Ratio]] &lt; 0.85, Table4[[#This Row],[Performance_Deviation]] * 50 / 1000, 0)</f>
        <v>0</v>
      </c>
    </row>
    <row r="2012" spans="1:14" x14ac:dyDescent="0.3">
      <c r="A2012" s="4" t="s">
        <v>8</v>
      </c>
      <c r="B2012" s="3">
        <v>45313.75</v>
      </c>
      <c r="C2012" s="7">
        <v>9.4475731997214996E-14</v>
      </c>
      <c r="D2012" s="7">
        <v>9.1573414616188504E-14</v>
      </c>
      <c r="E2012" s="7">
        <v>9.1573414616188504E-14</v>
      </c>
      <c r="F2012" s="4">
        <v>24.615727560112699</v>
      </c>
      <c r="G2012" s="4" t="str">
        <f t="shared" si="62"/>
        <v>OK</v>
      </c>
      <c r="H2012" s="4" t="str">
        <f t="shared" si="63"/>
        <v>NON-ZERO</v>
      </c>
      <c r="I2012" s="2">
        <v>9.7971743931788194E-14</v>
      </c>
      <c r="J2012">
        <f>IFERROR(Table4[[#This Row],[energy_kwh]]/Table4[[#This Row],[expected_kwh]],0)</f>
        <v>0.93469209530398412</v>
      </c>
      <c r="K2012" t="str">
        <f>IF(Table4[[#This Row],[Performance_Ratio]] &lt; 0.85, "Underperforming", "Performing")</f>
        <v>Performing</v>
      </c>
      <c r="L2012">
        <f>Table4[[#This Row],[energy_kwh]] - Table4[[#This Row],[expected_kwh]]</f>
        <v>-6.3983293155996906E-15</v>
      </c>
      <c r="M2012" t="str">
        <f>IF(Table4[[#This Row],[Performance_Deviation]] &lt; 0, "Underperforming", "Outperforming")</f>
        <v>Underperforming</v>
      </c>
      <c r="N2012">
        <f>IF(Table4[[#This Row],[Performance_Ratio]] &lt; 0.85, Table4[[#This Row],[Performance_Deviation]] * 50 / 1000, 0)</f>
        <v>0</v>
      </c>
    </row>
    <row r="2013" spans="1:14" x14ac:dyDescent="0.3">
      <c r="A2013" s="6" t="s">
        <v>8</v>
      </c>
      <c r="B2013" s="5">
        <v>45313.791666666664</v>
      </c>
      <c r="C2013" s="6">
        <v>0</v>
      </c>
      <c r="D2013" s="6">
        <v>0</v>
      </c>
      <c r="E2013" s="6">
        <v>0</v>
      </c>
      <c r="F2013" s="6">
        <v>86.376149341044396</v>
      </c>
      <c r="G2013" s="6" t="str">
        <f t="shared" si="62"/>
        <v>OK</v>
      </c>
      <c r="H2013" s="6" t="str">
        <f t="shared" si="63"/>
        <v>ZERO</v>
      </c>
      <c r="I2013">
        <v>0</v>
      </c>
      <c r="J2013">
        <f>IFERROR(Table4[[#This Row],[energy_kwh]]/Table4[[#This Row],[expected_kwh]],0)</f>
        <v>0</v>
      </c>
      <c r="K2013" t="str">
        <f>IF(Table4[[#This Row],[Performance_Ratio]] &lt; 0.85, "Underperforming", "Performing")</f>
        <v>Underperforming</v>
      </c>
      <c r="L2013">
        <f>Table4[[#This Row],[energy_kwh]] - Table4[[#This Row],[expected_kwh]]</f>
        <v>0</v>
      </c>
      <c r="M2013" t="str">
        <f>IF(Table4[[#This Row],[Performance_Deviation]] &lt; 0, "Underperforming", "Outperforming")</f>
        <v>Outperforming</v>
      </c>
      <c r="N2013">
        <f>IF(Table4[[#This Row],[Performance_Ratio]] &lt; 0.85, Table4[[#This Row],[Performance_Deviation]] * 50 / 1000, 0)</f>
        <v>0</v>
      </c>
    </row>
    <row r="2014" spans="1:14" x14ac:dyDescent="0.3">
      <c r="A2014" s="4" t="s">
        <v>8</v>
      </c>
      <c r="B2014" s="3">
        <v>45313.833333333336</v>
      </c>
      <c r="C2014" s="4">
        <v>0</v>
      </c>
      <c r="D2014" s="4">
        <v>0</v>
      </c>
      <c r="E2014" s="4">
        <v>0</v>
      </c>
      <c r="F2014" s="4">
        <v>77.209928965685407</v>
      </c>
      <c r="G2014" s="4" t="str">
        <f t="shared" si="62"/>
        <v>OK</v>
      </c>
      <c r="H2014" s="4" t="str">
        <f t="shared" si="63"/>
        <v>ZERO</v>
      </c>
      <c r="I2014">
        <v>0</v>
      </c>
      <c r="J2014">
        <f>IFERROR(Table4[[#This Row],[energy_kwh]]/Table4[[#This Row],[expected_kwh]],0)</f>
        <v>0</v>
      </c>
      <c r="K2014" t="str">
        <f>IF(Table4[[#This Row],[Performance_Ratio]] &lt; 0.85, "Underperforming", "Performing")</f>
        <v>Underperforming</v>
      </c>
      <c r="L2014">
        <f>Table4[[#This Row],[energy_kwh]] - Table4[[#This Row],[expected_kwh]]</f>
        <v>0</v>
      </c>
      <c r="M2014" t="str">
        <f>IF(Table4[[#This Row],[Performance_Deviation]] &lt; 0, "Underperforming", "Outperforming")</f>
        <v>Outperforming</v>
      </c>
      <c r="N2014">
        <f>IF(Table4[[#This Row],[Performance_Ratio]] &lt; 0.85, Table4[[#This Row],[Performance_Deviation]] * 50 / 1000, 0)</f>
        <v>0</v>
      </c>
    </row>
    <row r="2015" spans="1:14" x14ac:dyDescent="0.3">
      <c r="A2015" s="6" t="s">
        <v>8</v>
      </c>
      <c r="B2015" s="5">
        <v>45313.875</v>
      </c>
      <c r="C2015" s="6">
        <v>0</v>
      </c>
      <c r="D2015" s="6">
        <v>0</v>
      </c>
      <c r="E2015" s="6">
        <v>0</v>
      </c>
      <c r="F2015" s="6">
        <v>83.551629043202496</v>
      </c>
      <c r="G2015" s="6" t="str">
        <f t="shared" si="62"/>
        <v>OK</v>
      </c>
      <c r="H2015" s="6" t="str">
        <f t="shared" si="63"/>
        <v>ZERO</v>
      </c>
      <c r="I2015">
        <v>0</v>
      </c>
      <c r="J2015">
        <f>IFERROR(Table4[[#This Row],[energy_kwh]]/Table4[[#This Row],[expected_kwh]],0)</f>
        <v>0</v>
      </c>
      <c r="K2015" t="str">
        <f>IF(Table4[[#This Row],[Performance_Ratio]] &lt; 0.85, "Underperforming", "Performing")</f>
        <v>Underperforming</v>
      </c>
      <c r="L2015">
        <f>Table4[[#This Row],[energy_kwh]] - Table4[[#This Row],[expected_kwh]]</f>
        <v>0</v>
      </c>
      <c r="M2015" t="str">
        <f>IF(Table4[[#This Row],[Performance_Deviation]] &lt; 0, "Underperforming", "Outperforming")</f>
        <v>Outperforming</v>
      </c>
      <c r="N2015">
        <f>IF(Table4[[#This Row],[Performance_Ratio]] &lt; 0.85, Table4[[#This Row],[Performance_Deviation]] * 50 / 1000, 0)</f>
        <v>0</v>
      </c>
    </row>
    <row r="2016" spans="1:14" x14ac:dyDescent="0.3">
      <c r="A2016" s="4" t="s">
        <v>8</v>
      </c>
      <c r="B2016" s="3">
        <v>45313.916666666664</v>
      </c>
      <c r="C2016" s="4">
        <v>0</v>
      </c>
      <c r="D2016" s="4">
        <v>0</v>
      </c>
      <c r="E2016" s="4">
        <v>0</v>
      </c>
      <c r="F2016" s="4">
        <v>60.713103075055599</v>
      </c>
      <c r="G2016" s="4" t="str">
        <f t="shared" si="62"/>
        <v>OK</v>
      </c>
      <c r="H2016" s="4" t="str">
        <f t="shared" si="63"/>
        <v>ZERO</v>
      </c>
      <c r="I2016">
        <v>0</v>
      </c>
      <c r="J2016">
        <f>IFERROR(Table4[[#This Row],[energy_kwh]]/Table4[[#This Row],[expected_kwh]],0)</f>
        <v>0</v>
      </c>
      <c r="K2016" t="str">
        <f>IF(Table4[[#This Row],[Performance_Ratio]] &lt; 0.85, "Underperforming", "Performing")</f>
        <v>Underperforming</v>
      </c>
      <c r="L2016">
        <f>Table4[[#This Row],[energy_kwh]] - Table4[[#This Row],[expected_kwh]]</f>
        <v>0</v>
      </c>
      <c r="M2016" t="str">
        <f>IF(Table4[[#This Row],[Performance_Deviation]] &lt; 0, "Underperforming", "Outperforming")</f>
        <v>Outperforming</v>
      </c>
      <c r="N2016">
        <f>IF(Table4[[#This Row],[Performance_Ratio]] &lt; 0.85, Table4[[#This Row],[Performance_Deviation]] * 50 / 1000, 0)</f>
        <v>0</v>
      </c>
    </row>
    <row r="2017" spans="1:14" x14ac:dyDescent="0.3">
      <c r="A2017" s="6" t="s">
        <v>8</v>
      </c>
      <c r="B2017" s="5">
        <v>45313.958333333336</v>
      </c>
      <c r="C2017" s="6">
        <v>0</v>
      </c>
      <c r="D2017" s="6">
        <v>0</v>
      </c>
      <c r="E2017" s="6">
        <v>0</v>
      </c>
      <c r="F2017" s="6">
        <v>59.0390400231135</v>
      </c>
      <c r="G2017" s="6" t="str">
        <f t="shared" si="62"/>
        <v>OK</v>
      </c>
      <c r="H2017" s="6" t="str">
        <f t="shared" si="63"/>
        <v>ZERO</v>
      </c>
      <c r="I2017">
        <v>0</v>
      </c>
      <c r="J2017">
        <f>IFERROR(Table4[[#This Row],[energy_kwh]]/Table4[[#This Row],[expected_kwh]],0)</f>
        <v>0</v>
      </c>
      <c r="K2017" t="str">
        <f>IF(Table4[[#This Row],[Performance_Ratio]] &lt; 0.85, "Underperforming", "Performing")</f>
        <v>Underperforming</v>
      </c>
      <c r="L2017">
        <f>Table4[[#This Row],[energy_kwh]] - Table4[[#This Row],[expected_kwh]]</f>
        <v>0</v>
      </c>
      <c r="M2017" t="str">
        <f>IF(Table4[[#This Row],[Performance_Deviation]] &lt; 0, "Underperforming", "Outperforming")</f>
        <v>Outperforming</v>
      </c>
      <c r="N2017">
        <f>IF(Table4[[#This Row],[Performance_Ratio]] &lt; 0.85, Table4[[#This Row],[Performance_Deviation]] * 50 / 1000, 0)</f>
        <v>0</v>
      </c>
    </row>
    <row r="2018" spans="1:14" x14ac:dyDescent="0.3">
      <c r="A2018" s="4" t="s">
        <v>8</v>
      </c>
      <c r="B2018" s="3">
        <v>45314</v>
      </c>
      <c r="C2018" s="4">
        <v>0</v>
      </c>
      <c r="D2018" s="4">
        <v>0</v>
      </c>
      <c r="E2018" s="4">
        <v>0</v>
      </c>
      <c r="F2018" s="4">
        <v>31.6013636138645</v>
      </c>
      <c r="G2018" s="4" t="str">
        <f t="shared" si="62"/>
        <v>OK</v>
      </c>
      <c r="H2018" s="4" t="str">
        <f t="shared" si="63"/>
        <v>ZERO</v>
      </c>
      <c r="I2018">
        <v>0</v>
      </c>
      <c r="J2018">
        <f>IFERROR(Table4[[#This Row],[energy_kwh]]/Table4[[#This Row],[expected_kwh]],0)</f>
        <v>0</v>
      </c>
      <c r="K2018" t="str">
        <f>IF(Table4[[#This Row],[Performance_Ratio]] &lt; 0.85, "Underperforming", "Performing")</f>
        <v>Underperforming</v>
      </c>
      <c r="L2018">
        <f>Table4[[#This Row],[energy_kwh]] - Table4[[#This Row],[expected_kwh]]</f>
        <v>0</v>
      </c>
      <c r="M2018" t="str">
        <f>IF(Table4[[#This Row],[Performance_Deviation]] &lt; 0, "Underperforming", "Outperforming")</f>
        <v>Outperforming</v>
      </c>
      <c r="N2018">
        <f>IF(Table4[[#This Row],[Performance_Ratio]] &lt; 0.85, Table4[[#This Row],[Performance_Deviation]] * 50 / 1000, 0)</f>
        <v>0</v>
      </c>
    </row>
    <row r="2019" spans="1:14" x14ac:dyDescent="0.3">
      <c r="A2019" s="6" t="s">
        <v>8</v>
      </c>
      <c r="B2019" s="5">
        <v>45314.041666666664</v>
      </c>
      <c r="C2019" s="6">
        <v>0</v>
      </c>
      <c r="D2019" s="6">
        <v>0</v>
      </c>
      <c r="E2019" s="6">
        <v>0</v>
      </c>
      <c r="F2019" s="6">
        <v>71.559860303729593</v>
      </c>
      <c r="G2019" s="6" t="str">
        <f t="shared" si="62"/>
        <v>OK</v>
      </c>
      <c r="H2019" s="6" t="str">
        <f t="shared" si="63"/>
        <v>ZERO</v>
      </c>
      <c r="I2019">
        <v>0</v>
      </c>
      <c r="J2019">
        <f>IFERROR(Table4[[#This Row],[energy_kwh]]/Table4[[#This Row],[expected_kwh]],0)</f>
        <v>0</v>
      </c>
      <c r="K2019" t="str">
        <f>IF(Table4[[#This Row],[Performance_Ratio]] &lt; 0.85, "Underperforming", "Performing")</f>
        <v>Underperforming</v>
      </c>
      <c r="L2019">
        <f>Table4[[#This Row],[energy_kwh]] - Table4[[#This Row],[expected_kwh]]</f>
        <v>0</v>
      </c>
      <c r="M2019" t="str">
        <f>IF(Table4[[#This Row],[Performance_Deviation]] &lt; 0, "Underperforming", "Outperforming")</f>
        <v>Outperforming</v>
      </c>
      <c r="N2019">
        <f>IF(Table4[[#This Row],[Performance_Ratio]] &lt; 0.85, Table4[[#This Row],[Performance_Deviation]] * 50 / 1000, 0)</f>
        <v>0</v>
      </c>
    </row>
    <row r="2020" spans="1:14" x14ac:dyDescent="0.3">
      <c r="A2020" s="4" t="s">
        <v>8</v>
      </c>
      <c r="B2020" s="3">
        <v>45314.083333333336</v>
      </c>
      <c r="C2020" s="4">
        <v>0</v>
      </c>
      <c r="D2020" s="4">
        <v>0</v>
      </c>
      <c r="E2020" s="4">
        <v>0</v>
      </c>
      <c r="F2020" s="4">
        <v>88.326177498441496</v>
      </c>
      <c r="G2020" s="4" t="str">
        <f t="shared" si="62"/>
        <v>OK</v>
      </c>
      <c r="H2020" s="4" t="str">
        <f t="shared" si="63"/>
        <v>ZERO</v>
      </c>
      <c r="I2020">
        <v>0</v>
      </c>
      <c r="J2020">
        <f>IFERROR(Table4[[#This Row],[energy_kwh]]/Table4[[#This Row],[expected_kwh]],0)</f>
        <v>0</v>
      </c>
      <c r="K2020" t="str">
        <f>IF(Table4[[#This Row],[Performance_Ratio]] &lt; 0.85, "Underperforming", "Performing")</f>
        <v>Underperforming</v>
      </c>
      <c r="L2020">
        <f>Table4[[#This Row],[energy_kwh]] - Table4[[#This Row],[expected_kwh]]</f>
        <v>0</v>
      </c>
      <c r="M2020" t="str">
        <f>IF(Table4[[#This Row],[Performance_Deviation]] &lt; 0, "Underperforming", "Outperforming")</f>
        <v>Outperforming</v>
      </c>
      <c r="N2020">
        <f>IF(Table4[[#This Row],[Performance_Ratio]] &lt; 0.85, Table4[[#This Row],[Performance_Deviation]] * 50 / 1000, 0)</f>
        <v>0</v>
      </c>
    </row>
    <row r="2021" spans="1:14" x14ac:dyDescent="0.3">
      <c r="A2021" s="6" t="s">
        <v>8</v>
      </c>
      <c r="B2021" s="5">
        <v>45314.125</v>
      </c>
      <c r="C2021" s="6">
        <v>0</v>
      </c>
      <c r="D2021" s="6">
        <v>0</v>
      </c>
      <c r="E2021" s="6">
        <v>0</v>
      </c>
      <c r="F2021" s="6">
        <v>37.478989098864297</v>
      </c>
      <c r="G2021" s="6" t="str">
        <f t="shared" si="62"/>
        <v>OK</v>
      </c>
      <c r="H2021" s="6" t="str">
        <f t="shared" si="63"/>
        <v>ZERO</v>
      </c>
      <c r="I2021">
        <v>0</v>
      </c>
      <c r="J2021">
        <f>IFERROR(Table4[[#This Row],[energy_kwh]]/Table4[[#This Row],[expected_kwh]],0)</f>
        <v>0</v>
      </c>
      <c r="K2021" t="str">
        <f>IF(Table4[[#This Row],[Performance_Ratio]] &lt; 0.85, "Underperforming", "Performing")</f>
        <v>Underperforming</v>
      </c>
      <c r="L2021">
        <f>Table4[[#This Row],[energy_kwh]] - Table4[[#This Row],[expected_kwh]]</f>
        <v>0</v>
      </c>
      <c r="M2021" t="str">
        <f>IF(Table4[[#This Row],[Performance_Deviation]] &lt; 0, "Underperforming", "Outperforming")</f>
        <v>Outperforming</v>
      </c>
      <c r="N2021">
        <f>IF(Table4[[#This Row],[Performance_Ratio]] &lt; 0.85, Table4[[#This Row],[Performance_Deviation]] * 50 / 1000, 0)</f>
        <v>0</v>
      </c>
    </row>
    <row r="2022" spans="1:14" x14ac:dyDescent="0.3">
      <c r="A2022" s="4" t="s">
        <v>8</v>
      </c>
      <c r="B2022" s="3">
        <v>45314.166666666664</v>
      </c>
      <c r="C2022" s="4">
        <v>0</v>
      </c>
      <c r="D2022" s="4">
        <v>0</v>
      </c>
      <c r="E2022" s="4">
        <v>0</v>
      </c>
      <c r="F2022" s="4">
        <v>65.336673669384396</v>
      </c>
      <c r="G2022" s="4" t="str">
        <f t="shared" si="62"/>
        <v>OK</v>
      </c>
      <c r="H2022" s="4" t="str">
        <f t="shared" si="63"/>
        <v>ZERO</v>
      </c>
      <c r="I2022">
        <v>0</v>
      </c>
      <c r="J2022">
        <f>IFERROR(Table4[[#This Row],[energy_kwh]]/Table4[[#This Row],[expected_kwh]],0)</f>
        <v>0</v>
      </c>
      <c r="K2022" t="str">
        <f>IF(Table4[[#This Row],[Performance_Ratio]] &lt; 0.85, "Underperforming", "Performing")</f>
        <v>Underperforming</v>
      </c>
      <c r="L2022">
        <f>Table4[[#This Row],[energy_kwh]] - Table4[[#This Row],[expected_kwh]]</f>
        <v>0</v>
      </c>
      <c r="M2022" t="str">
        <f>IF(Table4[[#This Row],[Performance_Deviation]] &lt; 0, "Underperforming", "Outperforming")</f>
        <v>Outperforming</v>
      </c>
      <c r="N2022">
        <f>IF(Table4[[#This Row],[Performance_Ratio]] &lt; 0.85, Table4[[#This Row],[Performance_Deviation]] * 50 / 1000, 0)</f>
        <v>0</v>
      </c>
    </row>
    <row r="2023" spans="1:14" x14ac:dyDescent="0.3">
      <c r="A2023" s="6" t="s">
        <v>8</v>
      </c>
      <c r="B2023" s="5">
        <v>45314.208333333336</v>
      </c>
      <c r="C2023" s="6">
        <v>0</v>
      </c>
      <c r="D2023" s="6">
        <v>0</v>
      </c>
      <c r="E2023" s="6">
        <v>0</v>
      </c>
      <c r="F2023" s="6">
        <v>41.259586194805898</v>
      </c>
      <c r="G2023" s="6" t="str">
        <f t="shared" si="62"/>
        <v>OK</v>
      </c>
      <c r="H2023" s="6" t="str">
        <f t="shared" si="63"/>
        <v>ZERO</v>
      </c>
      <c r="I2023">
        <v>0</v>
      </c>
      <c r="J2023">
        <f>IFERROR(Table4[[#This Row],[energy_kwh]]/Table4[[#This Row],[expected_kwh]],0)</f>
        <v>0</v>
      </c>
      <c r="K2023" t="str">
        <f>IF(Table4[[#This Row],[Performance_Ratio]] &lt; 0.85, "Underperforming", "Performing")</f>
        <v>Underperforming</v>
      </c>
      <c r="L2023">
        <f>Table4[[#This Row],[energy_kwh]] - Table4[[#This Row],[expected_kwh]]</f>
        <v>0</v>
      </c>
      <c r="M2023" t="str">
        <f>IF(Table4[[#This Row],[Performance_Deviation]] &lt; 0, "Underperforming", "Outperforming")</f>
        <v>Outperforming</v>
      </c>
      <c r="N2023">
        <f>IF(Table4[[#This Row],[Performance_Ratio]] &lt; 0.85, Table4[[#This Row],[Performance_Deviation]] * 50 / 1000, 0)</f>
        <v>0</v>
      </c>
    </row>
    <row r="2024" spans="1:14" x14ac:dyDescent="0.3">
      <c r="A2024" s="4" t="s">
        <v>8</v>
      </c>
      <c r="B2024" s="3">
        <v>45314.25</v>
      </c>
      <c r="C2024" s="4">
        <v>0</v>
      </c>
      <c r="D2024" s="4">
        <v>0</v>
      </c>
      <c r="E2024" s="4">
        <v>0</v>
      </c>
      <c r="F2024" s="4">
        <v>50.693718033904801</v>
      </c>
      <c r="G2024" s="4" t="str">
        <f t="shared" si="62"/>
        <v>OK</v>
      </c>
      <c r="H2024" s="4" t="str">
        <f t="shared" si="63"/>
        <v>ZERO</v>
      </c>
      <c r="I2024">
        <v>0</v>
      </c>
      <c r="J2024">
        <f>IFERROR(Table4[[#This Row],[energy_kwh]]/Table4[[#This Row],[expected_kwh]],0)</f>
        <v>0</v>
      </c>
      <c r="K2024" t="str">
        <f>IF(Table4[[#This Row],[Performance_Ratio]] &lt; 0.85, "Underperforming", "Performing")</f>
        <v>Underperforming</v>
      </c>
      <c r="L2024">
        <f>Table4[[#This Row],[energy_kwh]] - Table4[[#This Row],[expected_kwh]]</f>
        <v>0</v>
      </c>
      <c r="M2024" t="str">
        <f>IF(Table4[[#This Row],[Performance_Deviation]] &lt; 0, "Underperforming", "Outperforming")</f>
        <v>Outperforming</v>
      </c>
      <c r="N2024">
        <f>IF(Table4[[#This Row],[Performance_Ratio]] &lt; 0.85, Table4[[#This Row],[Performance_Deviation]] * 50 / 1000, 0)</f>
        <v>0</v>
      </c>
    </row>
    <row r="2025" spans="1:14" x14ac:dyDescent="0.3">
      <c r="A2025" s="6" t="s">
        <v>8</v>
      </c>
      <c r="B2025" s="5">
        <v>45314.291666666664</v>
      </c>
      <c r="C2025" s="6">
        <v>214.07544026476199</v>
      </c>
      <c r="D2025" s="6">
        <v>207.498990863453</v>
      </c>
      <c r="E2025" s="6">
        <v>207.498990863453</v>
      </c>
      <c r="F2025" s="6">
        <v>80.027314134150899</v>
      </c>
      <c r="G2025" s="6" t="str">
        <f t="shared" si="62"/>
        <v>OK</v>
      </c>
      <c r="H2025" s="6" t="str">
        <f t="shared" si="63"/>
        <v>NON-ZERO</v>
      </c>
      <c r="I2025">
        <v>207.05523608201599</v>
      </c>
      <c r="J2025">
        <f>IFERROR(Table4[[#This Row],[energy_kwh]]/Table4[[#This Row],[expected_kwh]],0)</f>
        <v>1.0021431710196462</v>
      </c>
      <c r="K2025" t="str">
        <f>IF(Table4[[#This Row],[Performance_Ratio]] &lt; 0.85, "Underperforming", "Performing")</f>
        <v>Performing</v>
      </c>
      <c r="L2025">
        <f>Table4[[#This Row],[energy_kwh]] - Table4[[#This Row],[expected_kwh]]</f>
        <v>0.44375478143700775</v>
      </c>
      <c r="M2025" t="str">
        <f>IF(Table4[[#This Row],[Performance_Deviation]] &lt; 0, "Underperforming", "Outperforming")</f>
        <v>Outperforming</v>
      </c>
      <c r="N2025">
        <f>IF(Table4[[#This Row],[Performance_Ratio]] &lt; 0.85, Table4[[#This Row],[Performance_Deviation]] * 50 / 1000, 0)</f>
        <v>0</v>
      </c>
    </row>
    <row r="2026" spans="1:14" x14ac:dyDescent="0.3">
      <c r="A2026" s="4" t="s">
        <v>8</v>
      </c>
      <c r="B2026" s="3">
        <v>45314.333333333336</v>
      </c>
      <c r="C2026" s="4">
        <v>442.98425235749602</v>
      </c>
      <c r="D2026" s="4">
        <v>429.37566877778698</v>
      </c>
      <c r="E2026" s="4">
        <v>429.37566877778698</v>
      </c>
      <c r="F2026" s="4">
        <v>51.8751810592398</v>
      </c>
      <c r="G2026" s="4" t="str">
        <f t="shared" si="62"/>
        <v>OK</v>
      </c>
      <c r="H2026" s="4" t="str">
        <f t="shared" si="63"/>
        <v>NON-ZERO</v>
      </c>
      <c r="I2026">
        <v>399.99999999999898</v>
      </c>
      <c r="J2026">
        <f>IFERROR(Table4[[#This Row],[energy_kwh]]/Table4[[#This Row],[expected_kwh]],0)</f>
        <v>1.0734391719444702</v>
      </c>
      <c r="K2026" t="str">
        <f>IF(Table4[[#This Row],[Performance_Ratio]] &lt; 0.85, "Underperforming", "Performing")</f>
        <v>Performing</v>
      </c>
      <c r="L2026">
        <f>Table4[[#This Row],[energy_kwh]] - Table4[[#This Row],[expected_kwh]]</f>
        <v>29.375668777788007</v>
      </c>
      <c r="M2026" t="str">
        <f>IF(Table4[[#This Row],[Performance_Deviation]] &lt; 0, "Underperforming", "Outperforming")</f>
        <v>Outperforming</v>
      </c>
      <c r="N2026">
        <f>IF(Table4[[#This Row],[Performance_Ratio]] &lt; 0.85, Table4[[#This Row],[Performance_Deviation]] * 50 / 1000, 0)</f>
        <v>0</v>
      </c>
    </row>
    <row r="2027" spans="1:14" x14ac:dyDescent="0.3">
      <c r="A2027" s="6" t="s">
        <v>8</v>
      </c>
      <c r="B2027" s="5">
        <v>45314.375</v>
      </c>
      <c r="C2027" s="6">
        <v>501.461491395211</v>
      </c>
      <c r="D2027" s="6">
        <v>486.056472861619</v>
      </c>
      <c r="E2027" s="6">
        <v>486.056472861619</v>
      </c>
      <c r="F2027" s="6">
        <v>60.214420946165298</v>
      </c>
      <c r="G2027" s="6" t="str">
        <f t="shared" si="62"/>
        <v>OK</v>
      </c>
      <c r="H2027" s="6" t="str">
        <f t="shared" si="63"/>
        <v>NON-ZERO</v>
      </c>
      <c r="I2027">
        <v>565.68542494923804</v>
      </c>
      <c r="J2027">
        <f>IFERROR(Table4[[#This Row],[energy_kwh]]/Table4[[#This Row],[expected_kwh]],0)</f>
        <v>0.85923457000016468</v>
      </c>
      <c r="K2027" t="str">
        <f>IF(Table4[[#This Row],[Performance_Ratio]] &lt; 0.85, "Underperforming", "Performing")</f>
        <v>Performing</v>
      </c>
      <c r="L2027">
        <f>Table4[[#This Row],[energy_kwh]] - Table4[[#This Row],[expected_kwh]]</f>
        <v>-79.628952087619041</v>
      </c>
      <c r="M2027" t="str">
        <f>IF(Table4[[#This Row],[Performance_Deviation]] &lt; 0, "Underperforming", "Outperforming")</f>
        <v>Underperforming</v>
      </c>
      <c r="N2027">
        <f>IF(Table4[[#This Row],[Performance_Ratio]] &lt; 0.85, Table4[[#This Row],[Performance_Deviation]] * 50 / 1000, 0)</f>
        <v>0</v>
      </c>
    </row>
    <row r="2028" spans="1:14" x14ac:dyDescent="0.3">
      <c r="A2028" s="4" t="s">
        <v>8</v>
      </c>
      <c r="B2028" s="3">
        <v>45314.416666666664</v>
      </c>
      <c r="C2028" s="4">
        <v>557.600210895646</v>
      </c>
      <c r="D2028" s="4">
        <v>540.47059729504304</v>
      </c>
      <c r="E2028" s="4">
        <v>540.47059729504304</v>
      </c>
      <c r="F2028" s="4">
        <v>36.030251598643297</v>
      </c>
      <c r="G2028" s="4" t="str">
        <f t="shared" si="62"/>
        <v>OK</v>
      </c>
      <c r="H2028" s="4" t="str">
        <f t="shared" si="63"/>
        <v>NON-ZERO</v>
      </c>
      <c r="I2028">
        <v>692.82032302754999</v>
      </c>
      <c r="J2028">
        <f>IFERROR(Table4[[#This Row],[energy_kwh]]/Table4[[#This Row],[expected_kwh]],0)</f>
        <v>0.78010211209342839</v>
      </c>
      <c r="K2028" t="str">
        <f>IF(Table4[[#This Row],[Performance_Ratio]] &lt; 0.85, "Underperforming", "Performing")</f>
        <v>Underperforming</v>
      </c>
      <c r="L2028">
        <f>Table4[[#This Row],[energy_kwh]] - Table4[[#This Row],[expected_kwh]]</f>
        <v>-152.34972573250695</v>
      </c>
      <c r="M2028" t="str">
        <f>IF(Table4[[#This Row],[Performance_Deviation]] &lt; 0, "Underperforming", "Outperforming")</f>
        <v>Underperforming</v>
      </c>
      <c r="N2028">
        <f>IF(Table4[[#This Row],[Performance_Ratio]] &lt; 0.85, Table4[[#This Row],[Performance_Deviation]] * 50 / 1000, 0)</f>
        <v>-7.6174862866253479</v>
      </c>
    </row>
    <row r="2029" spans="1:14" x14ac:dyDescent="0.3">
      <c r="A2029" s="6" t="s">
        <v>8</v>
      </c>
      <c r="B2029" s="5">
        <v>45314.458333333336</v>
      </c>
      <c r="C2029" s="6">
        <v>638.83476516804603</v>
      </c>
      <c r="D2029" s="6">
        <v>619.20960637482494</v>
      </c>
      <c r="E2029" s="6">
        <v>619.20960637482494</v>
      </c>
      <c r="F2029" s="6">
        <v>37.083375621335101</v>
      </c>
      <c r="G2029" s="6" t="str">
        <f t="shared" si="62"/>
        <v>OK</v>
      </c>
      <c r="H2029" s="6" t="str">
        <f t="shared" si="63"/>
        <v>NON-ZERO</v>
      </c>
      <c r="I2029">
        <v>772.74066103125404</v>
      </c>
      <c r="J2029">
        <f>IFERROR(Table4[[#This Row],[energy_kwh]]/Table4[[#This Row],[expected_kwh]],0)</f>
        <v>0.80131619520120034</v>
      </c>
      <c r="K2029" t="str">
        <f>IF(Table4[[#This Row],[Performance_Ratio]] &lt; 0.85, "Underperforming", "Performing")</f>
        <v>Underperforming</v>
      </c>
      <c r="L2029">
        <f>Table4[[#This Row],[energy_kwh]] - Table4[[#This Row],[expected_kwh]]</f>
        <v>-153.53105465642909</v>
      </c>
      <c r="M2029" t="str">
        <f>IF(Table4[[#This Row],[Performance_Deviation]] &lt; 0, "Underperforming", "Outperforming")</f>
        <v>Underperforming</v>
      </c>
      <c r="N2029">
        <f>IF(Table4[[#This Row],[Performance_Ratio]] &lt; 0.85, Table4[[#This Row],[Performance_Deviation]] * 50 / 1000, 0)</f>
        <v>-7.6765527328214551</v>
      </c>
    </row>
    <row r="2030" spans="1:14" x14ac:dyDescent="0.3">
      <c r="A2030" s="4" t="s">
        <v>8</v>
      </c>
      <c r="B2030" s="3">
        <v>45314.5</v>
      </c>
      <c r="C2030" s="4">
        <v>658.05770930797701</v>
      </c>
      <c r="D2030" s="4">
        <v>637.84201701252698</v>
      </c>
      <c r="E2030" s="4">
        <v>637.84201701252698</v>
      </c>
      <c r="F2030" s="4">
        <v>35.265164186135301</v>
      </c>
      <c r="G2030" s="4" t="str">
        <f t="shared" si="62"/>
        <v>OK</v>
      </c>
      <c r="H2030" s="4" t="str">
        <f t="shared" si="63"/>
        <v>NON-ZERO</v>
      </c>
      <c r="I2030">
        <v>800</v>
      </c>
      <c r="J2030">
        <f>IFERROR(Table4[[#This Row],[energy_kwh]]/Table4[[#This Row],[expected_kwh]],0)</f>
        <v>0.7973025212656587</v>
      </c>
      <c r="K2030" t="str">
        <f>IF(Table4[[#This Row],[Performance_Ratio]] &lt; 0.85, "Underperforming", "Performing")</f>
        <v>Underperforming</v>
      </c>
      <c r="L2030">
        <f>Table4[[#This Row],[energy_kwh]] - Table4[[#This Row],[expected_kwh]]</f>
        <v>-162.15798298747302</v>
      </c>
      <c r="M2030" t="str">
        <f>IF(Table4[[#This Row],[Performance_Deviation]] &lt; 0, "Underperforming", "Outperforming")</f>
        <v>Underperforming</v>
      </c>
      <c r="N2030">
        <f>IF(Table4[[#This Row],[Performance_Ratio]] &lt; 0.85, Table4[[#This Row],[Performance_Deviation]] * 50 / 1000, 0)</f>
        <v>-8.107899149373651</v>
      </c>
    </row>
    <row r="2031" spans="1:14" x14ac:dyDescent="0.3">
      <c r="A2031" s="6" t="s">
        <v>8</v>
      </c>
      <c r="B2031" s="5">
        <v>45314.541666666664</v>
      </c>
      <c r="C2031" s="6">
        <v>798.34532991641902</v>
      </c>
      <c r="D2031" s="6">
        <v>773.81996792032396</v>
      </c>
      <c r="E2031" s="6">
        <v>773.81996792032396</v>
      </c>
      <c r="F2031" s="6">
        <v>52.529277712356503</v>
      </c>
      <c r="G2031" s="6" t="str">
        <f t="shared" si="62"/>
        <v>OK</v>
      </c>
      <c r="H2031" s="6" t="str">
        <f t="shared" si="63"/>
        <v>NON-ZERO</v>
      </c>
      <c r="I2031">
        <v>772.74066103125404</v>
      </c>
      <c r="J2031">
        <f>IFERROR(Table4[[#This Row],[energy_kwh]]/Table4[[#This Row],[expected_kwh]],0)</f>
        <v>1.0013967258920082</v>
      </c>
      <c r="K2031" t="str">
        <f>IF(Table4[[#This Row],[Performance_Ratio]] &lt; 0.85, "Underperforming", "Performing")</f>
        <v>Performing</v>
      </c>
      <c r="L2031">
        <f>Table4[[#This Row],[energy_kwh]] - Table4[[#This Row],[expected_kwh]]</f>
        <v>1.079306889069926</v>
      </c>
      <c r="M2031" t="str">
        <f>IF(Table4[[#This Row],[Performance_Deviation]] &lt; 0, "Underperforming", "Outperforming")</f>
        <v>Outperforming</v>
      </c>
      <c r="N2031">
        <f>IF(Table4[[#This Row],[Performance_Ratio]] &lt; 0.85, Table4[[#This Row],[Performance_Deviation]] * 50 / 1000, 0)</f>
        <v>0</v>
      </c>
    </row>
    <row r="2032" spans="1:14" x14ac:dyDescent="0.3">
      <c r="A2032" s="4" t="s">
        <v>8</v>
      </c>
      <c r="B2032" s="3">
        <v>45314.583333333336</v>
      </c>
      <c r="C2032" s="4">
        <v>635.56928554587603</v>
      </c>
      <c r="D2032" s="4">
        <v>616.04444307796302</v>
      </c>
      <c r="E2032" s="4">
        <v>616.04444307796302</v>
      </c>
      <c r="F2032" s="4">
        <v>61.913065321599902</v>
      </c>
      <c r="G2032" s="4" t="str">
        <f t="shared" si="62"/>
        <v>OK</v>
      </c>
      <c r="H2032" s="4" t="str">
        <f t="shared" si="63"/>
        <v>NON-ZERO</v>
      </c>
      <c r="I2032">
        <v>692.82032302755101</v>
      </c>
      <c r="J2032">
        <f>IFERROR(Table4[[#This Row],[energy_kwh]]/Table4[[#This Row],[expected_kwh]],0)</f>
        <v>0.88918356260958742</v>
      </c>
      <c r="K2032" t="str">
        <f>IF(Table4[[#This Row],[Performance_Ratio]] &lt; 0.85, "Underperforming", "Performing")</f>
        <v>Performing</v>
      </c>
      <c r="L2032">
        <f>Table4[[#This Row],[energy_kwh]] - Table4[[#This Row],[expected_kwh]]</f>
        <v>-76.775879949587988</v>
      </c>
      <c r="M2032" t="str">
        <f>IF(Table4[[#This Row],[Performance_Deviation]] &lt; 0, "Underperforming", "Outperforming")</f>
        <v>Underperforming</v>
      </c>
      <c r="N2032">
        <f>IF(Table4[[#This Row],[Performance_Ratio]] &lt; 0.85, Table4[[#This Row],[Performance_Deviation]] * 50 / 1000, 0)</f>
        <v>0</v>
      </c>
    </row>
    <row r="2033" spans="1:14" x14ac:dyDescent="0.3">
      <c r="A2033" s="6" t="s">
        <v>8</v>
      </c>
      <c r="B2033" s="5">
        <v>45314.625</v>
      </c>
      <c r="C2033" s="6">
        <v>533.90657406794799</v>
      </c>
      <c r="D2033" s="6">
        <v>517.50483473231202</v>
      </c>
      <c r="E2033" s="6">
        <v>517.50483473231202</v>
      </c>
      <c r="F2033" s="6">
        <v>38.916735067296401</v>
      </c>
      <c r="G2033" s="6" t="str">
        <f t="shared" si="62"/>
        <v>OK</v>
      </c>
      <c r="H2033" s="6" t="str">
        <f t="shared" si="63"/>
        <v>NON-ZERO</v>
      </c>
      <c r="I2033">
        <v>565.68542494923804</v>
      </c>
      <c r="J2033">
        <f>IFERROR(Table4[[#This Row],[energy_kwh]]/Table4[[#This Row],[expected_kwh]],0)</f>
        <v>0.91482794484010344</v>
      </c>
      <c r="K2033" t="str">
        <f>IF(Table4[[#This Row],[Performance_Ratio]] &lt; 0.85, "Underperforming", "Performing")</f>
        <v>Performing</v>
      </c>
      <c r="L2033">
        <f>Table4[[#This Row],[energy_kwh]] - Table4[[#This Row],[expected_kwh]]</f>
        <v>-48.180590216926021</v>
      </c>
      <c r="M2033" t="str">
        <f>IF(Table4[[#This Row],[Performance_Deviation]] &lt; 0, "Underperforming", "Outperforming")</f>
        <v>Underperforming</v>
      </c>
      <c r="N2033">
        <f>IF(Table4[[#This Row],[Performance_Ratio]] &lt; 0.85, Table4[[#This Row],[Performance_Deviation]] * 50 / 1000, 0)</f>
        <v>0</v>
      </c>
    </row>
    <row r="2034" spans="1:14" x14ac:dyDescent="0.3">
      <c r="A2034" s="4" t="s">
        <v>8</v>
      </c>
      <c r="B2034" s="3">
        <v>45314.666666666664</v>
      </c>
      <c r="C2034" s="4">
        <v>379.79636734000798</v>
      </c>
      <c r="D2034" s="4">
        <v>368.12893090020202</v>
      </c>
      <c r="E2034" s="4">
        <v>368.12893090020202</v>
      </c>
      <c r="F2034" s="4">
        <v>44.412750359460098</v>
      </c>
      <c r="G2034" s="4" t="str">
        <f t="shared" si="62"/>
        <v>OK</v>
      </c>
      <c r="H2034" s="4" t="str">
        <f t="shared" si="63"/>
        <v>NON-ZERO</v>
      </c>
      <c r="I2034">
        <v>399.99999999999898</v>
      </c>
      <c r="J2034">
        <f>IFERROR(Table4[[#This Row],[energy_kwh]]/Table4[[#This Row],[expected_kwh]],0)</f>
        <v>0.92032232725050744</v>
      </c>
      <c r="K2034" t="str">
        <f>IF(Table4[[#This Row],[Performance_Ratio]] &lt; 0.85, "Underperforming", "Performing")</f>
        <v>Performing</v>
      </c>
      <c r="L2034">
        <f>Table4[[#This Row],[energy_kwh]] - Table4[[#This Row],[expected_kwh]]</f>
        <v>-31.871069099796955</v>
      </c>
      <c r="M2034" t="str">
        <f>IF(Table4[[#This Row],[Performance_Deviation]] &lt; 0, "Underperforming", "Outperforming")</f>
        <v>Underperforming</v>
      </c>
      <c r="N2034">
        <f>IF(Table4[[#This Row],[Performance_Ratio]] &lt; 0.85, Table4[[#This Row],[Performance_Deviation]] * 50 / 1000, 0)</f>
        <v>0</v>
      </c>
    </row>
    <row r="2035" spans="1:14" x14ac:dyDescent="0.3">
      <c r="A2035" s="6" t="s">
        <v>8</v>
      </c>
      <c r="B2035" s="5">
        <v>45314.708333333336</v>
      </c>
      <c r="C2035" s="6">
        <v>180.375523163004</v>
      </c>
      <c r="D2035" s="6">
        <v>174.83434338147899</v>
      </c>
      <c r="E2035" s="6">
        <v>174.83434338147899</v>
      </c>
      <c r="F2035" s="6">
        <v>60.029406025358298</v>
      </c>
      <c r="G2035" s="6" t="str">
        <f t="shared" si="62"/>
        <v>OK</v>
      </c>
      <c r="H2035" s="6" t="str">
        <f t="shared" si="63"/>
        <v>NON-ZERO</v>
      </c>
      <c r="I2035">
        <v>207.05523608201599</v>
      </c>
      <c r="J2035">
        <f>IFERROR(Table4[[#This Row],[energy_kwh]]/Table4[[#This Row],[expected_kwh]],0)</f>
        <v>0.84438503797231146</v>
      </c>
      <c r="K2035" t="str">
        <f>IF(Table4[[#This Row],[Performance_Ratio]] &lt; 0.85, "Underperforming", "Performing")</f>
        <v>Underperforming</v>
      </c>
      <c r="L2035">
        <f>Table4[[#This Row],[energy_kwh]] - Table4[[#This Row],[expected_kwh]]</f>
        <v>-32.220892700537007</v>
      </c>
      <c r="M2035" t="str">
        <f>IF(Table4[[#This Row],[Performance_Deviation]] &lt; 0, "Underperforming", "Outperforming")</f>
        <v>Underperforming</v>
      </c>
      <c r="N2035">
        <f>IF(Table4[[#This Row],[Performance_Ratio]] &lt; 0.85, Table4[[#This Row],[Performance_Deviation]] * 50 / 1000, 0)</f>
        <v>-1.6110446350268504</v>
      </c>
    </row>
    <row r="2036" spans="1:14" x14ac:dyDescent="0.3">
      <c r="A2036" s="4" t="s">
        <v>8</v>
      </c>
      <c r="B2036" s="3">
        <v>45314.75</v>
      </c>
      <c r="C2036" s="7">
        <v>8.9747328570738098E-14</v>
      </c>
      <c r="D2036" s="7">
        <v>8.6990268888795401E-14</v>
      </c>
      <c r="E2036" s="7">
        <v>8.6990268888795401E-14</v>
      </c>
      <c r="F2036" s="4">
        <v>63.9114453736276</v>
      </c>
      <c r="G2036" s="4" t="str">
        <f t="shared" si="62"/>
        <v>OK</v>
      </c>
      <c r="H2036" s="4" t="str">
        <f t="shared" si="63"/>
        <v>NON-ZERO</v>
      </c>
      <c r="I2036" s="2">
        <v>9.7971743931788194E-14</v>
      </c>
      <c r="J2036">
        <f>IFERROR(Table4[[#This Row],[energy_kwh]]/Table4[[#This Row],[expected_kwh]],0)</f>
        <v>0.88791181413858944</v>
      </c>
      <c r="K2036" t="str">
        <f>IF(Table4[[#This Row],[Performance_Ratio]] &lt; 0.85, "Underperforming", "Performing")</f>
        <v>Performing</v>
      </c>
      <c r="L2036">
        <f>Table4[[#This Row],[energy_kwh]] - Table4[[#This Row],[expected_kwh]]</f>
        <v>-1.0981475042992794E-14</v>
      </c>
      <c r="M2036" t="str">
        <f>IF(Table4[[#This Row],[Performance_Deviation]] &lt; 0, "Underperforming", "Outperforming")</f>
        <v>Underperforming</v>
      </c>
      <c r="N2036">
        <f>IF(Table4[[#This Row],[Performance_Ratio]] &lt; 0.85, Table4[[#This Row],[Performance_Deviation]] * 50 / 1000, 0)</f>
        <v>0</v>
      </c>
    </row>
    <row r="2037" spans="1:14" x14ac:dyDescent="0.3">
      <c r="A2037" s="6" t="s">
        <v>8</v>
      </c>
      <c r="B2037" s="5">
        <v>45314.791666666664</v>
      </c>
      <c r="C2037" s="6">
        <v>0</v>
      </c>
      <c r="D2037" s="6">
        <v>0</v>
      </c>
      <c r="E2037" s="6">
        <v>0</v>
      </c>
      <c r="F2037" s="6">
        <v>36.721250641831503</v>
      </c>
      <c r="G2037" s="6" t="str">
        <f t="shared" si="62"/>
        <v>OK</v>
      </c>
      <c r="H2037" s="6" t="str">
        <f t="shared" si="63"/>
        <v>ZERO</v>
      </c>
      <c r="I2037">
        <v>0</v>
      </c>
      <c r="J2037">
        <f>IFERROR(Table4[[#This Row],[energy_kwh]]/Table4[[#This Row],[expected_kwh]],0)</f>
        <v>0</v>
      </c>
      <c r="K2037" t="str">
        <f>IF(Table4[[#This Row],[Performance_Ratio]] &lt; 0.85, "Underperforming", "Performing")</f>
        <v>Underperforming</v>
      </c>
      <c r="L2037">
        <f>Table4[[#This Row],[energy_kwh]] - Table4[[#This Row],[expected_kwh]]</f>
        <v>0</v>
      </c>
      <c r="M2037" t="str">
        <f>IF(Table4[[#This Row],[Performance_Deviation]] &lt; 0, "Underperforming", "Outperforming")</f>
        <v>Outperforming</v>
      </c>
      <c r="N2037">
        <f>IF(Table4[[#This Row],[Performance_Ratio]] &lt; 0.85, Table4[[#This Row],[Performance_Deviation]] * 50 / 1000, 0)</f>
        <v>0</v>
      </c>
    </row>
    <row r="2038" spans="1:14" x14ac:dyDescent="0.3">
      <c r="A2038" s="4" t="s">
        <v>8</v>
      </c>
      <c r="B2038" s="3">
        <v>45314.833333333336</v>
      </c>
      <c r="C2038" s="4">
        <v>0</v>
      </c>
      <c r="D2038" s="4">
        <v>0</v>
      </c>
      <c r="E2038" s="4">
        <v>0</v>
      </c>
      <c r="F2038" s="4">
        <v>20.905245147546299</v>
      </c>
      <c r="G2038" s="4" t="str">
        <f t="shared" si="62"/>
        <v>OK</v>
      </c>
      <c r="H2038" s="4" t="str">
        <f t="shared" si="63"/>
        <v>ZERO</v>
      </c>
      <c r="I2038">
        <v>0</v>
      </c>
      <c r="J2038">
        <f>IFERROR(Table4[[#This Row],[energy_kwh]]/Table4[[#This Row],[expected_kwh]],0)</f>
        <v>0</v>
      </c>
      <c r="K2038" t="str">
        <f>IF(Table4[[#This Row],[Performance_Ratio]] &lt; 0.85, "Underperforming", "Performing")</f>
        <v>Underperforming</v>
      </c>
      <c r="L2038">
        <f>Table4[[#This Row],[energy_kwh]] - Table4[[#This Row],[expected_kwh]]</f>
        <v>0</v>
      </c>
      <c r="M2038" t="str">
        <f>IF(Table4[[#This Row],[Performance_Deviation]] &lt; 0, "Underperforming", "Outperforming")</f>
        <v>Outperforming</v>
      </c>
      <c r="N2038">
        <f>IF(Table4[[#This Row],[Performance_Ratio]] &lt; 0.85, Table4[[#This Row],[Performance_Deviation]] * 50 / 1000, 0)</f>
        <v>0</v>
      </c>
    </row>
    <row r="2039" spans="1:14" x14ac:dyDescent="0.3">
      <c r="A2039" s="6" t="s">
        <v>8</v>
      </c>
      <c r="B2039" s="5">
        <v>45314.875</v>
      </c>
      <c r="C2039" s="6">
        <v>0</v>
      </c>
      <c r="D2039" s="6">
        <v>0</v>
      </c>
      <c r="E2039" s="6">
        <v>0</v>
      </c>
      <c r="F2039" s="6">
        <v>92.2152870501357</v>
      </c>
      <c r="G2039" s="6" t="str">
        <f t="shared" si="62"/>
        <v>OK</v>
      </c>
      <c r="H2039" s="6" t="str">
        <f t="shared" si="63"/>
        <v>ZERO</v>
      </c>
      <c r="I2039">
        <v>0</v>
      </c>
      <c r="J2039">
        <f>IFERROR(Table4[[#This Row],[energy_kwh]]/Table4[[#This Row],[expected_kwh]],0)</f>
        <v>0</v>
      </c>
      <c r="K2039" t="str">
        <f>IF(Table4[[#This Row],[Performance_Ratio]] &lt; 0.85, "Underperforming", "Performing")</f>
        <v>Underperforming</v>
      </c>
      <c r="L2039">
        <f>Table4[[#This Row],[energy_kwh]] - Table4[[#This Row],[expected_kwh]]</f>
        <v>0</v>
      </c>
      <c r="M2039" t="str">
        <f>IF(Table4[[#This Row],[Performance_Deviation]] &lt; 0, "Underperforming", "Outperforming")</f>
        <v>Outperforming</v>
      </c>
      <c r="N2039">
        <f>IF(Table4[[#This Row],[Performance_Ratio]] &lt; 0.85, Table4[[#This Row],[Performance_Deviation]] * 50 / 1000, 0)</f>
        <v>0</v>
      </c>
    </row>
    <row r="2040" spans="1:14" x14ac:dyDescent="0.3">
      <c r="A2040" s="4" t="s">
        <v>8</v>
      </c>
      <c r="B2040" s="3">
        <v>45314.916666666664</v>
      </c>
      <c r="C2040" s="4">
        <v>0</v>
      </c>
      <c r="D2040" s="4">
        <v>0</v>
      </c>
      <c r="E2040" s="4">
        <v>0</v>
      </c>
      <c r="F2040" s="4">
        <v>82.128360920123399</v>
      </c>
      <c r="G2040" s="4" t="str">
        <f t="shared" si="62"/>
        <v>OK</v>
      </c>
      <c r="H2040" s="4" t="str">
        <f t="shared" si="63"/>
        <v>ZERO</v>
      </c>
      <c r="I2040">
        <v>0</v>
      </c>
      <c r="J2040">
        <f>IFERROR(Table4[[#This Row],[energy_kwh]]/Table4[[#This Row],[expected_kwh]],0)</f>
        <v>0</v>
      </c>
      <c r="K2040" t="str">
        <f>IF(Table4[[#This Row],[Performance_Ratio]] &lt; 0.85, "Underperforming", "Performing")</f>
        <v>Underperforming</v>
      </c>
      <c r="L2040">
        <f>Table4[[#This Row],[energy_kwh]] - Table4[[#This Row],[expected_kwh]]</f>
        <v>0</v>
      </c>
      <c r="M2040" t="str">
        <f>IF(Table4[[#This Row],[Performance_Deviation]] &lt; 0, "Underperforming", "Outperforming")</f>
        <v>Outperforming</v>
      </c>
      <c r="N2040">
        <f>IF(Table4[[#This Row],[Performance_Ratio]] &lt; 0.85, Table4[[#This Row],[Performance_Deviation]] * 50 / 1000, 0)</f>
        <v>0</v>
      </c>
    </row>
    <row r="2041" spans="1:14" x14ac:dyDescent="0.3">
      <c r="A2041" s="6" t="s">
        <v>8</v>
      </c>
      <c r="B2041" s="5">
        <v>45314.958333333336</v>
      </c>
      <c r="C2041" s="6">
        <v>0</v>
      </c>
      <c r="D2041" s="6">
        <v>0</v>
      </c>
      <c r="E2041" s="6">
        <v>0</v>
      </c>
      <c r="F2041" s="6">
        <v>39.6975209274555</v>
      </c>
      <c r="G2041" s="6" t="str">
        <f t="shared" si="62"/>
        <v>OK</v>
      </c>
      <c r="H2041" s="6" t="str">
        <f t="shared" si="63"/>
        <v>ZERO</v>
      </c>
      <c r="I2041">
        <v>0</v>
      </c>
      <c r="J2041">
        <f>IFERROR(Table4[[#This Row],[energy_kwh]]/Table4[[#This Row],[expected_kwh]],0)</f>
        <v>0</v>
      </c>
      <c r="K2041" t="str">
        <f>IF(Table4[[#This Row],[Performance_Ratio]] &lt; 0.85, "Underperforming", "Performing")</f>
        <v>Underperforming</v>
      </c>
      <c r="L2041">
        <f>Table4[[#This Row],[energy_kwh]] - Table4[[#This Row],[expected_kwh]]</f>
        <v>0</v>
      </c>
      <c r="M2041" t="str">
        <f>IF(Table4[[#This Row],[Performance_Deviation]] &lt; 0, "Underperforming", "Outperforming")</f>
        <v>Outperforming</v>
      </c>
      <c r="N2041">
        <f>IF(Table4[[#This Row],[Performance_Ratio]] &lt; 0.85, Table4[[#This Row],[Performance_Deviation]] * 50 / 1000, 0)</f>
        <v>0</v>
      </c>
    </row>
    <row r="2042" spans="1:14" x14ac:dyDescent="0.3">
      <c r="A2042" s="4" t="s">
        <v>8</v>
      </c>
      <c r="B2042" s="3">
        <v>45315</v>
      </c>
      <c r="C2042" s="4">
        <v>0</v>
      </c>
      <c r="D2042" s="4">
        <v>0</v>
      </c>
      <c r="E2042" s="4">
        <v>0</v>
      </c>
      <c r="F2042" s="4">
        <v>74.268552532998498</v>
      </c>
      <c r="G2042" s="4" t="str">
        <f t="shared" si="62"/>
        <v>OK</v>
      </c>
      <c r="H2042" s="4" t="str">
        <f t="shared" si="63"/>
        <v>ZERO</v>
      </c>
      <c r="I2042">
        <v>0</v>
      </c>
      <c r="J2042">
        <f>IFERROR(Table4[[#This Row],[energy_kwh]]/Table4[[#This Row],[expected_kwh]],0)</f>
        <v>0</v>
      </c>
      <c r="K2042" t="str">
        <f>IF(Table4[[#This Row],[Performance_Ratio]] &lt; 0.85, "Underperforming", "Performing")</f>
        <v>Underperforming</v>
      </c>
      <c r="L2042">
        <f>Table4[[#This Row],[energy_kwh]] - Table4[[#This Row],[expected_kwh]]</f>
        <v>0</v>
      </c>
      <c r="M2042" t="str">
        <f>IF(Table4[[#This Row],[Performance_Deviation]] &lt; 0, "Underperforming", "Outperforming")</f>
        <v>Outperforming</v>
      </c>
      <c r="N2042">
        <f>IF(Table4[[#This Row],[Performance_Ratio]] &lt; 0.85, Table4[[#This Row],[Performance_Deviation]] * 50 / 1000, 0)</f>
        <v>0</v>
      </c>
    </row>
    <row r="2043" spans="1:14" x14ac:dyDescent="0.3">
      <c r="A2043" s="6" t="s">
        <v>8</v>
      </c>
      <c r="B2043" s="5">
        <v>45315.041666666664</v>
      </c>
      <c r="C2043" s="6">
        <v>0</v>
      </c>
      <c r="D2043" s="6">
        <v>0</v>
      </c>
      <c r="E2043" s="6">
        <v>0</v>
      </c>
      <c r="F2043" s="6">
        <v>69.809430446251199</v>
      </c>
      <c r="G2043" s="6" t="str">
        <f t="shared" si="62"/>
        <v>OK</v>
      </c>
      <c r="H2043" s="6" t="str">
        <f t="shared" si="63"/>
        <v>ZERO</v>
      </c>
      <c r="I2043">
        <v>0</v>
      </c>
      <c r="J2043">
        <f>IFERROR(Table4[[#This Row],[energy_kwh]]/Table4[[#This Row],[expected_kwh]],0)</f>
        <v>0</v>
      </c>
      <c r="K2043" t="str">
        <f>IF(Table4[[#This Row],[Performance_Ratio]] &lt; 0.85, "Underperforming", "Performing")</f>
        <v>Underperforming</v>
      </c>
      <c r="L2043">
        <f>Table4[[#This Row],[energy_kwh]] - Table4[[#This Row],[expected_kwh]]</f>
        <v>0</v>
      </c>
      <c r="M2043" t="str">
        <f>IF(Table4[[#This Row],[Performance_Deviation]] &lt; 0, "Underperforming", "Outperforming")</f>
        <v>Outperforming</v>
      </c>
      <c r="N2043">
        <f>IF(Table4[[#This Row],[Performance_Ratio]] &lt; 0.85, Table4[[#This Row],[Performance_Deviation]] * 50 / 1000, 0)</f>
        <v>0</v>
      </c>
    </row>
    <row r="2044" spans="1:14" x14ac:dyDescent="0.3">
      <c r="A2044" s="4" t="s">
        <v>8</v>
      </c>
      <c r="B2044" s="3">
        <v>45315.083333333336</v>
      </c>
      <c r="C2044" s="4">
        <v>0</v>
      </c>
      <c r="D2044" s="4">
        <v>0</v>
      </c>
      <c r="E2044" s="4">
        <v>0</v>
      </c>
      <c r="F2044" s="4">
        <v>71.862915936019505</v>
      </c>
      <c r="G2044" s="4" t="str">
        <f t="shared" si="62"/>
        <v>OK</v>
      </c>
      <c r="H2044" s="4" t="str">
        <f t="shared" si="63"/>
        <v>ZERO</v>
      </c>
      <c r="I2044">
        <v>0</v>
      </c>
      <c r="J2044">
        <f>IFERROR(Table4[[#This Row],[energy_kwh]]/Table4[[#This Row],[expected_kwh]],0)</f>
        <v>0</v>
      </c>
      <c r="K2044" t="str">
        <f>IF(Table4[[#This Row],[Performance_Ratio]] &lt; 0.85, "Underperforming", "Performing")</f>
        <v>Underperforming</v>
      </c>
      <c r="L2044">
        <f>Table4[[#This Row],[energy_kwh]] - Table4[[#This Row],[expected_kwh]]</f>
        <v>0</v>
      </c>
      <c r="M2044" t="str">
        <f>IF(Table4[[#This Row],[Performance_Deviation]] &lt; 0, "Underperforming", "Outperforming")</f>
        <v>Outperforming</v>
      </c>
      <c r="N2044">
        <f>IF(Table4[[#This Row],[Performance_Ratio]] &lt; 0.85, Table4[[#This Row],[Performance_Deviation]] * 50 / 1000, 0)</f>
        <v>0</v>
      </c>
    </row>
    <row r="2045" spans="1:14" x14ac:dyDescent="0.3">
      <c r="A2045" s="6" t="s">
        <v>8</v>
      </c>
      <c r="B2045" s="5">
        <v>45315.125</v>
      </c>
      <c r="C2045" s="6">
        <v>0</v>
      </c>
      <c r="D2045" s="6">
        <v>0</v>
      </c>
      <c r="E2045" s="6">
        <v>0</v>
      </c>
      <c r="F2045" s="6">
        <v>43.493805536661597</v>
      </c>
      <c r="G2045" s="6" t="str">
        <f t="shared" si="62"/>
        <v>OK</v>
      </c>
      <c r="H2045" s="6" t="str">
        <f t="shared" si="63"/>
        <v>ZERO</v>
      </c>
      <c r="I2045">
        <v>0</v>
      </c>
      <c r="J2045">
        <f>IFERROR(Table4[[#This Row],[energy_kwh]]/Table4[[#This Row],[expected_kwh]],0)</f>
        <v>0</v>
      </c>
      <c r="K2045" t="str">
        <f>IF(Table4[[#This Row],[Performance_Ratio]] &lt; 0.85, "Underperforming", "Performing")</f>
        <v>Underperforming</v>
      </c>
      <c r="L2045">
        <f>Table4[[#This Row],[energy_kwh]] - Table4[[#This Row],[expected_kwh]]</f>
        <v>0</v>
      </c>
      <c r="M2045" t="str">
        <f>IF(Table4[[#This Row],[Performance_Deviation]] &lt; 0, "Underperforming", "Outperforming")</f>
        <v>Outperforming</v>
      </c>
      <c r="N2045">
        <f>IF(Table4[[#This Row],[Performance_Ratio]] &lt; 0.85, Table4[[#This Row],[Performance_Deviation]] * 50 / 1000, 0)</f>
        <v>0</v>
      </c>
    </row>
    <row r="2046" spans="1:14" x14ac:dyDescent="0.3">
      <c r="A2046" s="4" t="s">
        <v>8</v>
      </c>
      <c r="B2046" s="3">
        <v>45315.166666666664</v>
      </c>
      <c r="C2046" s="4">
        <v>0</v>
      </c>
      <c r="D2046" s="4">
        <v>0</v>
      </c>
      <c r="E2046" s="4">
        <v>0</v>
      </c>
      <c r="F2046" s="4">
        <v>74.331675520198601</v>
      </c>
      <c r="G2046" s="4" t="str">
        <f t="shared" si="62"/>
        <v>OK</v>
      </c>
      <c r="H2046" s="4" t="str">
        <f t="shared" si="63"/>
        <v>ZERO</v>
      </c>
      <c r="I2046">
        <v>0</v>
      </c>
      <c r="J2046">
        <f>IFERROR(Table4[[#This Row],[energy_kwh]]/Table4[[#This Row],[expected_kwh]],0)</f>
        <v>0</v>
      </c>
      <c r="K2046" t="str">
        <f>IF(Table4[[#This Row],[Performance_Ratio]] &lt; 0.85, "Underperforming", "Performing")</f>
        <v>Underperforming</v>
      </c>
      <c r="L2046">
        <f>Table4[[#This Row],[energy_kwh]] - Table4[[#This Row],[expected_kwh]]</f>
        <v>0</v>
      </c>
      <c r="M2046" t="str">
        <f>IF(Table4[[#This Row],[Performance_Deviation]] &lt; 0, "Underperforming", "Outperforming")</f>
        <v>Outperforming</v>
      </c>
      <c r="N2046">
        <f>IF(Table4[[#This Row],[Performance_Ratio]] &lt; 0.85, Table4[[#This Row],[Performance_Deviation]] * 50 / 1000, 0)</f>
        <v>0</v>
      </c>
    </row>
    <row r="2047" spans="1:14" x14ac:dyDescent="0.3">
      <c r="A2047" s="6" t="s">
        <v>8</v>
      </c>
      <c r="B2047" s="5">
        <v>45315.208333333336</v>
      </c>
      <c r="C2047" s="6">
        <v>0</v>
      </c>
      <c r="D2047" s="6">
        <v>0</v>
      </c>
      <c r="E2047" s="6">
        <v>0</v>
      </c>
      <c r="F2047" s="6">
        <v>46.697629312417703</v>
      </c>
      <c r="G2047" s="6" t="str">
        <f t="shared" si="62"/>
        <v>OK</v>
      </c>
      <c r="H2047" s="6" t="str">
        <f t="shared" si="63"/>
        <v>ZERO</v>
      </c>
      <c r="I2047">
        <v>0</v>
      </c>
      <c r="J2047">
        <f>IFERROR(Table4[[#This Row],[energy_kwh]]/Table4[[#This Row],[expected_kwh]],0)</f>
        <v>0</v>
      </c>
      <c r="K2047" t="str">
        <f>IF(Table4[[#This Row],[Performance_Ratio]] &lt; 0.85, "Underperforming", "Performing")</f>
        <v>Underperforming</v>
      </c>
      <c r="L2047">
        <f>Table4[[#This Row],[energy_kwh]] - Table4[[#This Row],[expected_kwh]]</f>
        <v>0</v>
      </c>
      <c r="M2047" t="str">
        <f>IF(Table4[[#This Row],[Performance_Deviation]] &lt; 0, "Underperforming", "Outperforming")</f>
        <v>Outperforming</v>
      </c>
      <c r="N2047">
        <f>IF(Table4[[#This Row],[Performance_Ratio]] &lt; 0.85, Table4[[#This Row],[Performance_Deviation]] * 50 / 1000, 0)</f>
        <v>0</v>
      </c>
    </row>
    <row r="2048" spans="1:14" x14ac:dyDescent="0.3">
      <c r="A2048" s="4" t="s">
        <v>8</v>
      </c>
      <c r="B2048" s="3">
        <v>45315.25</v>
      </c>
      <c r="C2048" s="4">
        <v>0</v>
      </c>
      <c r="D2048" s="4">
        <v>0</v>
      </c>
      <c r="E2048" s="4">
        <v>0</v>
      </c>
      <c r="F2048" s="4">
        <v>54.062560262582203</v>
      </c>
      <c r="G2048" s="4" t="str">
        <f t="shared" si="62"/>
        <v>OK</v>
      </c>
      <c r="H2048" s="4" t="str">
        <f t="shared" si="63"/>
        <v>ZERO</v>
      </c>
      <c r="I2048">
        <v>0</v>
      </c>
      <c r="J2048">
        <f>IFERROR(Table4[[#This Row],[energy_kwh]]/Table4[[#This Row],[expected_kwh]],0)</f>
        <v>0</v>
      </c>
      <c r="K2048" t="str">
        <f>IF(Table4[[#This Row],[Performance_Ratio]] &lt; 0.85, "Underperforming", "Performing")</f>
        <v>Underperforming</v>
      </c>
      <c r="L2048">
        <f>Table4[[#This Row],[energy_kwh]] - Table4[[#This Row],[expected_kwh]]</f>
        <v>0</v>
      </c>
      <c r="M2048" t="str">
        <f>IF(Table4[[#This Row],[Performance_Deviation]] &lt; 0, "Underperforming", "Outperforming")</f>
        <v>Outperforming</v>
      </c>
      <c r="N2048">
        <f>IF(Table4[[#This Row],[Performance_Ratio]] &lt; 0.85, Table4[[#This Row],[Performance_Deviation]] * 50 / 1000, 0)</f>
        <v>0</v>
      </c>
    </row>
    <row r="2049" spans="1:14" x14ac:dyDescent="0.3">
      <c r="A2049" s="6" t="s">
        <v>8</v>
      </c>
      <c r="B2049" s="5">
        <v>45315.291666666664</v>
      </c>
      <c r="C2049" s="6">
        <v>188.65838722472</v>
      </c>
      <c r="D2049" s="6">
        <v>182.862755852053</v>
      </c>
      <c r="E2049" s="6">
        <v>182.862755852053</v>
      </c>
      <c r="F2049" s="6">
        <v>49.331918311116503</v>
      </c>
      <c r="G2049" s="6" t="str">
        <f t="shared" si="62"/>
        <v>OK</v>
      </c>
      <c r="H2049" s="6" t="str">
        <f t="shared" si="63"/>
        <v>NON-ZERO</v>
      </c>
      <c r="I2049">
        <v>207.05523608201599</v>
      </c>
      <c r="J2049">
        <f>IFERROR(Table4[[#This Row],[energy_kwh]]/Table4[[#This Row],[expected_kwh]],0)</f>
        <v>0.88315929271945492</v>
      </c>
      <c r="K2049" t="str">
        <f>IF(Table4[[#This Row],[Performance_Ratio]] &lt; 0.85, "Underperforming", "Performing")</f>
        <v>Performing</v>
      </c>
      <c r="L2049">
        <f>Table4[[#This Row],[energy_kwh]] - Table4[[#This Row],[expected_kwh]]</f>
        <v>-24.192480229962996</v>
      </c>
      <c r="M2049" t="str">
        <f>IF(Table4[[#This Row],[Performance_Deviation]] &lt; 0, "Underperforming", "Outperforming")</f>
        <v>Underperforming</v>
      </c>
      <c r="N2049">
        <f>IF(Table4[[#This Row],[Performance_Ratio]] &lt; 0.85, Table4[[#This Row],[Performance_Deviation]] * 50 / 1000, 0)</f>
        <v>0</v>
      </c>
    </row>
    <row r="2050" spans="1:14" x14ac:dyDescent="0.3">
      <c r="A2050" s="4" t="s">
        <v>8</v>
      </c>
      <c r="B2050" s="3">
        <v>45315.333333333336</v>
      </c>
      <c r="C2050" s="4">
        <v>427.37137545068799</v>
      </c>
      <c r="D2050" s="4">
        <v>414.24242323298699</v>
      </c>
      <c r="E2050" s="4">
        <v>414.24242323298699</v>
      </c>
      <c r="F2050" s="4">
        <v>24.044943713065301</v>
      </c>
      <c r="G2050" s="4" t="str">
        <f t="shared" ref="G2050:G2113" si="64">IF(D2050 &gt; C2050, "ERROR", "OK")</f>
        <v>OK</v>
      </c>
      <c r="H2050" s="4" t="str">
        <f t="shared" ref="H2050:H2113" si="65">IF(E2050=0,"ZERO","NON-ZERO")</f>
        <v>NON-ZERO</v>
      </c>
      <c r="I2050">
        <v>399.99999999999898</v>
      </c>
      <c r="J2050">
        <f>IFERROR(Table4[[#This Row],[energy_kwh]]/Table4[[#This Row],[expected_kwh]],0)</f>
        <v>1.0356060580824702</v>
      </c>
      <c r="K2050" t="str">
        <f>IF(Table4[[#This Row],[Performance_Ratio]] &lt; 0.85, "Underperforming", "Performing")</f>
        <v>Performing</v>
      </c>
      <c r="L2050">
        <f>Table4[[#This Row],[energy_kwh]] - Table4[[#This Row],[expected_kwh]]</f>
        <v>14.242423232988017</v>
      </c>
      <c r="M2050" t="str">
        <f>IF(Table4[[#This Row],[Performance_Deviation]] &lt; 0, "Underperforming", "Outperforming")</f>
        <v>Outperforming</v>
      </c>
      <c r="N2050">
        <f>IF(Table4[[#This Row],[Performance_Ratio]] &lt; 0.85, Table4[[#This Row],[Performance_Deviation]] * 50 / 1000, 0)</f>
        <v>0</v>
      </c>
    </row>
    <row r="2051" spans="1:14" x14ac:dyDescent="0.3">
      <c r="A2051" s="6" t="s">
        <v>8</v>
      </c>
      <c r="B2051" s="5">
        <v>45315.375</v>
      </c>
      <c r="C2051" s="6">
        <v>598.58944535523801</v>
      </c>
      <c r="D2051" s="6">
        <v>580.20063253921501</v>
      </c>
      <c r="E2051" s="6">
        <v>580.20063253921501</v>
      </c>
      <c r="F2051" s="6">
        <v>31.216198891770802</v>
      </c>
      <c r="G2051" s="6" t="str">
        <f t="shared" si="64"/>
        <v>OK</v>
      </c>
      <c r="H2051" s="6" t="str">
        <f t="shared" si="65"/>
        <v>NON-ZERO</v>
      </c>
      <c r="I2051">
        <v>565.68542494923804</v>
      </c>
      <c r="J2051">
        <f>IFERROR(Table4[[#This Row],[energy_kwh]]/Table4[[#This Row],[expected_kwh]],0)</f>
        <v>1.0256595042930079</v>
      </c>
      <c r="K2051" t="str">
        <f>IF(Table4[[#This Row],[Performance_Ratio]] &lt; 0.85, "Underperforming", "Performing")</f>
        <v>Performing</v>
      </c>
      <c r="L2051">
        <f>Table4[[#This Row],[energy_kwh]] - Table4[[#This Row],[expected_kwh]]</f>
        <v>14.515207589976967</v>
      </c>
      <c r="M2051" t="str">
        <f>IF(Table4[[#This Row],[Performance_Deviation]] &lt; 0, "Underperforming", "Outperforming")</f>
        <v>Outperforming</v>
      </c>
      <c r="N2051">
        <f>IF(Table4[[#This Row],[Performance_Ratio]] &lt; 0.85, Table4[[#This Row],[Performance_Deviation]] * 50 / 1000, 0)</f>
        <v>0</v>
      </c>
    </row>
    <row r="2052" spans="1:14" x14ac:dyDescent="0.3">
      <c r="A2052" s="4" t="s">
        <v>8</v>
      </c>
      <c r="B2052" s="3">
        <v>45315.416666666664</v>
      </c>
      <c r="C2052" s="4">
        <v>669.36753221887705</v>
      </c>
      <c r="D2052" s="4">
        <v>648.80439942292298</v>
      </c>
      <c r="E2052" s="4">
        <v>648.80439942292298</v>
      </c>
      <c r="F2052" s="4">
        <v>33.017910811357901</v>
      </c>
      <c r="G2052" s="4" t="str">
        <f t="shared" si="64"/>
        <v>OK</v>
      </c>
      <c r="H2052" s="4" t="str">
        <f t="shared" si="65"/>
        <v>NON-ZERO</v>
      </c>
      <c r="I2052">
        <v>692.82032302754999</v>
      </c>
      <c r="J2052">
        <f>IFERROR(Table4[[#This Row],[energy_kwh]]/Table4[[#This Row],[expected_kwh]],0)</f>
        <v>0.93646848664559645</v>
      </c>
      <c r="K2052" t="str">
        <f>IF(Table4[[#This Row],[Performance_Ratio]] &lt; 0.85, "Underperforming", "Performing")</f>
        <v>Performing</v>
      </c>
      <c r="L2052">
        <f>Table4[[#This Row],[energy_kwh]] - Table4[[#This Row],[expected_kwh]]</f>
        <v>-44.015923604627005</v>
      </c>
      <c r="M2052" t="str">
        <f>IF(Table4[[#This Row],[Performance_Deviation]] &lt; 0, "Underperforming", "Outperforming")</f>
        <v>Underperforming</v>
      </c>
      <c r="N2052">
        <f>IF(Table4[[#This Row],[Performance_Ratio]] &lt; 0.85, Table4[[#This Row],[Performance_Deviation]] * 50 / 1000, 0)</f>
        <v>0</v>
      </c>
    </row>
    <row r="2053" spans="1:14" x14ac:dyDescent="0.3">
      <c r="A2053" s="6" t="s">
        <v>8</v>
      </c>
      <c r="B2053" s="5">
        <v>45315.458333333336</v>
      </c>
      <c r="C2053" s="6">
        <v>688.72227611524102</v>
      </c>
      <c r="D2053" s="6">
        <v>667.56456089660401</v>
      </c>
      <c r="E2053" s="6">
        <v>667.56456089660401</v>
      </c>
      <c r="F2053" s="6">
        <v>37.287112801364003</v>
      </c>
      <c r="G2053" s="6" t="str">
        <f t="shared" si="64"/>
        <v>OK</v>
      </c>
      <c r="H2053" s="6" t="str">
        <f t="shared" si="65"/>
        <v>NON-ZERO</v>
      </c>
      <c r="I2053">
        <v>772.74066103125404</v>
      </c>
      <c r="J2053">
        <f>IFERROR(Table4[[#This Row],[energy_kwh]]/Table4[[#This Row],[expected_kwh]],0)</f>
        <v>0.86389211097771379</v>
      </c>
      <c r="K2053" t="str">
        <f>IF(Table4[[#This Row],[Performance_Ratio]] &lt; 0.85, "Underperforming", "Performing")</f>
        <v>Performing</v>
      </c>
      <c r="L2053">
        <f>Table4[[#This Row],[energy_kwh]] - Table4[[#This Row],[expected_kwh]]</f>
        <v>-105.17610013465003</v>
      </c>
      <c r="M2053" t="str">
        <f>IF(Table4[[#This Row],[Performance_Deviation]] &lt; 0, "Underperforming", "Outperforming")</f>
        <v>Underperforming</v>
      </c>
      <c r="N2053">
        <f>IF(Table4[[#This Row],[Performance_Ratio]] &lt; 0.85, Table4[[#This Row],[Performance_Deviation]] * 50 / 1000, 0)</f>
        <v>0</v>
      </c>
    </row>
    <row r="2054" spans="1:14" x14ac:dyDescent="0.3">
      <c r="A2054" s="4" t="s">
        <v>8</v>
      </c>
      <c r="B2054" s="3">
        <v>45315.5</v>
      </c>
      <c r="C2054" s="4">
        <v>699.63727177551095</v>
      </c>
      <c r="D2054" s="4">
        <v>678.14424524518495</v>
      </c>
      <c r="E2054" s="4">
        <v>678.14424524518495</v>
      </c>
      <c r="F2054" s="4">
        <v>70.352600667259594</v>
      </c>
      <c r="G2054" s="4" t="str">
        <f t="shared" si="64"/>
        <v>OK</v>
      </c>
      <c r="H2054" s="4" t="str">
        <f t="shared" si="65"/>
        <v>NON-ZERO</v>
      </c>
      <c r="I2054">
        <v>800</v>
      </c>
      <c r="J2054">
        <f>IFERROR(Table4[[#This Row],[energy_kwh]]/Table4[[#This Row],[expected_kwh]],0)</f>
        <v>0.84768030655648119</v>
      </c>
      <c r="K2054" t="str">
        <f>IF(Table4[[#This Row],[Performance_Ratio]] &lt; 0.85, "Underperforming", "Performing")</f>
        <v>Underperforming</v>
      </c>
      <c r="L2054">
        <f>Table4[[#This Row],[energy_kwh]] - Table4[[#This Row],[expected_kwh]]</f>
        <v>-121.85575475481505</v>
      </c>
      <c r="M2054" t="str">
        <f>IF(Table4[[#This Row],[Performance_Deviation]] &lt; 0, "Underperforming", "Outperforming")</f>
        <v>Underperforming</v>
      </c>
      <c r="N2054">
        <f>IF(Table4[[#This Row],[Performance_Ratio]] &lt; 0.85, Table4[[#This Row],[Performance_Deviation]] * 50 / 1000, 0)</f>
        <v>-6.0927877377407533</v>
      </c>
    </row>
    <row r="2055" spans="1:14" x14ac:dyDescent="0.3">
      <c r="A2055" s="6" t="s">
        <v>8</v>
      </c>
      <c r="B2055" s="5">
        <v>45315.541666666664</v>
      </c>
      <c r="C2055" s="6">
        <v>699.44779380252101</v>
      </c>
      <c r="D2055" s="6">
        <v>677.96058808144198</v>
      </c>
      <c r="E2055" s="6">
        <v>677.96058808144198</v>
      </c>
      <c r="F2055" s="6">
        <v>32.329451324631002</v>
      </c>
      <c r="G2055" s="6" t="str">
        <f t="shared" si="64"/>
        <v>OK</v>
      </c>
      <c r="H2055" s="6" t="str">
        <f t="shared" si="65"/>
        <v>NON-ZERO</v>
      </c>
      <c r="I2055">
        <v>772.74066103125404</v>
      </c>
      <c r="J2055">
        <f>IFERROR(Table4[[#This Row],[energy_kwh]]/Table4[[#This Row],[expected_kwh]],0)</f>
        <v>0.87734556012191178</v>
      </c>
      <c r="K2055" t="str">
        <f>IF(Table4[[#This Row],[Performance_Ratio]] &lt; 0.85, "Underperforming", "Performing")</f>
        <v>Performing</v>
      </c>
      <c r="L2055">
        <f>Table4[[#This Row],[energy_kwh]] - Table4[[#This Row],[expected_kwh]]</f>
        <v>-94.780072949812052</v>
      </c>
      <c r="M2055" t="str">
        <f>IF(Table4[[#This Row],[Performance_Deviation]] &lt; 0, "Underperforming", "Outperforming")</f>
        <v>Underperforming</v>
      </c>
      <c r="N2055">
        <f>IF(Table4[[#This Row],[Performance_Ratio]] &lt; 0.85, Table4[[#This Row],[Performance_Deviation]] * 50 / 1000, 0)</f>
        <v>0</v>
      </c>
    </row>
    <row r="2056" spans="1:14" x14ac:dyDescent="0.3">
      <c r="A2056" s="4" t="s">
        <v>8</v>
      </c>
      <c r="B2056" s="3">
        <v>45315.583333333336</v>
      </c>
      <c r="C2056" s="4">
        <v>685.92592959017998</v>
      </c>
      <c r="D2056" s="4">
        <v>664.85411881442406</v>
      </c>
      <c r="E2056" s="4">
        <v>664.85411881442406</v>
      </c>
      <c r="F2056" s="4">
        <v>32.761448085838701</v>
      </c>
      <c r="G2056" s="4" t="str">
        <f t="shared" si="64"/>
        <v>OK</v>
      </c>
      <c r="H2056" s="4" t="str">
        <f t="shared" si="65"/>
        <v>NON-ZERO</v>
      </c>
      <c r="I2056">
        <v>692.82032302755101</v>
      </c>
      <c r="J2056">
        <f>IFERROR(Table4[[#This Row],[energy_kwh]]/Table4[[#This Row],[expected_kwh]],0)</f>
        <v>0.95963426117334771</v>
      </c>
      <c r="K2056" t="str">
        <f>IF(Table4[[#This Row],[Performance_Ratio]] &lt; 0.85, "Underperforming", "Performing")</f>
        <v>Performing</v>
      </c>
      <c r="L2056">
        <f>Table4[[#This Row],[energy_kwh]] - Table4[[#This Row],[expected_kwh]]</f>
        <v>-27.966204213126957</v>
      </c>
      <c r="M2056" t="str">
        <f>IF(Table4[[#This Row],[Performance_Deviation]] &lt; 0, "Underperforming", "Outperforming")</f>
        <v>Underperforming</v>
      </c>
      <c r="N2056">
        <f>IF(Table4[[#This Row],[Performance_Ratio]] &lt; 0.85, Table4[[#This Row],[Performance_Deviation]] * 50 / 1000, 0)</f>
        <v>0</v>
      </c>
    </row>
    <row r="2057" spans="1:14" x14ac:dyDescent="0.3">
      <c r="A2057" s="6" t="s">
        <v>8</v>
      </c>
      <c r="B2057" s="5">
        <v>45315.625</v>
      </c>
      <c r="C2057" s="6">
        <v>560.99883111210499</v>
      </c>
      <c r="D2057" s="6">
        <v>543.76481107487302</v>
      </c>
      <c r="E2057" s="6">
        <v>543.76481107487302</v>
      </c>
      <c r="F2057" s="6">
        <v>61.717729551932898</v>
      </c>
      <c r="G2057" s="6" t="str">
        <f t="shared" si="64"/>
        <v>OK</v>
      </c>
      <c r="H2057" s="6" t="str">
        <f t="shared" si="65"/>
        <v>NON-ZERO</v>
      </c>
      <c r="I2057">
        <v>565.68542494923804</v>
      </c>
      <c r="J2057">
        <f>IFERROR(Table4[[#This Row],[energy_kwh]]/Table4[[#This Row],[expected_kwh]],0)</f>
        <v>0.96124946320416149</v>
      </c>
      <c r="K2057" t="str">
        <f>IF(Table4[[#This Row],[Performance_Ratio]] &lt; 0.85, "Underperforming", "Performing")</f>
        <v>Performing</v>
      </c>
      <c r="L2057">
        <f>Table4[[#This Row],[energy_kwh]] - Table4[[#This Row],[expected_kwh]]</f>
        <v>-21.920613874365017</v>
      </c>
      <c r="M2057" t="str">
        <f>IF(Table4[[#This Row],[Performance_Deviation]] &lt; 0, "Underperforming", "Outperforming")</f>
        <v>Underperforming</v>
      </c>
      <c r="N2057">
        <f>IF(Table4[[#This Row],[Performance_Ratio]] &lt; 0.85, Table4[[#This Row],[Performance_Deviation]] * 50 / 1000, 0)</f>
        <v>0</v>
      </c>
    </row>
    <row r="2058" spans="1:14" x14ac:dyDescent="0.3">
      <c r="A2058" s="4" t="s">
        <v>8</v>
      </c>
      <c r="B2058" s="3">
        <v>45315.666666666664</v>
      </c>
      <c r="C2058" s="4">
        <v>396.59094414844202</v>
      </c>
      <c r="D2058" s="4">
        <v>384.40757423929301</v>
      </c>
      <c r="E2058" s="4">
        <v>384.40757423929301</v>
      </c>
      <c r="F2058" s="4">
        <v>37.297898016069702</v>
      </c>
      <c r="G2058" s="4" t="str">
        <f t="shared" si="64"/>
        <v>OK</v>
      </c>
      <c r="H2058" s="4" t="str">
        <f t="shared" si="65"/>
        <v>NON-ZERO</v>
      </c>
      <c r="I2058">
        <v>399.99999999999898</v>
      </c>
      <c r="J2058">
        <f>IFERROR(Table4[[#This Row],[energy_kwh]]/Table4[[#This Row],[expected_kwh]],0)</f>
        <v>0.96101893559823504</v>
      </c>
      <c r="K2058" t="str">
        <f>IF(Table4[[#This Row],[Performance_Ratio]] &lt; 0.85, "Underperforming", "Performing")</f>
        <v>Performing</v>
      </c>
      <c r="L2058">
        <f>Table4[[#This Row],[energy_kwh]] - Table4[[#This Row],[expected_kwh]]</f>
        <v>-15.592425760705964</v>
      </c>
      <c r="M2058" t="str">
        <f>IF(Table4[[#This Row],[Performance_Deviation]] &lt; 0, "Underperforming", "Outperforming")</f>
        <v>Underperforming</v>
      </c>
      <c r="N2058">
        <f>IF(Table4[[#This Row],[Performance_Ratio]] &lt; 0.85, Table4[[#This Row],[Performance_Deviation]] * 50 / 1000, 0)</f>
        <v>0</v>
      </c>
    </row>
    <row r="2059" spans="1:14" x14ac:dyDescent="0.3">
      <c r="A2059" s="6" t="s">
        <v>8</v>
      </c>
      <c r="B2059" s="5">
        <v>45315.708333333336</v>
      </c>
      <c r="C2059" s="6">
        <v>195.00321931709701</v>
      </c>
      <c r="D2059" s="6">
        <v>189.01267316502501</v>
      </c>
      <c r="E2059" s="6">
        <v>189.01267316502501</v>
      </c>
      <c r="F2059" s="6">
        <v>30.731104656298498</v>
      </c>
      <c r="G2059" s="6" t="str">
        <f t="shared" si="64"/>
        <v>OK</v>
      </c>
      <c r="H2059" s="6" t="str">
        <f t="shared" si="65"/>
        <v>NON-ZERO</v>
      </c>
      <c r="I2059">
        <v>207.05523608201599</v>
      </c>
      <c r="J2059">
        <f>IFERROR(Table4[[#This Row],[energy_kwh]]/Table4[[#This Row],[expected_kwh]],0)</f>
        <v>0.91286111253016466</v>
      </c>
      <c r="K2059" t="str">
        <f>IF(Table4[[#This Row],[Performance_Ratio]] &lt; 0.85, "Underperforming", "Performing")</f>
        <v>Performing</v>
      </c>
      <c r="L2059">
        <f>Table4[[#This Row],[energy_kwh]] - Table4[[#This Row],[expected_kwh]]</f>
        <v>-18.042562916990988</v>
      </c>
      <c r="M2059" t="str">
        <f>IF(Table4[[#This Row],[Performance_Deviation]] &lt; 0, "Underperforming", "Outperforming")</f>
        <v>Underperforming</v>
      </c>
      <c r="N2059">
        <f>IF(Table4[[#This Row],[Performance_Ratio]] &lt; 0.85, Table4[[#This Row],[Performance_Deviation]] * 50 / 1000, 0)</f>
        <v>0</v>
      </c>
    </row>
    <row r="2060" spans="1:14" x14ac:dyDescent="0.3">
      <c r="A2060" s="4" t="s">
        <v>8</v>
      </c>
      <c r="B2060" s="3">
        <v>45315.75</v>
      </c>
      <c r="C2060" s="7">
        <v>9.0119754653133794E-14</v>
      </c>
      <c r="D2060" s="7">
        <v>8.7351253951690805E-14</v>
      </c>
      <c r="E2060" s="7">
        <v>8.7351253951690805E-14</v>
      </c>
      <c r="F2060" s="4">
        <v>55.381723204315499</v>
      </c>
      <c r="G2060" s="4" t="str">
        <f t="shared" si="64"/>
        <v>OK</v>
      </c>
      <c r="H2060" s="4" t="str">
        <f t="shared" si="65"/>
        <v>NON-ZERO</v>
      </c>
      <c r="I2060" s="2">
        <v>9.7971743931788194E-14</v>
      </c>
      <c r="J2060">
        <f>IFERROR(Table4[[#This Row],[energy_kwh]]/Table4[[#This Row],[expected_kwh]],0)</f>
        <v>0.89159639755426023</v>
      </c>
      <c r="K2060" t="str">
        <f>IF(Table4[[#This Row],[Performance_Ratio]] &lt; 0.85, "Underperforming", "Performing")</f>
        <v>Performing</v>
      </c>
      <c r="L2060">
        <f>Table4[[#This Row],[energy_kwh]] - Table4[[#This Row],[expected_kwh]]</f>
        <v>-1.062048998009739E-14</v>
      </c>
      <c r="M2060" t="str">
        <f>IF(Table4[[#This Row],[Performance_Deviation]] &lt; 0, "Underperforming", "Outperforming")</f>
        <v>Underperforming</v>
      </c>
      <c r="N2060">
        <f>IF(Table4[[#This Row],[Performance_Ratio]] &lt; 0.85, Table4[[#This Row],[Performance_Deviation]] * 50 / 1000, 0)</f>
        <v>0</v>
      </c>
    </row>
    <row r="2061" spans="1:14" x14ac:dyDescent="0.3">
      <c r="A2061" s="6" t="s">
        <v>8</v>
      </c>
      <c r="B2061" s="5">
        <v>45315.791666666664</v>
      </c>
      <c r="C2061" s="6">
        <v>0</v>
      </c>
      <c r="D2061" s="6">
        <v>0</v>
      </c>
      <c r="E2061" s="6">
        <v>0</v>
      </c>
      <c r="F2061" s="6">
        <v>26.582968559257999</v>
      </c>
      <c r="G2061" s="6" t="str">
        <f t="shared" si="64"/>
        <v>OK</v>
      </c>
      <c r="H2061" s="6" t="str">
        <f t="shared" si="65"/>
        <v>ZERO</v>
      </c>
      <c r="I2061">
        <v>0</v>
      </c>
      <c r="J2061">
        <f>IFERROR(Table4[[#This Row],[energy_kwh]]/Table4[[#This Row],[expected_kwh]],0)</f>
        <v>0</v>
      </c>
      <c r="K2061" t="str">
        <f>IF(Table4[[#This Row],[Performance_Ratio]] &lt; 0.85, "Underperforming", "Performing")</f>
        <v>Underperforming</v>
      </c>
      <c r="L2061">
        <f>Table4[[#This Row],[energy_kwh]] - Table4[[#This Row],[expected_kwh]]</f>
        <v>0</v>
      </c>
      <c r="M2061" t="str">
        <f>IF(Table4[[#This Row],[Performance_Deviation]] &lt; 0, "Underperforming", "Outperforming")</f>
        <v>Outperforming</v>
      </c>
      <c r="N2061">
        <f>IF(Table4[[#This Row],[Performance_Ratio]] &lt; 0.85, Table4[[#This Row],[Performance_Deviation]] * 50 / 1000, 0)</f>
        <v>0</v>
      </c>
    </row>
    <row r="2062" spans="1:14" x14ac:dyDescent="0.3">
      <c r="A2062" s="4" t="s">
        <v>8</v>
      </c>
      <c r="B2062" s="3">
        <v>45315.833333333336</v>
      </c>
      <c r="C2062" s="4">
        <v>0</v>
      </c>
      <c r="D2062" s="4">
        <v>0</v>
      </c>
      <c r="E2062" s="4">
        <v>0</v>
      </c>
      <c r="F2062" s="4">
        <v>73.747395252652296</v>
      </c>
      <c r="G2062" s="4" t="str">
        <f t="shared" si="64"/>
        <v>OK</v>
      </c>
      <c r="H2062" s="4" t="str">
        <f t="shared" si="65"/>
        <v>ZERO</v>
      </c>
      <c r="I2062">
        <v>0</v>
      </c>
      <c r="J2062">
        <f>IFERROR(Table4[[#This Row],[energy_kwh]]/Table4[[#This Row],[expected_kwh]],0)</f>
        <v>0</v>
      </c>
      <c r="K2062" t="str">
        <f>IF(Table4[[#This Row],[Performance_Ratio]] &lt; 0.85, "Underperforming", "Performing")</f>
        <v>Underperforming</v>
      </c>
      <c r="L2062">
        <f>Table4[[#This Row],[energy_kwh]] - Table4[[#This Row],[expected_kwh]]</f>
        <v>0</v>
      </c>
      <c r="M2062" t="str">
        <f>IF(Table4[[#This Row],[Performance_Deviation]] &lt; 0, "Underperforming", "Outperforming")</f>
        <v>Outperforming</v>
      </c>
      <c r="N2062">
        <f>IF(Table4[[#This Row],[Performance_Ratio]] &lt; 0.85, Table4[[#This Row],[Performance_Deviation]] * 50 / 1000, 0)</f>
        <v>0</v>
      </c>
    </row>
    <row r="2063" spans="1:14" x14ac:dyDescent="0.3">
      <c r="A2063" s="6" t="s">
        <v>8</v>
      </c>
      <c r="B2063" s="5">
        <v>45315.875</v>
      </c>
      <c r="C2063" s="6">
        <v>0</v>
      </c>
      <c r="D2063" s="6">
        <v>0</v>
      </c>
      <c r="E2063" s="6">
        <v>0</v>
      </c>
      <c r="F2063" s="6">
        <v>30.272497590817601</v>
      </c>
      <c r="G2063" s="6" t="str">
        <f t="shared" si="64"/>
        <v>OK</v>
      </c>
      <c r="H2063" s="6" t="str">
        <f t="shared" si="65"/>
        <v>ZERO</v>
      </c>
      <c r="I2063">
        <v>0</v>
      </c>
      <c r="J2063">
        <f>IFERROR(Table4[[#This Row],[energy_kwh]]/Table4[[#This Row],[expected_kwh]],0)</f>
        <v>0</v>
      </c>
      <c r="K2063" t="str">
        <f>IF(Table4[[#This Row],[Performance_Ratio]] &lt; 0.85, "Underperforming", "Performing")</f>
        <v>Underperforming</v>
      </c>
      <c r="L2063">
        <f>Table4[[#This Row],[energy_kwh]] - Table4[[#This Row],[expected_kwh]]</f>
        <v>0</v>
      </c>
      <c r="M2063" t="str">
        <f>IF(Table4[[#This Row],[Performance_Deviation]] &lt; 0, "Underperforming", "Outperforming")</f>
        <v>Outperforming</v>
      </c>
      <c r="N2063">
        <f>IF(Table4[[#This Row],[Performance_Ratio]] &lt; 0.85, Table4[[#This Row],[Performance_Deviation]] * 50 / 1000, 0)</f>
        <v>0</v>
      </c>
    </row>
    <row r="2064" spans="1:14" x14ac:dyDescent="0.3">
      <c r="A2064" s="4" t="s">
        <v>8</v>
      </c>
      <c r="B2064" s="3">
        <v>45315.916666666664</v>
      </c>
      <c r="C2064" s="4">
        <v>0</v>
      </c>
      <c r="D2064" s="4">
        <v>0</v>
      </c>
      <c r="E2064" s="4">
        <v>0</v>
      </c>
      <c r="F2064" s="4">
        <v>39.369826841537197</v>
      </c>
      <c r="G2064" s="4" t="str">
        <f t="shared" si="64"/>
        <v>OK</v>
      </c>
      <c r="H2064" s="4" t="str">
        <f t="shared" si="65"/>
        <v>ZERO</v>
      </c>
      <c r="I2064">
        <v>0</v>
      </c>
      <c r="J2064">
        <f>IFERROR(Table4[[#This Row],[energy_kwh]]/Table4[[#This Row],[expected_kwh]],0)</f>
        <v>0</v>
      </c>
      <c r="K2064" t="str">
        <f>IF(Table4[[#This Row],[Performance_Ratio]] &lt; 0.85, "Underperforming", "Performing")</f>
        <v>Underperforming</v>
      </c>
      <c r="L2064">
        <f>Table4[[#This Row],[energy_kwh]] - Table4[[#This Row],[expected_kwh]]</f>
        <v>0</v>
      </c>
      <c r="M2064" t="str">
        <f>IF(Table4[[#This Row],[Performance_Deviation]] &lt; 0, "Underperforming", "Outperforming")</f>
        <v>Outperforming</v>
      </c>
      <c r="N2064">
        <f>IF(Table4[[#This Row],[Performance_Ratio]] &lt; 0.85, Table4[[#This Row],[Performance_Deviation]] * 50 / 1000, 0)</f>
        <v>0</v>
      </c>
    </row>
    <row r="2065" spans="1:14" x14ac:dyDescent="0.3">
      <c r="A2065" s="6" t="s">
        <v>8</v>
      </c>
      <c r="B2065" s="5">
        <v>45315.958333333336</v>
      </c>
      <c r="C2065" s="6">
        <v>0</v>
      </c>
      <c r="D2065" s="6">
        <v>0</v>
      </c>
      <c r="E2065" s="6">
        <v>0</v>
      </c>
      <c r="F2065" s="6">
        <v>71.498781751552798</v>
      </c>
      <c r="G2065" s="6" t="str">
        <f t="shared" si="64"/>
        <v>OK</v>
      </c>
      <c r="H2065" s="6" t="str">
        <f t="shared" si="65"/>
        <v>ZERO</v>
      </c>
      <c r="I2065">
        <v>0</v>
      </c>
      <c r="J2065">
        <f>IFERROR(Table4[[#This Row],[energy_kwh]]/Table4[[#This Row],[expected_kwh]],0)</f>
        <v>0</v>
      </c>
      <c r="K2065" t="str">
        <f>IF(Table4[[#This Row],[Performance_Ratio]] &lt; 0.85, "Underperforming", "Performing")</f>
        <v>Underperforming</v>
      </c>
      <c r="L2065">
        <f>Table4[[#This Row],[energy_kwh]] - Table4[[#This Row],[expected_kwh]]</f>
        <v>0</v>
      </c>
      <c r="M2065" t="str">
        <f>IF(Table4[[#This Row],[Performance_Deviation]] &lt; 0, "Underperforming", "Outperforming")</f>
        <v>Outperforming</v>
      </c>
      <c r="N2065">
        <f>IF(Table4[[#This Row],[Performance_Ratio]] &lt; 0.85, Table4[[#This Row],[Performance_Deviation]] * 50 / 1000, 0)</f>
        <v>0</v>
      </c>
    </row>
    <row r="2066" spans="1:14" x14ac:dyDescent="0.3">
      <c r="A2066" s="4" t="s">
        <v>8</v>
      </c>
      <c r="B2066" s="3">
        <v>45316</v>
      </c>
      <c r="C2066" s="4">
        <v>0</v>
      </c>
      <c r="D2066" s="4">
        <v>0</v>
      </c>
      <c r="E2066" s="4">
        <v>0</v>
      </c>
      <c r="F2066" s="4">
        <v>29.2183386906683</v>
      </c>
      <c r="G2066" s="4" t="str">
        <f t="shared" si="64"/>
        <v>OK</v>
      </c>
      <c r="H2066" s="4" t="str">
        <f t="shared" si="65"/>
        <v>ZERO</v>
      </c>
      <c r="I2066">
        <v>0</v>
      </c>
      <c r="J2066">
        <f>IFERROR(Table4[[#This Row],[energy_kwh]]/Table4[[#This Row],[expected_kwh]],0)</f>
        <v>0</v>
      </c>
      <c r="K2066" t="str">
        <f>IF(Table4[[#This Row],[Performance_Ratio]] &lt; 0.85, "Underperforming", "Performing")</f>
        <v>Underperforming</v>
      </c>
      <c r="L2066">
        <f>Table4[[#This Row],[energy_kwh]] - Table4[[#This Row],[expected_kwh]]</f>
        <v>0</v>
      </c>
      <c r="M2066" t="str">
        <f>IF(Table4[[#This Row],[Performance_Deviation]] &lt; 0, "Underperforming", "Outperforming")</f>
        <v>Outperforming</v>
      </c>
      <c r="N2066">
        <f>IF(Table4[[#This Row],[Performance_Ratio]] &lt; 0.85, Table4[[#This Row],[Performance_Deviation]] * 50 / 1000, 0)</f>
        <v>0</v>
      </c>
    </row>
    <row r="2067" spans="1:14" x14ac:dyDescent="0.3">
      <c r="A2067" s="6" t="s">
        <v>8</v>
      </c>
      <c r="B2067" s="5">
        <v>45316.041666666664</v>
      </c>
      <c r="C2067" s="6">
        <v>0</v>
      </c>
      <c r="D2067" s="6">
        <v>0</v>
      </c>
      <c r="E2067" s="6">
        <v>0</v>
      </c>
      <c r="F2067" s="6">
        <v>83.4308658744322</v>
      </c>
      <c r="G2067" s="6" t="str">
        <f t="shared" si="64"/>
        <v>OK</v>
      </c>
      <c r="H2067" s="6" t="str">
        <f t="shared" si="65"/>
        <v>ZERO</v>
      </c>
      <c r="I2067">
        <v>0</v>
      </c>
      <c r="J2067">
        <f>IFERROR(Table4[[#This Row],[energy_kwh]]/Table4[[#This Row],[expected_kwh]],0)</f>
        <v>0</v>
      </c>
      <c r="K2067" t="str">
        <f>IF(Table4[[#This Row],[Performance_Ratio]] &lt; 0.85, "Underperforming", "Performing")</f>
        <v>Underperforming</v>
      </c>
      <c r="L2067">
        <f>Table4[[#This Row],[energy_kwh]] - Table4[[#This Row],[expected_kwh]]</f>
        <v>0</v>
      </c>
      <c r="M2067" t="str">
        <f>IF(Table4[[#This Row],[Performance_Deviation]] &lt; 0, "Underperforming", "Outperforming")</f>
        <v>Outperforming</v>
      </c>
      <c r="N2067">
        <f>IF(Table4[[#This Row],[Performance_Ratio]] &lt; 0.85, Table4[[#This Row],[Performance_Deviation]] * 50 / 1000, 0)</f>
        <v>0</v>
      </c>
    </row>
    <row r="2068" spans="1:14" x14ac:dyDescent="0.3">
      <c r="A2068" s="4" t="s">
        <v>8</v>
      </c>
      <c r="B2068" s="3">
        <v>45316.083333333336</v>
      </c>
      <c r="C2068" s="4">
        <v>0</v>
      </c>
      <c r="D2068" s="4">
        <v>0</v>
      </c>
      <c r="E2068" s="4">
        <v>0</v>
      </c>
      <c r="F2068" s="4">
        <v>46.793147612760201</v>
      </c>
      <c r="G2068" s="4" t="str">
        <f t="shared" si="64"/>
        <v>OK</v>
      </c>
      <c r="H2068" s="4" t="str">
        <f t="shared" si="65"/>
        <v>ZERO</v>
      </c>
      <c r="I2068">
        <v>0</v>
      </c>
      <c r="J2068">
        <f>IFERROR(Table4[[#This Row],[energy_kwh]]/Table4[[#This Row],[expected_kwh]],0)</f>
        <v>0</v>
      </c>
      <c r="K2068" t="str">
        <f>IF(Table4[[#This Row],[Performance_Ratio]] &lt; 0.85, "Underperforming", "Performing")</f>
        <v>Underperforming</v>
      </c>
      <c r="L2068">
        <f>Table4[[#This Row],[energy_kwh]] - Table4[[#This Row],[expected_kwh]]</f>
        <v>0</v>
      </c>
      <c r="M2068" t="str">
        <f>IF(Table4[[#This Row],[Performance_Deviation]] &lt; 0, "Underperforming", "Outperforming")</f>
        <v>Outperforming</v>
      </c>
      <c r="N2068">
        <f>IF(Table4[[#This Row],[Performance_Ratio]] &lt; 0.85, Table4[[#This Row],[Performance_Deviation]] * 50 / 1000, 0)</f>
        <v>0</v>
      </c>
    </row>
    <row r="2069" spans="1:14" x14ac:dyDescent="0.3">
      <c r="A2069" s="6" t="s">
        <v>8</v>
      </c>
      <c r="B2069" s="5">
        <v>45316.125</v>
      </c>
      <c r="C2069" s="6">
        <v>0</v>
      </c>
      <c r="D2069" s="6">
        <v>0</v>
      </c>
      <c r="E2069" s="6">
        <v>0</v>
      </c>
      <c r="F2069" s="6">
        <v>26.2905303914009</v>
      </c>
      <c r="G2069" s="6" t="str">
        <f t="shared" si="64"/>
        <v>OK</v>
      </c>
      <c r="H2069" s="6" t="str">
        <f t="shared" si="65"/>
        <v>ZERO</v>
      </c>
      <c r="I2069">
        <v>0</v>
      </c>
      <c r="J2069">
        <f>IFERROR(Table4[[#This Row],[energy_kwh]]/Table4[[#This Row],[expected_kwh]],0)</f>
        <v>0</v>
      </c>
      <c r="K2069" t="str">
        <f>IF(Table4[[#This Row],[Performance_Ratio]] &lt; 0.85, "Underperforming", "Performing")</f>
        <v>Underperforming</v>
      </c>
      <c r="L2069">
        <f>Table4[[#This Row],[energy_kwh]] - Table4[[#This Row],[expected_kwh]]</f>
        <v>0</v>
      </c>
      <c r="M2069" t="str">
        <f>IF(Table4[[#This Row],[Performance_Deviation]] &lt; 0, "Underperforming", "Outperforming")</f>
        <v>Outperforming</v>
      </c>
      <c r="N2069">
        <f>IF(Table4[[#This Row],[Performance_Ratio]] &lt; 0.85, Table4[[#This Row],[Performance_Deviation]] * 50 / 1000, 0)</f>
        <v>0</v>
      </c>
    </row>
    <row r="2070" spans="1:14" x14ac:dyDescent="0.3">
      <c r="A2070" s="4" t="s">
        <v>8</v>
      </c>
      <c r="B2070" s="3">
        <v>45316.166666666664</v>
      </c>
      <c r="C2070" s="4">
        <v>0</v>
      </c>
      <c r="D2070" s="4">
        <v>0</v>
      </c>
      <c r="E2070" s="4">
        <v>0</v>
      </c>
      <c r="F2070" s="4">
        <v>39.658472901259699</v>
      </c>
      <c r="G2070" s="4" t="str">
        <f t="shared" si="64"/>
        <v>OK</v>
      </c>
      <c r="H2070" s="4" t="str">
        <f t="shared" si="65"/>
        <v>ZERO</v>
      </c>
      <c r="I2070">
        <v>0</v>
      </c>
      <c r="J2070">
        <f>IFERROR(Table4[[#This Row],[energy_kwh]]/Table4[[#This Row],[expected_kwh]],0)</f>
        <v>0</v>
      </c>
      <c r="K2070" t="str">
        <f>IF(Table4[[#This Row],[Performance_Ratio]] &lt; 0.85, "Underperforming", "Performing")</f>
        <v>Underperforming</v>
      </c>
      <c r="L2070">
        <f>Table4[[#This Row],[energy_kwh]] - Table4[[#This Row],[expected_kwh]]</f>
        <v>0</v>
      </c>
      <c r="M2070" t="str">
        <f>IF(Table4[[#This Row],[Performance_Deviation]] &lt; 0, "Underperforming", "Outperforming")</f>
        <v>Outperforming</v>
      </c>
      <c r="N2070">
        <f>IF(Table4[[#This Row],[Performance_Ratio]] &lt; 0.85, Table4[[#This Row],[Performance_Deviation]] * 50 / 1000, 0)</f>
        <v>0</v>
      </c>
    </row>
    <row r="2071" spans="1:14" x14ac:dyDescent="0.3">
      <c r="A2071" s="6" t="s">
        <v>8</v>
      </c>
      <c r="B2071" s="5">
        <v>45316.208333333336</v>
      </c>
      <c r="C2071" s="6">
        <v>0</v>
      </c>
      <c r="D2071" s="6">
        <v>0</v>
      </c>
      <c r="E2071" s="6">
        <v>0</v>
      </c>
      <c r="F2071" s="6">
        <v>74.031205181925699</v>
      </c>
      <c r="G2071" s="6" t="str">
        <f t="shared" si="64"/>
        <v>OK</v>
      </c>
      <c r="H2071" s="6" t="str">
        <f t="shared" si="65"/>
        <v>ZERO</v>
      </c>
      <c r="I2071">
        <v>0</v>
      </c>
      <c r="J2071">
        <f>IFERROR(Table4[[#This Row],[energy_kwh]]/Table4[[#This Row],[expected_kwh]],0)</f>
        <v>0</v>
      </c>
      <c r="K2071" t="str">
        <f>IF(Table4[[#This Row],[Performance_Ratio]] &lt; 0.85, "Underperforming", "Performing")</f>
        <v>Underperforming</v>
      </c>
      <c r="L2071">
        <f>Table4[[#This Row],[energy_kwh]] - Table4[[#This Row],[expected_kwh]]</f>
        <v>0</v>
      </c>
      <c r="M2071" t="str">
        <f>IF(Table4[[#This Row],[Performance_Deviation]] &lt; 0, "Underperforming", "Outperforming")</f>
        <v>Outperforming</v>
      </c>
      <c r="N2071">
        <f>IF(Table4[[#This Row],[Performance_Ratio]] &lt; 0.85, Table4[[#This Row],[Performance_Deviation]] * 50 / 1000, 0)</f>
        <v>0</v>
      </c>
    </row>
    <row r="2072" spans="1:14" x14ac:dyDescent="0.3">
      <c r="A2072" s="4" t="s">
        <v>8</v>
      </c>
      <c r="B2072" s="3">
        <v>45316.25</v>
      </c>
      <c r="C2072" s="4">
        <v>0</v>
      </c>
      <c r="D2072" s="4">
        <v>0</v>
      </c>
      <c r="E2072" s="4">
        <v>0</v>
      </c>
      <c r="F2072" s="4">
        <v>63.816859162378798</v>
      </c>
      <c r="G2072" s="4" t="str">
        <f t="shared" si="64"/>
        <v>OK</v>
      </c>
      <c r="H2072" s="4" t="str">
        <f t="shared" si="65"/>
        <v>ZERO</v>
      </c>
      <c r="I2072">
        <v>0</v>
      </c>
      <c r="J2072">
        <f>IFERROR(Table4[[#This Row],[energy_kwh]]/Table4[[#This Row],[expected_kwh]],0)</f>
        <v>0</v>
      </c>
      <c r="K2072" t="str">
        <f>IF(Table4[[#This Row],[Performance_Ratio]] &lt; 0.85, "Underperforming", "Performing")</f>
        <v>Underperforming</v>
      </c>
      <c r="L2072">
        <f>Table4[[#This Row],[energy_kwh]] - Table4[[#This Row],[expected_kwh]]</f>
        <v>0</v>
      </c>
      <c r="M2072" t="str">
        <f>IF(Table4[[#This Row],[Performance_Deviation]] &lt; 0, "Underperforming", "Outperforming")</f>
        <v>Outperforming</v>
      </c>
      <c r="N2072">
        <f>IF(Table4[[#This Row],[Performance_Ratio]] &lt; 0.85, Table4[[#This Row],[Performance_Deviation]] * 50 / 1000, 0)</f>
        <v>0</v>
      </c>
    </row>
    <row r="2073" spans="1:14" x14ac:dyDescent="0.3">
      <c r="A2073" s="6" t="s">
        <v>8</v>
      </c>
      <c r="B2073" s="5">
        <v>45316.291666666664</v>
      </c>
      <c r="C2073" s="6">
        <v>196.962921917079</v>
      </c>
      <c r="D2073" s="6">
        <v>190.91217322624499</v>
      </c>
      <c r="E2073" s="6">
        <v>190.91217322624499</v>
      </c>
      <c r="F2073" s="6">
        <v>63.012468870141198</v>
      </c>
      <c r="G2073" s="6" t="str">
        <f t="shared" si="64"/>
        <v>OK</v>
      </c>
      <c r="H2073" s="6" t="str">
        <f t="shared" si="65"/>
        <v>NON-ZERO</v>
      </c>
      <c r="I2073">
        <v>207.05523608201599</v>
      </c>
      <c r="J2073">
        <f>IFERROR(Table4[[#This Row],[energy_kwh]]/Table4[[#This Row],[expected_kwh]],0)</f>
        <v>0.92203499336101491</v>
      </c>
      <c r="K2073" t="str">
        <f>IF(Table4[[#This Row],[Performance_Ratio]] &lt; 0.85, "Underperforming", "Performing")</f>
        <v>Performing</v>
      </c>
      <c r="L2073">
        <f>Table4[[#This Row],[energy_kwh]] - Table4[[#This Row],[expected_kwh]]</f>
        <v>-16.143062855771007</v>
      </c>
      <c r="M2073" t="str">
        <f>IF(Table4[[#This Row],[Performance_Deviation]] &lt; 0, "Underperforming", "Outperforming")</f>
        <v>Underperforming</v>
      </c>
      <c r="N2073">
        <f>IF(Table4[[#This Row],[Performance_Ratio]] &lt; 0.85, Table4[[#This Row],[Performance_Deviation]] * 50 / 1000, 0)</f>
        <v>0</v>
      </c>
    </row>
    <row r="2074" spans="1:14" x14ac:dyDescent="0.3">
      <c r="A2074" s="4" t="s">
        <v>8</v>
      </c>
      <c r="B2074" s="3">
        <v>45316.333333333336</v>
      </c>
      <c r="C2074" s="4">
        <v>367.96627406771501</v>
      </c>
      <c r="D2074" s="4">
        <v>356.66226095999099</v>
      </c>
      <c r="E2074" s="4">
        <v>356.66226095999099</v>
      </c>
      <c r="F2074" s="4">
        <v>74.9340971850297</v>
      </c>
      <c r="G2074" s="4" t="str">
        <f t="shared" si="64"/>
        <v>OK</v>
      </c>
      <c r="H2074" s="4" t="str">
        <f t="shared" si="65"/>
        <v>NON-ZERO</v>
      </c>
      <c r="I2074">
        <v>399.99999999999898</v>
      </c>
      <c r="J2074">
        <f>IFERROR(Table4[[#This Row],[energy_kwh]]/Table4[[#This Row],[expected_kwh]],0)</f>
        <v>0.89165565239997979</v>
      </c>
      <c r="K2074" t="str">
        <f>IF(Table4[[#This Row],[Performance_Ratio]] &lt; 0.85, "Underperforming", "Performing")</f>
        <v>Performing</v>
      </c>
      <c r="L2074">
        <f>Table4[[#This Row],[energy_kwh]] - Table4[[#This Row],[expected_kwh]]</f>
        <v>-43.337739040007989</v>
      </c>
      <c r="M2074" t="str">
        <f>IF(Table4[[#This Row],[Performance_Deviation]] &lt; 0, "Underperforming", "Outperforming")</f>
        <v>Underperforming</v>
      </c>
      <c r="N2074">
        <f>IF(Table4[[#This Row],[Performance_Ratio]] &lt; 0.85, Table4[[#This Row],[Performance_Deviation]] * 50 / 1000, 0)</f>
        <v>0</v>
      </c>
    </row>
    <row r="2075" spans="1:14" x14ac:dyDescent="0.3">
      <c r="A2075" s="6" t="s">
        <v>8</v>
      </c>
      <c r="B2075" s="5">
        <v>45316.375</v>
      </c>
      <c r="C2075" s="6">
        <v>560.72084420798501</v>
      </c>
      <c r="D2075" s="6">
        <v>543.49536399580995</v>
      </c>
      <c r="E2075" s="6">
        <v>543.49536399580995</v>
      </c>
      <c r="F2075" s="6">
        <v>52.927193298533503</v>
      </c>
      <c r="G2075" s="6" t="str">
        <f t="shared" si="64"/>
        <v>OK</v>
      </c>
      <c r="H2075" s="6" t="str">
        <f t="shared" si="65"/>
        <v>NON-ZERO</v>
      </c>
      <c r="I2075">
        <v>565.68542494923804</v>
      </c>
      <c r="J2075">
        <f>IFERROR(Table4[[#This Row],[energy_kwh]]/Table4[[#This Row],[expected_kwh]],0)</f>
        <v>0.96077314356222043</v>
      </c>
      <c r="K2075" t="str">
        <f>IF(Table4[[#This Row],[Performance_Ratio]] &lt; 0.85, "Underperforming", "Performing")</f>
        <v>Performing</v>
      </c>
      <c r="L2075">
        <f>Table4[[#This Row],[energy_kwh]] - Table4[[#This Row],[expected_kwh]]</f>
        <v>-22.190060953428087</v>
      </c>
      <c r="M2075" t="str">
        <f>IF(Table4[[#This Row],[Performance_Deviation]] &lt; 0, "Underperforming", "Outperforming")</f>
        <v>Underperforming</v>
      </c>
      <c r="N2075">
        <f>IF(Table4[[#This Row],[Performance_Ratio]] &lt; 0.85, Table4[[#This Row],[Performance_Deviation]] * 50 / 1000, 0)</f>
        <v>0</v>
      </c>
    </row>
    <row r="2076" spans="1:14" x14ac:dyDescent="0.3">
      <c r="A2076" s="4" t="s">
        <v>8</v>
      </c>
      <c r="B2076" s="3">
        <v>45316.416666666664</v>
      </c>
      <c r="C2076" s="4">
        <v>634.91476639804705</v>
      </c>
      <c r="D2076" s="4">
        <v>615.41003091696302</v>
      </c>
      <c r="E2076" s="4">
        <v>615.41003091696302</v>
      </c>
      <c r="F2076" s="4">
        <v>29.325898808180799</v>
      </c>
      <c r="G2076" s="4" t="str">
        <f t="shared" si="64"/>
        <v>OK</v>
      </c>
      <c r="H2076" s="4" t="str">
        <f t="shared" si="65"/>
        <v>NON-ZERO</v>
      </c>
      <c r="I2076">
        <v>692.82032302754999</v>
      </c>
      <c r="J2076">
        <f>IFERROR(Table4[[#This Row],[energy_kwh]]/Table4[[#This Row],[expected_kwh]],0)</f>
        <v>0.8882678675297625</v>
      </c>
      <c r="K2076" t="str">
        <f>IF(Table4[[#This Row],[Performance_Ratio]] &lt; 0.85, "Underperforming", "Performing")</f>
        <v>Performing</v>
      </c>
      <c r="L2076">
        <f>Table4[[#This Row],[energy_kwh]] - Table4[[#This Row],[expected_kwh]]</f>
        <v>-77.410292110586965</v>
      </c>
      <c r="M2076" t="str">
        <f>IF(Table4[[#This Row],[Performance_Deviation]] &lt; 0, "Underperforming", "Outperforming")</f>
        <v>Underperforming</v>
      </c>
      <c r="N2076">
        <f>IF(Table4[[#This Row],[Performance_Ratio]] &lt; 0.85, Table4[[#This Row],[Performance_Deviation]] * 50 / 1000, 0)</f>
        <v>0</v>
      </c>
    </row>
    <row r="2077" spans="1:14" x14ac:dyDescent="0.3">
      <c r="A2077" s="6" t="s">
        <v>8</v>
      </c>
      <c r="B2077" s="5">
        <v>45316.458333333336</v>
      </c>
      <c r="C2077" s="6">
        <v>732.46720565231499</v>
      </c>
      <c r="D2077" s="6">
        <v>709.96563559769697</v>
      </c>
      <c r="E2077" s="6">
        <v>709.96563559769697</v>
      </c>
      <c r="F2077" s="6">
        <v>63.072015478143001</v>
      </c>
      <c r="G2077" s="6" t="str">
        <f t="shared" si="64"/>
        <v>OK</v>
      </c>
      <c r="H2077" s="6" t="str">
        <f t="shared" si="65"/>
        <v>NON-ZERO</v>
      </c>
      <c r="I2077">
        <v>772.74066103125404</v>
      </c>
      <c r="J2077">
        <f>IFERROR(Table4[[#This Row],[energy_kwh]]/Table4[[#This Row],[expected_kwh]],0)</f>
        <v>0.91876313930500142</v>
      </c>
      <c r="K2077" t="str">
        <f>IF(Table4[[#This Row],[Performance_Ratio]] &lt; 0.85, "Underperforming", "Performing")</f>
        <v>Performing</v>
      </c>
      <c r="L2077">
        <f>Table4[[#This Row],[energy_kwh]] - Table4[[#This Row],[expected_kwh]]</f>
        <v>-62.775025433557062</v>
      </c>
      <c r="M2077" t="str">
        <f>IF(Table4[[#This Row],[Performance_Deviation]] &lt; 0, "Underperforming", "Outperforming")</f>
        <v>Underperforming</v>
      </c>
      <c r="N2077">
        <f>IF(Table4[[#This Row],[Performance_Ratio]] &lt; 0.85, Table4[[#This Row],[Performance_Deviation]] * 50 / 1000, 0)</f>
        <v>0</v>
      </c>
    </row>
    <row r="2078" spans="1:14" x14ac:dyDescent="0.3">
      <c r="A2078" s="4" t="s">
        <v>8</v>
      </c>
      <c r="B2078" s="3">
        <v>45316.5</v>
      </c>
      <c r="C2078" s="4">
        <v>766.24958414648404</v>
      </c>
      <c r="D2078" s="4">
        <v>742.710211238125</v>
      </c>
      <c r="E2078" s="4">
        <v>742.710211238125</v>
      </c>
      <c r="F2078" s="4">
        <v>66.171829751234498</v>
      </c>
      <c r="G2078" s="4" t="str">
        <f t="shared" si="64"/>
        <v>OK</v>
      </c>
      <c r="H2078" s="4" t="str">
        <f t="shared" si="65"/>
        <v>NON-ZERO</v>
      </c>
      <c r="I2078">
        <v>800</v>
      </c>
      <c r="J2078">
        <f>IFERROR(Table4[[#This Row],[energy_kwh]]/Table4[[#This Row],[expected_kwh]],0)</f>
        <v>0.92838776404765622</v>
      </c>
      <c r="K2078" t="str">
        <f>IF(Table4[[#This Row],[Performance_Ratio]] &lt; 0.85, "Underperforming", "Performing")</f>
        <v>Performing</v>
      </c>
      <c r="L2078">
        <f>Table4[[#This Row],[energy_kwh]] - Table4[[#This Row],[expected_kwh]]</f>
        <v>-57.289788761875002</v>
      </c>
      <c r="M2078" t="str">
        <f>IF(Table4[[#This Row],[Performance_Deviation]] &lt; 0, "Underperforming", "Outperforming")</f>
        <v>Underperforming</v>
      </c>
      <c r="N2078">
        <f>IF(Table4[[#This Row],[Performance_Ratio]] &lt; 0.85, Table4[[#This Row],[Performance_Deviation]] * 50 / 1000, 0)</f>
        <v>0</v>
      </c>
    </row>
    <row r="2079" spans="1:14" x14ac:dyDescent="0.3">
      <c r="A2079" s="6" t="s">
        <v>8</v>
      </c>
      <c r="B2079" s="5">
        <v>45316.541666666664</v>
      </c>
      <c r="C2079" s="6">
        <v>862.38804425669696</v>
      </c>
      <c r="D2079" s="6">
        <v>835.89527455675398</v>
      </c>
      <c r="E2079" s="6">
        <v>835.89527455675398</v>
      </c>
      <c r="F2079" s="6">
        <v>51.349941269026303</v>
      </c>
      <c r="G2079" s="6" t="str">
        <f t="shared" si="64"/>
        <v>OK</v>
      </c>
      <c r="H2079" s="6" t="str">
        <f t="shared" si="65"/>
        <v>NON-ZERO</v>
      </c>
      <c r="I2079">
        <v>772.74066103125404</v>
      </c>
      <c r="J2079">
        <f>IFERROR(Table4[[#This Row],[energy_kwh]]/Table4[[#This Row],[expected_kwh]],0)</f>
        <v>1.0817280838324432</v>
      </c>
      <c r="K2079" t="str">
        <f>IF(Table4[[#This Row],[Performance_Ratio]] &lt; 0.85, "Underperforming", "Performing")</f>
        <v>Performing</v>
      </c>
      <c r="L2079">
        <f>Table4[[#This Row],[energy_kwh]] - Table4[[#This Row],[expected_kwh]]</f>
        <v>63.15461352549994</v>
      </c>
      <c r="M2079" t="str">
        <f>IF(Table4[[#This Row],[Performance_Deviation]] &lt; 0, "Underperforming", "Outperforming")</f>
        <v>Outperforming</v>
      </c>
      <c r="N2079">
        <f>IF(Table4[[#This Row],[Performance_Ratio]] &lt; 0.85, Table4[[#This Row],[Performance_Deviation]] * 50 / 1000, 0)</f>
        <v>0</v>
      </c>
    </row>
    <row r="2080" spans="1:14" x14ac:dyDescent="0.3">
      <c r="A2080" s="4" t="s">
        <v>8</v>
      </c>
      <c r="B2080" s="3">
        <v>45316.583333333336</v>
      </c>
      <c r="C2080" s="4">
        <v>752.217395225122</v>
      </c>
      <c r="D2080" s="4">
        <v>729.10909456081197</v>
      </c>
      <c r="E2080" s="4">
        <v>729.10909456081197</v>
      </c>
      <c r="F2080" s="4">
        <v>30.048115006233498</v>
      </c>
      <c r="G2080" s="4" t="str">
        <f t="shared" si="64"/>
        <v>OK</v>
      </c>
      <c r="H2080" s="4" t="str">
        <f t="shared" si="65"/>
        <v>NON-ZERO</v>
      </c>
      <c r="I2080">
        <v>692.82032302755101</v>
      </c>
      <c r="J2080">
        <f>IFERROR(Table4[[#This Row],[energy_kwh]]/Table4[[#This Row],[expected_kwh]],0)</f>
        <v>1.0523783300332226</v>
      </c>
      <c r="K2080" t="str">
        <f>IF(Table4[[#This Row],[Performance_Ratio]] &lt; 0.85, "Underperforming", "Performing")</f>
        <v>Performing</v>
      </c>
      <c r="L2080">
        <f>Table4[[#This Row],[energy_kwh]] - Table4[[#This Row],[expected_kwh]]</f>
        <v>36.288771533260956</v>
      </c>
      <c r="M2080" t="str">
        <f>IF(Table4[[#This Row],[Performance_Deviation]] &lt; 0, "Underperforming", "Outperforming")</f>
        <v>Outperforming</v>
      </c>
      <c r="N2080">
        <f>IF(Table4[[#This Row],[Performance_Ratio]] &lt; 0.85, Table4[[#This Row],[Performance_Deviation]] * 50 / 1000, 0)</f>
        <v>0</v>
      </c>
    </row>
    <row r="2081" spans="1:14" x14ac:dyDescent="0.3">
      <c r="A2081" s="6" t="s">
        <v>8</v>
      </c>
      <c r="B2081" s="5">
        <v>45316.625</v>
      </c>
      <c r="C2081" s="6">
        <v>571.16557395396603</v>
      </c>
      <c r="D2081" s="6">
        <v>685.39868874475906</v>
      </c>
      <c r="E2081" s="6">
        <v>685.39868874475906</v>
      </c>
      <c r="F2081" s="6">
        <v>89.348832905388505</v>
      </c>
      <c r="G2081" s="6" t="str">
        <f t="shared" si="64"/>
        <v>ERROR</v>
      </c>
      <c r="H2081" s="6" t="str">
        <f t="shared" si="65"/>
        <v>NON-ZERO</v>
      </c>
      <c r="I2081">
        <v>565.68542494923804</v>
      </c>
      <c r="J2081">
        <f>IFERROR(Table4[[#This Row],[energy_kwh]]/Table4[[#This Row],[expected_kwh]],0)</f>
        <v>1.2116251515694674</v>
      </c>
      <c r="K2081" t="str">
        <f>IF(Table4[[#This Row],[Performance_Ratio]] &lt; 0.85, "Underperforming", "Performing")</f>
        <v>Performing</v>
      </c>
      <c r="L2081">
        <f>Table4[[#This Row],[energy_kwh]] - Table4[[#This Row],[expected_kwh]]</f>
        <v>119.71326379552102</v>
      </c>
      <c r="M2081" t="str">
        <f>IF(Table4[[#This Row],[Performance_Deviation]] &lt; 0, "Underperforming", "Outperforming")</f>
        <v>Outperforming</v>
      </c>
      <c r="N2081">
        <f>IF(Table4[[#This Row],[Performance_Ratio]] &lt; 0.85, Table4[[#This Row],[Performance_Deviation]] * 50 / 1000, 0)</f>
        <v>0</v>
      </c>
    </row>
    <row r="2082" spans="1:14" x14ac:dyDescent="0.3">
      <c r="A2082" s="4" t="s">
        <v>8</v>
      </c>
      <c r="B2082" s="3">
        <v>45316.666666666664</v>
      </c>
      <c r="C2082" s="4">
        <v>348.46880867819499</v>
      </c>
      <c r="D2082" s="4">
        <v>337.76376243201003</v>
      </c>
      <c r="E2082" s="4">
        <v>337.76376243201003</v>
      </c>
      <c r="F2082" s="4">
        <v>53.218557353147197</v>
      </c>
      <c r="G2082" s="4" t="str">
        <f t="shared" si="64"/>
        <v>OK</v>
      </c>
      <c r="H2082" s="4" t="str">
        <f t="shared" si="65"/>
        <v>NON-ZERO</v>
      </c>
      <c r="I2082">
        <v>399.99999999999898</v>
      </c>
      <c r="J2082">
        <f>IFERROR(Table4[[#This Row],[energy_kwh]]/Table4[[#This Row],[expected_kwh]],0)</f>
        <v>0.84440940608002724</v>
      </c>
      <c r="K2082" t="str">
        <f>IF(Table4[[#This Row],[Performance_Ratio]] &lt; 0.85, "Underperforming", "Performing")</f>
        <v>Underperforming</v>
      </c>
      <c r="L2082">
        <f>Table4[[#This Row],[energy_kwh]] - Table4[[#This Row],[expected_kwh]]</f>
        <v>-62.236237567988951</v>
      </c>
      <c r="M2082" t="str">
        <f>IF(Table4[[#This Row],[Performance_Deviation]] &lt; 0, "Underperforming", "Outperforming")</f>
        <v>Underperforming</v>
      </c>
      <c r="N2082">
        <f>IF(Table4[[#This Row],[Performance_Ratio]] &lt; 0.85, Table4[[#This Row],[Performance_Deviation]] * 50 / 1000, 0)</f>
        <v>-3.1118118783994477</v>
      </c>
    </row>
    <row r="2083" spans="1:14" x14ac:dyDescent="0.3">
      <c r="A2083" s="6" t="s">
        <v>8</v>
      </c>
      <c r="B2083" s="5">
        <v>45316.708333333336</v>
      </c>
      <c r="C2083" s="6">
        <v>175.14487816915499</v>
      </c>
      <c r="D2083" s="6">
        <v>169.76438506937001</v>
      </c>
      <c r="E2083" s="6">
        <v>169.76438506937001</v>
      </c>
      <c r="F2083" s="6">
        <v>80.782468517987695</v>
      </c>
      <c r="G2083" s="6" t="str">
        <f t="shared" si="64"/>
        <v>OK</v>
      </c>
      <c r="H2083" s="6" t="str">
        <f t="shared" si="65"/>
        <v>NON-ZERO</v>
      </c>
      <c r="I2083">
        <v>207.05523608201599</v>
      </c>
      <c r="J2083">
        <f>IFERROR(Table4[[#This Row],[energy_kwh]]/Table4[[#This Row],[expected_kwh]],0)</f>
        <v>0.81989901961293643</v>
      </c>
      <c r="K2083" t="str">
        <f>IF(Table4[[#This Row],[Performance_Ratio]] &lt; 0.85, "Underperforming", "Performing")</f>
        <v>Underperforming</v>
      </c>
      <c r="L2083">
        <f>Table4[[#This Row],[energy_kwh]] - Table4[[#This Row],[expected_kwh]]</f>
        <v>-37.290851012645987</v>
      </c>
      <c r="M2083" t="str">
        <f>IF(Table4[[#This Row],[Performance_Deviation]] &lt; 0, "Underperforming", "Outperforming")</f>
        <v>Underperforming</v>
      </c>
      <c r="N2083">
        <f>IF(Table4[[#This Row],[Performance_Ratio]] &lt; 0.85, Table4[[#This Row],[Performance_Deviation]] * 50 / 1000, 0)</f>
        <v>-1.8645425506322995</v>
      </c>
    </row>
    <row r="2084" spans="1:14" x14ac:dyDescent="0.3">
      <c r="A2084" s="4" t="s">
        <v>8</v>
      </c>
      <c r="B2084" s="3">
        <v>45316.75</v>
      </c>
      <c r="C2084" s="7">
        <v>1.00708002831702E-13</v>
      </c>
      <c r="D2084" s="7">
        <v>9.7614228580389703E-14</v>
      </c>
      <c r="E2084" s="7">
        <v>9.7614228580389703E-14</v>
      </c>
      <c r="F2084" s="4">
        <v>27.474794155758101</v>
      </c>
      <c r="G2084" s="4" t="str">
        <f t="shared" si="64"/>
        <v>OK</v>
      </c>
      <c r="H2084" s="4" t="str">
        <f t="shared" si="65"/>
        <v>NON-ZERO</v>
      </c>
      <c r="I2084" s="2">
        <v>9.7971743931788194E-14</v>
      </c>
      <c r="J2084">
        <f>IFERROR(Table4[[#This Row],[energy_kwh]]/Table4[[#This Row],[expected_kwh]],0)</f>
        <v>0.99635083201491847</v>
      </c>
      <c r="K2084" t="str">
        <f>IF(Table4[[#This Row],[Performance_Ratio]] &lt; 0.85, "Underperforming", "Performing")</f>
        <v>Performing</v>
      </c>
      <c r="L2084">
        <f>Table4[[#This Row],[energy_kwh]] - Table4[[#This Row],[expected_kwh]]</f>
        <v>-3.5751535139849142E-16</v>
      </c>
      <c r="M2084" t="str">
        <f>IF(Table4[[#This Row],[Performance_Deviation]] &lt; 0, "Underperforming", "Outperforming")</f>
        <v>Underperforming</v>
      </c>
      <c r="N2084">
        <f>IF(Table4[[#This Row],[Performance_Ratio]] &lt; 0.85, Table4[[#This Row],[Performance_Deviation]] * 50 / 1000, 0)</f>
        <v>0</v>
      </c>
    </row>
    <row r="2085" spans="1:14" x14ac:dyDescent="0.3">
      <c r="A2085" s="6" t="s">
        <v>8</v>
      </c>
      <c r="B2085" s="5">
        <v>45316.791666666664</v>
      </c>
      <c r="C2085" s="6">
        <v>0</v>
      </c>
      <c r="D2085" s="6">
        <v>0</v>
      </c>
      <c r="E2085" s="6">
        <v>0</v>
      </c>
      <c r="F2085" s="6">
        <v>93.535309833730295</v>
      </c>
      <c r="G2085" s="6" t="str">
        <f t="shared" si="64"/>
        <v>OK</v>
      </c>
      <c r="H2085" s="6" t="str">
        <f t="shared" si="65"/>
        <v>ZERO</v>
      </c>
      <c r="I2085">
        <v>0</v>
      </c>
      <c r="J2085">
        <f>IFERROR(Table4[[#This Row],[energy_kwh]]/Table4[[#This Row],[expected_kwh]],0)</f>
        <v>0</v>
      </c>
      <c r="K2085" t="str">
        <f>IF(Table4[[#This Row],[Performance_Ratio]] &lt; 0.85, "Underperforming", "Performing")</f>
        <v>Underperforming</v>
      </c>
      <c r="L2085">
        <f>Table4[[#This Row],[energy_kwh]] - Table4[[#This Row],[expected_kwh]]</f>
        <v>0</v>
      </c>
      <c r="M2085" t="str">
        <f>IF(Table4[[#This Row],[Performance_Deviation]] &lt; 0, "Underperforming", "Outperforming")</f>
        <v>Outperforming</v>
      </c>
      <c r="N2085">
        <f>IF(Table4[[#This Row],[Performance_Ratio]] &lt; 0.85, Table4[[#This Row],[Performance_Deviation]] * 50 / 1000, 0)</f>
        <v>0</v>
      </c>
    </row>
    <row r="2086" spans="1:14" x14ac:dyDescent="0.3">
      <c r="A2086" s="4" t="s">
        <v>8</v>
      </c>
      <c r="B2086" s="3">
        <v>45316.833333333336</v>
      </c>
      <c r="C2086" s="4">
        <v>0</v>
      </c>
      <c r="D2086" s="4">
        <v>0</v>
      </c>
      <c r="E2086" s="4">
        <v>0</v>
      </c>
      <c r="F2086" s="4">
        <v>63.393901144471201</v>
      </c>
      <c r="G2086" s="4" t="str">
        <f t="shared" si="64"/>
        <v>OK</v>
      </c>
      <c r="H2086" s="4" t="str">
        <f t="shared" si="65"/>
        <v>ZERO</v>
      </c>
      <c r="I2086">
        <v>0</v>
      </c>
      <c r="J2086">
        <f>IFERROR(Table4[[#This Row],[energy_kwh]]/Table4[[#This Row],[expected_kwh]],0)</f>
        <v>0</v>
      </c>
      <c r="K2086" t="str">
        <f>IF(Table4[[#This Row],[Performance_Ratio]] &lt; 0.85, "Underperforming", "Performing")</f>
        <v>Underperforming</v>
      </c>
      <c r="L2086">
        <f>Table4[[#This Row],[energy_kwh]] - Table4[[#This Row],[expected_kwh]]</f>
        <v>0</v>
      </c>
      <c r="M2086" t="str">
        <f>IF(Table4[[#This Row],[Performance_Deviation]] &lt; 0, "Underperforming", "Outperforming")</f>
        <v>Outperforming</v>
      </c>
      <c r="N2086">
        <f>IF(Table4[[#This Row],[Performance_Ratio]] &lt; 0.85, Table4[[#This Row],[Performance_Deviation]] * 50 / 1000, 0)</f>
        <v>0</v>
      </c>
    </row>
    <row r="2087" spans="1:14" x14ac:dyDescent="0.3">
      <c r="A2087" s="6" t="s">
        <v>8</v>
      </c>
      <c r="B2087" s="5">
        <v>45316.875</v>
      </c>
      <c r="C2087" s="6">
        <v>0</v>
      </c>
      <c r="D2087" s="6">
        <v>0</v>
      </c>
      <c r="E2087" s="6">
        <v>0</v>
      </c>
      <c r="F2087" s="6">
        <v>47.381275496329998</v>
      </c>
      <c r="G2087" s="6" t="str">
        <f t="shared" si="64"/>
        <v>OK</v>
      </c>
      <c r="H2087" s="6" t="str">
        <f t="shared" si="65"/>
        <v>ZERO</v>
      </c>
      <c r="I2087">
        <v>0</v>
      </c>
      <c r="J2087">
        <f>IFERROR(Table4[[#This Row],[energy_kwh]]/Table4[[#This Row],[expected_kwh]],0)</f>
        <v>0</v>
      </c>
      <c r="K2087" t="str">
        <f>IF(Table4[[#This Row],[Performance_Ratio]] &lt; 0.85, "Underperforming", "Performing")</f>
        <v>Underperforming</v>
      </c>
      <c r="L2087">
        <f>Table4[[#This Row],[energy_kwh]] - Table4[[#This Row],[expected_kwh]]</f>
        <v>0</v>
      </c>
      <c r="M2087" t="str">
        <f>IF(Table4[[#This Row],[Performance_Deviation]] &lt; 0, "Underperforming", "Outperforming")</f>
        <v>Outperforming</v>
      </c>
      <c r="N2087">
        <f>IF(Table4[[#This Row],[Performance_Ratio]] &lt; 0.85, Table4[[#This Row],[Performance_Deviation]] * 50 / 1000, 0)</f>
        <v>0</v>
      </c>
    </row>
    <row r="2088" spans="1:14" x14ac:dyDescent="0.3">
      <c r="A2088" s="4" t="s">
        <v>8</v>
      </c>
      <c r="B2088" s="3">
        <v>45316.916666666664</v>
      </c>
      <c r="C2088" s="4">
        <v>0</v>
      </c>
      <c r="D2088" s="4">
        <v>0</v>
      </c>
      <c r="E2088" s="4">
        <v>0</v>
      </c>
      <c r="F2088" s="4">
        <v>67.008786278888294</v>
      </c>
      <c r="G2088" s="4" t="str">
        <f t="shared" si="64"/>
        <v>OK</v>
      </c>
      <c r="H2088" s="4" t="str">
        <f t="shared" si="65"/>
        <v>ZERO</v>
      </c>
      <c r="I2088">
        <v>0</v>
      </c>
      <c r="J2088">
        <f>IFERROR(Table4[[#This Row],[energy_kwh]]/Table4[[#This Row],[expected_kwh]],0)</f>
        <v>0</v>
      </c>
      <c r="K2088" t="str">
        <f>IF(Table4[[#This Row],[Performance_Ratio]] &lt; 0.85, "Underperforming", "Performing")</f>
        <v>Underperforming</v>
      </c>
      <c r="L2088">
        <f>Table4[[#This Row],[energy_kwh]] - Table4[[#This Row],[expected_kwh]]</f>
        <v>0</v>
      </c>
      <c r="M2088" t="str">
        <f>IF(Table4[[#This Row],[Performance_Deviation]] &lt; 0, "Underperforming", "Outperforming")</f>
        <v>Outperforming</v>
      </c>
      <c r="N2088">
        <f>IF(Table4[[#This Row],[Performance_Ratio]] &lt; 0.85, Table4[[#This Row],[Performance_Deviation]] * 50 / 1000, 0)</f>
        <v>0</v>
      </c>
    </row>
    <row r="2089" spans="1:14" x14ac:dyDescent="0.3">
      <c r="A2089" s="6" t="s">
        <v>8</v>
      </c>
      <c r="B2089" s="5">
        <v>45316.958333333336</v>
      </c>
      <c r="C2089" s="6">
        <v>0</v>
      </c>
      <c r="D2089" s="6">
        <v>0</v>
      </c>
      <c r="E2089" s="6">
        <v>0</v>
      </c>
      <c r="F2089" s="6">
        <v>61.529617354877097</v>
      </c>
      <c r="G2089" s="6" t="str">
        <f t="shared" si="64"/>
        <v>OK</v>
      </c>
      <c r="H2089" s="6" t="str">
        <f t="shared" si="65"/>
        <v>ZERO</v>
      </c>
      <c r="I2089">
        <v>0</v>
      </c>
      <c r="J2089">
        <f>IFERROR(Table4[[#This Row],[energy_kwh]]/Table4[[#This Row],[expected_kwh]],0)</f>
        <v>0</v>
      </c>
      <c r="K2089" t="str">
        <f>IF(Table4[[#This Row],[Performance_Ratio]] &lt; 0.85, "Underperforming", "Performing")</f>
        <v>Underperforming</v>
      </c>
      <c r="L2089">
        <f>Table4[[#This Row],[energy_kwh]] - Table4[[#This Row],[expected_kwh]]</f>
        <v>0</v>
      </c>
      <c r="M2089" t="str">
        <f>IF(Table4[[#This Row],[Performance_Deviation]] &lt; 0, "Underperforming", "Outperforming")</f>
        <v>Outperforming</v>
      </c>
      <c r="N2089">
        <f>IF(Table4[[#This Row],[Performance_Ratio]] &lt; 0.85, Table4[[#This Row],[Performance_Deviation]] * 50 / 1000, 0)</f>
        <v>0</v>
      </c>
    </row>
    <row r="2090" spans="1:14" x14ac:dyDescent="0.3">
      <c r="A2090" s="4" t="s">
        <v>8</v>
      </c>
      <c r="B2090" s="3">
        <v>45317</v>
      </c>
      <c r="C2090" s="4">
        <v>0</v>
      </c>
      <c r="D2090" s="4">
        <v>0</v>
      </c>
      <c r="E2090" s="4">
        <v>0</v>
      </c>
      <c r="F2090" s="4">
        <v>56.217082744894803</v>
      </c>
      <c r="G2090" s="4" t="str">
        <f t="shared" si="64"/>
        <v>OK</v>
      </c>
      <c r="H2090" s="4" t="str">
        <f t="shared" si="65"/>
        <v>ZERO</v>
      </c>
      <c r="I2090">
        <v>0</v>
      </c>
      <c r="J2090">
        <f>IFERROR(Table4[[#This Row],[energy_kwh]]/Table4[[#This Row],[expected_kwh]],0)</f>
        <v>0</v>
      </c>
      <c r="K2090" t="str">
        <f>IF(Table4[[#This Row],[Performance_Ratio]] &lt; 0.85, "Underperforming", "Performing")</f>
        <v>Underperforming</v>
      </c>
      <c r="L2090">
        <f>Table4[[#This Row],[energy_kwh]] - Table4[[#This Row],[expected_kwh]]</f>
        <v>0</v>
      </c>
      <c r="M2090" t="str">
        <f>IF(Table4[[#This Row],[Performance_Deviation]] &lt; 0, "Underperforming", "Outperforming")</f>
        <v>Outperforming</v>
      </c>
      <c r="N2090">
        <f>IF(Table4[[#This Row],[Performance_Ratio]] &lt; 0.85, Table4[[#This Row],[Performance_Deviation]] * 50 / 1000, 0)</f>
        <v>0</v>
      </c>
    </row>
    <row r="2091" spans="1:14" x14ac:dyDescent="0.3">
      <c r="A2091" s="6" t="s">
        <v>8</v>
      </c>
      <c r="B2091" s="5">
        <v>45317.041666666664</v>
      </c>
      <c r="C2091" s="6">
        <v>0</v>
      </c>
      <c r="D2091" s="6">
        <v>0</v>
      </c>
      <c r="E2091" s="6">
        <v>0</v>
      </c>
      <c r="F2091" s="6">
        <v>53.283768446175102</v>
      </c>
      <c r="G2091" s="6" t="str">
        <f t="shared" si="64"/>
        <v>OK</v>
      </c>
      <c r="H2091" s="6" t="str">
        <f t="shared" si="65"/>
        <v>ZERO</v>
      </c>
      <c r="I2091">
        <v>0</v>
      </c>
      <c r="J2091">
        <f>IFERROR(Table4[[#This Row],[energy_kwh]]/Table4[[#This Row],[expected_kwh]],0)</f>
        <v>0</v>
      </c>
      <c r="K2091" t="str">
        <f>IF(Table4[[#This Row],[Performance_Ratio]] &lt; 0.85, "Underperforming", "Performing")</f>
        <v>Underperforming</v>
      </c>
      <c r="L2091">
        <f>Table4[[#This Row],[energy_kwh]] - Table4[[#This Row],[expected_kwh]]</f>
        <v>0</v>
      </c>
      <c r="M2091" t="str">
        <f>IF(Table4[[#This Row],[Performance_Deviation]] &lt; 0, "Underperforming", "Outperforming")</f>
        <v>Outperforming</v>
      </c>
      <c r="N2091">
        <f>IF(Table4[[#This Row],[Performance_Ratio]] &lt; 0.85, Table4[[#This Row],[Performance_Deviation]] * 50 / 1000, 0)</f>
        <v>0</v>
      </c>
    </row>
    <row r="2092" spans="1:14" x14ac:dyDescent="0.3">
      <c r="A2092" s="4" t="s">
        <v>8</v>
      </c>
      <c r="B2092" s="3">
        <v>45317.083333333336</v>
      </c>
      <c r="C2092" s="4">
        <v>0</v>
      </c>
      <c r="D2092" s="4">
        <v>0</v>
      </c>
      <c r="E2092" s="4">
        <v>0</v>
      </c>
      <c r="F2092" s="4">
        <v>82.103246433068904</v>
      </c>
      <c r="G2092" s="4" t="str">
        <f t="shared" si="64"/>
        <v>OK</v>
      </c>
      <c r="H2092" s="4" t="str">
        <f t="shared" si="65"/>
        <v>ZERO</v>
      </c>
      <c r="I2092">
        <v>0</v>
      </c>
      <c r="J2092">
        <f>IFERROR(Table4[[#This Row],[energy_kwh]]/Table4[[#This Row],[expected_kwh]],0)</f>
        <v>0</v>
      </c>
      <c r="K2092" t="str">
        <f>IF(Table4[[#This Row],[Performance_Ratio]] &lt; 0.85, "Underperforming", "Performing")</f>
        <v>Underperforming</v>
      </c>
      <c r="L2092">
        <f>Table4[[#This Row],[energy_kwh]] - Table4[[#This Row],[expected_kwh]]</f>
        <v>0</v>
      </c>
      <c r="M2092" t="str">
        <f>IF(Table4[[#This Row],[Performance_Deviation]] &lt; 0, "Underperforming", "Outperforming")</f>
        <v>Outperforming</v>
      </c>
      <c r="N2092">
        <f>IF(Table4[[#This Row],[Performance_Ratio]] &lt; 0.85, Table4[[#This Row],[Performance_Deviation]] * 50 / 1000, 0)</f>
        <v>0</v>
      </c>
    </row>
    <row r="2093" spans="1:14" x14ac:dyDescent="0.3">
      <c r="A2093" s="6" t="s">
        <v>8</v>
      </c>
      <c r="B2093" s="5">
        <v>45317.125</v>
      </c>
      <c r="C2093" s="6">
        <v>0</v>
      </c>
      <c r="D2093" s="6">
        <v>0</v>
      </c>
      <c r="E2093" s="6">
        <v>0</v>
      </c>
      <c r="F2093" s="6">
        <v>64.520790833481001</v>
      </c>
      <c r="G2093" s="6" t="str">
        <f t="shared" si="64"/>
        <v>OK</v>
      </c>
      <c r="H2093" s="6" t="str">
        <f t="shared" si="65"/>
        <v>ZERO</v>
      </c>
      <c r="I2093">
        <v>0</v>
      </c>
      <c r="J2093">
        <f>IFERROR(Table4[[#This Row],[energy_kwh]]/Table4[[#This Row],[expected_kwh]],0)</f>
        <v>0</v>
      </c>
      <c r="K2093" t="str">
        <f>IF(Table4[[#This Row],[Performance_Ratio]] &lt; 0.85, "Underperforming", "Performing")</f>
        <v>Underperforming</v>
      </c>
      <c r="L2093">
        <f>Table4[[#This Row],[energy_kwh]] - Table4[[#This Row],[expected_kwh]]</f>
        <v>0</v>
      </c>
      <c r="M2093" t="str">
        <f>IF(Table4[[#This Row],[Performance_Deviation]] &lt; 0, "Underperforming", "Outperforming")</f>
        <v>Outperforming</v>
      </c>
      <c r="N2093">
        <f>IF(Table4[[#This Row],[Performance_Ratio]] &lt; 0.85, Table4[[#This Row],[Performance_Deviation]] * 50 / 1000, 0)</f>
        <v>0</v>
      </c>
    </row>
    <row r="2094" spans="1:14" x14ac:dyDescent="0.3">
      <c r="A2094" s="4" t="s">
        <v>8</v>
      </c>
      <c r="B2094" s="3">
        <v>45317.166666666664</v>
      </c>
      <c r="C2094" s="4">
        <v>0</v>
      </c>
      <c r="D2094" s="4">
        <v>0</v>
      </c>
      <c r="E2094" s="4">
        <v>0</v>
      </c>
      <c r="F2094" s="4">
        <v>70.070128518742607</v>
      </c>
      <c r="G2094" s="4" t="str">
        <f t="shared" si="64"/>
        <v>OK</v>
      </c>
      <c r="H2094" s="4" t="str">
        <f t="shared" si="65"/>
        <v>ZERO</v>
      </c>
      <c r="I2094">
        <v>0</v>
      </c>
      <c r="J2094">
        <f>IFERROR(Table4[[#This Row],[energy_kwh]]/Table4[[#This Row],[expected_kwh]],0)</f>
        <v>0</v>
      </c>
      <c r="K2094" t="str">
        <f>IF(Table4[[#This Row],[Performance_Ratio]] &lt; 0.85, "Underperforming", "Performing")</f>
        <v>Underperforming</v>
      </c>
      <c r="L2094">
        <f>Table4[[#This Row],[energy_kwh]] - Table4[[#This Row],[expected_kwh]]</f>
        <v>0</v>
      </c>
      <c r="M2094" t="str">
        <f>IF(Table4[[#This Row],[Performance_Deviation]] &lt; 0, "Underperforming", "Outperforming")</f>
        <v>Outperforming</v>
      </c>
      <c r="N2094">
        <f>IF(Table4[[#This Row],[Performance_Ratio]] &lt; 0.85, Table4[[#This Row],[Performance_Deviation]] * 50 / 1000, 0)</f>
        <v>0</v>
      </c>
    </row>
    <row r="2095" spans="1:14" x14ac:dyDescent="0.3">
      <c r="A2095" s="6" t="s">
        <v>8</v>
      </c>
      <c r="B2095" s="5">
        <v>45317.208333333336</v>
      </c>
      <c r="C2095" s="6">
        <v>0</v>
      </c>
      <c r="D2095" s="6">
        <v>0</v>
      </c>
      <c r="E2095" s="6">
        <v>0</v>
      </c>
      <c r="F2095" s="6">
        <v>26.600452063358901</v>
      </c>
      <c r="G2095" s="6" t="str">
        <f t="shared" si="64"/>
        <v>OK</v>
      </c>
      <c r="H2095" s="6" t="str">
        <f t="shared" si="65"/>
        <v>ZERO</v>
      </c>
      <c r="I2095">
        <v>0</v>
      </c>
      <c r="J2095">
        <f>IFERROR(Table4[[#This Row],[energy_kwh]]/Table4[[#This Row],[expected_kwh]],0)</f>
        <v>0</v>
      </c>
      <c r="K2095" t="str">
        <f>IF(Table4[[#This Row],[Performance_Ratio]] &lt; 0.85, "Underperforming", "Performing")</f>
        <v>Underperforming</v>
      </c>
      <c r="L2095">
        <f>Table4[[#This Row],[energy_kwh]] - Table4[[#This Row],[expected_kwh]]</f>
        <v>0</v>
      </c>
      <c r="M2095" t="str">
        <f>IF(Table4[[#This Row],[Performance_Deviation]] &lt; 0, "Underperforming", "Outperforming")</f>
        <v>Outperforming</v>
      </c>
      <c r="N2095">
        <f>IF(Table4[[#This Row],[Performance_Ratio]] &lt; 0.85, Table4[[#This Row],[Performance_Deviation]] * 50 / 1000, 0)</f>
        <v>0</v>
      </c>
    </row>
    <row r="2096" spans="1:14" x14ac:dyDescent="0.3">
      <c r="A2096" s="4" t="s">
        <v>8</v>
      </c>
      <c r="B2096" s="3">
        <v>45317.25</v>
      </c>
      <c r="C2096" s="4">
        <v>0</v>
      </c>
      <c r="D2096" s="4">
        <v>0</v>
      </c>
      <c r="E2096" s="4">
        <v>0</v>
      </c>
      <c r="F2096" s="4">
        <v>49.254954931072099</v>
      </c>
      <c r="G2096" s="4" t="str">
        <f t="shared" si="64"/>
        <v>OK</v>
      </c>
      <c r="H2096" s="4" t="str">
        <f t="shared" si="65"/>
        <v>ZERO</v>
      </c>
      <c r="I2096">
        <v>0</v>
      </c>
      <c r="J2096">
        <f>IFERROR(Table4[[#This Row],[energy_kwh]]/Table4[[#This Row],[expected_kwh]],0)</f>
        <v>0</v>
      </c>
      <c r="K2096" t="str">
        <f>IF(Table4[[#This Row],[Performance_Ratio]] &lt; 0.85, "Underperforming", "Performing")</f>
        <v>Underperforming</v>
      </c>
      <c r="L2096">
        <f>Table4[[#This Row],[energy_kwh]] - Table4[[#This Row],[expected_kwh]]</f>
        <v>0</v>
      </c>
      <c r="M2096" t="str">
        <f>IF(Table4[[#This Row],[Performance_Deviation]] &lt; 0, "Underperforming", "Outperforming")</f>
        <v>Outperforming</v>
      </c>
      <c r="N2096">
        <f>IF(Table4[[#This Row],[Performance_Ratio]] &lt; 0.85, Table4[[#This Row],[Performance_Deviation]] * 50 / 1000, 0)</f>
        <v>0</v>
      </c>
    </row>
    <row r="2097" spans="1:14" x14ac:dyDescent="0.3">
      <c r="A2097" s="6" t="s">
        <v>8</v>
      </c>
      <c r="B2097" s="5">
        <v>45317.291666666664</v>
      </c>
      <c r="C2097" s="6">
        <v>209.223314806833</v>
      </c>
      <c r="D2097" s="6">
        <v>202.795923875395</v>
      </c>
      <c r="E2097" s="6">
        <v>202.795923875395</v>
      </c>
      <c r="F2097" s="6">
        <v>42.758991233720401</v>
      </c>
      <c r="G2097" s="6" t="str">
        <f t="shared" si="64"/>
        <v>OK</v>
      </c>
      <c r="H2097" s="6" t="str">
        <f t="shared" si="65"/>
        <v>NON-ZERO</v>
      </c>
      <c r="I2097">
        <v>207.05523608201599</v>
      </c>
      <c r="J2097">
        <f>IFERROR(Table4[[#This Row],[energy_kwh]]/Table4[[#This Row],[expected_kwh]],0)</f>
        <v>0.9794291016869825</v>
      </c>
      <c r="K2097" t="str">
        <f>IF(Table4[[#This Row],[Performance_Ratio]] &lt; 0.85, "Underperforming", "Performing")</f>
        <v>Performing</v>
      </c>
      <c r="L2097">
        <f>Table4[[#This Row],[energy_kwh]] - Table4[[#This Row],[expected_kwh]]</f>
        <v>-4.2593122066209901</v>
      </c>
      <c r="M2097" t="str">
        <f>IF(Table4[[#This Row],[Performance_Deviation]] &lt; 0, "Underperforming", "Outperforming")</f>
        <v>Underperforming</v>
      </c>
      <c r="N2097">
        <f>IF(Table4[[#This Row],[Performance_Ratio]] &lt; 0.85, Table4[[#This Row],[Performance_Deviation]] * 50 / 1000, 0)</f>
        <v>0</v>
      </c>
    </row>
    <row r="2098" spans="1:14" x14ac:dyDescent="0.3">
      <c r="A2098" s="4" t="s">
        <v>8</v>
      </c>
      <c r="B2098" s="3">
        <v>45317.333333333336</v>
      </c>
      <c r="C2098" s="4">
        <v>389.879342008273</v>
      </c>
      <c r="D2098" s="4">
        <v>377.90215414327503</v>
      </c>
      <c r="E2098" s="4">
        <v>377.90215414327503</v>
      </c>
      <c r="F2098" s="4">
        <v>63.271936259073399</v>
      </c>
      <c r="G2098" s="4" t="str">
        <f t="shared" si="64"/>
        <v>OK</v>
      </c>
      <c r="H2098" s="4" t="str">
        <f t="shared" si="65"/>
        <v>NON-ZERO</v>
      </c>
      <c r="I2098">
        <v>399.99999999999898</v>
      </c>
      <c r="J2098">
        <f>IFERROR(Table4[[#This Row],[energy_kwh]]/Table4[[#This Row],[expected_kwh]],0)</f>
        <v>0.94475538535819004</v>
      </c>
      <c r="K2098" t="str">
        <f>IF(Table4[[#This Row],[Performance_Ratio]] &lt; 0.85, "Underperforming", "Performing")</f>
        <v>Performing</v>
      </c>
      <c r="L2098">
        <f>Table4[[#This Row],[energy_kwh]] - Table4[[#This Row],[expected_kwh]]</f>
        <v>-22.09784585672395</v>
      </c>
      <c r="M2098" t="str">
        <f>IF(Table4[[#This Row],[Performance_Deviation]] &lt; 0, "Underperforming", "Outperforming")</f>
        <v>Underperforming</v>
      </c>
      <c r="N2098">
        <f>IF(Table4[[#This Row],[Performance_Ratio]] &lt; 0.85, Table4[[#This Row],[Performance_Deviation]] * 50 / 1000, 0)</f>
        <v>0</v>
      </c>
    </row>
    <row r="2099" spans="1:14" x14ac:dyDescent="0.3">
      <c r="A2099" s="6" t="s">
        <v>8</v>
      </c>
      <c r="B2099" s="5">
        <v>45317.375</v>
      </c>
      <c r="C2099" s="6">
        <v>555.46264990696795</v>
      </c>
      <c r="D2099" s="6">
        <v>538.39870269792698</v>
      </c>
      <c r="E2099" s="6">
        <v>538.39870269792698</v>
      </c>
      <c r="F2099" s="6">
        <v>20.3993142928298</v>
      </c>
      <c r="G2099" s="6" t="str">
        <f t="shared" si="64"/>
        <v>OK</v>
      </c>
      <c r="H2099" s="6" t="str">
        <f t="shared" si="65"/>
        <v>NON-ZERO</v>
      </c>
      <c r="I2099">
        <v>565.68542494923804</v>
      </c>
      <c r="J2099">
        <f>IFERROR(Table4[[#This Row],[energy_kwh]]/Table4[[#This Row],[expected_kwh]],0)</f>
        <v>0.95176343414936027</v>
      </c>
      <c r="K2099" t="str">
        <f>IF(Table4[[#This Row],[Performance_Ratio]] &lt; 0.85, "Underperforming", "Performing")</f>
        <v>Performing</v>
      </c>
      <c r="L2099">
        <f>Table4[[#This Row],[energy_kwh]] - Table4[[#This Row],[expected_kwh]]</f>
        <v>-27.286722251311062</v>
      </c>
      <c r="M2099" t="str">
        <f>IF(Table4[[#This Row],[Performance_Deviation]] &lt; 0, "Underperforming", "Outperforming")</f>
        <v>Underperforming</v>
      </c>
      <c r="N2099">
        <f>IF(Table4[[#This Row],[Performance_Ratio]] &lt; 0.85, Table4[[#This Row],[Performance_Deviation]] * 50 / 1000, 0)</f>
        <v>0</v>
      </c>
    </row>
    <row r="2100" spans="1:14" x14ac:dyDescent="0.3">
      <c r="A2100" s="4" t="s">
        <v>8</v>
      </c>
      <c r="B2100" s="3">
        <v>45317.416666666664</v>
      </c>
      <c r="C2100" s="4">
        <v>565.59499426320804</v>
      </c>
      <c r="D2100" s="4">
        <v>548.219778980196</v>
      </c>
      <c r="E2100" s="4">
        <v>548.219778980196</v>
      </c>
      <c r="F2100" s="4">
        <v>83.861333698549501</v>
      </c>
      <c r="G2100" s="4" t="str">
        <f t="shared" si="64"/>
        <v>OK</v>
      </c>
      <c r="H2100" s="4" t="str">
        <f t="shared" si="65"/>
        <v>NON-ZERO</v>
      </c>
      <c r="I2100">
        <v>692.82032302754999</v>
      </c>
      <c r="J2100">
        <f>IFERROR(Table4[[#This Row],[energy_kwh]]/Table4[[#This Row],[expected_kwh]],0)</f>
        <v>0.79128709242323436</v>
      </c>
      <c r="K2100" t="str">
        <f>IF(Table4[[#This Row],[Performance_Ratio]] &lt; 0.85, "Underperforming", "Performing")</f>
        <v>Underperforming</v>
      </c>
      <c r="L2100">
        <f>Table4[[#This Row],[energy_kwh]] - Table4[[#This Row],[expected_kwh]]</f>
        <v>-144.60054404735399</v>
      </c>
      <c r="M2100" t="str">
        <f>IF(Table4[[#This Row],[Performance_Deviation]] &lt; 0, "Underperforming", "Outperforming")</f>
        <v>Underperforming</v>
      </c>
      <c r="N2100">
        <f>IF(Table4[[#This Row],[Performance_Ratio]] &lt; 0.85, Table4[[#This Row],[Performance_Deviation]] * 50 / 1000, 0)</f>
        <v>-7.2300272023677001</v>
      </c>
    </row>
    <row r="2101" spans="1:14" x14ac:dyDescent="0.3">
      <c r="A2101" s="6" t="s">
        <v>8</v>
      </c>
      <c r="B2101" s="5">
        <v>45317.458333333336</v>
      </c>
      <c r="C2101" s="6">
        <v>775.73082743352802</v>
      </c>
      <c r="D2101" s="6">
        <v>751.90018843382404</v>
      </c>
      <c r="E2101" s="6">
        <v>751.90018843382404</v>
      </c>
      <c r="F2101" s="6">
        <v>39.8447833910772</v>
      </c>
      <c r="G2101" s="6" t="str">
        <f t="shared" si="64"/>
        <v>OK</v>
      </c>
      <c r="H2101" s="6" t="str">
        <f t="shared" si="65"/>
        <v>NON-ZERO</v>
      </c>
      <c r="I2101">
        <v>772.74066103125404</v>
      </c>
      <c r="J2101">
        <f>IFERROR(Table4[[#This Row],[energy_kwh]]/Table4[[#This Row],[expected_kwh]],0)</f>
        <v>0.97303044391423954</v>
      </c>
      <c r="K2101" t="str">
        <f>IF(Table4[[#This Row],[Performance_Ratio]] &lt; 0.85, "Underperforming", "Performing")</f>
        <v>Performing</v>
      </c>
      <c r="L2101">
        <f>Table4[[#This Row],[energy_kwh]] - Table4[[#This Row],[expected_kwh]]</f>
        <v>-20.840472597429994</v>
      </c>
      <c r="M2101" t="str">
        <f>IF(Table4[[#This Row],[Performance_Deviation]] &lt; 0, "Underperforming", "Outperforming")</f>
        <v>Underperforming</v>
      </c>
      <c r="N2101">
        <f>IF(Table4[[#This Row],[Performance_Ratio]] &lt; 0.85, Table4[[#This Row],[Performance_Deviation]] * 50 / 1000, 0)</f>
        <v>0</v>
      </c>
    </row>
    <row r="2102" spans="1:14" x14ac:dyDescent="0.3">
      <c r="A2102" s="4" t="s">
        <v>8</v>
      </c>
      <c r="B2102" s="3">
        <v>45317.5</v>
      </c>
      <c r="C2102" s="4">
        <v>604.01727112736103</v>
      </c>
      <c r="D2102" s="4">
        <v>585.46171418830704</v>
      </c>
      <c r="E2102" s="4">
        <v>585.46171418830704</v>
      </c>
      <c r="F2102" s="4">
        <v>69.614324310963099</v>
      </c>
      <c r="G2102" s="4" t="str">
        <f t="shared" si="64"/>
        <v>OK</v>
      </c>
      <c r="H2102" s="4" t="str">
        <f t="shared" si="65"/>
        <v>NON-ZERO</v>
      </c>
      <c r="I2102">
        <v>800</v>
      </c>
      <c r="J2102">
        <f>IFERROR(Table4[[#This Row],[energy_kwh]]/Table4[[#This Row],[expected_kwh]],0)</f>
        <v>0.73182714273538385</v>
      </c>
      <c r="K2102" t="str">
        <f>IF(Table4[[#This Row],[Performance_Ratio]] &lt; 0.85, "Underperforming", "Performing")</f>
        <v>Underperforming</v>
      </c>
      <c r="L2102">
        <f>Table4[[#This Row],[energy_kwh]] - Table4[[#This Row],[expected_kwh]]</f>
        <v>-214.53828581169296</v>
      </c>
      <c r="M2102" t="str">
        <f>IF(Table4[[#This Row],[Performance_Deviation]] &lt; 0, "Underperforming", "Outperforming")</f>
        <v>Underperforming</v>
      </c>
      <c r="N2102">
        <f>IF(Table4[[#This Row],[Performance_Ratio]] &lt; 0.85, Table4[[#This Row],[Performance_Deviation]] * 50 / 1000, 0)</f>
        <v>-10.726914290584647</v>
      </c>
    </row>
    <row r="2103" spans="1:14" x14ac:dyDescent="0.3">
      <c r="A2103" s="6" t="s">
        <v>8</v>
      </c>
      <c r="B2103" s="5">
        <v>45317.541666666664</v>
      </c>
      <c r="C2103" s="6">
        <v>793.50708358442705</v>
      </c>
      <c r="D2103" s="6">
        <v>769.13035368809096</v>
      </c>
      <c r="E2103" s="6">
        <v>769.13035368809096</v>
      </c>
      <c r="F2103" s="6">
        <v>62.8504646339807</v>
      </c>
      <c r="G2103" s="6" t="str">
        <f t="shared" si="64"/>
        <v>OK</v>
      </c>
      <c r="H2103" s="6" t="str">
        <f t="shared" si="65"/>
        <v>NON-ZERO</v>
      </c>
      <c r="I2103">
        <v>772.74066103125404</v>
      </c>
      <c r="J2103">
        <f>IFERROR(Table4[[#This Row],[energy_kwh]]/Table4[[#This Row],[expected_kwh]],0)</f>
        <v>0.99532791850457958</v>
      </c>
      <c r="K2103" t="str">
        <f>IF(Table4[[#This Row],[Performance_Ratio]] &lt; 0.85, "Underperforming", "Performing")</f>
        <v>Performing</v>
      </c>
      <c r="L2103">
        <f>Table4[[#This Row],[energy_kwh]] - Table4[[#This Row],[expected_kwh]]</f>
        <v>-3.6103073431630719</v>
      </c>
      <c r="M2103" t="str">
        <f>IF(Table4[[#This Row],[Performance_Deviation]] &lt; 0, "Underperforming", "Outperforming")</f>
        <v>Underperforming</v>
      </c>
      <c r="N2103">
        <f>IF(Table4[[#This Row],[Performance_Ratio]] &lt; 0.85, Table4[[#This Row],[Performance_Deviation]] * 50 / 1000, 0)</f>
        <v>0</v>
      </c>
    </row>
    <row r="2104" spans="1:14" x14ac:dyDescent="0.3">
      <c r="A2104" s="4" t="s">
        <v>8</v>
      </c>
      <c r="B2104" s="3">
        <v>45317.583333333336</v>
      </c>
      <c r="C2104" s="4">
        <v>582.84907254234099</v>
      </c>
      <c r="D2104" s="4">
        <v>564.94380779345602</v>
      </c>
      <c r="E2104" s="4">
        <v>564.94380779345602</v>
      </c>
      <c r="F2104" s="4">
        <v>61.574194856274097</v>
      </c>
      <c r="G2104" s="4" t="str">
        <f t="shared" si="64"/>
        <v>OK</v>
      </c>
      <c r="H2104" s="4" t="str">
        <f t="shared" si="65"/>
        <v>NON-ZERO</v>
      </c>
      <c r="I2104">
        <v>692.82032302755101</v>
      </c>
      <c r="J2104">
        <f>IFERROR(Table4[[#This Row],[energy_kwh]]/Table4[[#This Row],[expected_kwh]],0)</f>
        <v>0.81542614876640995</v>
      </c>
      <c r="K2104" t="str">
        <f>IF(Table4[[#This Row],[Performance_Ratio]] &lt; 0.85, "Underperforming", "Performing")</f>
        <v>Underperforming</v>
      </c>
      <c r="L2104">
        <f>Table4[[#This Row],[energy_kwh]] - Table4[[#This Row],[expected_kwh]]</f>
        <v>-127.876515234095</v>
      </c>
      <c r="M2104" t="str">
        <f>IF(Table4[[#This Row],[Performance_Deviation]] &lt; 0, "Underperforming", "Outperforming")</f>
        <v>Underperforming</v>
      </c>
      <c r="N2104">
        <f>IF(Table4[[#This Row],[Performance_Ratio]] &lt; 0.85, Table4[[#This Row],[Performance_Deviation]] * 50 / 1000, 0)</f>
        <v>-6.3938257617047496</v>
      </c>
    </row>
    <row r="2105" spans="1:14" x14ac:dyDescent="0.3">
      <c r="A2105" s="6" t="s">
        <v>8</v>
      </c>
      <c r="B2105" s="5">
        <v>45317.625</v>
      </c>
      <c r="C2105" s="6">
        <v>563.77138229449895</v>
      </c>
      <c r="D2105" s="6">
        <v>546.45218881307699</v>
      </c>
      <c r="E2105" s="6">
        <v>546.45218881307699</v>
      </c>
      <c r="F2105" s="6">
        <v>68.2827956075933</v>
      </c>
      <c r="G2105" s="6" t="str">
        <f t="shared" si="64"/>
        <v>OK</v>
      </c>
      <c r="H2105" s="6" t="str">
        <f t="shared" si="65"/>
        <v>NON-ZERO</v>
      </c>
      <c r="I2105">
        <v>565.68542494923804</v>
      </c>
      <c r="J2105">
        <f>IFERROR(Table4[[#This Row],[energy_kwh]]/Table4[[#This Row],[expected_kwh]],0)</f>
        <v>0.96600012075989594</v>
      </c>
      <c r="K2105" t="str">
        <f>IF(Table4[[#This Row],[Performance_Ratio]] &lt; 0.85, "Underperforming", "Performing")</f>
        <v>Performing</v>
      </c>
      <c r="L2105">
        <f>Table4[[#This Row],[energy_kwh]] - Table4[[#This Row],[expected_kwh]]</f>
        <v>-19.233236136161054</v>
      </c>
      <c r="M2105" t="str">
        <f>IF(Table4[[#This Row],[Performance_Deviation]] &lt; 0, "Underperforming", "Outperforming")</f>
        <v>Underperforming</v>
      </c>
      <c r="N2105">
        <f>IF(Table4[[#This Row],[Performance_Ratio]] &lt; 0.85, Table4[[#This Row],[Performance_Deviation]] * 50 / 1000, 0)</f>
        <v>0</v>
      </c>
    </row>
    <row r="2106" spans="1:14" x14ac:dyDescent="0.3">
      <c r="A2106" s="4" t="s">
        <v>8</v>
      </c>
      <c r="B2106" s="3">
        <v>45317.666666666664</v>
      </c>
      <c r="C2106" s="4">
        <v>412.94173225378</v>
      </c>
      <c r="D2106" s="4">
        <v>400.25606217178898</v>
      </c>
      <c r="E2106" s="4">
        <v>400.25606217178898</v>
      </c>
      <c r="F2106" s="4">
        <v>61.507077559030101</v>
      </c>
      <c r="G2106" s="4" t="str">
        <f t="shared" si="64"/>
        <v>OK</v>
      </c>
      <c r="H2106" s="4" t="str">
        <f t="shared" si="65"/>
        <v>NON-ZERO</v>
      </c>
      <c r="I2106">
        <v>399.99999999999898</v>
      </c>
      <c r="J2106">
        <f>IFERROR(Table4[[#This Row],[energy_kwh]]/Table4[[#This Row],[expected_kwh]],0)</f>
        <v>1.000640155429475</v>
      </c>
      <c r="K2106" t="str">
        <f>IF(Table4[[#This Row],[Performance_Ratio]] &lt; 0.85, "Underperforming", "Performing")</f>
        <v>Performing</v>
      </c>
      <c r="L2106">
        <f>Table4[[#This Row],[energy_kwh]] - Table4[[#This Row],[expected_kwh]]</f>
        <v>0.25606217179000623</v>
      </c>
      <c r="M2106" t="str">
        <f>IF(Table4[[#This Row],[Performance_Deviation]] &lt; 0, "Underperforming", "Outperforming")</f>
        <v>Outperforming</v>
      </c>
      <c r="N2106">
        <f>IF(Table4[[#This Row],[Performance_Ratio]] &lt; 0.85, Table4[[#This Row],[Performance_Deviation]] * 50 / 1000, 0)</f>
        <v>0</v>
      </c>
    </row>
    <row r="2107" spans="1:14" x14ac:dyDescent="0.3">
      <c r="A2107" s="6" t="s">
        <v>8</v>
      </c>
      <c r="B2107" s="5">
        <v>45317.708333333336</v>
      </c>
      <c r="C2107" s="6">
        <v>185.51741707707001</v>
      </c>
      <c r="D2107" s="6">
        <v>179.81827706848199</v>
      </c>
      <c r="E2107" s="6">
        <v>179.81827706848199</v>
      </c>
      <c r="F2107" s="6">
        <v>48.203134333186703</v>
      </c>
      <c r="G2107" s="6" t="str">
        <f t="shared" si="64"/>
        <v>OK</v>
      </c>
      <c r="H2107" s="6" t="str">
        <f t="shared" si="65"/>
        <v>NON-ZERO</v>
      </c>
      <c r="I2107">
        <v>207.05523608201599</v>
      </c>
      <c r="J2107">
        <f>IFERROR(Table4[[#This Row],[energy_kwh]]/Table4[[#This Row],[expected_kwh]],0)</f>
        <v>0.86845558929625299</v>
      </c>
      <c r="K2107" t="str">
        <f>IF(Table4[[#This Row],[Performance_Ratio]] &lt; 0.85, "Underperforming", "Performing")</f>
        <v>Performing</v>
      </c>
      <c r="L2107">
        <f>Table4[[#This Row],[energy_kwh]] - Table4[[#This Row],[expected_kwh]]</f>
        <v>-27.236959013534005</v>
      </c>
      <c r="M2107" t="str">
        <f>IF(Table4[[#This Row],[Performance_Deviation]] &lt; 0, "Underperforming", "Outperforming")</f>
        <v>Underperforming</v>
      </c>
      <c r="N2107">
        <f>IF(Table4[[#This Row],[Performance_Ratio]] &lt; 0.85, Table4[[#This Row],[Performance_Deviation]] * 50 / 1000, 0)</f>
        <v>0</v>
      </c>
    </row>
    <row r="2108" spans="1:14" x14ac:dyDescent="0.3">
      <c r="A2108" s="4" t="s">
        <v>8</v>
      </c>
      <c r="B2108" s="3">
        <v>45317.75</v>
      </c>
      <c r="C2108" s="7">
        <v>8.2705287115102194E-14</v>
      </c>
      <c r="D2108" s="7">
        <v>8.0164560653157097E-14</v>
      </c>
      <c r="E2108" s="7">
        <v>8.0164560653157097E-14</v>
      </c>
      <c r="F2108" s="4">
        <v>55.742595768501303</v>
      </c>
      <c r="G2108" s="4" t="str">
        <f t="shared" si="64"/>
        <v>OK</v>
      </c>
      <c r="H2108" s="4" t="str">
        <f t="shared" si="65"/>
        <v>NON-ZERO</v>
      </c>
      <c r="I2108" s="2">
        <v>9.7971743931788194E-14</v>
      </c>
      <c r="J2108">
        <f>IFERROR(Table4[[#This Row],[energy_kwh]]/Table4[[#This Row],[expected_kwh]],0)</f>
        <v>0.81824164229403573</v>
      </c>
      <c r="K2108" t="str">
        <f>IF(Table4[[#This Row],[Performance_Ratio]] &lt; 0.85, "Underperforming", "Performing")</f>
        <v>Underperforming</v>
      </c>
      <c r="L2108">
        <f>Table4[[#This Row],[energy_kwh]] - Table4[[#This Row],[expected_kwh]]</f>
        <v>-1.7807183278631097E-14</v>
      </c>
      <c r="M2108" t="str">
        <f>IF(Table4[[#This Row],[Performance_Deviation]] &lt; 0, "Underperforming", "Outperforming")</f>
        <v>Underperforming</v>
      </c>
      <c r="N2108">
        <f>IF(Table4[[#This Row],[Performance_Ratio]] &lt; 0.85, Table4[[#This Row],[Performance_Deviation]] * 50 / 1000, 0)</f>
        <v>-8.9035916393155485E-16</v>
      </c>
    </row>
    <row r="2109" spans="1:14" x14ac:dyDescent="0.3">
      <c r="A2109" s="6" t="s">
        <v>8</v>
      </c>
      <c r="B2109" s="5">
        <v>45317.791666666664</v>
      </c>
      <c r="C2109" s="6">
        <v>0</v>
      </c>
      <c r="D2109" s="6">
        <v>0</v>
      </c>
      <c r="E2109" s="6">
        <v>0</v>
      </c>
      <c r="F2109" s="6">
        <v>32.402781913488901</v>
      </c>
      <c r="G2109" s="6" t="str">
        <f t="shared" si="64"/>
        <v>OK</v>
      </c>
      <c r="H2109" s="6" t="str">
        <f t="shared" si="65"/>
        <v>ZERO</v>
      </c>
      <c r="I2109">
        <v>0</v>
      </c>
      <c r="J2109">
        <f>IFERROR(Table4[[#This Row],[energy_kwh]]/Table4[[#This Row],[expected_kwh]],0)</f>
        <v>0</v>
      </c>
      <c r="K2109" t="str">
        <f>IF(Table4[[#This Row],[Performance_Ratio]] &lt; 0.85, "Underperforming", "Performing")</f>
        <v>Underperforming</v>
      </c>
      <c r="L2109">
        <f>Table4[[#This Row],[energy_kwh]] - Table4[[#This Row],[expected_kwh]]</f>
        <v>0</v>
      </c>
      <c r="M2109" t="str">
        <f>IF(Table4[[#This Row],[Performance_Deviation]] &lt; 0, "Underperforming", "Outperforming")</f>
        <v>Outperforming</v>
      </c>
      <c r="N2109">
        <f>IF(Table4[[#This Row],[Performance_Ratio]] &lt; 0.85, Table4[[#This Row],[Performance_Deviation]] * 50 / 1000, 0)</f>
        <v>0</v>
      </c>
    </row>
    <row r="2110" spans="1:14" x14ac:dyDescent="0.3">
      <c r="A2110" s="4" t="s">
        <v>8</v>
      </c>
      <c r="B2110" s="3">
        <v>45317.833333333336</v>
      </c>
      <c r="C2110" s="4">
        <v>0</v>
      </c>
      <c r="D2110" s="4">
        <v>0</v>
      </c>
      <c r="E2110" s="4">
        <v>0</v>
      </c>
      <c r="F2110" s="4">
        <v>45.543195306583897</v>
      </c>
      <c r="G2110" s="4" t="str">
        <f t="shared" si="64"/>
        <v>OK</v>
      </c>
      <c r="H2110" s="4" t="str">
        <f t="shared" si="65"/>
        <v>ZERO</v>
      </c>
      <c r="I2110">
        <v>0</v>
      </c>
      <c r="J2110">
        <f>IFERROR(Table4[[#This Row],[energy_kwh]]/Table4[[#This Row],[expected_kwh]],0)</f>
        <v>0</v>
      </c>
      <c r="K2110" t="str">
        <f>IF(Table4[[#This Row],[Performance_Ratio]] &lt; 0.85, "Underperforming", "Performing")</f>
        <v>Underperforming</v>
      </c>
      <c r="L2110">
        <f>Table4[[#This Row],[energy_kwh]] - Table4[[#This Row],[expected_kwh]]</f>
        <v>0</v>
      </c>
      <c r="M2110" t="str">
        <f>IF(Table4[[#This Row],[Performance_Deviation]] &lt; 0, "Underperforming", "Outperforming")</f>
        <v>Outperforming</v>
      </c>
      <c r="N2110">
        <f>IF(Table4[[#This Row],[Performance_Ratio]] &lt; 0.85, Table4[[#This Row],[Performance_Deviation]] * 50 / 1000, 0)</f>
        <v>0</v>
      </c>
    </row>
    <row r="2111" spans="1:14" x14ac:dyDescent="0.3">
      <c r="A2111" s="6" t="s">
        <v>8</v>
      </c>
      <c r="B2111" s="5">
        <v>45317.875</v>
      </c>
      <c r="C2111" s="6">
        <v>0</v>
      </c>
      <c r="D2111" s="6">
        <v>0</v>
      </c>
      <c r="E2111" s="6">
        <v>0</v>
      </c>
      <c r="F2111" s="6">
        <v>57.359725563798499</v>
      </c>
      <c r="G2111" s="6" t="str">
        <f t="shared" si="64"/>
        <v>OK</v>
      </c>
      <c r="H2111" s="6" t="str">
        <f t="shared" si="65"/>
        <v>ZERO</v>
      </c>
      <c r="I2111">
        <v>0</v>
      </c>
      <c r="J2111">
        <f>IFERROR(Table4[[#This Row],[energy_kwh]]/Table4[[#This Row],[expected_kwh]],0)</f>
        <v>0</v>
      </c>
      <c r="K2111" t="str">
        <f>IF(Table4[[#This Row],[Performance_Ratio]] &lt; 0.85, "Underperforming", "Performing")</f>
        <v>Underperforming</v>
      </c>
      <c r="L2111">
        <f>Table4[[#This Row],[energy_kwh]] - Table4[[#This Row],[expected_kwh]]</f>
        <v>0</v>
      </c>
      <c r="M2111" t="str">
        <f>IF(Table4[[#This Row],[Performance_Deviation]] &lt; 0, "Underperforming", "Outperforming")</f>
        <v>Outperforming</v>
      </c>
      <c r="N2111">
        <f>IF(Table4[[#This Row],[Performance_Ratio]] &lt; 0.85, Table4[[#This Row],[Performance_Deviation]] * 50 / 1000, 0)</f>
        <v>0</v>
      </c>
    </row>
    <row r="2112" spans="1:14" x14ac:dyDescent="0.3">
      <c r="A2112" s="4" t="s">
        <v>8</v>
      </c>
      <c r="B2112" s="3">
        <v>45317.916666666664</v>
      </c>
      <c r="C2112" s="4">
        <v>0</v>
      </c>
      <c r="D2112" s="4">
        <v>0</v>
      </c>
      <c r="E2112" s="4">
        <v>0</v>
      </c>
      <c r="F2112" s="4">
        <v>23.920727920415398</v>
      </c>
      <c r="G2112" s="4" t="str">
        <f t="shared" si="64"/>
        <v>OK</v>
      </c>
      <c r="H2112" s="4" t="str">
        <f t="shared" si="65"/>
        <v>ZERO</v>
      </c>
      <c r="I2112">
        <v>0</v>
      </c>
      <c r="J2112">
        <f>IFERROR(Table4[[#This Row],[energy_kwh]]/Table4[[#This Row],[expected_kwh]],0)</f>
        <v>0</v>
      </c>
      <c r="K2112" t="str">
        <f>IF(Table4[[#This Row],[Performance_Ratio]] &lt; 0.85, "Underperforming", "Performing")</f>
        <v>Underperforming</v>
      </c>
      <c r="L2112">
        <f>Table4[[#This Row],[energy_kwh]] - Table4[[#This Row],[expected_kwh]]</f>
        <v>0</v>
      </c>
      <c r="M2112" t="str">
        <f>IF(Table4[[#This Row],[Performance_Deviation]] &lt; 0, "Underperforming", "Outperforming")</f>
        <v>Outperforming</v>
      </c>
      <c r="N2112">
        <f>IF(Table4[[#This Row],[Performance_Ratio]] &lt; 0.85, Table4[[#This Row],[Performance_Deviation]] * 50 / 1000, 0)</f>
        <v>0</v>
      </c>
    </row>
    <row r="2113" spans="1:14" x14ac:dyDescent="0.3">
      <c r="A2113" s="6" t="s">
        <v>8</v>
      </c>
      <c r="B2113" s="5">
        <v>45317.958333333336</v>
      </c>
      <c r="C2113" s="6">
        <v>0</v>
      </c>
      <c r="D2113" s="6">
        <v>0</v>
      </c>
      <c r="E2113" s="6">
        <v>0</v>
      </c>
      <c r="F2113" s="6">
        <v>27.783103147605502</v>
      </c>
      <c r="G2113" s="6" t="str">
        <f t="shared" si="64"/>
        <v>OK</v>
      </c>
      <c r="H2113" s="6" t="str">
        <f t="shared" si="65"/>
        <v>ZERO</v>
      </c>
      <c r="I2113">
        <v>0</v>
      </c>
      <c r="J2113">
        <f>IFERROR(Table4[[#This Row],[energy_kwh]]/Table4[[#This Row],[expected_kwh]],0)</f>
        <v>0</v>
      </c>
      <c r="K2113" t="str">
        <f>IF(Table4[[#This Row],[Performance_Ratio]] &lt; 0.85, "Underperforming", "Performing")</f>
        <v>Underperforming</v>
      </c>
      <c r="L2113">
        <f>Table4[[#This Row],[energy_kwh]] - Table4[[#This Row],[expected_kwh]]</f>
        <v>0</v>
      </c>
      <c r="M2113" t="str">
        <f>IF(Table4[[#This Row],[Performance_Deviation]] &lt; 0, "Underperforming", "Outperforming")</f>
        <v>Outperforming</v>
      </c>
      <c r="N2113">
        <f>IF(Table4[[#This Row],[Performance_Ratio]] &lt; 0.85, Table4[[#This Row],[Performance_Deviation]] * 50 / 1000, 0)</f>
        <v>0</v>
      </c>
    </row>
    <row r="2114" spans="1:14" x14ac:dyDescent="0.3">
      <c r="A2114" s="4" t="s">
        <v>8</v>
      </c>
      <c r="B2114" s="3">
        <v>45318</v>
      </c>
      <c r="C2114" s="4">
        <v>0</v>
      </c>
      <c r="D2114" s="4">
        <v>0</v>
      </c>
      <c r="E2114" s="4">
        <v>0</v>
      </c>
      <c r="F2114" s="4">
        <v>42.918234449586897</v>
      </c>
      <c r="G2114" s="4" t="str">
        <f t="shared" ref="G2114:G2177" si="66">IF(D2114 &gt; C2114, "ERROR", "OK")</f>
        <v>OK</v>
      </c>
      <c r="H2114" s="4" t="str">
        <f t="shared" ref="H2114:H2177" si="67">IF(E2114=0,"ZERO","NON-ZERO")</f>
        <v>ZERO</v>
      </c>
      <c r="I2114">
        <v>0</v>
      </c>
      <c r="J2114">
        <f>IFERROR(Table4[[#This Row],[energy_kwh]]/Table4[[#This Row],[expected_kwh]],0)</f>
        <v>0</v>
      </c>
      <c r="K2114" t="str">
        <f>IF(Table4[[#This Row],[Performance_Ratio]] &lt; 0.85, "Underperforming", "Performing")</f>
        <v>Underperforming</v>
      </c>
      <c r="L2114">
        <f>Table4[[#This Row],[energy_kwh]] - Table4[[#This Row],[expected_kwh]]</f>
        <v>0</v>
      </c>
      <c r="M2114" t="str">
        <f>IF(Table4[[#This Row],[Performance_Deviation]] &lt; 0, "Underperforming", "Outperforming")</f>
        <v>Outperforming</v>
      </c>
      <c r="N2114">
        <f>IF(Table4[[#This Row],[Performance_Ratio]] &lt; 0.85, Table4[[#This Row],[Performance_Deviation]] * 50 / 1000, 0)</f>
        <v>0</v>
      </c>
    </row>
    <row r="2115" spans="1:14" x14ac:dyDescent="0.3">
      <c r="A2115" s="6" t="s">
        <v>8</v>
      </c>
      <c r="B2115" s="5">
        <v>45318.041666666664</v>
      </c>
      <c r="C2115" s="6">
        <v>0</v>
      </c>
      <c r="D2115" s="6">
        <v>0</v>
      </c>
      <c r="E2115" s="6">
        <v>0</v>
      </c>
      <c r="F2115" s="6">
        <v>62.322579850237197</v>
      </c>
      <c r="G2115" s="6" t="str">
        <f t="shared" si="66"/>
        <v>OK</v>
      </c>
      <c r="H2115" s="6" t="str">
        <f t="shared" si="67"/>
        <v>ZERO</v>
      </c>
      <c r="I2115">
        <v>0</v>
      </c>
      <c r="J2115">
        <f>IFERROR(Table4[[#This Row],[energy_kwh]]/Table4[[#This Row],[expected_kwh]],0)</f>
        <v>0</v>
      </c>
      <c r="K2115" t="str">
        <f>IF(Table4[[#This Row],[Performance_Ratio]] &lt; 0.85, "Underperforming", "Performing")</f>
        <v>Underperforming</v>
      </c>
      <c r="L2115">
        <f>Table4[[#This Row],[energy_kwh]] - Table4[[#This Row],[expected_kwh]]</f>
        <v>0</v>
      </c>
      <c r="M2115" t="str">
        <f>IF(Table4[[#This Row],[Performance_Deviation]] &lt; 0, "Underperforming", "Outperforming")</f>
        <v>Outperforming</v>
      </c>
      <c r="N2115">
        <f>IF(Table4[[#This Row],[Performance_Ratio]] &lt; 0.85, Table4[[#This Row],[Performance_Deviation]] * 50 / 1000, 0)</f>
        <v>0</v>
      </c>
    </row>
    <row r="2116" spans="1:14" x14ac:dyDescent="0.3">
      <c r="A2116" s="4" t="s">
        <v>8</v>
      </c>
      <c r="B2116" s="3">
        <v>45318.083333333336</v>
      </c>
      <c r="C2116" s="4">
        <v>0</v>
      </c>
      <c r="D2116" s="4">
        <v>0</v>
      </c>
      <c r="E2116" s="4">
        <v>0</v>
      </c>
      <c r="F2116" s="4">
        <v>82.495572877156803</v>
      </c>
      <c r="G2116" s="4" t="str">
        <f t="shared" si="66"/>
        <v>OK</v>
      </c>
      <c r="H2116" s="4" t="str">
        <f t="shared" si="67"/>
        <v>ZERO</v>
      </c>
      <c r="I2116">
        <v>0</v>
      </c>
      <c r="J2116">
        <f>IFERROR(Table4[[#This Row],[energy_kwh]]/Table4[[#This Row],[expected_kwh]],0)</f>
        <v>0</v>
      </c>
      <c r="K2116" t="str">
        <f>IF(Table4[[#This Row],[Performance_Ratio]] &lt; 0.85, "Underperforming", "Performing")</f>
        <v>Underperforming</v>
      </c>
      <c r="L2116">
        <f>Table4[[#This Row],[energy_kwh]] - Table4[[#This Row],[expected_kwh]]</f>
        <v>0</v>
      </c>
      <c r="M2116" t="str">
        <f>IF(Table4[[#This Row],[Performance_Deviation]] &lt; 0, "Underperforming", "Outperforming")</f>
        <v>Outperforming</v>
      </c>
      <c r="N2116">
        <f>IF(Table4[[#This Row],[Performance_Ratio]] &lt; 0.85, Table4[[#This Row],[Performance_Deviation]] * 50 / 1000, 0)</f>
        <v>0</v>
      </c>
    </row>
    <row r="2117" spans="1:14" x14ac:dyDescent="0.3">
      <c r="A2117" s="6" t="s">
        <v>8</v>
      </c>
      <c r="B2117" s="5">
        <v>45318.125</v>
      </c>
      <c r="C2117" s="6">
        <v>0</v>
      </c>
      <c r="D2117" s="6">
        <v>0</v>
      </c>
      <c r="E2117" s="6">
        <v>0</v>
      </c>
      <c r="F2117" s="6">
        <v>28.058991233141398</v>
      </c>
      <c r="G2117" s="6" t="str">
        <f t="shared" si="66"/>
        <v>OK</v>
      </c>
      <c r="H2117" s="6" t="str">
        <f t="shared" si="67"/>
        <v>ZERO</v>
      </c>
      <c r="I2117">
        <v>0</v>
      </c>
      <c r="J2117">
        <f>IFERROR(Table4[[#This Row],[energy_kwh]]/Table4[[#This Row],[expected_kwh]],0)</f>
        <v>0</v>
      </c>
      <c r="K2117" t="str">
        <f>IF(Table4[[#This Row],[Performance_Ratio]] &lt; 0.85, "Underperforming", "Performing")</f>
        <v>Underperforming</v>
      </c>
      <c r="L2117">
        <f>Table4[[#This Row],[energy_kwh]] - Table4[[#This Row],[expected_kwh]]</f>
        <v>0</v>
      </c>
      <c r="M2117" t="str">
        <f>IF(Table4[[#This Row],[Performance_Deviation]] &lt; 0, "Underperforming", "Outperforming")</f>
        <v>Outperforming</v>
      </c>
      <c r="N2117">
        <f>IF(Table4[[#This Row],[Performance_Ratio]] &lt; 0.85, Table4[[#This Row],[Performance_Deviation]] * 50 / 1000, 0)</f>
        <v>0</v>
      </c>
    </row>
    <row r="2118" spans="1:14" x14ac:dyDescent="0.3">
      <c r="A2118" s="4" t="s">
        <v>8</v>
      </c>
      <c r="B2118" s="3">
        <v>45318.166666666664</v>
      </c>
      <c r="C2118" s="4">
        <v>0</v>
      </c>
      <c r="D2118" s="4">
        <v>0</v>
      </c>
      <c r="E2118" s="4">
        <v>0</v>
      </c>
      <c r="F2118" s="4">
        <v>43.721926154421801</v>
      </c>
      <c r="G2118" s="4" t="str">
        <f t="shared" si="66"/>
        <v>OK</v>
      </c>
      <c r="H2118" s="4" t="str">
        <f t="shared" si="67"/>
        <v>ZERO</v>
      </c>
      <c r="I2118">
        <v>0</v>
      </c>
      <c r="J2118">
        <f>IFERROR(Table4[[#This Row],[energy_kwh]]/Table4[[#This Row],[expected_kwh]],0)</f>
        <v>0</v>
      </c>
      <c r="K2118" t="str">
        <f>IF(Table4[[#This Row],[Performance_Ratio]] &lt; 0.85, "Underperforming", "Performing")</f>
        <v>Underperforming</v>
      </c>
      <c r="L2118">
        <f>Table4[[#This Row],[energy_kwh]] - Table4[[#This Row],[expected_kwh]]</f>
        <v>0</v>
      </c>
      <c r="M2118" t="str">
        <f>IF(Table4[[#This Row],[Performance_Deviation]] &lt; 0, "Underperforming", "Outperforming")</f>
        <v>Outperforming</v>
      </c>
      <c r="N2118">
        <f>IF(Table4[[#This Row],[Performance_Ratio]] &lt; 0.85, Table4[[#This Row],[Performance_Deviation]] * 50 / 1000, 0)</f>
        <v>0</v>
      </c>
    </row>
    <row r="2119" spans="1:14" x14ac:dyDescent="0.3">
      <c r="A2119" s="6" t="s">
        <v>8</v>
      </c>
      <c r="B2119" s="5">
        <v>45318.208333333336</v>
      </c>
      <c r="C2119" s="6">
        <v>0</v>
      </c>
      <c r="D2119" s="6">
        <v>0</v>
      </c>
      <c r="E2119" s="6">
        <v>0</v>
      </c>
      <c r="F2119" s="6">
        <v>54.209540670997498</v>
      </c>
      <c r="G2119" s="6" t="str">
        <f t="shared" si="66"/>
        <v>OK</v>
      </c>
      <c r="H2119" s="6" t="str">
        <f t="shared" si="67"/>
        <v>ZERO</v>
      </c>
      <c r="I2119">
        <v>0</v>
      </c>
      <c r="J2119">
        <f>IFERROR(Table4[[#This Row],[energy_kwh]]/Table4[[#This Row],[expected_kwh]],0)</f>
        <v>0</v>
      </c>
      <c r="K2119" t="str">
        <f>IF(Table4[[#This Row],[Performance_Ratio]] &lt; 0.85, "Underperforming", "Performing")</f>
        <v>Underperforming</v>
      </c>
      <c r="L2119">
        <f>Table4[[#This Row],[energy_kwh]] - Table4[[#This Row],[expected_kwh]]</f>
        <v>0</v>
      </c>
      <c r="M2119" t="str">
        <f>IF(Table4[[#This Row],[Performance_Deviation]] &lt; 0, "Underperforming", "Outperforming")</f>
        <v>Outperforming</v>
      </c>
      <c r="N2119">
        <f>IF(Table4[[#This Row],[Performance_Ratio]] &lt; 0.85, Table4[[#This Row],[Performance_Deviation]] * 50 / 1000, 0)</f>
        <v>0</v>
      </c>
    </row>
    <row r="2120" spans="1:14" x14ac:dyDescent="0.3">
      <c r="A2120" s="4" t="s">
        <v>8</v>
      </c>
      <c r="B2120" s="3">
        <v>45318.25</v>
      </c>
      <c r="C2120" s="4">
        <v>0</v>
      </c>
      <c r="D2120" s="4">
        <v>0</v>
      </c>
      <c r="E2120" s="4">
        <v>0</v>
      </c>
      <c r="F2120" s="4">
        <v>58.755203370504802</v>
      </c>
      <c r="G2120" s="4" t="str">
        <f t="shared" si="66"/>
        <v>OK</v>
      </c>
      <c r="H2120" s="4" t="str">
        <f t="shared" si="67"/>
        <v>ZERO</v>
      </c>
      <c r="I2120">
        <v>0</v>
      </c>
      <c r="J2120">
        <f>IFERROR(Table4[[#This Row],[energy_kwh]]/Table4[[#This Row],[expected_kwh]],0)</f>
        <v>0</v>
      </c>
      <c r="K2120" t="str">
        <f>IF(Table4[[#This Row],[Performance_Ratio]] &lt; 0.85, "Underperforming", "Performing")</f>
        <v>Underperforming</v>
      </c>
      <c r="L2120">
        <f>Table4[[#This Row],[energy_kwh]] - Table4[[#This Row],[expected_kwh]]</f>
        <v>0</v>
      </c>
      <c r="M2120" t="str">
        <f>IF(Table4[[#This Row],[Performance_Deviation]] &lt; 0, "Underperforming", "Outperforming")</f>
        <v>Outperforming</v>
      </c>
      <c r="N2120">
        <f>IF(Table4[[#This Row],[Performance_Ratio]] &lt; 0.85, Table4[[#This Row],[Performance_Deviation]] * 50 / 1000, 0)</f>
        <v>0</v>
      </c>
    </row>
    <row r="2121" spans="1:14" x14ac:dyDescent="0.3">
      <c r="A2121" s="6" t="s">
        <v>8</v>
      </c>
      <c r="B2121" s="5">
        <v>45318.291666666664</v>
      </c>
      <c r="C2121" s="6">
        <v>191.14140589681099</v>
      </c>
      <c r="D2121" s="6">
        <v>185.26949558883399</v>
      </c>
      <c r="E2121" s="6">
        <v>185.26949558883399</v>
      </c>
      <c r="F2121" s="6">
        <v>23.058876007663802</v>
      </c>
      <c r="G2121" s="6" t="str">
        <f t="shared" si="66"/>
        <v>OK</v>
      </c>
      <c r="H2121" s="6" t="str">
        <f t="shared" si="67"/>
        <v>NON-ZERO</v>
      </c>
      <c r="I2121">
        <v>207.05523608201599</v>
      </c>
      <c r="J2121">
        <f>IFERROR(Table4[[#This Row],[energy_kwh]]/Table4[[#This Row],[expected_kwh]],0)</f>
        <v>0.89478295306401945</v>
      </c>
      <c r="K2121" t="str">
        <f>IF(Table4[[#This Row],[Performance_Ratio]] &lt; 0.85, "Underperforming", "Performing")</f>
        <v>Performing</v>
      </c>
      <c r="L2121">
        <f>Table4[[#This Row],[energy_kwh]] - Table4[[#This Row],[expected_kwh]]</f>
        <v>-21.785740493182004</v>
      </c>
      <c r="M2121" t="str">
        <f>IF(Table4[[#This Row],[Performance_Deviation]] &lt; 0, "Underperforming", "Outperforming")</f>
        <v>Underperforming</v>
      </c>
      <c r="N2121">
        <f>IF(Table4[[#This Row],[Performance_Ratio]] &lt; 0.85, Table4[[#This Row],[Performance_Deviation]] * 50 / 1000, 0)</f>
        <v>0</v>
      </c>
    </row>
    <row r="2122" spans="1:14" x14ac:dyDescent="0.3">
      <c r="A2122" s="4" t="s">
        <v>8</v>
      </c>
      <c r="B2122" s="3">
        <v>45318.333333333336</v>
      </c>
      <c r="C2122" s="4">
        <v>400.27668274455999</v>
      </c>
      <c r="D2122" s="4">
        <v>387.98008605258201</v>
      </c>
      <c r="E2122" s="4">
        <v>387.98008605258201</v>
      </c>
      <c r="F2122" s="4">
        <v>37.126671063413497</v>
      </c>
      <c r="G2122" s="4" t="str">
        <f t="shared" si="66"/>
        <v>OK</v>
      </c>
      <c r="H2122" s="4" t="str">
        <f t="shared" si="67"/>
        <v>NON-ZERO</v>
      </c>
      <c r="I2122">
        <v>399.99999999999898</v>
      </c>
      <c r="J2122">
        <f>IFERROR(Table4[[#This Row],[energy_kwh]]/Table4[[#This Row],[expected_kwh]],0)</f>
        <v>0.96995021513145752</v>
      </c>
      <c r="K2122" t="str">
        <f>IF(Table4[[#This Row],[Performance_Ratio]] &lt; 0.85, "Underperforming", "Performing")</f>
        <v>Performing</v>
      </c>
      <c r="L2122">
        <f>Table4[[#This Row],[energy_kwh]] - Table4[[#This Row],[expected_kwh]]</f>
        <v>-12.019913947416967</v>
      </c>
      <c r="M2122" t="str">
        <f>IF(Table4[[#This Row],[Performance_Deviation]] &lt; 0, "Underperforming", "Outperforming")</f>
        <v>Underperforming</v>
      </c>
      <c r="N2122">
        <f>IF(Table4[[#This Row],[Performance_Ratio]] &lt; 0.85, Table4[[#This Row],[Performance_Deviation]] * 50 / 1000, 0)</f>
        <v>0</v>
      </c>
    </row>
    <row r="2123" spans="1:14" x14ac:dyDescent="0.3">
      <c r="A2123" s="6" t="s">
        <v>8</v>
      </c>
      <c r="B2123" s="5">
        <v>45318.375</v>
      </c>
      <c r="C2123" s="6">
        <v>467.18572268189598</v>
      </c>
      <c r="D2123" s="6">
        <v>452.83366406913899</v>
      </c>
      <c r="E2123" s="6">
        <v>452.83366406913899</v>
      </c>
      <c r="F2123" s="6">
        <v>89.187417222687699</v>
      </c>
      <c r="G2123" s="6" t="str">
        <f t="shared" si="66"/>
        <v>OK</v>
      </c>
      <c r="H2123" s="6" t="str">
        <f t="shared" si="67"/>
        <v>NON-ZERO</v>
      </c>
      <c r="I2123">
        <v>565.68542494923804</v>
      </c>
      <c r="J2123">
        <f>IFERROR(Table4[[#This Row],[energy_kwh]]/Table4[[#This Row],[expected_kwh]],0)</f>
        <v>0.8005043865320981</v>
      </c>
      <c r="K2123" t="str">
        <f>IF(Table4[[#This Row],[Performance_Ratio]] &lt; 0.85, "Underperforming", "Performing")</f>
        <v>Underperforming</v>
      </c>
      <c r="L2123">
        <f>Table4[[#This Row],[energy_kwh]] - Table4[[#This Row],[expected_kwh]]</f>
        <v>-112.85176088009905</v>
      </c>
      <c r="M2123" t="str">
        <f>IF(Table4[[#This Row],[Performance_Deviation]] &lt; 0, "Underperforming", "Outperforming")</f>
        <v>Underperforming</v>
      </c>
      <c r="N2123">
        <f>IF(Table4[[#This Row],[Performance_Ratio]] &lt; 0.85, Table4[[#This Row],[Performance_Deviation]] * 50 / 1000, 0)</f>
        <v>-5.6425880440049525</v>
      </c>
    </row>
    <row r="2124" spans="1:14" x14ac:dyDescent="0.3">
      <c r="A2124" s="4" t="s">
        <v>8</v>
      </c>
      <c r="B2124" s="3">
        <v>45318.416666666664</v>
      </c>
      <c r="C2124" s="4">
        <v>678.11127243448504</v>
      </c>
      <c r="D2124" s="4">
        <v>657.27952982025897</v>
      </c>
      <c r="E2124" s="4">
        <v>657.27952982025897</v>
      </c>
      <c r="F2124" s="4">
        <v>54.824880859636401</v>
      </c>
      <c r="G2124" s="4" t="str">
        <f t="shared" si="66"/>
        <v>OK</v>
      </c>
      <c r="H2124" s="4" t="str">
        <f t="shared" si="67"/>
        <v>NON-ZERO</v>
      </c>
      <c r="I2124">
        <v>692.82032302754999</v>
      </c>
      <c r="J2124">
        <f>IFERROR(Table4[[#This Row],[energy_kwh]]/Table4[[#This Row],[expected_kwh]],0)</f>
        <v>0.94870128368639417</v>
      </c>
      <c r="K2124" t="str">
        <f>IF(Table4[[#This Row],[Performance_Ratio]] &lt; 0.85, "Underperforming", "Performing")</f>
        <v>Performing</v>
      </c>
      <c r="L2124">
        <f>Table4[[#This Row],[energy_kwh]] - Table4[[#This Row],[expected_kwh]]</f>
        <v>-35.540793207291017</v>
      </c>
      <c r="M2124" t="str">
        <f>IF(Table4[[#This Row],[Performance_Deviation]] &lt; 0, "Underperforming", "Outperforming")</f>
        <v>Underperforming</v>
      </c>
      <c r="N2124">
        <f>IF(Table4[[#This Row],[Performance_Ratio]] &lt; 0.85, Table4[[#This Row],[Performance_Deviation]] * 50 / 1000, 0)</f>
        <v>0</v>
      </c>
    </row>
    <row r="2125" spans="1:14" x14ac:dyDescent="0.3">
      <c r="A2125" s="6" t="s">
        <v>8</v>
      </c>
      <c r="B2125" s="5">
        <v>45318.458333333336</v>
      </c>
      <c r="C2125" s="6">
        <v>762.62553042610205</v>
      </c>
      <c r="D2125" s="6">
        <v>739.197489326241</v>
      </c>
      <c r="E2125" s="6">
        <v>739.197489326241</v>
      </c>
      <c r="F2125" s="6">
        <v>22.287241088956499</v>
      </c>
      <c r="G2125" s="6" t="str">
        <f t="shared" si="66"/>
        <v>OK</v>
      </c>
      <c r="H2125" s="6" t="str">
        <f t="shared" si="67"/>
        <v>NON-ZERO</v>
      </c>
      <c r="I2125">
        <v>772.74066103125404</v>
      </c>
      <c r="J2125">
        <f>IFERROR(Table4[[#This Row],[energy_kwh]]/Table4[[#This Row],[expected_kwh]],0)</f>
        <v>0.9565919416479931</v>
      </c>
      <c r="K2125" t="str">
        <f>IF(Table4[[#This Row],[Performance_Ratio]] &lt; 0.85, "Underperforming", "Performing")</f>
        <v>Performing</v>
      </c>
      <c r="L2125">
        <f>Table4[[#This Row],[energy_kwh]] - Table4[[#This Row],[expected_kwh]]</f>
        <v>-33.543171705013037</v>
      </c>
      <c r="M2125" t="str">
        <f>IF(Table4[[#This Row],[Performance_Deviation]] &lt; 0, "Underperforming", "Outperforming")</f>
        <v>Underperforming</v>
      </c>
      <c r="N2125">
        <f>IF(Table4[[#This Row],[Performance_Ratio]] &lt; 0.85, Table4[[#This Row],[Performance_Deviation]] * 50 / 1000, 0)</f>
        <v>0</v>
      </c>
    </row>
    <row r="2126" spans="1:14" x14ac:dyDescent="0.3">
      <c r="A2126" s="4" t="s">
        <v>8</v>
      </c>
      <c r="B2126" s="3">
        <v>45318.5</v>
      </c>
      <c r="C2126" s="4">
        <v>733.71370290361301</v>
      </c>
      <c r="D2126" s="4">
        <v>711.17384015137395</v>
      </c>
      <c r="E2126" s="4">
        <v>711.17384015137395</v>
      </c>
      <c r="F2126" s="4">
        <v>75.558490037050404</v>
      </c>
      <c r="G2126" s="4" t="str">
        <f t="shared" si="66"/>
        <v>OK</v>
      </c>
      <c r="H2126" s="4" t="str">
        <f t="shared" si="67"/>
        <v>NON-ZERO</v>
      </c>
      <c r="I2126">
        <v>800</v>
      </c>
      <c r="J2126">
        <f>IFERROR(Table4[[#This Row],[energy_kwh]]/Table4[[#This Row],[expected_kwh]],0)</f>
        <v>0.88896730018921744</v>
      </c>
      <c r="K2126" t="str">
        <f>IF(Table4[[#This Row],[Performance_Ratio]] &lt; 0.85, "Underperforming", "Performing")</f>
        <v>Performing</v>
      </c>
      <c r="L2126">
        <f>Table4[[#This Row],[energy_kwh]] - Table4[[#This Row],[expected_kwh]]</f>
        <v>-88.826159848626048</v>
      </c>
      <c r="M2126" t="str">
        <f>IF(Table4[[#This Row],[Performance_Deviation]] &lt; 0, "Underperforming", "Outperforming")</f>
        <v>Underperforming</v>
      </c>
      <c r="N2126">
        <f>IF(Table4[[#This Row],[Performance_Ratio]] &lt; 0.85, Table4[[#This Row],[Performance_Deviation]] * 50 / 1000, 0)</f>
        <v>0</v>
      </c>
    </row>
    <row r="2127" spans="1:14" x14ac:dyDescent="0.3">
      <c r="A2127" s="6" t="s">
        <v>8</v>
      </c>
      <c r="B2127" s="5">
        <v>45318.541666666664</v>
      </c>
      <c r="C2127" s="6">
        <v>816.95299680257995</v>
      </c>
      <c r="D2127" s="6">
        <v>791.85600277059098</v>
      </c>
      <c r="E2127" s="6">
        <v>791.85600277059098</v>
      </c>
      <c r="F2127" s="6">
        <v>74.195879362583696</v>
      </c>
      <c r="G2127" s="6" t="str">
        <f t="shared" si="66"/>
        <v>OK</v>
      </c>
      <c r="H2127" s="6" t="str">
        <f t="shared" si="67"/>
        <v>NON-ZERO</v>
      </c>
      <c r="I2127">
        <v>772.74066103125404</v>
      </c>
      <c r="J2127">
        <f>IFERROR(Table4[[#This Row],[energy_kwh]]/Table4[[#This Row],[expected_kwh]],0)</f>
        <v>1.0247370724789178</v>
      </c>
      <c r="K2127" t="str">
        <f>IF(Table4[[#This Row],[Performance_Ratio]] &lt; 0.85, "Underperforming", "Performing")</f>
        <v>Performing</v>
      </c>
      <c r="L2127">
        <f>Table4[[#This Row],[energy_kwh]] - Table4[[#This Row],[expected_kwh]]</f>
        <v>19.115341739336941</v>
      </c>
      <c r="M2127" t="str">
        <f>IF(Table4[[#This Row],[Performance_Deviation]] &lt; 0, "Underperforming", "Outperforming")</f>
        <v>Outperforming</v>
      </c>
      <c r="N2127">
        <f>IF(Table4[[#This Row],[Performance_Ratio]] &lt; 0.85, Table4[[#This Row],[Performance_Deviation]] * 50 / 1000, 0)</f>
        <v>0</v>
      </c>
    </row>
    <row r="2128" spans="1:14" x14ac:dyDescent="0.3">
      <c r="A2128" s="4" t="s">
        <v>8</v>
      </c>
      <c r="B2128" s="3">
        <v>45318.583333333336</v>
      </c>
      <c r="C2128" s="4">
        <v>628.88783906627805</v>
      </c>
      <c r="D2128" s="4">
        <v>609.56825225331602</v>
      </c>
      <c r="E2128" s="4">
        <v>609.56825225331602</v>
      </c>
      <c r="F2128" s="4">
        <v>76.620515011874602</v>
      </c>
      <c r="G2128" s="4" t="str">
        <f t="shared" si="66"/>
        <v>OK</v>
      </c>
      <c r="H2128" s="4" t="str">
        <f t="shared" si="67"/>
        <v>NON-ZERO</v>
      </c>
      <c r="I2128">
        <v>692.82032302755101</v>
      </c>
      <c r="J2128">
        <f>IFERROR(Table4[[#This Row],[energy_kwh]]/Table4[[#This Row],[expected_kwh]],0)</f>
        <v>0.87983598631975413</v>
      </c>
      <c r="K2128" t="str">
        <f>IF(Table4[[#This Row],[Performance_Ratio]] &lt; 0.85, "Underperforming", "Performing")</f>
        <v>Performing</v>
      </c>
      <c r="L2128">
        <f>Table4[[#This Row],[energy_kwh]] - Table4[[#This Row],[expected_kwh]]</f>
        <v>-83.252070774234994</v>
      </c>
      <c r="M2128" t="str">
        <f>IF(Table4[[#This Row],[Performance_Deviation]] &lt; 0, "Underperforming", "Outperforming")</f>
        <v>Underperforming</v>
      </c>
      <c r="N2128">
        <f>IF(Table4[[#This Row],[Performance_Ratio]] &lt; 0.85, Table4[[#This Row],[Performance_Deviation]] * 50 / 1000, 0)</f>
        <v>0</v>
      </c>
    </row>
    <row r="2129" spans="1:14" x14ac:dyDescent="0.3">
      <c r="A2129" s="6" t="s">
        <v>8</v>
      </c>
      <c r="B2129" s="5">
        <v>45318.625</v>
      </c>
      <c r="C2129" s="6">
        <v>493.78462220196201</v>
      </c>
      <c r="D2129" s="6">
        <v>478.61543895030297</v>
      </c>
      <c r="E2129" s="6">
        <v>478.61543895030297</v>
      </c>
      <c r="F2129" s="6">
        <v>49.928033903622797</v>
      </c>
      <c r="G2129" s="6" t="str">
        <f t="shared" si="66"/>
        <v>OK</v>
      </c>
      <c r="H2129" s="6" t="str">
        <f t="shared" si="67"/>
        <v>NON-ZERO</v>
      </c>
      <c r="I2129">
        <v>565.68542494923804</v>
      </c>
      <c r="J2129">
        <f>IFERROR(Table4[[#This Row],[energy_kwh]]/Table4[[#This Row],[expected_kwh]],0)</f>
        <v>0.84608055615583821</v>
      </c>
      <c r="K2129" t="str">
        <f>IF(Table4[[#This Row],[Performance_Ratio]] &lt; 0.85, "Underperforming", "Performing")</f>
        <v>Underperforming</v>
      </c>
      <c r="L2129">
        <f>Table4[[#This Row],[energy_kwh]] - Table4[[#This Row],[expected_kwh]]</f>
        <v>-87.069985998935067</v>
      </c>
      <c r="M2129" t="str">
        <f>IF(Table4[[#This Row],[Performance_Deviation]] &lt; 0, "Underperforming", "Outperforming")</f>
        <v>Underperforming</v>
      </c>
      <c r="N2129">
        <f>IF(Table4[[#This Row],[Performance_Ratio]] &lt; 0.85, Table4[[#This Row],[Performance_Deviation]] * 50 / 1000, 0)</f>
        <v>-4.353499299946753</v>
      </c>
    </row>
    <row r="2130" spans="1:14" x14ac:dyDescent="0.3">
      <c r="A2130" s="4" t="s">
        <v>8</v>
      </c>
      <c r="B2130" s="3">
        <v>45318.666666666664</v>
      </c>
      <c r="C2130" s="4">
        <v>346.72100728908902</v>
      </c>
      <c r="D2130" s="4">
        <v>336.06965392511802</v>
      </c>
      <c r="E2130" s="4">
        <v>336.06965392511802</v>
      </c>
      <c r="F2130" s="4">
        <v>72.662324648623397</v>
      </c>
      <c r="G2130" s="4" t="str">
        <f t="shared" si="66"/>
        <v>OK</v>
      </c>
      <c r="H2130" s="4" t="str">
        <f t="shared" si="67"/>
        <v>NON-ZERO</v>
      </c>
      <c r="I2130">
        <v>399.99999999999898</v>
      </c>
      <c r="J2130">
        <f>IFERROR(Table4[[#This Row],[energy_kwh]]/Table4[[#This Row],[expected_kwh]],0)</f>
        <v>0.84017413481279724</v>
      </c>
      <c r="K2130" t="str">
        <f>IF(Table4[[#This Row],[Performance_Ratio]] &lt; 0.85, "Underperforming", "Performing")</f>
        <v>Underperforming</v>
      </c>
      <c r="L2130">
        <f>Table4[[#This Row],[energy_kwh]] - Table4[[#This Row],[expected_kwh]]</f>
        <v>-63.930346074880958</v>
      </c>
      <c r="M2130" t="str">
        <f>IF(Table4[[#This Row],[Performance_Deviation]] &lt; 0, "Underperforming", "Outperforming")</f>
        <v>Underperforming</v>
      </c>
      <c r="N2130">
        <f>IF(Table4[[#This Row],[Performance_Ratio]] &lt; 0.85, Table4[[#This Row],[Performance_Deviation]] * 50 / 1000, 0)</f>
        <v>-3.1965173037440482</v>
      </c>
    </row>
    <row r="2131" spans="1:14" x14ac:dyDescent="0.3">
      <c r="A2131" s="6" t="s">
        <v>8</v>
      </c>
      <c r="B2131" s="5">
        <v>45318.708333333336</v>
      </c>
      <c r="C2131" s="6">
        <v>225.52816668117501</v>
      </c>
      <c r="D2131" s="6">
        <v>218.59988674904301</v>
      </c>
      <c r="E2131" s="6">
        <v>218.59988674904301</v>
      </c>
      <c r="F2131" s="6">
        <v>41.670276249318697</v>
      </c>
      <c r="G2131" s="6" t="str">
        <f t="shared" si="66"/>
        <v>OK</v>
      </c>
      <c r="H2131" s="6" t="str">
        <f t="shared" si="67"/>
        <v>NON-ZERO</v>
      </c>
      <c r="I2131">
        <v>207.05523608201599</v>
      </c>
      <c r="J2131">
        <f>IFERROR(Table4[[#This Row],[energy_kwh]]/Table4[[#This Row],[expected_kwh]],0)</f>
        <v>1.0557563811738337</v>
      </c>
      <c r="K2131" t="str">
        <f>IF(Table4[[#This Row],[Performance_Ratio]] &lt; 0.85, "Underperforming", "Performing")</f>
        <v>Performing</v>
      </c>
      <c r="L2131">
        <f>Table4[[#This Row],[energy_kwh]] - Table4[[#This Row],[expected_kwh]]</f>
        <v>11.544650667027014</v>
      </c>
      <c r="M2131" t="str">
        <f>IF(Table4[[#This Row],[Performance_Deviation]] &lt; 0, "Underperforming", "Outperforming")</f>
        <v>Outperforming</v>
      </c>
      <c r="N2131">
        <f>IF(Table4[[#This Row],[Performance_Ratio]] &lt; 0.85, Table4[[#This Row],[Performance_Deviation]] * 50 / 1000, 0)</f>
        <v>0</v>
      </c>
    </row>
    <row r="2132" spans="1:14" x14ac:dyDescent="0.3">
      <c r="A2132" s="4" t="s">
        <v>8</v>
      </c>
      <c r="B2132" s="3">
        <v>45318.75</v>
      </c>
      <c r="C2132" s="7">
        <v>1.0120993272060399E-13</v>
      </c>
      <c r="D2132" s="7">
        <v>9.8100739061473298E-14</v>
      </c>
      <c r="E2132" s="7">
        <v>9.8100739061473298E-14</v>
      </c>
      <c r="F2132" s="4">
        <v>73.712340363320806</v>
      </c>
      <c r="G2132" s="4" t="str">
        <f t="shared" si="66"/>
        <v>OK</v>
      </c>
      <c r="H2132" s="4" t="str">
        <f t="shared" si="67"/>
        <v>NON-ZERO</v>
      </c>
      <c r="I2132" s="2">
        <v>9.7971743931788194E-14</v>
      </c>
      <c r="J2132">
        <f>IFERROR(Table4[[#This Row],[energy_kwh]]/Table4[[#This Row],[expected_kwh]],0)</f>
        <v>1.0013166564614275</v>
      </c>
      <c r="K2132" t="str">
        <f>IF(Table4[[#This Row],[Performance_Ratio]] &lt; 0.85, "Underperforming", "Performing")</f>
        <v>Performing</v>
      </c>
      <c r="L2132">
        <f>Table4[[#This Row],[energy_kwh]] - Table4[[#This Row],[expected_kwh]]</f>
        <v>1.289951296851037E-16</v>
      </c>
      <c r="M2132" t="str">
        <f>IF(Table4[[#This Row],[Performance_Deviation]] &lt; 0, "Underperforming", "Outperforming")</f>
        <v>Outperforming</v>
      </c>
      <c r="N2132">
        <f>IF(Table4[[#This Row],[Performance_Ratio]] &lt; 0.85, Table4[[#This Row],[Performance_Deviation]] * 50 / 1000, 0)</f>
        <v>0</v>
      </c>
    </row>
    <row r="2133" spans="1:14" x14ac:dyDescent="0.3">
      <c r="A2133" s="6" t="s">
        <v>8</v>
      </c>
      <c r="B2133" s="5">
        <v>45318.791666666664</v>
      </c>
      <c r="C2133" s="6">
        <v>0</v>
      </c>
      <c r="D2133" s="6">
        <v>0</v>
      </c>
      <c r="E2133" s="6">
        <v>0</v>
      </c>
      <c r="F2133" s="6">
        <v>30.853297710238898</v>
      </c>
      <c r="G2133" s="6" t="str">
        <f t="shared" si="66"/>
        <v>OK</v>
      </c>
      <c r="H2133" s="6" t="str">
        <f t="shared" si="67"/>
        <v>ZERO</v>
      </c>
      <c r="I2133">
        <v>0</v>
      </c>
      <c r="J2133">
        <f>IFERROR(Table4[[#This Row],[energy_kwh]]/Table4[[#This Row],[expected_kwh]],0)</f>
        <v>0</v>
      </c>
      <c r="K2133" t="str">
        <f>IF(Table4[[#This Row],[Performance_Ratio]] &lt; 0.85, "Underperforming", "Performing")</f>
        <v>Underperforming</v>
      </c>
      <c r="L2133">
        <f>Table4[[#This Row],[energy_kwh]] - Table4[[#This Row],[expected_kwh]]</f>
        <v>0</v>
      </c>
      <c r="M2133" t="str">
        <f>IF(Table4[[#This Row],[Performance_Deviation]] &lt; 0, "Underperforming", "Outperforming")</f>
        <v>Outperforming</v>
      </c>
      <c r="N2133">
        <f>IF(Table4[[#This Row],[Performance_Ratio]] &lt; 0.85, Table4[[#This Row],[Performance_Deviation]] * 50 / 1000, 0)</f>
        <v>0</v>
      </c>
    </row>
    <row r="2134" spans="1:14" x14ac:dyDescent="0.3">
      <c r="A2134" s="4" t="s">
        <v>8</v>
      </c>
      <c r="B2134" s="3">
        <v>45318.833333333336</v>
      </c>
      <c r="C2134" s="4">
        <v>0</v>
      </c>
      <c r="D2134" s="4">
        <v>0</v>
      </c>
      <c r="E2134" s="4">
        <v>0</v>
      </c>
      <c r="F2134" s="4">
        <v>59.582915680165698</v>
      </c>
      <c r="G2134" s="4" t="str">
        <f t="shared" si="66"/>
        <v>OK</v>
      </c>
      <c r="H2134" s="4" t="str">
        <f t="shared" si="67"/>
        <v>ZERO</v>
      </c>
      <c r="I2134">
        <v>0</v>
      </c>
      <c r="J2134">
        <f>IFERROR(Table4[[#This Row],[energy_kwh]]/Table4[[#This Row],[expected_kwh]],0)</f>
        <v>0</v>
      </c>
      <c r="K2134" t="str">
        <f>IF(Table4[[#This Row],[Performance_Ratio]] &lt; 0.85, "Underperforming", "Performing")</f>
        <v>Underperforming</v>
      </c>
      <c r="L2134">
        <f>Table4[[#This Row],[energy_kwh]] - Table4[[#This Row],[expected_kwh]]</f>
        <v>0</v>
      </c>
      <c r="M2134" t="str">
        <f>IF(Table4[[#This Row],[Performance_Deviation]] &lt; 0, "Underperforming", "Outperforming")</f>
        <v>Outperforming</v>
      </c>
      <c r="N2134">
        <f>IF(Table4[[#This Row],[Performance_Ratio]] &lt; 0.85, Table4[[#This Row],[Performance_Deviation]] * 50 / 1000, 0)</f>
        <v>0</v>
      </c>
    </row>
    <row r="2135" spans="1:14" x14ac:dyDescent="0.3">
      <c r="A2135" s="6" t="s">
        <v>8</v>
      </c>
      <c r="B2135" s="5">
        <v>45318.875</v>
      </c>
      <c r="C2135" s="6">
        <v>0</v>
      </c>
      <c r="D2135" s="6">
        <v>0</v>
      </c>
      <c r="E2135" s="6">
        <v>0</v>
      </c>
      <c r="F2135" s="6">
        <v>44.441760754523202</v>
      </c>
      <c r="G2135" s="6" t="str">
        <f t="shared" si="66"/>
        <v>OK</v>
      </c>
      <c r="H2135" s="6" t="str">
        <f t="shared" si="67"/>
        <v>ZERO</v>
      </c>
      <c r="I2135">
        <v>0</v>
      </c>
      <c r="J2135">
        <f>IFERROR(Table4[[#This Row],[energy_kwh]]/Table4[[#This Row],[expected_kwh]],0)</f>
        <v>0</v>
      </c>
      <c r="K2135" t="str">
        <f>IF(Table4[[#This Row],[Performance_Ratio]] &lt; 0.85, "Underperforming", "Performing")</f>
        <v>Underperforming</v>
      </c>
      <c r="L2135">
        <f>Table4[[#This Row],[energy_kwh]] - Table4[[#This Row],[expected_kwh]]</f>
        <v>0</v>
      </c>
      <c r="M2135" t="str">
        <f>IF(Table4[[#This Row],[Performance_Deviation]] &lt; 0, "Underperforming", "Outperforming")</f>
        <v>Outperforming</v>
      </c>
      <c r="N2135">
        <f>IF(Table4[[#This Row],[Performance_Ratio]] &lt; 0.85, Table4[[#This Row],[Performance_Deviation]] * 50 / 1000, 0)</f>
        <v>0</v>
      </c>
    </row>
    <row r="2136" spans="1:14" x14ac:dyDescent="0.3">
      <c r="A2136" s="4" t="s">
        <v>8</v>
      </c>
      <c r="B2136" s="3">
        <v>45318.916666666664</v>
      </c>
      <c r="C2136" s="4">
        <v>0</v>
      </c>
      <c r="D2136" s="4">
        <v>0</v>
      </c>
      <c r="E2136" s="4">
        <v>0</v>
      </c>
      <c r="F2136" s="4">
        <v>84.661471871984105</v>
      </c>
      <c r="G2136" s="4" t="str">
        <f t="shared" si="66"/>
        <v>OK</v>
      </c>
      <c r="H2136" s="4" t="str">
        <f t="shared" si="67"/>
        <v>ZERO</v>
      </c>
      <c r="I2136">
        <v>0</v>
      </c>
      <c r="J2136">
        <f>IFERROR(Table4[[#This Row],[energy_kwh]]/Table4[[#This Row],[expected_kwh]],0)</f>
        <v>0</v>
      </c>
      <c r="K2136" t="str">
        <f>IF(Table4[[#This Row],[Performance_Ratio]] &lt; 0.85, "Underperforming", "Performing")</f>
        <v>Underperforming</v>
      </c>
      <c r="L2136">
        <f>Table4[[#This Row],[energy_kwh]] - Table4[[#This Row],[expected_kwh]]</f>
        <v>0</v>
      </c>
      <c r="M2136" t="str">
        <f>IF(Table4[[#This Row],[Performance_Deviation]] &lt; 0, "Underperforming", "Outperforming")</f>
        <v>Outperforming</v>
      </c>
      <c r="N2136">
        <f>IF(Table4[[#This Row],[Performance_Ratio]] &lt; 0.85, Table4[[#This Row],[Performance_Deviation]] * 50 / 1000, 0)</f>
        <v>0</v>
      </c>
    </row>
    <row r="2137" spans="1:14" x14ac:dyDescent="0.3">
      <c r="A2137" s="6" t="s">
        <v>8</v>
      </c>
      <c r="B2137" s="5">
        <v>45318.958333333336</v>
      </c>
      <c r="C2137" s="6">
        <v>0</v>
      </c>
      <c r="D2137" s="6">
        <v>0</v>
      </c>
      <c r="E2137" s="6">
        <v>0</v>
      </c>
      <c r="F2137" s="6">
        <v>69.308324538309805</v>
      </c>
      <c r="G2137" s="6" t="str">
        <f t="shared" si="66"/>
        <v>OK</v>
      </c>
      <c r="H2137" s="6" t="str">
        <f t="shared" si="67"/>
        <v>ZERO</v>
      </c>
      <c r="I2137">
        <v>0</v>
      </c>
      <c r="J2137">
        <f>IFERROR(Table4[[#This Row],[energy_kwh]]/Table4[[#This Row],[expected_kwh]],0)</f>
        <v>0</v>
      </c>
      <c r="K2137" t="str">
        <f>IF(Table4[[#This Row],[Performance_Ratio]] &lt; 0.85, "Underperforming", "Performing")</f>
        <v>Underperforming</v>
      </c>
      <c r="L2137">
        <f>Table4[[#This Row],[energy_kwh]] - Table4[[#This Row],[expected_kwh]]</f>
        <v>0</v>
      </c>
      <c r="M2137" t="str">
        <f>IF(Table4[[#This Row],[Performance_Deviation]] &lt; 0, "Underperforming", "Outperforming")</f>
        <v>Outperforming</v>
      </c>
      <c r="N2137">
        <f>IF(Table4[[#This Row],[Performance_Ratio]] &lt; 0.85, Table4[[#This Row],[Performance_Deviation]] * 50 / 1000, 0)</f>
        <v>0</v>
      </c>
    </row>
    <row r="2138" spans="1:14" x14ac:dyDescent="0.3">
      <c r="A2138" s="4" t="s">
        <v>8</v>
      </c>
      <c r="B2138" s="3">
        <v>45319</v>
      </c>
      <c r="C2138" s="4">
        <v>0</v>
      </c>
      <c r="D2138" s="4">
        <v>0</v>
      </c>
      <c r="E2138" s="4">
        <v>0</v>
      </c>
      <c r="F2138" s="4">
        <v>65.0811999044911</v>
      </c>
      <c r="G2138" s="4" t="str">
        <f t="shared" si="66"/>
        <v>OK</v>
      </c>
      <c r="H2138" s="4" t="str">
        <f t="shared" si="67"/>
        <v>ZERO</v>
      </c>
      <c r="I2138">
        <v>0</v>
      </c>
      <c r="J2138">
        <f>IFERROR(Table4[[#This Row],[energy_kwh]]/Table4[[#This Row],[expected_kwh]],0)</f>
        <v>0</v>
      </c>
      <c r="K2138" t="str">
        <f>IF(Table4[[#This Row],[Performance_Ratio]] &lt; 0.85, "Underperforming", "Performing")</f>
        <v>Underperforming</v>
      </c>
      <c r="L2138">
        <f>Table4[[#This Row],[energy_kwh]] - Table4[[#This Row],[expected_kwh]]</f>
        <v>0</v>
      </c>
      <c r="M2138" t="str">
        <f>IF(Table4[[#This Row],[Performance_Deviation]] &lt; 0, "Underperforming", "Outperforming")</f>
        <v>Outperforming</v>
      </c>
      <c r="N2138">
        <f>IF(Table4[[#This Row],[Performance_Ratio]] &lt; 0.85, Table4[[#This Row],[Performance_Deviation]] * 50 / 1000, 0)</f>
        <v>0</v>
      </c>
    </row>
    <row r="2139" spans="1:14" x14ac:dyDescent="0.3">
      <c r="A2139" s="6" t="s">
        <v>8</v>
      </c>
      <c r="B2139" s="5">
        <v>45319.041666666664</v>
      </c>
      <c r="C2139" s="6">
        <v>0</v>
      </c>
      <c r="D2139" s="6">
        <v>0</v>
      </c>
      <c r="E2139" s="6">
        <v>0</v>
      </c>
      <c r="F2139" s="6">
        <v>38.346220553919899</v>
      </c>
      <c r="G2139" s="6" t="str">
        <f t="shared" si="66"/>
        <v>OK</v>
      </c>
      <c r="H2139" s="6" t="str">
        <f t="shared" si="67"/>
        <v>ZERO</v>
      </c>
      <c r="I2139">
        <v>0</v>
      </c>
      <c r="J2139">
        <f>IFERROR(Table4[[#This Row],[energy_kwh]]/Table4[[#This Row],[expected_kwh]],0)</f>
        <v>0</v>
      </c>
      <c r="K2139" t="str">
        <f>IF(Table4[[#This Row],[Performance_Ratio]] &lt; 0.85, "Underperforming", "Performing")</f>
        <v>Underperforming</v>
      </c>
      <c r="L2139">
        <f>Table4[[#This Row],[energy_kwh]] - Table4[[#This Row],[expected_kwh]]</f>
        <v>0</v>
      </c>
      <c r="M2139" t="str">
        <f>IF(Table4[[#This Row],[Performance_Deviation]] &lt; 0, "Underperforming", "Outperforming")</f>
        <v>Outperforming</v>
      </c>
      <c r="N2139">
        <f>IF(Table4[[#This Row],[Performance_Ratio]] &lt; 0.85, Table4[[#This Row],[Performance_Deviation]] * 50 / 1000, 0)</f>
        <v>0</v>
      </c>
    </row>
    <row r="2140" spans="1:14" x14ac:dyDescent="0.3">
      <c r="A2140" s="4" t="s">
        <v>8</v>
      </c>
      <c r="B2140" s="3">
        <v>45319.083333333336</v>
      </c>
      <c r="C2140" s="4">
        <v>0</v>
      </c>
      <c r="D2140" s="4">
        <v>0</v>
      </c>
      <c r="E2140" s="4">
        <v>0</v>
      </c>
      <c r="F2140" s="4">
        <v>61.416671013038403</v>
      </c>
      <c r="G2140" s="4" t="str">
        <f t="shared" si="66"/>
        <v>OK</v>
      </c>
      <c r="H2140" s="4" t="str">
        <f t="shared" si="67"/>
        <v>ZERO</v>
      </c>
      <c r="I2140">
        <v>0</v>
      </c>
      <c r="J2140">
        <f>IFERROR(Table4[[#This Row],[energy_kwh]]/Table4[[#This Row],[expected_kwh]],0)</f>
        <v>0</v>
      </c>
      <c r="K2140" t="str">
        <f>IF(Table4[[#This Row],[Performance_Ratio]] &lt; 0.85, "Underperforming", "Performing")</f>
        <v>Underperforming</v>
      </c>
      <c r="L2140">
        <f>Table4[[#This Row],[energy_kwh]] - Table4[[#This Row],[expected_kwh]]</f>
        <v>0</v>
      </c>
      <c r="M2140" t="str">
        <f>IF(Table4[[#This Row],[Performance_Deviation]] &lt; 0, "Underperforming", "Outperforming")</f>
        <v>Outperforming</v>
      </c>
      <c r="N2140">
        <f>IF(Table4[[#This Row],[Performance_Ratio]] &lt; 0.85, Table4[[#This Row],[Performance_Deviation]] * 50 / 1000, 0)</f>
        <v>0</v>
      </c>
    </row>
    <row r="2141" spans="1:14" x14ac:dyDescent="0.3">
      <c r="A2141" s="6" t="s">
        <v>8</v>
      </c>
      <c r="B2141" s="5">
        <v>45319.125</v>
      </c>
      <c r="C2141" s="6">
        <v>0</v>
      </c>
      <c r="D2141" s="6">
        <v>0</v>
      </c>
      <c r="E2141" s="6">
        <v>0</v>
      </c>
      <c r="F2141" s="6">
        <v>56.0955463870703</v>
      </c>
      <c r="G2141" s="6" t="str">
        <f t="shared" si="66"/>
        <v>OK</v>
      </c>
      <c r="H2141" s="6" t="str">
        <f t="shared" si="67"/>
        <v>ZERO</v>
      </c>
      <c r="I2141">
        <v>0</v>
      </c>
      <c r="J2141">
        <f>IFERROR(Table4[[#This Row],[energy_kwh]]/Table4[[#This Row],[expected_kwh]],0)</f>
        <v>0</v>
      </c>
      <c r="K2141" t="str">
        <f>IF(Table4[[#This Row],[Performance_Ratio]] &lt; 0.85, "Underperforming", "Performing")</f>
        <v>Underperforming</v>
      </c>
      <c r="L2141">
        <f>Table4[[#This Row],[energy_kwh]] - Table4[[#This Row],[expected_kwh]]</f>
        <v>0</v>
      </c>
      <c r="M2141" t="str">
        <f>IF(Table4[[#This Row],[Performance_Deviation]] &lt; 0, "Underperforming", "Outperforming")</f>
        <v>Outperforming</v>
      </c>
      <c r="N2141">
        <f>IF(Table4[[#This Row],[Performance_Ratio]] &lt; 0.85, Table4[[#This Row],[Performance_Deviation]] * 50 / 1000, 0)</f>
        <v>0</v>
      </c>
    </row>
    <row r="2142" spans="1:14" x14ac:dyDescent="0.3">
      <c r="A2142" s="4" t="s">
        <v>8</v>
      </c>
      <c r="B2142" s="3">
        <v>45319.166666666664</v>
      </c>
      <c r="C2142" s="4">
        <v>0</v>
      </c>
      <c r="D2142" s="4">
        <v>0</v>
      </c>
      <c r="E2142" s="4">
        <v>0</v>
      </c>
      <c r="F2142" s="4">
        <v>58.360065503196303</v>
      </c>
      <c r="G2142" s="4" t="str">
        <f t="shared" si="66"/>
        <v>OK</v>
      </c>
      <c r="H2142" s="4" t="str">
        <f t="shared" si="67"/>
        <v>ZERO</v>
      </c>
      <c r="I2142">
        <v>0</v>
      </c>
      <c r="J2142">
        <f>IFERROR(Table4[[#This Row],[energy_kwh]]/Table4[[#This Row],[expected_kwh]],0)</f>
        <v>0</v>
      </c>
      <c r="K2142" t="str">
        <f>IF(Table4[[#This Row],[Performance_Ratio]] &lt; 0.85, "Underperforming", "Performing")</f>
        <v>Underperforming</v>
      </c>
      <c r="L2142">
        <f>Table4[[#This Row],[energy_kwh]] - Table4[[#This Row],[expected_kwh]]</f>
        <v>0</v>
      </c>
      <c r="M2142" t="str">
        <f>IF(Table4[[#This Row],[Performance_Deviation]] &lt; 0, "Underperforming", "Outperforming")</f>
        <v>Outperforming</v>
      </c>
      <c r="N2142">
        <f>IF(Table4[[#This Row],[Performance_Ratio]] &lt; 0.85, Table4[[#This Row],[Performance_Deviation]] * 50 / 1000, 0)</f>
        <v>0</v>
      </c>
    </row>
    <row r="2143" spans="1:14" x14ac:dyDescent="0.3">
      <c r="A2143" s="6" t="s">
        <v>8</v>
      </c>
      <c r="B2143" s="5">
        <v>45319.208333333336</v>
      </c>
      <c r="C2143" s="6">
        <v>0</v>
      </c>
      <c r="D2143" s="6">
        <v>0</v>
      </c>
      <c r="E2143" s="6">
        <v>0</v>
      </c>
      <c r="F2143" s="6">
        <v>46.634882301928698</v>
      </c>
      <c r="G2143" s="6" t="str">
        <f t="shared" si="66"/>
        <v>OK</v>
      </c>
      <c r="H2143" s="6" t="str">
        <f t="shared" si="67"/>
        <v>ZERO</v>
      </c>
      <c r="I2143">
        <v>0</v>
      </c>
      <c r="J2143">
        <f>IFERROR(Table4[[#This Row],[energy_kwh]]/Table4[[#This Row],[expected_kwh]],0)</f>
        <v>0</v>
      </c>
      <c r="K2143" t="str">
        <f>IF(Table4[[#This Row],[Performance_Ratio]] &lt; 0.85, "Underperforming", "Performing")</f>
        <v>Underperforming</v>
      </c>
      <c r="L2143">
        <f>Table4[[#This Row],[energy_kwh]] - Table4[[#This Row],[expected_kwh]]</f>
        <v>0</v>
      </c>
      <c r="M2143" t="str">
        <f>IF(Table4[[#This Row],[Performance_Deviation]] &lt; 0, "Underperforming", "Outperforming")</f>
        <v>Outperforming</v>
      </c>
      <c r="N2143">
        <f>IF(Table4[[#This Row],[Performance_Ratio]] &lt; 0.85, Table4[[#This Row],[Performance_Deviation]] * 50 / 1000, 0)</f>
        <v>0</v>
      </c>
    </row>
    <row r="2144" spans="1:14" x14ac:dyDescent="0.3">
      <c r="A2144" s="4" t="s">
        <v>8</v>
      </c>
      <c r="B2144" s="3">
        <v>45319.25</v>
      </c>
      <c r="C2144" s="4">
        <v>0</v>
      </c>
      <c r="D2144" s="4">
        <v>0</v>
      </c>
      <c r="E2144" s="4">
        <v>0</v>
      </c>
      <c r="F2144" s="4">
        <v>57.286536191215298</v>
      </c>
      <c r="G2144" s="4" t="str">
        <f t="shared" si="66"/>
        <v>OK</v>
      </c>
      <c r="H2144" s="4" t="str">
        <f t="shared" si="67"/>
        <v>ZERO</v>
      </c>
      <c r="I2144">
        <v>0</v>
      </c>
      <c r="J2144">
        <f>IFERROR(Table4[[#This Row],[energy_kwh]]/Table4[[#This Row],[expected_kwh]],0)</f>
        <v>0</v>
      </c>
      <c r="K2144" t="str">
        <f>IF(Table4[[#This Row],[Performance_Ratio]] &lt; 0.85, "Underperforming", "Performing")</f>
        <v>Underperforming</v>
      </c>
      <c r="L2144">
        <f>Table4[[#This Row],[energy_kwh]] - Table4[[#This Row],[expected_kwh]]</f>
        <v>0</v>
      </c>
      <c r="M2144" t="str">
        <f>IF(Table4[[#This Row],[Performance_Deviation]] &lt; 0, "Underperforming", "Outperforming")</f>
        <v>Outperforming</v>
      </c>
      <c r="N2144">
        <f>IF(Table4[[#This Row],[Performance_Ratio]] &lt; 0.85, Table4[[#This Row],[Performance_Deviation]] * 50 / 1000, 0)</f>
        <v>0</v>
      </c>
    </row>
    <row r="2145" spans="1:14" x14ac:dyDescent="0.3">
      <c r="A2145" s="6" t="s">
        <v>8</v>
      </c>
      <c r="B2145" s="5">
        <v>45319.291666666664</v>
      </c>
      <c r="C2145" s="6">
        <v>172.641043258845</v>
      </c>
      <c r="D2145" s="6">
        <v>167.33746857425399</v>
      </c>
      <c r="E2145" s="6">
        <v>167.33746857425399</v>
      </c>
      <c r="F2145" s="6">
        <v>32.682792531548799</v>
      </c>
      <c r="G2145" s="6" t="str">
        <f t="shared" si="66"/>
        <v>OK</v>
      </c>
      <c r="H2145" s="6" t="str">
        <f t="shared" si="67"/>
        <v>NON-ZERO</v>
      </c>
      <c r="I2145">
        <v>207.05523608201599</v>
      </c>
      <c r="J2145">
        <f>IFERROR(Table4[[#This Row],[energy_kwh]]/Table4[[#This Row],[expected_kwh]],0)</f>
        <v>0.80817791300853881</v>
      </c>
      <c r="K2145" t="str">
        <f>IF(Table4[[#This Row],[Performance_Ratio]] &lt; 0.85, "Underperforming", "Performing")</f>
        <v>Underperforming</v>
      </c>
      <c r="L2145">
        <f>Table4[[#This Row],[energy_kwh]] - Table4[[#This Row],[expected_kwh]]</f>
        <v>-39.717767507762005</v>
      </c>
      <c r="M2145" t="str">
        <f>IF(Table4[[#This Row],[Performance_Deviation]] &lt; 0, "Underperforming", "Outperforming")</f>
        <v>Underperforming</v>
      </c>
      <c r="N2145">
        <f>IF(Table4[[#This Row],[Performance_Ratio]] &lt; 0.85, Table4[[#This Row],[Performance_Deviation]] * 50 / 1000, 0)</f>
        <v>-1.9858883753881003</v>
      </c>
    </row>
    <row r="2146" spans="1:14" x14ac:dyDescent="0.3">
      <c r="A2146" s="4" t="s">
        <v>8</v>
      </c>
      <c r="B2146" s="3">
        <v>45319.333333333336</v>
      </c>
      <c r="C2146" s="4">
        <v>425.90050873433398</v>
      </c>
      <c r="D2146" s="4">
        <v>412.81674189859098</v>
      </c>
      <c r="E2146" s="4">
        <v>412.81674189859098</v>
      </c>
      <c r="F2146" s="4">
        <v>67.844786718474893</v>
      </c>
      <c r="G2146" s="4" t="str">
        <f t="shared" si="66"/>
        <v>OK</v>
      </c>
      <c r="H2146" s="4" t="str">
        <f t="shared" si="67"/>
        <v>NON-ZERO</v>
      </c>
      <c r="I2146">
        <v>399.99999999999898</v>
      </c>
      <c r="J2146">
        <f>IFERROR(Table4[[#This Row],[energy_kwh]]/Table4[[#This Row],[expected_kwh]],0)</f>
        <v>1.03204185474648</v>
      </c>
      <c r="K2146" t="str">
        <f>IF(Table4[[#This Row],[Performance_Ratio]] &lt; 0.85, "Underperforming", "Performing")</f>
        <v>Performing</v>
      </c>
      <c r="L2146">
        <f>Table4[[#This Row],[energy_kwh]] - Table4[[#This Row],[expected_kwh]]</f>
        <v>12.816741898591999</v>
      </c>
      <c r="M2146" t="str">
        <f>IF(Table4[[#This Row],[Performance_Deviation]] &lt; 0, "Underperforming", "Outperforming")</f>
        <v>Outperforming</v>
      </c>
      <c r="N2146">
        <f>IF(Table4[[#This Row],[Performance_Ratio]] &lt; 0.85, Table4[[#This Row],[Performance_Deviation]] * 50 / 1000, 0)</f>
        <v>0</v>
      </c>
    </row>
    <row r="2147" spans="1:14" x14ac:dyDescent="0.3">
      <c r="A2147" s="6" t="s">
        <v>8</v>
      </c>
      <c r="B2147" s="5">
        <v>45319.375</v>
      </c>
      <c r="C2147" s="6">
        <v>580.11624882757997</v>
      </c>
      <c r="D2147" s="6">
        <v>562.29493708545101</v>
      </c>
      <c r="E2147" s="6">
        <v>562.29493708545101</v>
      </c>
      <c r="F2147" s="6">
        <v>92.000891061434402</v>
      </c>
      <c r="G2147" s="6" t="str">
        <f t="shared" si="66"/>
        <v>OK</v>
      </c>
      <c r="H2147" s="6" t="str">
        <f t="shared" si="67"/>
        <v>NON-ZERO</v>
      </c>
      <c r="I2147">
        <v>565.68542494923804</v>
      </c>
      <c r="J2147">
        <f>IFERROR(Table4[[#This Row],[energy_kwh]]/Table4[[#This Row],[expected_kwh]],0)</f>
        <v>0.99400640759996373</v>
      </c>
      <c r="K2147" t="str">
        <f>IF(Table4[[#This Row],[Performance_Ratio]] &lt; 0.85, "Underperforming", "Performing")</f>
        <v>Performing</v>
      </c>
      <c r="L2147">
        <f>Table4[[#This Row],[energy_kwh]] - Table4[[#This Row],[expected_kwh]]</f>
        <v>-3.3904878637870297</v>
      </c>
      <c r="M2147" t="str">
        <f>IF(Table4[[#This Row],[Performance_Deviation]] &lt; 0, "Underperforming", "Outperforming")</f>
        <v>Underperforming</v>
      </c>
      <c r="N2147">
        <f>IF(Table4[[#This Row],[Performance_Ratio]] &lt; 0.85, Table4[[#This Row],[Performance_Deviation]] * 50 / 1000, 0)</f>
        <v>0</v>
      </c>
    </row>
    <row r="2148" spans="1:14" x14ac:dyDescent="0.3">
      <c r="A2148" s="4" t="s">
        <v>8</v>
      </c>
      <c r="B2148" s="3">
        <v>45319.416666666664</v>
      </c>
      <c r="C2148" s="4">
        <v>673.61957387201801</v>
      </c>
      <c r="D2148" s="4">
        <v>652.92581732609199</v>
      </c>
      <c r="E2148" s="4">
        <v>652.92581732609199</v>
      </c>
      <c r="F2148" s="4">
        <v>41.421994976268202</v>
      </c>
      <c r="G2148" s="4" t="str">
        <f t="shared" si="66"/>
        <v>OK</v>
      </c>
      <c r="H2148" s="4" t="str">
        <f t="shared" si="67"/>
        <v>NON-ZERO</v>
      </c>
      <c r="I2148">
        <v>692.82032302754999</v>
      </c>
      <c r="J2148">
        <f>IFERROR(Table4[[#This Row],[energy_kwh]]/Table4[[#This Row],[expected_kwh]],0)</f>
        <v>0.94241724098519031</v>
      </c>
      <c r="K2148" t="str">
        <f>IF(Table4[[#This Row],[Performance_Ratio]] &lt; 0.85, "Underperforming", "Performing")</f>
        <v>Performing</v>
      </c>
      <c r="L2148">
        <f>Table4[[#This Row],[energy_kwh]] - Table4[[#This Row],[expected_kwh]]</f>
        <v>-39.894505701458002</v>
      </c>
      <c r="M2148" t="str">
        <f>IF(Table4[[#This Row],[Performance_Deviation]] &lt; 0, "Underperforming", "Outperforming")</f>
        <v>Underperforming</v>
      </c>
      <c r="N2148">
        <f>IF(Table4[[#This Row],[Performance_Ratio]] &lt; 0.85, Table4[[#This Row],[Performance_Deviation]] * 50 / 1000, 0)</f>
        <v>0</v>
      </c>
    </row>
    <row r="2149" spans="1:14" x14ac:dyDescent="0.3">
      <c r="A2149" s="6" t="s">
        <v>8</v>
      </c>
      <c r="B2149" s="5">
        <v>45319.458333333336</v>
      </c>
      <c r="C2149" s="6">
        <v>749.69568801751495</v>
      </c>
      <c r="D2149" s="6">
        <v>726.66485480970198</v>
      </c>
      <c r="E2149" s="6">
        <v>726.66485480970198</v>
      </c>
      <c r="F2149" s="6">
        <v>22.391359640644399</v>
      </c>
      <c r="G2149" s="6" t="str">
        <f t="shared" si="66"/>
        <v>OK</v>
      </c>
      <c r="H2149" s="6" t="str">
        <f t="shared" si="67"/>
        <v>NON-ZERO</v>
      </c>
      <c r="I2149">
        <v>772.74066103125404</v>
      </c>
      <c r="J2149">
        <f>IFERROR(Table4[[#This Row],[energy_kwh]]/Table4[[#This Row],[expected_kwh]],0)</f>
        <v>0.94037351915704548</v>
      </c>
      <c r="K2149" t="str">
        <f>IF(Table4[[#This Row],[Performance_Ratio]] &lt; 0.85, "Underperforming", "Performing")</f>
        <v>Performing</v>
      </c>
      <c r="L2149">
        <f>Table4[[#This Row],[energy_kwh]] - Table4[[#This Row],[expected_kwh]]</f>
        <v>-46.075806221552057</v>
      </c>
      <c r="M2149" t="str">
        <f>IF(Table4[[#This Row],[Performance_Deviation]] &lt; 0, "Underperforming", "Outperforming")</f>
        <v>Underperforming</v>
      </c>
      <c r="N2149">
        <f>IF(Table4[[#This Row],[Performance_Ratio]] &lt; 0.85, Table4[[#This Row],[Performance_Deviation]] * 50 / 1000, 0)</f>
        <v>0</v>
      </c>
    </row>
    <row r="2150" spans="1:14" x14ac:dyDescent="0.3">
      <c r="A2150" s="4" t="s">
        <v>8</v>
      </c>
      <c r="B2150" s="3">
        <v>45319.5</v>
      </c>
      <c r="C2150" s="4">
        <v>749.46623896947699</v>
      </c>
      <c r="D2150" s="4">
        <v>726.44245449202197</v>
      </c>
      <c r="E2150" s="4">
        <v>726.44245449202197</v>
      </c>
      <c r="F2150" s="4">
        <v>79.845739193997503</v>
      </c>
      <c r="G2150" s="4" t="str">
        <f t="shared" si="66"/>
        <v>OK</v>
      </c>
      <c r="H2150" s="4" t="str">
        <f t="shared" si="67"/>
        <v>NON-ZERO</v>
      </c>
      <c r="I2150">
        <v>800</v>
      </c>
      <c r="J2150">
        <f>IFERROR(Table4[[#This Row],[energy_kwh]]/Table4[[#This Row],[expected_kwh]],0)</f>
        <v>0.90805306811502751</v>
      </c>
      <c r="K2150" t="str">
        <f>IF(Table4[[#This Row],[Performance_Ratio]] &lt; 0.85, "Underperforming", "Performing")</f>
        <v>Performing</v>
      </c>
      <c r="L2150">
        <f>Table4[[#This Row],[energy_kwh]] - Table4[[#This Row],[expected_kwh]]</f>
        <v>-73.557545507978034</v>
      </c>
      <c r="M2150" t="str">
        <f>IF(Table4[[#This Row],[Performance_Deviation]] &lt; 0, "Underperforming", "Outperforming")</f>
        <v>Underperforming</v>
      </c>
      <c r="N2150">
        <f>IF(Table4[[#This Row],[Performance_Ratio]] &lt; 0.85, Table4[[#This Row],[Performance_Deviation]] * 50 / 1000, 0)</f>
        <v>0</v>
      </c>
    </row>
    <row r="2151" spans="1:14" x14ac:dyDescent="0.3">
      <c r="A2151" s="6" t="s">
        <v>8</v>
      </c>
      <c r="B2151" s="5">
        <v>45319.541666666664</v>
      </c>
      <c r="C2151" s="6">
        <v>715.02625064070003</v>
      </c>
      <c r="D2151" s="6">
        <v>693.06047095046301</v>
      </c>
      <c r="E2151" s="6">
        <v>693.06047095046301</v>
      </c>
      <c r="F2151" s="6">
        <v>52.199207427814599</v>
      </c>
      <c r="G2151" s="6" t="str">
        <f t="shared" si="66"/>
        <v>OK</v>
      </c>
      <c r="H2151" s="6" t="str">
        <f t="shared" si="67"/>
        <v>NON-ZERO</v>
      </c>
      <c r="I2151">
        <v>772.74066103125404</v>
      </c>
      <c r="J2151">
        <f>IFERROR(Table4[[#This Row],[energy_kwh]]/Table4[[#This Row],[expected_kwh]],0)</f>
        <v>0.89688624644851156</v>
      </c>
      <c r="K2151" t="str">
        <f>IF(Table4[[#This Row],[Performance_Ratio]] &lt; 0.85, "Underperforming", "Performing")</f>
        <v>Performing</v>
      </c>
      <c r="L2151">
        <f>Table4[[#This Row],[energy_kwh]] - Table4[[#This Row],[expected_kwh]]</f>
        <v>-79.680190080791022</v>
      </c>
      <c r="M2151" t="str">
        <f>IF(Table4[[#This Row],[Performance_Deviation]] &lt; 0, "Underperforming", "Outperforming")</f>
        <v>Underperforming</v>
      </c>
      <c r="N2151">
        <f>IF(Table4[[#This Row],[Performance_Ratio]] &lt; 0.85, Table4[[#This Row],[Performance_Deviation]] * 50 / 1000, 0)</f>
        <v>0</v>
      </c>
    </row>
    <row r="2152" spans="1:14" x14ac:dyDescent="0.3">
      <c r="A2152" s="4" t="s">
        <v>8</v>
      </c>
      <c r="B2152" s="3">
        <v>45319.583333333336</v>
      </c>
      <c r="C2152" s="4">
        <v>612.83971184538495</v>
      </c>
      <c r="D2152" s="4">
        <v>594.01312738955198</v>
      </c>
      <c r="E2152" s="4">
        <v>594.01312738955198</v>
      </c>
      <c r="F2152" s="4">
        <v>74.066991428907301</v>
      </c>
      <c r="G2152" s="4" t="str">
        <f t="shared" si="66"/>
        <v>OK</v>
      </c>
      <c r="H2152" s="4" t="str">
        <f t="shared" si="67"/>
        <v>NON-ZERO</v>
      </c>
      <c r="I2152">
        <v>692.82032302755101</v>
      </c>
      <c r="J2152">
        <f>IFERROR(Table4[[#This Row],[energy_kwh]]/Table4[[#This Row],[expected_kwh]],0)</f>
        <v>0.85738409750132316</v>
      </c>
      <c r="K2152" t="str">
        <f>IF(Table4[[#This Row],[Performance_Ratio]] &lt; 0.85, "Underperforming", "Performing")</f>
        <v>Performing</v>
      </c>
      <c r="L2152">
        <f>Table4[[#This Row],[energy_kwh]] - Table4[[#This Row],[expected_kwh]]</f>
        <v>-98.80719563799903</v>
      </c>
      <c r="M2152" t="str">
        <f>IF(Table4[[#This Row],[Performance_Deviation]] &lt; 0, "Underperforming", "Outperforming")</f>
        <v>Underperforming</v>
      </c>
      <c r="N2152">
        <f>IF(Table4[[#This Row],[Performance_Ratio]] &lt; 0.85, Table4[[#This Row],[Performance_Deviation]] * 50 / 1000, 0)</f>
        <v>0</v>
      </c>
    </row>
    <row r="2153" spans="1:14" x14ac:dyDescent="0.3">
      <c r="A2153" s="6" t="s">
        <v>8</v>
      </c>
      <c r="B2153" s="5">
        <v>45319.625</v>
      </c>
      <c r="C2153" s="6">
        <v>528.568039812444</v>
      </c>
      <c r="D2153" s="6">
        <v>634.28164777493203</v>
      </c>
      <c r="E2153" s="6">
        <v>634.28164777493203</v>
      </c>
      <c r="F2153" s="6">
        <v>91.544060288504099</v>
      </c>
      <c r="G2153" s="6" t="str">
        <f t="shared" si="66"/>
        <v>ERROR</v>
      </c>
      <c r="H2153" s="6" t="str">
        <f t="shared" si="67"/>
        <v>NON-ZERO</v>
      </c>
      <c r="I2153">
        <v>565.68542494923804</v>
      </c>
      <c r="J2153">
        <f>IFERROR(Table4[[#This Row],[energy_kwh]]/Table4[[#This Row],[expected_kwh]],0)</f>
        <v>1.1212621358095791</v>
      </c>
      <c r="K2153" t="str">
        <f>IF(Table4[[#This Row],[Performance_Ratio]] &lt; 0.85, "Underperforming", "Performing")</f>
        <v>Performing</v>
      </c>
      <c r="L2153">
        <f>Table4[[#This Row],[energy_kwh]] - Table4[[#This Row],[expected_kwh]]</f>
        <v>68.596222825693985</v>
      </c>
      <c r="M2153" t="str">
        <f>IF(Table4[[#This Row],[Performance_Deviation]] &lt; 0, "Underperforming", "Outperforming")</f>
        <v>Outperforming</v>
      </c>
      <c r="N2153">
        <f>IF(Table4[[#This Row],[Performance_Ratio]] &lt; 0.85, Table4[[#This Row],[Performance_Deviation]] * 50 / 1000, 0)</f>
        <v>0</v>
      </c>
    </row>
    <row r="2154" spans="1:14" x14ac:dyDescent="0.3">
      <c r="A2154" s="4" t="s">
        <v>8</v>
      </c>
      <c r="B2154" s="3">
        <v>45319.666666666664</v>
      </c>
      <c r="C2154" s="4">
        <v>392.22851155581498</v>
      </c>
      <c r="D2154" s="4">
        <v>380.17915663304802</v>
      </c>
      <c r="E2154" s="4">
        <v>380.17915663304802</v>
      </c>
      <c r="F2154" s="4">
        <v>91.993751723156805</v>
      </c>
      <c r="G2154" s="4" t="str">
        <f t="shared" si="66"/>
        <v>OK</v>
      </c>
      <c r="H2154" s="4" t="str">
        <f t="shared" si="67"/>
        <v>NON-ZERO</v>
      </c>
      <c r="I2154">
        <v>399.99999999999898</v>
      </c>
      <c r="J2154">
        <f>IFERROR(Table4[[#This Row],[energy_kwh]]/Table4[[#This Row],[expected_kwh]],0)</f>
        <v>0.95044789158262244</v>
      </c>
      <c r="K2154" t="str">
        <f>IF(Table4[[#This Row],[Performance_Ratio]] &lt; 0.85, "Underperforming", "Performing")</f>
        <v>Performing</v>
      </c>
      <c r="L2154">
        <f>Table4[[#This Row],[energy_kwh]] - Table4[[#This Row],[expected_kwh]]</f>
        <v>-19.820843366950953</v>
      </c>
      <c r="M2154" t="str">
        <f>IF(Table4[[#This Row],[Performance_Deviation]] &lt; 0, "Underperforming", "Outperforming")</f>
        <v>Underperforming</v>
      </c>
      <c r="N2154">
        <f>IF(Table4[[#This Row],[Performance_Ratio]] &lt; 0.85, Table4[[#This Row],[Performance_Deviation]] * 50 / 1000, 0)</f>
        <v>0</v>
      </c>
    </row>
    <row r="2155" spans="1:14" x14ac:dyDescent="0.3">
      <c r="A2155" s="6" t="s">
        <v>8</v>
      </c>
      <c r="B2155" s="5">
        <v>45319.708333333336</v>
      </c>
      <c r="C2155" s="6">
        <v>202.517517354609</v>
      </c>
      <c r="D2155" s="6">
        <v>196.29613014590299</v>
      </c>
      <c r="E2155" s="6">
        <v>196.29613014590299</v>
      </c>
      <c r="F2155" s="6">
        <v>90.9222258311747</v>
      </c>
      <c r="G2155" s="6" t="str">
        <f t="shared" si="66"/>
        <v>OK</v>
      </c>
      <c r="H2155" s="6" t="str">
        <f t="shared" si="67"/>
        <v>NON-ZERO</v>
      </c>
      <c r="I2155">
        <v>207.05523608201599</v>
      </c>
      <c r="J2155">
        <f>IFERROR(Table4[[#This Row],[energy_kwh]]/Table4[[#This Row],[expected_kwh]],0)</f>
        <v>0.94803750854264202</v>
      </c>
      <c r="K2155" t="str">
        <f>IF(Table4[[#This Row],[Performance_Ratio]] &lt; 0.85, "Underperforming", "Performing")</f>
        <v>Performing</v>
      </c>
      <c r="L2155">
        <f>Table4[[#This Row],[energy_kwh]] - Table4[[#This Row],[expected_kwh]]</f>
        <v>-10.759105936113002</v>
      </c>
      <c r="M2155" t="str">
        <f>IF(Table4[[#This Row],[Performance_Deviation]] &lt; 0, "Underperforming", "Outperforming")</f>
        <v>Underperforming</v>
      </c>
      <c r="N2155">
        <f>IF(Table4[[#This Row],[Performance_Ratio]] &lt; 0.85, Table4[[#This Row],[Performance_Deviation]] * 50 / 1000, 0)</f>
        <v>0</v>
      </c>
    </row>
    <row r="2156" spans="1:14" x14ac:dyDescent="0.3">
      <c r="A2156" s="4" t="s">
        <v>8</v>
      </c>
      <c r="B2156" s="3">
        <v>45319.75</v>
      </c>
      <c r="C2156" s="7">
        <v>1.0751039995781901E-13</v>
      </c>
      <c r="D2156" s="7">
        <v>1.0420765441838299E-13</v>
      </c>
      <c r="E2156" s="7">
        <v>1.0420765441838299E-13</v>
      </c>
      <c r="F2156" s="4">
        <v>25.706354507413</v>
      </c>
      <c r="G2156" s="4" t="str">
        <f t="shared" si="66"/>
        <v>OK</v>
      </c>
      <c r="H2156" s="4" t="str">
        <f t="shared" si="67"/>
        <v>NON-ZERO</v>
      </c>
      <c r="I2156" s="2">
        <v>9.7971743931788194E-14</v>
      </c>
      <c r="J2156">
        <f>IFERROR(Table4[[#This Row],[energy_kwh]]/Table4[[#This Row],[expected_kwh]],0)</f>
        <v>1.0636500917135505</v>
      </c>
      <c r="K2156" t="str">
        <f>IF(Table4[[#This Row],[Performance_Ratio]] &lt; 0.85, "Underperforming", "Performing")</f>
        <v>Performing</v>
      </c>
      <c r="L2156">
        <f>Table4[[#This Row],[energy_kwh]] - Table4[[#This Row],[expected_kwh]]</f>
        <v>6.2359104865947998E-15</v>
      </c>
      <c r="M2156" t="str">
        <f>IF(Table4[[#This Row],[Performance_Deviation]] &lt; 0, "Underperforming", "Outperforming")</f>
        <v>Outperforming</v>
      </c>
      <c r="N2156">
        <f>IF(Table4[[#This Row],[Performance_Ratio]] &lt; 0.85, Table4[[#This Row],[Performance_Deviation]] * 50 / 1000, 0)</f>
        <v>0</v>
      </c>
    </row>
    <row r="2157" spans="1:14" x14ac:dyDescent="0.3">
      <c r="A2157" s="6" t="s">
        <v>8</v>
      </c>
      <c r="B2157" s="5">
        <v>45319.791666666664</v>
      </c>
      <c r="C2157" s="6">
        <v>0</v>
      </c>
      <c r="D2157" s="6">
        <v>0</v>
      </c>
      <c r="E2157" s="6">
        <v>0</v>
      </c>
      <c r="F2157" s="6">
        <v>79.392990381667701</v>
      </c>
      <c r="G2157" s="6" t="str">
        <f t="shared" si="66"/>
        <v>OK</v>
      </c>
      <c r="H2157" s="6" t="str">
        <f t="shared" si="67"/>
        <v>ZERO</v>
      </c>
      <c r="I2157">
        <v>0</v>
      </c>
      <c r="J2157">
        <f>IFERROR(Table4[[#This Row],[energy_kwh]]/Table4[[#This Row],[expected_kwh]],0)</f>
        <v>0</v>
      </c>
      <c r="K2157" t="str">
        <f>IF(Table4[[#This Row],[Performance_Ratio]] &lt; 0.85, "Underperforming", "Performing")</f>
        <v>Underperforming</v>
      </c>
      <c r="L2157">
        <f>Table4[[#This Row],[energy_kwh]] - Table4[[#This Row],[expected_kwh]]</f>
        <v>0</v>
      </c>
      <c r="M2157" t="str">
        <f>IF(Table4[[#This Row],[Performance_Deviation]] &lt; 0, "Underperforming", "Outperforming")</f>
        <v>Outperforming</v>
      </c>
      <c r="N2157">
        <f>IF(Table4[[#This Row],[Performance_Ratio]] &lt; 0.85, Table4[[#This Row],[Performance_Deviation]] * 50 / 1000, 0)</f>
        <v>0</v>
      </c>
    </row>
    <row r="2158" spans="1:14" x14ac:dyDescent="0.3">
      <c r="A2158" s="4" t="s">
        <v>8</v>
      </c>
      <c r="B2158" s="3">
        <v>45319.833333333336</v>
      </c>
      <c r="C2158" s="4">
        <v>0</v>
      </c>
      <c r="D2158" s="4">
        <v>0</v>
      </c>
      <c r="E2158" s="4">
        <v>0</v>
      </c>
      <c r="F2158" s="4">
        <v>50.177790465603003</v>
      </c>
      <c r="G2158" s="4" t="str">
        <f t="shared" si="66"/>
        <v>OK</v>
      </c>
      <c r="H2158" s="4" t="str">
        <f t="shared" si="67"/>
        <v>ZERO</v>
      </c>
      <c r="I2158">
        <v>0</v>
      </c>
      <c r="J2158">
        <f>IFERROR(Table4[[#This Row],[energy_kwh]]/Table4[[#This Row],[expected_kwh]],0)</f>
        <v>0</v>
      </c>
      <c r="K2158" t="str">
        <f>IF(Table4[[#This Row],[Performance_Ratio]] &lt; 0.85, "Underperforming", "Performing")</f>
        <v>Underperforming</v>
      </c>
      <c r="L2158">
        <f>Table4[[#This Row],[energy_kwh]] - Table4[[#This Row],[expected_kwh]]</f>
        <v>0</v>
      </c>
      <c r="M2158" t="str">
        <f>IF(Table4[[#This Row],[Performance_Deviation]] &lt; 0, "Underperforming", "Outperforming")</f>
        <v>Outperforming</v>
      </c>
      <c r="N2158">
        <f>IF(Table4[[#This Row],[Performance_Ratio]] &lt; 0.85, Table4[[#This Row],[Performance_Deviation]] * 50 / 1000, 0)</f>
        <v>0</v>
      </c>
    </row>
    <row r="2159" spans="1:14" x14ac:dyDescent="0.3">
      <c r="A2159" s="6" t="s">
        <v>8</v>
      </c>
      <c r="B2159" s="5">
        <v>45319.875</v>
      </c>
      <c r="C2159" s="6">
        <v>0</v>
      </c>
      <c r="D2159" s="6">
        <v>0</v>
      </c>
      <c r="E2159" s="6">
        <v>0</v>
      </c>
      <c r="F2159" s="6">
        <v>60.2651163477951</v>
      </c>
      <c r="G2159" s="6" t="str">
        <f t="shared" si="66"/>
        <v>OK</v>
      </c>
      <c r="H2159" s="6" t="str">
        <f t="shared" si="67"/>
        <v>ZERO</v>
      </c>
      <c r="I2159">
        <v>0</v>
      </c>
      <c r="J2159">
        <f>IFERROR(Table4[[#This Row],[energy_kwh]]/Table4[[#This Row],[expected_kwh]],0)</f>
        <v>0</v>
      </c>
      <c r="K2159" t="str">
        <f>IF(Table4[[#This Row],[Performance_Ratio]] &lt; 0.85, "Underperforming", "Performing")</f>
        <v>Underperforming</v>
      </c>
      <c r="L2159">
        <f>Table4[[#This Row],[energy_kwh]] - Table4[[#This Row],[expected_kwh]]</f>
        <v>0</v>
      </c>
      <c r="M2159" t="str">
        <f>IF(Table4[[#This Row],[Performance_Deviation]] &lt; 0, "Underperforming", "Outperforming")</f>
        <v>Outperforming</v>
      </c>
      <c r="N2159">
        <f>IF(Table4[[#This Row],[Performance_Ratio]] &lt; 0.85, Table4[[#This Row],[Performance_Deviation]] * 50 / 1000, 0)</f>
        <v>0</v>
      </c>
    </row>
    <row r="2160" spans="1:14" x14ac:dyDescent="0.3">
      <c r="A2160" s="4" t="s">
        <v>8</v>
      </c>
      <c r="B2160" s="3">
        <v>45319.916666666664</v>
      </c>
      <c r="C2160" s="4">
        <v>0</v>
      </c>
      <c r="D2160" s="4">
        <v>0</v>
      </c>
      <c r="E2160" s="4">
        <v>0</v>
      </c>
      <c r="F2160" s="4">
        <v>89.552480709616503</v>
      </c>
      <c r="G2160" s="4" t="str">
        <f t="shared" si="66"/>
        <v>OK</v>
      </c>
      <c r="H2160" s="4" t="str">
        <f t="shared" si="67"/>
        <v>ZERO</v>
      </c>
      <c r="I2160">
        <v>0</v>
      </c>
      <c r="J2160">
        <f>IFERROR(Table4[[#This Row],[energy_kwh]]/Table4[[#This Row],[expected_kwh]],0)</f>
        <v>0</v>
      </c>
      <c r="K2160" t="str">
        <f>IF(Table4[[#This Row],[Performance_Ratio]] &lt; 0.85, "Underperforming", "Performing")</f>
        <v>Underperforming</v>
      </c>
      <c r="L2160">
        <f>Table4[[#This Row],[energy_kwh]] - Table4[[#This Row],[expected_kwh]]</f>
        <v>0</v>
      </c>
      <c r="M2160" t="str">
        <f>IF(Table4[[#This Row],[Performance_Deviation]] &lt; 0, "Underperforming", "Outperforming")</f>
        <v>Outperforming</v>
      </c>
      <c r="N2160">
        <f>IF(Table4[[#This Row],[Performance_Ratio]] &lt; 0.85, Table4[[#This Row],[Performance_Deviation]] * 50 / 1000, 0)</f>
        <v>0</v>
      </c>
    </row>
    <row r="2161" spans="1:14" x14ac:dyDescent="0.3">
      <c r="A2161" s="6" t="s">
        <v>8</v>
      </c>
      <c r="B2161" s="5">
        <v>45319.958333333336</v>
      </c>
      <c r="C2161" s="6">
        <v>0</v>
      </c>
      <c r="D2161" s="6">
        <v>0</v>
      </c>
      <c r="E2161" s="6">
        <v>0</v>
      </c>
      <c r="F2161" s="6">
        <v>48.796167069722898</v>
      </c>
      <c r="G2161" s="6" t="str">
        <f t="shared" si="66"/>
        <v>OK</v>
      </c>
      <c r="H2161" s="6" t="str">
        <f t="shared" si="67"/>
        <v>ZERO</v>
      </c>
      <c r="I2161">
        <v>0</v>
      </c>
      <c r="J2161">
        <f>IFERROR(Table4[[#This Row],[energy_kwh]]/Table4[[#This Row],[expected_kwh]],0)</f>
        <v>0</v>
      </c>
      <c r="K2161" t="str">
        <f>IF(Table4[[#This Row],[Performance_Ratio]] &lt; 0.85, "Underperforming", "Performing")</f>
        <v>Underperforming</v>
      </c>
      <c r="L2161">
        <f>Table4[[#This Row],[energy_kwh]] - Table4[[#This Row],[expected_kwh]]</f>
        <v>0</v>
      </c>
      <c r="M2161" t="str">
        <f>IF(Table4[[#This Row],[Performance_Deviation]] &lt; 0, "Underperforming", "Outperforming")</f>
        <v>Outperforming</v>
      </c>
      <c r="N2161">
        <f>IF(Table4[[#This Row],[Performance_Ratio]] &lt; 0.85, Table4[[#This Row],[Performance_Deviation]] * 50 / 1000, 0)</f>
        <v>0</v>
      </c>
    </row>
    <row r="2162" spans="1:14" x14ac:dyDescent="0.3">
      <c r="A2162" s="4" t="s">
        <v>8</v>
      </c>
      <c r="B2162" s="3">
        <v>45320</v>
      </c>
      <c r="C2162" s="4">
        <v>0</v>
      </c>
      <c r="D2162" s="4">
        <v>0</v>
      </c>
      <c r="E2162" s="4">
        <v>0</v>
      </c>
      <c r="F2162" s="4">
        <v>54.057244503315196</v>
      </c>
      <c r="G2162" s="4" t="str">
        <f t="shared" si="66"/>
        <v>OK</v>
      </c>
      <c r="H2162" s="4" t="str">
        <f t="shared" si="67"/>
        <v>ZERO</v>
      </c>
      <c r="I2162">
        <v>0</v>
      </c>
      <c r="J2162">
        <f>IFERROR(Table4[[#This Row],[energy_kwh]]/Table4[[#This Row],[expected_kwh]],0)</f>
        <v>0</v>
      </c>
      <c r="K2162" t="str">
        <f>IF(Table4[[#This Row],[Performance_Ratio]] &lt; 0.85, "Underperforming", "Performing")</f>
        <v>Underperforming</v>
      </c>
      <c r="L2162">
        <f>Table4[[#This Row],[energy_kwh]] - Table4[[#This Row],[expected_kwh]]</f>
        <v>0</v>
      </c>
      <c r="M2162" t="str">
        <f>IF(Table4[[#This Row],[Performance_Deviation]] &lt; 0, "Underperforming", "Outperforming")</f>
        <v>Outperforming</v>
      </c>
      <c r="N2162">
        <f>IF(Table4[[#This Row],[Performance_Ratio]] &lt; 0.85, Table4[[#This Row],[Performance_Deviation]] * 50 / 1000, 0)</f>
        <v>0</v>
      </c>
    </row>
    <row r="2163" spans="1:14" x14ac:dyDescent="0.3">
      <c r="A2163" s="6" t="s">
        <v>8</v>
      </c>
      <c r="B2163" s="5">
        <v>45320.041666666664</v>
      </c>
      <c r="C2163" s="6">
        <v>0</v>
      </c>
      <c r="D2163" s="6">
        <v>0</v>
      </c>
      <c r="E2163" s="6">
        <v>0</v>
      </c>
      <c r="F2163" s="6">
        <v>21.416065893217599</v>
      </c>
      <c r="G2163" s="6" t="str">
        <f t="shared" si="66"/>
        <v>OK</v>
      </c>
      <c r="H2163" s="6" t="str">
        <f t="shared" si="67"/>
        <v>ZERO</v>
      </c>
      <c r="I2163">
        <v>0</v>
      </c>
      <c r="J2163">
        <f>IFERROR(Table4[[#This Row],[energy_kwh]]/Table4[[#This Row],[expected_kwh]],0)</f>
        <v>0</v>
      </c>
      <c r="K2163" t="str">
        <f>IF(Table4[[#This Row],[Performance_Ratio]] &lt; 0.85, "Underperforming", "Performing")</f>
        <v>Underperforming</v>
      </c>
      <c r="L2163">
        <f>Table4[[#This Row],[energy_kwh]] - Table4[[#This Row],[expected_kwh]]</f>
        <v>0</v>
      </c>
      <c r="M2163" t="str">
        <f>IF(Table4[[#This Row],[Performance_Deviation]] &lt; 0, "Underperforming", "Outperforming")</f>
        <v>Outperforming</v>
      </c>
      <c r="N2163">
        <f>IF(Table4[[#This Row],[Performance_Ratio]] &lt; 0.85, Table4[[#This Row],[Performance_Deviation]] * 50 / 1000, 0)</f>
        <v>0</v>
      </c>
    </row>
    <row r="2164" spans="1:14" x14ac:dyDescent="0.3">
      <c r="A2164" s="4" t="s">
        <v>8</v>
      </c>
      <c r="B2164" s="3">
        <v>45320.083333333336</v>
      </c>
      <c r="C2164" s="4">
        <v>0</v>
      </c>
      <c r="D2164" s="4">
        <v>0</v>
      </c>
      <c r="E2164" s="4">
        <v>0</v>
      </c>
      <c r="F2164" s="4">
        <v>72.161634438323702</v>
      </c>
      <c r="G2164" s="4" t="str">
        <f t="shared" si="66"/>
        <v>OK</v>
      </c>
      <c r="H2164" s="4" t="str">
        <f t="shared" si="67"/>
        <v>ZERO</v>
      </c>
      <c r="I2164">
        <v>0</v>
      </c>
      <c r="J2164">
        <f>IFERROR(Table4[[#This Row],[energy_kwh]]/Table4[[#This Row],[expected_kwh]],0)</f>
        <v>0</v>
      </c>
      <c r="K2164" t="str">
        <f>IF(Table4[[#This Row],[Performance_Ratio]] &lt; 0.85, "Underperforming", "Performing")</f>
        <v>Underperforming</v>
      </c>
      <c r="L2164">
        <f>Table4[[#This Row],[energy_kwh]] - Table4[[#This Row],[expected_kwh]]</f>
        <v>0</v>
      </c>
      <c r="M2164" t="str">
        <f>IF(Table4[[#This Row],[Performance_Deviation]] &lt; 0, "Underperforming", "Outperforming")</f>
        <v>Outperforming</v>
      </c>
      <c r="N2164">
        <f>IF(Table4[[#This Row],[Performance_Ratio]] &lt; 0.85, Table4[[#This Row],[Performance_Deviation]] * 50 / 1000, 0)</f>
        <v>0</v>
      </c>
    </row>
    <row r="2165" spans="1:14" x14ac:dyDescent="0.3">
      <c r="A2165" s="6" t="s">
        <v>8</v>
      </c>
      <c r="B2165" s="5">
        <v>45320.125</v>
      </c>
      <c r="C2165" s="6">
        <v>0</v>
      </c>
      <c r="D2165" s="6">
        <v>0</v>
      </c>
      <c r="E2165" s="6">
        <v>0</v>
      </c>
      <c r="F2165" s="6">
        <v>56.939139051538099</v>
      </c>
      <c r="G2165" s="6" t="str">
        <f t="shared" si="66"/>
        <v>OK</v>
      </c>
      <c r="H2165" s="6" t="str">
        <f t="shared" si="67"/>
        <v>ZERO</v>
      </c>
      <c r="I2165">
        <v>0</v>
      </c>
      <c r="J2165">
        <f>IFERROR(Table4[[#This Row],[energy_kwh]]/Table4[[#This Row],[expected_kwh]],0)</f>
        <v>0</v>
      </c>
      <c r="K2165" t="str">
        <f>IF(Table4[[#This Row],[Performance_Ratio]] &lt; 0.85, "Underperforming", "Performing")</f>
        <v>Underperforming</v>
      </c>
      <c r="L2165">
        <f>Table4[[#This Row],[energy_kwh]] - Table4[[#This Row],[expected_kwh]]</f>
        <v>0</v>
      </c>
      <c r="M2165" t="str">
        <f>IF(Table4[[#This Row],[Performance_Deviation]] &lt; 0, "Underperforming", "Outperforming")</f>
        <v>Outperforming</v>
      </c>
      <c r="N2165">
        <f>IF(Table4[[#This Row],[Performance_Ratio]] &lt; 0.85, Table4[[#This Row],[Performance_Deviation]] * 50 / 1000, 0)</f>
        <v>0</v>
      </c>
    </row>
    <row r="2166" spans="1:14" x14ac:dyDescent="0.3">
      <c r="A2166" s="4" t="s">
        <v>8</v>
      </c>
      <c r="B2166" s="3">
        <v>45320.166666666664</v>
      </c>
      <c r="C2166" s="4">
        <v>0</v>
      </c>
      <c r="D2166" s="4">
        <v>0</v>
      </c>
      <c r="E2166" s="4">
        <v>0</v>
      </c>
      <c r="F2166" s="4">
        <v>43.074131551725202</v>
      </c>
      <c r="G2166" s="4" t="str">
        <f t="shared" si="66"/>
        <v>OK</v>
      </c>
      <c r="H2166" s="4" t="str">
        <f t="shared" si="67"/>
        <v>ZERO</v>
      </c>
      <c r="I2166">
        <v>0</v>
      </c>
      <c r="J2166">
        <f>IFERROR(Table4[[#This Row],[energy_kwh]]/Table4[[#This Row],[expected_kwh]],0)</f>
        <v>0</v>
      </c>
      <c r="K2166" t="str">
        <f>IF(Table4[[#This Row],[Performance_Ratio]] &lt; 0.85, "Underperforming", "Performing")</f>
        <v>Underperforming</v>
      </c>
      <c r="L2166">
        <f>Table4[[#This Row],[energy_kwh]] - Table4[[#This Row],[expected_kwh]]</f>
        <v>0</v>
      </c>
      <c r="M2166" t="str">
        <f>IF(Table4[[#This Row],[Performance_Deviation]] &lt; 0, "Underperforming", "Outperforming")</f>
        <v>Outperforming</v>
      </c>
      <c r="N2166">
        <f>IF(Table4[[#This Row],[Performance_Ratio]] &lt; 0.85, Table4[[#This Row],[Performance_Deviation]] * 50 / 1000, 0)</f>
        <v>0</v>
      </c>
    </row>
    <row r="2167" spans="1:14" x14ac:dyDescent="0.3">
      <c r="A2167" s="6" t="s">
        <v>8</v>
      </c>
      <c r="B2167" s="5">
        <v>45320.208333333336</v>
      </c>
      <c r="C2167" s="6">
        <v>0</v>
      </c>
      <c r="D2167" s="6">
        <v>0</v>
      </c>
      <c r="E2167" s="6">
        <v>0</v>
      </c>
      <c r="F2167" s="6">
        <v>38.640180794531901</v>
      </c>
      <c r="G2167" s="6" t="str">
        <f t="shared" si="66"/>
        <v>OK</v>
      </c>
      <c r="H2167" s="6" t="str">
        <f t="shared" si="67"/>
        <v>ZERO</v>
      </c>
      <c r="I2167">
        <v>0</v>
      </c>
      <c r="J2167">
        <f>IFERROR(Table4[[#This Row],[energy_kwh]]/Table4[[#This Row],[expected_kwh]],0)</f>
        <v>0</v>
      </c>
      <c r="K2167" t="str">
        <f>IF(Table4[[#This Row],[Performance_Ratio]] &lt; 0.85, "Underperforming", "Performing")</f>
        <v>Underperforming</v>
      </c>
      <c r="L2167">
        <f>Table4[[#This Row],[energy_kwh]] - Table4[[#This Row],[expected_kwh]]</f>
        <v>0</v>
      </c>
      <c r="M2167" t="str">
        <f>IF(Table4[[#This Row],[Performance_Deviation]] &lt; 0, "Underperforming", "Outperforming")</f>
        <v>Outperforming</v>
      </c>
      <c r="N2167">
        <f>IF(Table4[[#This Row],[Performance_Ratio]] &lt; 0.85, Table4[[#This Row],[Performance_Deviation]] * 50 / 1000, 0)</f>
        <v>0</v>
      </c>
    </row>
    <row r="2168" spans="1:14" x14ac:dyDescent="0.3">
      <c r="A2168" s="4" t="s">
        <v>8</v>
      </c>
      <c r="B2168" s="3">
        <v>45320.25</v>
      </c>
      <c r="C2168" s="4">
        <v>0</v>
      </c>
      <c r="D2168" s="4">
        <v>0</v>
      </c>
      <c r="E2168" s="4">
        <v>0</v>
      </c>
      <c r="F2168" s="4">
        <v>32.679331185027898</v>
      </c>
      <c r="G2168" s="4" t="str">
        <f t="shared" si="66"/>
        <v>OK</v>
      </c>
      <c r="H2168" s="4" t="str">
        <f t="shared" si="67"/>
        <v>ZERO</v>
      </c>
      <c r="I2168">
        <v>0</v>
      </c>
      <c r="J2168">
        <f>IFERROR(Table4[[#This Row],[energy_kwh]]/Table4[[#This Row],[expected_kwh]],0)</f>
        <v>0</v>
      </c>
      <c r="K2168" t="str">
        <f>IF(Table4[[#This Row],[Performance_Ratio]] &lt; 0.85, "Underperforming", "Performing")</f>
        <v>Underperforming</v>
      </c>
      <c r="L2168">
        <f>Table4[[#This Row],[energy_kwh]] - Table4[[#This Row],[expected_kwh]]</f>
        <v>0</v>
      </c>
      <c r="M2168" t="str">
        <f>IF(Table4[[#This Row],[Performance_Deviation]] &lt; 0, "Underperforming", "Outperforming")</f>
        <v>Outperforming</v>
      </c>
      <c r="N2168">
        <f>IF(Table4[[#This Row],[Performance_Ratio]] &lt; 0.85, Table4[[#This Row],[Performance_Deviation]] * 50 / 1000, 0)</f>
        <v>0</v>
      </c>
    </row>
    <row r="2169" spans="1:14" x14ac:dyDescent="0.3">
      <c r="A2169" s="6" t="s">
        <v>8</v>
      </c>
      <c r="B2169" s="5">
        <v>45320.291666666664</v>
      </c>
      <c r="C2169" s="6">
        <v>185.921075578048</v>
      </c>
      <c r="D2169" s="6">
        <v>180.20953508249301</v>
      </c>
      <c r="E2169" s="6">
        <v>180.20953508249301</v>
      </c>
      <c r="F2169" s="6">
        <v>54.031532018776502</v>
      </c>
      <c r="G2169" s="6" t="str">
        <f t="shared" si="66"/>
        <v>OK</v>
      </c>
      <c r="H2169" s="6" t="str">
        <f t="shared" si="67"/>
        <v>NON-ZERO</v>
      </c>
      <c r="I2169">
        <v>207.05523608201599</v>
      </c>
      <c r="J2169">
        <f>IFERROR(Table4[[#This Row],[energy_kwh]]/Table4[[#This Row],[expected_kwh]],0)</f>
        <v>0.87034522039863205</v>
      </c>
      <c r="K2169" t="str">
        <f>IF(Table4[[#This Row],[Performance_Ratio]] &lt; 0.85, "Underperforming", "Performing")</f>
        <v>Performing</v>
      </c>
      <c r="L2169">
        <f>Table4[[#This Row],[energy_kwh]] - Table4[[#This Row],[expected_kwh]]</f>
        <v>-26.84570099952299</v>
      </c>
      <c r="M2169" t="str">
        <f>IF(Table4[[#This Row],[Performance_Deviation]] &lt; 0, "Underperforming", "Outperforming")</f>
        <v>Underperforming</v>
      </c>
      <c r="N2169">
        <f>IF(Table4[[#This Row],[Performance_Ratio]] &lt; 0.85, Table4[[#This Row],[Performance_Deviation]] * 50 / 1000, 0)</f>
        <v>0</v>
      </c>
    </row>
    <row r="2170" spans="1:14" x14ac:dyDescent="0.3">
      <c r="A2170" s="4" t="s">
        <v>8</v>
      </c>
      <c r="B2170" s="3">
        <v>45320.333333333336</v>
      </c>
      <c r="C2170" s="4">
        <v>435.42001935403999</v>
      </c>
      <c r="D2170" s="4">
        <v>422.043810845221</v>
      </c>
      <c r="E2170" s="4">
        <v>422.043810845221</v>
      </c>
      <c r="F2170" s="4">
        <v>23.356357544467802</v>
      </c>
      <c r="G2170" s="4" t="str">
        <f t="shared" si="66"/>
        <v>OK</v>
      </c>
      <c r="H2170" s="4" t="str">
        <f t="shared" si="67"/>
        <v>NON-ZERO</v>
      </c>
      <c r="I2170">
        <v>399.99999999999898</v>
      </c>
      <c r="J2170">
        <f>IFERROR(Table4[[#This Row],[energy_kwh]]/Table4[[#This Row],[expected_kwh]],0)</f>
        <v>1.0551095271130553</v>
      </c>
      <c r="K2170" t="str">
        <f>IF(Table4[[#This Row],[Performance_Ratio]] &lt; 0.85, "Underperforming", "Performing")</f>
        <v>Performing</v>
      </c>
      <c r="L2170">
        <f>Table4[[#This Row],[energy_kwh]] - Table4[[#This Row],[expected_kwh]]</f>
        <v>22.043810845222026</v>
      </c>
      <c r="M2170" t="str">
        <f>IF(Table4[[#This Row],[Performance_Deviation]] &lt; 0, "Underperforming", "Outperforming")</f>
        <v>Outperforming</v>
      </c>
      <c r="N2170">
        <f>IF(Table4[[#This Row],[Performance_Ratio]] &lt; 0.85, Table4[[#This Row],[Performance_Deviation]] * 50 / 1000, 0)</f>
        <v>0</v>
      </c>
    </row>
    <row r="2171" spans="1:14" x14ac:dyDescent="0.3">
      <c r="A2171" s="6" t="s">
        <v>8</v>
      </c>
      <c r="B2171" s="5">
        <v>45320.375</v>
      </c>
      <c r="C2171" s="6">
        <v>540.29967149723302</v>
      </c>
      <c r="D2171" s="6">
        <v>523.70153465934595</v>
      </c>
      <c r="E2171" s="6">
        <v>523.70153465934595</v>
      </c>
      <c r="F2171" s="6">
        <v>30.9512679194081</v>
      </c>
      <c r="G2171" s="6" t="str">
        <f t="shared" si="66"/>
        <v>OK</v>
      </c>
      <c r="H2171" s="6" t="str">
        <f t="shared" si="67"/>
        <v>NON-ZERO</v>
      </c>
      <c r="I2171">
        <v>565.68542494923804</v>
      </c>
      <c r="J2171">
        <f>IFERROR(Table4[[#This Row],[energy_kwh]]/Table4[[#This Row],[expected_kwh]],0)</f>
        <v>0.92578226618856319</v>
      </c>
      <c r="K2171" t="str">
        <f>IF(Table4[[#This Row],[Performance_Ratio]] &lt; 0.85, "Underperforming", "Performing")</f>
        <v>Performing</v>
      </c>
      <c r="L2171">
        <f>Table4[[#This Row],[energy_kwh]] - Table4[[#This Row],[expected_kwh]]</f>
        <v>-41.983890289892088</v>
      </c>
      <c r="M2171" t="str">
        <f>IF(Table4[[#This Row],[Performance_Deviation]] &lt; 0, "Underperforming", "Outperforming")</f>
        <v>Underperforming</v>
      </c>
      <c r="N2171">
        <f>IF(Table4[[#This Row],[Performance_Ratio]] &lt; 0.85, Table4[[#This Row],[Performance_Deviation]] * 50 / 1000, 0)</f>
        <v>0</v>
      </c>
    </row>
    <row r="2172" spans="1:14" x14ac:dyDescent="0.3">
      <c r="A2172" s="4" t="s">
        <v>8</v>
      </c>
      <c r="B2172" s="3">
        <v>45320.416666666664</v>
      </c>
      <c r="C2172" s="4">
        <v>609.303491291353</v>
      </c>
      <c r="D2172" s="4">
        <v>590.58554038786394</v>
      </c>
      <c r="E2172" s="4">
        <v>590.58554038786394</v>
      </c>
      <c r="F2172" s="4">
        <v>48.582538520885997</v>
      </c>
      <c r="G2172" s="4" t="str">
        <f t="shared" si="66"/>
        <v>OK</v>
      </c>
      <c r="H2172" s="4" t="str">
        <f t="shared" si="67"/>
        <v>NON-ZERO</v>
      </c>
      <c r="I2172">
        <v>692.82032302754999</v>
      </c>
      <c r="J2172">
        <f>IFERROR(Table4[[#This Row],[energy_kwh]]/Table4[[#This Row],[expected_kwh]],0)</f>
        <v>0.85243680180608572</v>
      </c>
      <c r="K2172" t="str">
        <f>IF(Table4[[#This Row],[Performance_Ratio]] &lt; 0.85, "Underperforming", "Performing")</f>
        <v>Performing</v>
      </c>
      <c r="L2172">
        <f>Table4[[#This Row],[energy_kwh]] - Table4[[#This Row],[expected_kwh]]</f>
        <v>-102.23478263968605</v>
      </c>
      <c r="M2172" t="str">
        <f>IF(Table4[[#This Row],[Performance_Deviation]] &lt; 0, "Underperforming", "Outperforming")</f>
        <v>Underperforming</v>
      </c>
      <c r="N2172">
        <f>IF(Table4[[#This Row],[Performance_Ratio]] &lt; 0.85, Table4[[#This Row],[Performance_Deviation]] * 50 / 1000, 0)</f>
        <v>0</v>
      </c>
    </row>
    <row r="2173" spans="1:14" x14ac:dyDescent="0.3">
      <c r="A2173" s="6" t="s">
        <v>8</v>
      </c>
      <c r="B2173" s="5">
        <v>45320.458333333336</v>
      </c>
      <c r="C2173" s="6">
        <v>673.69028551925703</v>
      </c>
      <c r="D2173" s="6">
        <v>652.99435669439299</v>
      </c>
      <c r="E2173" s="6">
        <v>652.99435669439299</v>
      </c>
      <c r="F2173" s="6">
        <v>41.771275798607</v>
      </c>
      <c r="G2173" s="6" t="str">
        <f t="shared" si="66"/>
        <v>OK</v>
      </c>
      <c r="H2173" s="6" t="str">
        <f t="shared" si="67"/>
        <v>NON-ZERO</v>
      </c>
      <c r="I2173">
        <v>772.74066103125404</v>
      </c>
      <c r="J2173">
        <f>IFERROR(Table4[[#This Row],[energy_kwh]]/Table4[[#This Row],[expected_kwh]],0)</f>
        <v>0.8450368792848888</v>
      </c>
      <c r="K2173" t="str">
        <f>IF(Table4[[#This Row],[Performance_Ratio]] &lt; 0.85, "Underperforming", "Performing")</f>
        <v>Underperforming</v>
      </c>
      <c r="L2173">
        <f>Table4[[#This Row],[energy_kwh]] - Table4[[#This Row],[expected_kwh]]</f>
        <v>-119.74630433686104</v>
      </c>
      <c r="M2173" t="str">
        <f>IF(Table4[[#This Row],[Performance_Deviation]] &lt; 0, "Underperforming", "Outperforming")</f>
        <v>Underperforming</v>
      </c>
      <c r="N2173">
        <f>IF(Table4[[#This Row],[Performance_Ratio]] &lt; 0.85, Table4[[#This Row],[Performance_Deviation]] * 50 / 1000, 0)</f>
        <v>-5.9873152168430526</v>
      </c>
    </row>
    <row r="2174" spans="1:14" x14ac:dyDescent="0.3">
      <c r="A2174" s="4" t="s">
        <v>8</v>
      </c>
      <c r="B2174" s="3">
        <v>45320.5</v>
      </c>
      <c r="C2174" s="4">
        <v>736.36397443497697</v>
      </c>
      <c r="D2174" s="4">
        <v>713.74269469906096</v>
      </c>
      <c r="E2174" s="4">
        <v>713.74269469906096</v>
      </c>
      <c r="F2174" s="4">
        <v>90.718453354381694</v>
      </c>
      <c r="G2174" s="4" t="str">
        <f t="shared" si="66"/>
        <v>OK</v>
      </c>
      <c r="H2174" s="4" t="str">
        <f t="shared" si="67"/>
        <v>NON-ZERO</v>
      </c>
      <c r="I2174">
        <v>800</v>
      </c>
      <c r="J2174">
        <f>IFERROR(Table4[[#This Row],[energy_kwh]]/Table4[[#This Row],[expected_kwh]],0)</f>
        <v>0.89217836837382625</v>
      </c>
      <c r="K2174" t="str">
        <f>IF(Table4[[#This Row],[Performance_Ratio]] &lt; 0.85, "Underperforming", "Performing")</f>
        <v>Performing</v>
      </c>
      <c r="L2174">
        <f>Table4[[#This Row],[energy_kwh]] - Table4[[#This Row],[expected_kwh]]</f>
        <v>-86.257305300939038</v>
      </c>
      <c r="M2174" t="str">
        <f>IF(Table4[[#This Row],[Performance_Deviation]] &lt; 0, "Underperforming", "Outperforming")</f>
        <v>Underperforming</v>
      </c>
      <c r="N2174">
        <f>IF(Table4[[#This Row],[Performance_Ratio]] &lt; 0.85, Table4[[#This Row],[Performance_Deviation]] * 50 / 1000, 0)</f>
        <v>0</v>
      </c>
    </row>
    <row r="2175" spans="1:14" x14ac:dyDescent="0.3">
      <c r="A2175" s="6" t="s">
        <v>8</v>
      </c>
      <c r="B2175" s="5">
        <v>45320.541666666664</v>
      </c>
      <c r="C2175" s="6">
        <v>736.07797668097703</v>
      </c>
      <c r="D2175" s="6">
        <v>713.46548286536995</v>
      </c>
      <c r="E2175" s="6">
        <v>713.46548286536995</v>
      </c>
      <c r="F2175" s="6">
        <v>83.473850958565507</v>
      </c>
      <c r="G2175" s="6" t="str">
        <f t="shared" si="66"/>
        <v>OK</v>
      </c>
      <c r="H2175" s="6" t="str">
        <f t="shared" si="67"/>
        <v>NON-ZERO</v>
      </c>
      <c r="I2175">
        <v>772.74066103125404</v>
      </c>
      <c r="J2175">
        <f>IFERROR(Table4[[#This Row],[energy_kwh]]/Table4[[#This Row],[expected_kwh]],0)</f>
        <v>0.92329227494412036</v>
      </c>
      <c r="K2175" t="str">
        <f>IF(Table4[[#This Row],[Performance_Ratio]] &lt; 0.85, "Underperforming", "Performing")</f>
        <v>Performing</v>
      </c>
      <c r="L2175">
        <f>Table4[[#This Row],[energy_kwh]] - Table4[[#This Row],[expected_kwh]]</f>
        <v>-59.275178165884086</v>
      </c>
      <c r="M2175" t="str">
        <f>IF(Table4[[#This Row],[Performance_Deviation]] &lt; 0, "Underperforming", "Outperforming")</f>
        <v>Underperforming</v>
      </c>
      <c r="N2175">
        <f>IF(Table4[[#This Row],[Performance_Ratio]] &lt; 0.85, Table4[[#This Row],[Performance_Deviation]] * 50 / 1000, 0)</f>
        <v>0</v>
      </c>
    </row>
    <row r="2176" spans="1:14" x14ac:dyDescent="0.3">
      <c r="A2176" s="4" t="s">
        <v>8</v>
      </c>
      <c r="B2176" s="3">
        <v>45320.583333333336</v>
      </c>
      <c r="C2176" s="4">
        <v>692.23790357353698</v>
      </c>
      <c r="D2176" s="4">
        <v>670.97218742744701</v>
      </c>
      <c r="E2176" s="4">
        <v>670.97218742744701</v>
      </c>
      <c r="F2176" s="4">
        <v>36.612578814038898</v>
      </c>
      <c r="G2176" s="4" t="str">
        <f t="shared" si="66"/>
        <v>OK</v>
      </c>
      <c r="H2176" s="4" t="str">
        <f t="shared" si="67"/>
        <v>NON-ZERO</v>
      </c>
      <c r="I2176">
        <v>692.82032302755101</v>
      </c>
      <c r="J2176">
        <f>IFERROR(Table4[[#This Row],[energy_kwh]]/Table4[[#This Row],[expected_kwh]],0)</f>
        <v>0.96846493257497124</v>
      </c>
      <c r="K2176" t="str">
        <f>IF(Table4[[#This Row],[Performance_Ratio]] &lt; 0.85, "Underperforming", "Performing")</f>
        <v>Performing</v>
      </c>
      <c r="L2176">
        <f>Table4[[#This Row],[energy_kwh]] - Table4[[#This Row],[expected_kwh]]</f>
        <v>-21.848135600104001</v>
      </c>
      <c r="M2176" t="str">
        <f>IF(Table4[[#This Row],[Performance_Deviation]] &lt; 0, "Underperforming", "Outperforming")</f>
        <v>Underperforming</v>
      </c>
      <c r="N2176">
        <f>IF(Table4[[#This Row],[Performance_Ratio]] &lt; 0.85, Table4[[#This Row],[Performance_Deviation]] * 50 / 1000, 0)</f>
        <v>0</v>
      </c>
    </row>
    <row r="2177" spans="1:14" x14ac:dyDescent="0.3">
      <c r="A2177" s="6" t="s">
        <v>8</v>
      </c>
      <c r="B2177" s="5">
        <v>45320.625</v>
      </c>
      <c r="C2177" s="6">
        <v>595.62730225498694</v>
      </c>
      <c r="D2177" s="6">
        <v>577.32948719281296</v>
      </c>
      <c r="E2177" s="6">
        <v>577.32948719281296</v>
      </c>
      <c r="F2177" s="6">
        <v>60.3744779007434</v>
      </c>
      <c r="G2177" s="6" t="str">
        <f t="shared" si="66"/>
        <v>OK</v>
      </c>
      <c r="H2177" s="6" t="str">
        <f t="shared" si="67"/>
        <v>NON-ZERO</v>
      </c>
      <c r="I2177">
        <v>565.68542494923804</v>
      </c>
      <c r="J2177">
        <f>IFERROR(Table4[[#This Row],[energy_kwh]]/Table4[[#This Row],[expected_kwh]],0)</f>
        <v>1.0205839884324752</v>
      </c>
      <c r="K2177" t="str">
        <f>IF(Table4[[#This Row],[Performance_Ratio]] &lt; 0.85, "Underperforming", "Performing")</f>
        <v>Performing</v>
      </c>
      <c r="L2177">
        <f>Table4[[#This Row],[energy_kwh]] - Table4[[#This Row],[expected_kwh]]</f>
        <v>11.644062243574922</v>
      </c>
      <c r="M2177" t="str">
        <f>IF(Table4[[#This Row],[Performance_Deviation]] &lt; 0, "Underperforming", "Outperforming")</f>
        <v>Outperforming</v>
      </c>
      <c r="N2177">
        <f>IF(Table4[[#This Row],[Performance_Ratio]] &lt; 0.85, Table4[[#This Row],[Performance_Deviation]] * 50 / 1000, 0)</f>
        <v>0</v>
      </c>
    </row>
    <row r="2178" spans="1:14" x14ac:dyDescent="0.3">
      <c r="A2178" s="4" t="s">
        <v>8</v>
      </c>
      <c r="B2178" s="3">
        <v>45320.666666666664</v>
      </c>
      <c r="C2178" s="4">
        <v>397.334701385443</v>
      </c>
      <c r="D2178" s="4">
        <v>385.12848307373997</v>
      </c>
      <c r="E2178" s="4">
        <v>385.12848307373997</v>
      </c>
      <c r="F2178" s="4">
        <v>80.106260818147007</v>
      </c>
      <c r="G2178" s="4" t="str">
        <f t="shared" ref="G2178:G2241" si="68">IF(D2178 &gt; C2178, "ERROR", "OK")</f>
        <v>OK</v>
      </c>
      <c r="H2178" s="4" t="str">
        <f t="shared" ref="H2178:H2241" si="69">IF(E2178=0,"ZERO","NON-ZERO")</f>
        <v>NON-ZERO</v>
      </c>
      <c r="I2178">
        <v>399.99999999999898</v>
      </c>
      <c r="J2178">
        <f>IFERROR(Table4[[#This Row],[energy_kwh]]/Table4[[#This Row],[expected_kwh]],0)</f>
        <v>0.96282120768435242</v>
      </c>
      <c r="K2178" t="str">
        <f>IF(Table4[[#This Row],[Performance_Ratio]] &lt; 0.85, "Underperforming", "Performing")</f>
        <v>Performing</v>
      </c>
      <c r="L2178">
        <f>Table4[[#This Row],[energy_kwh]] - Table4[[#This Row],[expected_kwh]]</f>
        <v>-14.871516926259005</v>
      </c>
      <c r="M2178" t="str">
        <f>IF(Table4[[#This Row],[Performance_Deviation]] &lt; 0, "Underperforming", "Outperforming")</f>
        <v>Underperforming</v>
      </c>
      <c r="N2178">
        <f>IF(Table4[[#This Row],[Performance_Ratio]] &lt; 0.85, Table4[[#This Row],[Performance_Deviation]] * 50 / 1000, 0)</f>
        <v>0</v>
      </c>
    </row>
    <row r="2179" spans="1:14" x14ac:dyDescent="0.3">
      <c r="A2179" s="6" t="s">
        <v>8</v>
      </c>
      <c r="B2179" s="5">
        <v>45320.708333333336</v>
      </c>
      <c r="C2179" s="6">
        <v>198.003805568225</v>
      </c>
      <c r="D2179" s="6">
        <v>191.92108067939299</v>
      </c>
      <c r="E2179" s="6">
        <v>191.92108067939299</v>
      </c>
      <c r="F2179" s="6">
        <v>39.8842446084304</v>
      </c>
      <c r="G2179" s="6" t="str">
        <f t="shared" si="68"/>
        <v>OK</v>
      </c>
      <c r="H2179" s="6" t="str">
        <f t="shared" si="69"/>
        <v>NON-ZERO</v>
      </c>
      <c r="I2179">
        <v>207.05523608201599</v>
      </c>
      <c r="J2179">
        <f>IFERROR(Table4[[#This Row],[energy_kwh]]/Table4[[#This Row],[expected_kwh]],0)</f>
        <v>0.92690764218767085</v>
      </c>
      <c r="K2179" t="str">
        <f>IF(Table4[[#This Row],[Performance_Ratio]] &lt; 0.85, "Underperforming", "Performing")</f>
        <v>Performing</v>
      </c>
      <c r="L2179">
        <f>Table4[[#This Row],[energy_kwh]] - Table4[[#This Row],[expected_kwh]]</f>
        <v>-15.134155402623009</v>
      </c>
      <c r="M2179" t="str">
        <f>IF(Table4[[#This Row],[Performance_Deviation]] &lt; 0, "Underperforming", "Outperforming")</f>
        <v>Underperforming</v>
      </c>
      <c r="N2179">
        <f>IF(Table4[[#This Row],[Performance_Ratio]] &lt; 0.85, Table4[[#This Row],[Performance_Deviation]] * 50 / 1000, 0)</f>
        <v>0</v>
      </c>
    </row>
    <row r="2180" spans="1:14" x14ac:dyDescent="0.3">
      <c r="A2180" s="4" t="s">
        <v>8</v>
      </c>
      <c r="B2180" s="3">
        <v>45320.75</v>
      </c>
      <c r="C2180" s="7">
        <v>1.01376172655787E-13</v>
      </c>
      <c r="D2180" s="7">
        <v>9.8261872065562501E-14</v>
      </c>
      <c r="E2180" s="7">
        <v>9.8261872065562501E-14</v>
      </c>
      <c r="F2180" s="4">
        <v>30.421992893668701</v>
      </c>
      <c r="G2180" s="4" t="str">
        <f t="shared" si="68"/>
        <v>OK</v>
      </c>
      <c r="H2180" s="4" t="str">
        <f t="shared" si="69"/>
        <v>NON-ZERO</v>
      </c>
      <c r="I2180" s="2">
        <v>9.7971743931788194E-14</v>
      </c>
      <c r="J2180">
        <f>IFERROR(Table4[[#This Row],[energy_kwh]]/Table4[[#This Row],[expected_kwh]],0)</f>
        <v>1.0029613449973525</v>
      </c>
      <c r="K2180" t="str">
        <f>IF(Table4[[#This Row],[Performance_Ratio]] &lt; 0.85, "Underperforming", "Performing")</f>
        <v>Performing</v>
      </c>
      <c r="L2180">
        <f>Table4[[#This Row],[energy_kwh]] - Table4[[#This Row],[expected_kwh]]</f>
        <v>2.9012813377430676E-16</v>
      </c>
      <c r="M2180" t="str">
        <f>IF(Table4[[#This Row],[Performance_Deviation]] &lt; 0, "Underperforming", "Outperforming")</f>
        <v>Outperforming</v>
      </c>
      <c r="N2180">
        <f>IF(Table4[[#This Row],[Performance_Ratio]] &lt; 0.85, Table4[[#This Row],[Performance_Deviation]] * 50 / 1000, 0)</f>
        <v>0</v>
      </c>
    </row>
    <row r="2181" spans="1:14" x14ac:dyDescent="0.3">
      <c r="A2181" s="6" t="s">
        <v>8</v>
      </c>
      <c r="B2181" s="5">
        <v>45320.791666666664</v>
      </c>
      <c r="C2181" s="6">
        <v>0</v>
      </c>
      <c r="D2181" s="6">
        <v>0</v>
      </c>
      <c r="E2181" s="6">
        <v>0</v>
      </c>
      <c r="F2181" s="6">
        <v>32.355050666579302</v>
      </c>
      <c r="G2181" s="6" t="str">
        <f t="shared" si="68"/>
        <v>OK</v>
      </c>
      <c r="H2181" s="6" t="str">
        <f t="shared" si="69"/>
        <v>ZERO</v>
      </c>
      <c r="I2181">
        <v>0</v>
      </c>
      <c r="J2181">
        <f>IFERROR(Table4[[#This Row],[energy_kwh]]/Table4[[#This Row],[expected_kwh]],0)</f>
        <v>0</v>
      </c>
      <c r="K2181" t="str">
        <f>IF(Table4[[#This Row],[Performance_Ratio]] &lt; 0.85, "Underperforming", "Performing")</f>
        <v>Underperforming</v>
      </c>
      <c r="L2181">
        <f>Table4[[#This Row],[energy_kwh]] - Table4[[#This Row],[expected_kwh]]</f>
        <v>0</v>
      </c>
      <c r="M2181" t="str">
        <f>IF(Table4[[#This Row],[Performance_Deviation]] &lt; 0, "Underperforming", "Outperforming")</f>
        <v>Outperforming</v>
      </c>
      <c r="N2181">
        <f>IF(Table4[[#This Row],[Performance_Ratio]] &lt; 0.85, Table4[[#This Row],[Performance_Deviation]] * 50 / 1000, 0)</f>
        <v>0</v>
      </c>
    </row>
    <row r="2182" spans="1:14" x14ac:dyDescent="0.3">
      <c r="A2182" s="4" t="s">
        <v>8</v>
      </c>
      <c r="B2182" s="3">
        <v>45320.833333333336</v>
      </c>
      <c r="C2182" s="4">
        <v>0</v>
      </c>
      <c r="D2182" s="4">
        <v>0</v>
      </c>
      <c r="E2182" s="4">
        <v>0</v>
      </c>
      <c r="F2182" s="4">
        <v>47.588538585709998</v>
      </c>
      <c r="G2182" s="4" t="str">
        <f t="shared" si="68"/>
        <v>OK</v>
      </c>
      <c r="H2182" s="4" t="str">
        <f t="shared" si="69"/>
        <v>ZERO</v>
      </c>
      <c r="I2182">
        <v>0</v>
      </c>
      <c r="J2182">
        <f>IFERROR(Table4[[#This Row],[energy_kwh]]/Table4[[#This Row],[expected_kwh]],0)</f>
        <v>0</v>
      </c>
      <c r="K2182" t="str">
        <f>IF(Table4[[#This Row],[Performance_Ratio]] &lt; 0.85, "Underperforming", "Performing")</f>
        <v>Underperforming</v>
      </c>
      <c r="L2182">
        <f>Table4[[#This Row],[energy_kwh]] - Table4[[#This Row],[expected_kwh]]</f>
        <v>0</v>
      </c>
      <c r="M2182" t="str">
        <f>IF(Table4[[#This Row],[Performance_Deviation]] &lt; 0, "Underperforming", "Outperforming")</f>
        <v>Outperforming</v>
      </c>
      <c r="N2182">
        <f>IF(Table4[[#This Row],[Performance_Ratio]] &lt; 0.85, Table4[[#This Row],[Performance_Deviation]] * 50 / 1000, 0)</f>
        <v>0</v>
      </c>
    </row>
    <row r="2183" spans="1:14" x14ac:dyDescent="0.3">
      <c r="A2183" s="6" t="s">
        <v>8</v>
      </c>
      <c r="B2183" s="5">
        <v>45320.875</v>
      </c>
      <c r="C2183" s="6">
        <v>0</v>
      </c>
      <c r="D2183" s="6">
        <v>0</v>
      </c>
      <c r="E2183" s="6">
        <v>0</v>
      </c>
      <c r="F2183" s="6">
        <v>80.376326992597001</v>
      </c>
      <c r="G2183" s="6" t="str">
        <f t="shared" si="68"/>
        <v>OK</v>
      </c>
      <c r="H2183" s="6" t="str">
        <f t="shared" si="69"/>
        <v>ZERO</v>
      </c>
      <c r="I2183">
        <v>0</v>
      </c>
      <c r="J2183">
        <f>IFERROR(Table4[[#This Row],[energy_kwh]]/Table4[[#This Row],[expected_kwh]],0)</f>
        <v>0</v>
      </c>
      <c r="K2183" t="str">
        <f>IF(Table4[[#This Row],[Performance_Ratio]] &lt; 0.85, "Underperforming", "Performing")</f>
        <v>Underperforming</v>
      </c>
      <c r="L2183">
        <f>Table4[[#This Row],[energy_kwh]] - Table4[[#This Row],[expected_kwh]]</f>
        <v>0</v>
      </c>
      <c r="M2183" t="str">
        <f>IF(Table4[[#This Row],[Performance_Deviation]] &lt; 0, "Underperforming", "Outperforming")</f>
        <v>Outperforming</v>
      </c>
      <c r="N2183">
        <f>IF(Table4[[#This Row],[Performance_Ratio]] &lt; 0.85, Table4[[#This Row],[Performance_Deviation]] * 50 / 1000, 0)</f>
        <v>0</v>
      </c>
    </row>
    <row r="2184" spans="1:14" x14ac:dyDescent="0.3">
      <c r="A2184" s="4" t="s">
        <v>8</v>
      </c>
      <c r="B2184" s="3">
        <v>45320.916666666664</v>
      </c>
      <c r="C2184" s="4">
        <v>0</v>
      </c>
      <c r="D2184" s="4">
        <v>0</v>
      </c>
      <c r="E2184" s="4">
        <v>0</v>
      </c>
      <c r="F2184" s="4">
        <v>86.350623871501199</v>
      </c>
      <c r="G2184" s="4" t="str">
        <f t="shared" si="68"/>
        <v>OK</v>
      </c>
      <c r="H2184" s="4" t="str">
        <f t="shared" si="69"/>
        <v>ZERO</v>
      </c>
      <c r="I2184">
        <v>0</v>
      </c>
      <c r="J2184">
        <f>IFERROR(Table4[[#This Row],[energy_kwh]]/Table4[[#This Row],[expected_kwh]],0)</f>
        <v>0</v>
      </c>
      <c r="K2184" t="str">
        <f>IF(Table4[[#This Row],[Performance_Ratio]] &lt; 0.85, "Underperforming", "Performing")</f>
        <v>Underperforming</v>
      </c>
      <c r="L2184">
        <f>Table4[[#This Row],[energy_kwh]] - Table4[[#This Row],[expected_kwh]]</f>
        <v>0</v>
      </c>
      <c r="M2184" t="str">
        <f>IF(Table4[[#This Row],[Performance_Deviation]] &lt; 0, "Underperforming", "Outperforming")</f>
        <v>Outperforming</v>
      </c>
      <c r="N2184">
        <f>IF(Table4[[#This Row],[Performance_Ratio]] &lt; 0.85, Table4[[#This Row],[Performance_Deviation]] * 50 / 1000, 0)</f>
        <v>0</v>
      </c>
    </row>
    <row r="2185" spans="1:14" x14ac:dyDescent="0.3">
      <c r="A2185" s="6" t="s">
        <v>8</v>
      </c>
      <c r="B2185" s="5">
        <v>45320.958333333336</v>
      </c>
      <c r="C2185" s="6">
        <v>0</v>
      </c>
      <c r="D2185" s="6">
        <v>0</v>
      </c>
      <c r="E2185" s="6">
        <v>0</v>
      </c>
      <c r="F2185" s="6">
        <v>33.675138768366402</v>
      </c>
      <c r="G2185" s="6" t="str">
        <f t="shared" si="68"/>
        <v>OK</v>
      </c>
      <c r="H2185" s="6" t="str">
        <f t="shared" si="69"/>
        <v>ZERO</v>
      </c>
      <c r="I2185">
        <v>0</v>
      </c>
      <c r="J2185">
        <f>IFERROR(Table4[[#This Row],[energy_kwh]]/Table4[[#This Row],[expected_kwh]],0)</f>
        <v>0</v>
      </c>
      <c r="K2185" t="str">
        <f>IF(Table4[[#This Row],[Performance_Ratio]] &lt; 0.85, "Underperforming", "Performing")</f>
        <v>Underperforming</v>
      </c>
      <c r="L2185">
        <f>Table4[[#This Row],[energy_kwh]] - Table4[[#This Row],[expected_kwh]]</f>
        <v>0</v>
      </c>
      <c r="M2185" t="str">
        <f>IF(Table4[[#This Row],[Performance_Deviation]] &lt; 0, "Underperforming", "Outperforming")</f>
        <v>Outperforming</v>
      </c>
      <c r="N2185">
        <f>IF(Table4[[#This Row],[Performance_Ratio]] &lt; 0.85, Table4[[#This Row],[Performance_Deviation]] * 50 / 1000, 0)</f>
        <v>0</v>
      </c>
    </row>
    <row r="2186" spans="1:14" x14ac:dyDescent="0.3">
      <c r="A2186" s="4" t="s">
        <v>8</v>
      </c>
      <c r="B2186" s="3">
        <v>45321</v>
      </c>
      <c r="C2186" s="4">
        <v>0</v>
      </c>
      <c r="D2186" s="4">
        <v>0</v>
      </c>
      <c r="E2186" s="4">
        <v>0</v>
      </c>
      <c r="F2186" s="4">
        <v>77.433821953679299</v>
      </c>
      <c r="G2186" s="4" t="str">
        <f t="shared" si="68"/>
        <v>OK</v>
      </c>
      <c r="H2186" s="4" t="str">
        <f t="shared" si="69"/>
        <v>ZERO</v>
      </c>
      <c r="I2186">
        <v>0</v>
      </c>
      <c r="J2186">
        <f>IFERROR(Table4[[#This Row],[energy_kwh]]/Table4[[#This Row],[expected_kwh]],0)</f>
        <v>0</v>
      </c>
      <c r="K2186" t="str">
        <f>IF(Table4[[#This Row],[Performance_Ratio]] &lt; 0.85, "Underperforming", "Performing")</f>
        <v>Underperforming</v>
      </c>
      <c r="L2186">
        <f>Table4[[#This Row],[energy_kwh]] - Table4[[#This Row],[expected_kwh]]</f>
        <v>0</v>
      </c>
      <c r="M2186" t="str">
        <f>IF(Table4[[#This Row],[Performance_Deviation]] &lt; 0, "Underperforming", "Outperforming")</f>
        <v>Outperforming</v>
      </c>
      <c r="N2186">
        <f>IF(Table4[[#This Row],[Performance_Ratio]] &lt; 0.85, Table4[[#This Row],[Performance_Deviation]] * 50 / 1000, 0)</f>
        <v>0</v>
      </c>
    </row>
    <row r="2187" spans="1:14" x14ac:dyDescent="0.3">
      <c r="A2187" s="6" t="s">
        <v>8</v>
      </c>
      <c r="B2187" s="5">
        <v>45321.041666666664</v>
      </c>
      <c r="C2187" s="6">
        <v>0</v>
      </c>
      <c r="D2187" s="6">
        <v>0</v>
      </c>
      <c r="E2187" s="6">
        <v>0</v>
      </c>
      <c r="F2187" s="6">
        <v>48.987029214793502</v>
      </c>
      <c r="G2187" s="6" t="str">
        <f t="shared" si="68"/>
        <v>OK</v>
      </c>
      <c r="H2187" s="6" t="str">
        <f t="shared" si="69"/>
        <v>ZERO</v>
      </c>
      <c r="I2187">
        <v>0</v>
      </c>
      <c r="J2187">
        <f>IFERROR(Table4[[#This Row],[energy_kwh]]/Table4[[#This Row],[expected_kwh]],0)</f>
        <v>0</v>
      </c>
      <c r="K2187" t="str">
        <f>IF(Table4[[#This Row],[Performance_Ratio]] &lt; 0.85, "Underperforming", "Performing")</f>
        <v>Underperforming</v>
      </c>
      <c r="L2187">
        <f>Table4[[#This Row],[energy_kwh]] - Table4[[#This Row],[expected_kwh]]</f>
        <v>0</v>
      </c>
      <c r="M2187" t="str">
        <f>IF(Table4[[#This Row],[Performance_Deviation]] &lt; 0, "Underperforming", "Outperforming")</f>
        <v>Outperforming</v>
      </c>
      <c r="N2187">
        <f>IF(Table4[[#This Row],[Performance_Ratio]] &lt; 0.85, Table4[[#This Row],[Performance_Deviation]] * 50 / 1000, 0)</f>
        <v>0</v>
      </c>
    </row>
    <row r="2188" spans="1:14" x14ac:dyDescent="0.3">
      <c r="A2188" s="4" t="s">
        <v>8</v>
      </c>
      <c r="B2188" s="3">
        <v>45321.083333333336</v>
      </c>
      <c r="C2188" s="4">
        <v>0</v>
      </c>
      <c r="D2188" s="4">
        <v>0</v>
      </c>
      <c r="E2188" s="4">
        <v>0</v>
      </c>
      <c r="F2188" s="4">
        <v>54.572719415940398</v>
      </c>
      <c r="G2188" s="4" t="str">
        <f t="shared" si="68"/>
        <v>OK</v>
      </c>
      <c r="H2188" s="4" t="str">
        <f t="shared" si="69"/>
        <v>ZERO</v>
      </c>
      <c r="I2188">
        <v>0</v>
      </c>
      <c r="J2188">
        <f>IFERROR(Table4[[#This Row],[energy_kwh]]/Table4[[#This Row],[expected_kwh]],0)</f>
        <v>0</v>
      </c>
      <c r="K2188" t="str">
        <f>IF(Table4[[#This Row],[Performance_Ratio]] &lt; 0.85, "Underperforming", "Performing")</f>
        <v>Underperforming</v>
      </c>
      <c r="L2188">
        <f>Table4[[#This Row],[energy_kwh]] - Table4[[#This Row],[expected_kwh]]</f>
        <v>0</v>
      </c>
      <c r="M2188" t="str">
        <f>IF(Table4[[#This Row],[Performance_Deviation]] &lt; 0, "Underperforming", "Outperforming")</f>
        <v>Outperforming</v>
      </c>
      <c r="N2188">
        <f>IF(Table4[[#This Row],[Performance_Ratio]] &lt; 0.85, Table4[[#This Row],[Performance_Deviation]] * 50 / 1000, 0)</f>
        <v>0</v>
      </c>
    </row>
    <row r="2189" spans="1:14" x14ac:dyDescent="0.3">
      <c r="A2189" s="6" t="s">
        <v>8</v>
      </c>
      <c r="B2189" s="5">
        <v>45321.125</v>
      </c>
      <c r="C2189" s="6">
        <v>0</v>
      </c>
      <c r="D2189" s="6">
        <v>0</v>
      </c>
      <c r="E2189" s="6">
        <v>0</v>
      </c>
      <c r="F2189" s="6">
        <v>83.2570846781787</v>
      </c>
      <c r="G2189" s="6" t="str">
        <f t="shared" si="68"/>
        <v>OK</v>
      </c>
      <c r="H2189" s="6" t="str">
        <f t="shared" si="69"/>
        <v>ZERO</v>
      </c>
      <c r="I2189">
        <v>0</v>
      </c>
      <c r="J2189">
        <f>IFERROR(Table4[[#This Row],[energy_kwh]]/Table4[[#This Row],[expected_kwh]],0)</f>
        <v>0</v>
      </c>
      <c r="K2189" t="str">
        <f>IF(Table4[[#This Row],[Performance_Ratio]] &lt; 0.85, "Underperforming", "Performing")</f>
        <v>Underperforming</v>
      </c>
      <c r="L2189">
        <f>Table4[[#This Row],[energy_kwh]] - Table4[[#This Row],[expected_kwh]]</f>
        <v>0</v>
      </c>
      <c r="M2189" t="str">
        <f>IF(Table4[[#This Row],[Performance_Deviation]] &lt; 0, "Underperforming", "Outperforming")</f>
        <v>Outperforming</v>
      </c>
      <c r="N2189">
        <f>IF(Table4[[#This Row],[Performance_Ratio]] &lt; 0.85, Table4[[#This Row],[Performance_Deviation]] * 50 / 1000, 0)</f>
        <v>0</v>
      </c>
    </row>
    <row r="2190" spans="1:14" x14ac:dyDescent="0.3">
      <c r="A2190" s="4" t="s">
        <v>8</v>
      </c>
      <c r="B2190" s="3">
        <v>45321.166666666664</v>
      </c>
      <c r="C2190" s="4">
        <v>0</v>
      </c>
      <c r="D2190" s="4">
        <v>0</v>
      </c>
      <c r="E2190" s="4">
        <v>0</v>
      </c>
      <c r="F2190" s="4">
        <v>46.080337666948601</v>
      </c>
      <c r="G2190" s="4" t="str">
        <f t="shared" si="68"/>
        <v>OK</v>
      </c>
      <c r="H2190" s="4" t="str">
        <f t="shared" si="69"/>
        <v>ZERO</v>
      </c>
      <c r="I2190">
        <v>0</v>
      </c>
      <c r="J2190">
        <f>IFERROR(Table4[[#This Row],[energy_kwh]]/Table4[[#This Row],[expected_kwh]],0)</f>
        <v>0</v>
      </c>
      <c r="K2190" t="str">
        <f>IF(Table4[[#This Row],[Performance_Ratio]] &lt; 0.85, "Underperforming", "Performing")</f>
        <v>Underperforming</v>
      </c>
      <c r="L2190">
        <f>Table4[[#This Row],[energy_kwh]] - Table4[[#This Row],[expected_kwh]]</f>
        <v>0</v>
      </c>
      <c r="M2190" t="str">
        <f>IF(Table4[[#This Row],[Performance_Deviation]] &lt; 0, "Underperforming", "Outperforming")</f>
        <v>Outperforming</v>
      </c>
      <c r="N2190">
        <f>IF(Table4[[#This Row],[Performance_Ratio]] &lt; 0.85, Table4[[#This Row],[Performance_Deviation]] * 50 / 1000, 0)</f>
        <v>0</v>
      </c>
    </row>
    <row r="2191" spans="1:14" x14ac:dyDescent="0.3">
      <c r="A2191" s="6" t="s">
        <v>8</v>
      </c>
      <c r="B2191" s="5">
        <v>45321.208333333336</v>
      </c>
      <c r="C2191" s="6">
        <v>0</v>
      </c>
      <c r="D2191" s="6">
        <v>0</v>
      </c>
      <c r="E2191" s="6">
        <v>0</v>
      </c>
      <c r="F2191" s="6">
        <v>25.868157393501701</v>
      </c>
      <c r="G2191" s="6" t="str">
        <f t="shared" si="68"/>
        <v>OK</v>
      </c>
      <c r="H2191" s="6" t="str">
        <f t="shared" si="69"/>
        <v>ZERO</v>
      </c>
      <c r="I2191">
        <v>0</v>
      </c>
      <c r="J2191">
        <f>IFERROR(Table4[[#This Row],[energy_kwh]]/Table4[[#This Row],[expected_kwh]],0)</f>
        <v>0</v>
      </c>
      <c r="K2191" t="str">
        <f>IF(Table4[[#This Row],[Performance_Ratio]] &lt; 0.85, "Underperforming", "Performing")</f>
        <v>Underperforming</v>
      </c>
      <c r="L2191">
        <f>Table4[[#This Row],[energy_kwh]] - Table4[[#This Row],[expected_kwh]]</f>
        <v>0</v>
      </c>
      <c r="M2191" t="str">
        <f>IF(Table4[[#This Row],[Performance_Deviation]] &lt; 0, "Underperforming", "Outperforming")</f>
        <v>Outperforming</v>
      </c>
      <c r="N2191">
        <f>IF(Table4[[#This Row],[Performance_Ratio]] &lt; 0.85, Table4[[#This Row],[Performance_Deviation]] * 50 / 1000, 0)</f>
        <v>0</v>
      </c>
    </row>
    <row r="2192" spans="1:14" x14ac:dyDescent="0.3">
      <c r="A2192" s="4" t="s">
        <v>8</v>
      </c>
      <c r="B2192" s="3">
        <v>45321.25</v>
      </c>
      <c r="C2192" s="4">
        <v>0</v>
      </c>
      <c r="D2192" s="4">
        <v>0</v>
      </c>
      <c r="E2192" s="4">
        <v>0</v>
      </c>
      <c r="F2192" s="4">
        <v>71.507584669787704</v>
      </c>
      <c r="G2192" s="4" t="str">
        <f t="shared" si="68"/>
        <v>OK</v>
      </c>
      <c r="H2192" s="4" t="str">
        <f t="shared" si="69"/>
        <v>ZERO</v>
      </c>
      <c r="I2192">
        <v>0</v>
      </c>
      <c r="J2192">
        <f>IFERROR(Table4[[#This Row],[energy_kwh]]/Table4[[#This Row],[expected_kwh]],0)</f>
        <v>0</v>
      </c>
      <c r="K2192" t="str">
        <f>IF(Table4[[#This Row],[Performance_Ratio]] &lt; 0.85, "Underperforming", "Performing")</f>
        <v>Underperforming</v>
      </c>
      <c r="L2192">
        <f>Table4[[#This Row],[energy_kwh]] - Table4[[#This Row],[expected_kwh]]</f>
        <v>0</v>
      </c>
      <c r="M2192" t="str">
        <f>IF(Table4[[#This Row],[Performance_Deviation]] &lt; 0, "Underperforming", "Outperforming")</f>
        <v>Outperforming</v>
      </c>
      <c r="N2192">
        <f>IF(Table4[[#This Row],[Performance_Ratio]] &lt; 0.85, Table4[[#This Row],[Performance_Deviation]] * 50 / 1000, 0)</f>
        <v>0</v>
      </c>
    </row>
    <row r="2193" spans="1:14" x14ac:dyDescent="0.3">
      <c r="A2193" s="6" t="s">
        <v>8</v>
      </c>
      <c r="B2193" s="5">
        <v>45321.291666666664</v>
      </c>
      <c r="C2193" s="6">
        <v>203.32037154062499</v>
      </c>
      <c r="D2193" s="6">
        <v>197.07432045677101</v>
      </c>
      <c r="E2193" s="6">
        <v>197.07432045677101</v>
      </c>
      <c r="F2193" s="6">
        <v>51.443693698922402</v>
      </c>
      <c r="G2193" s="6" t="str">
        <f t="shared" si="68"/>
        <v>OK</v>
      </c>
      <c r="H2193" s="6" t="str">
        <f t="shared" si="69"/>
        <v>NON-ZERO</v>
      </c>
      <c r="I2193">
        <v>207.05523608201599</v>
      </c>
      <c r="J2193">
        <f>IFERROR(Table4[[#This Row],[energy_kwh]]/Table4[[#This Row],[expected_kwh]],0)</f>
        <v>0.95179587913781871</v>
      </c>
      <c r="K2193" t="str">
        <f>IF(Table4[[#This Row],[Performance_Ratio]] &lt; 0.85, "Underperforming", "Performing")</f>
        <v>Performing</v>
      </c>
      <c r="L2193">
        <f>Table4[[#This Row],[energy_kwh]] - Table4[[#This Row],[expected_kwh]]</f>
        <v>-9.9809156252449895</v>
      </c>
      <c r="M2193" t="str">
        <f>IF(Table4[[#This Row],[Performance_Deviation]] &lt; 0, "Underperforming", "Outperforming")</f>
        <v>Underperforming</v>
      </c>
      <c r="N2193">
        <f>IF(Table4[[#This Row],[Performance_Ratio]] &lt; 0.85, Table4[[#This Row],[Performance_Deviation]] * 50 / 1000, 0)</f>
        <v>0</v>
      </c>
    </row>
    <row r="2194" spans="1:14" x14ac:dyDescent="0.3">
      <c r="A2194" s="4" t="s">
        <v>8</v>
      </c>
      <c r="B2194" s="3">
        <v>45321.333333333336</v>
      </c>
      <c r="C2194" s="4">
        <v>362.65018013033801</v>
      </c>
      <c r="D2194" s="4">
        <v>351.50947871660702</v>
      </c>
      <c r="E2194" s="4">
        <v>351.50947871660702</v>
      </c>
      <c r="F2194" s="4">
        <v>80.418561983092502</v>
      </c>
      <c r="G2194" s="4" t="str">
        <f t="shared" si="68"/>
        <v>OK</v>
      </c>
      <c r="H2194" s="4" t="str">
        <f t="shared" si="69"/>
        <v>NON-ZERO</v>
      </c>
      <c r="I2194">
        <v>399.99999999999898</v>
      </c>
      <c r="J2194">
        <f>IFERROR(Table4[[#This Row],[energy_kwh]]/Table4[[#This Row],[expected_kwh]],0)</f>
        <v>0.87877369679151984</v>
      </c>
      <c r="K2194" t="str">
        <f>IF(Table4[[#This Row],[Performance_Ratio]] &lt; 0.85, "Underperforming", "Performing")</f>
        <v>Performing</v>
      </c>
      <c r="L2194">
        <f>Table4[[#This Row],[energy_kwh]] - Table4[[#This Row],[expected_kwh]]</f>
        <v>-48.490521283391956</v>
      </c>
      <c r="M2194" t="str">
        <f>IF(Table4[[#This Row],[Performance_Deviation]] &lt; 0, "Underperforming", "Outperforming")</f>
        <v>Underperforming</v>
      </c>
      <c r="N2194">
        <f>IF(Table4[[#This Row],[Performance_Ratio]] &lt; 0.85, Table4[[#This Row],[Performance_Deviation]] * 50 / 1000, 0)</f>
        <v>0</v>
      </c>
    </row>
    <row r="2195" spans="1:14" x14ac:dyDescent="0.3">
      <c r="A2195" s="6" t="s">
        <v>8</v>
      </c>
      <c r="B2195" s="5">
        <v>45321.375</v>
      </c>
      <c r="C2195" s="6">
        <v>502.50287355287298</v>
      </c>
      <c r="D2195" s="6">
        <v>487.06586350704202</v>
      </c>
      <c r="E2195" s="6">
        <v>487.06586350704202</v>
      </c>
      <c r="F2195" s="6">
        <v>78.558911252410695</v>
      </c>
      <c r="G2195" s="6" t="str">
        <f t="shared" si="68"/>
        <v>OK</v>
      </c>
      <c r="H2195" s="6" t="str">
        <f t="shared" si="69"/>
        <v>NON-ZERO</v>
      </c>
      <c r="I2195">
        <v>565.68542494923804</v>
      </c>
      <c r="J2195">
        <f>IFERROR(Table4[[#This Row],[energy_kwh]]/Table4[[#This Row],[expected_kwh]],0)</f>
        <v>0.86101893742577695</v>
      </c>
      <c r="K2195" t="str">
        <f>IF(Table4[[#This Row],[Performance_Ratio]] &lt; 0.85, "Underperforming", "Performing")</f>
        <v>Performing</v>
      </c>
      <c r="L2195">
        <f>Table4[[#This Row],[energy_kwh]] - Table4[[#This Row],[expected_kwh]]</f>
        <v>-78.619561442196016</v>
      </c>
      <c r="M2195" t="str">
        <f>IF(Table4[[#This Row],[Performance_Deviation]] &lt; 0, "Underperforming", "Outperforming")</f>
        <v>Underperforming</v>
      </c>
      <c r="N2195">
        <f>IF(Table4[[#This Row],[Performance_Ratio]] &lt; 0.85, Table4[[#This Row],[Performance_Deviation]] * 50 / 1000, 0)</f>
        <v>0</v>
      </c>
    </row>
    <row r="2196" spans="1:14" x14ac:dyDescent="0.3">
      <c r="A2196" s="4" t="s">
        <v>8</v>
      </c>
      <c r="B2196" s="3">
        <v>45321.416666666664</v>
      </c>
      <c r="C2196" s="4">
        <v>697.76396397467897</v>
      </c>
      <c r="D2196" s="4">
        <v>676.32848591394895</v>
      </c>
      <c r="E2196" s="4">
        <v>676.32848591394895</v>
      </c>
      <c r="F2196" s="4">
        <v>42.348484599670201</v>
      </c>
      <c r="G2196" s="4" t="str">
        <f t="shared" si="68"/>
        <v>OK</v>
      </c>
      <c r="H2196" s="4" t="str">
        <f t="shared" si="69"/>
        <v>NON-ZERO</v>
      </c>
      <c r="I2196">
        <v>692.82032302754999</v>
      </c>
      <c r="J2196">
        <f>IFERROR(Table4[[#This Row],[energy_kwh]]/Table4[[#This Row],[expected_kwh]],0)</f>
        <v>0.97619608350757747</v>
      </c>
      <c r="K2196" t="str">
        <f>IF(Table4[[#This Row],[Performance_Ratio]] &lt; 0.85, "Underperforming", "Performing")</f>
        <v>Performing</v>
      </c>
      <c r="L2196">
        <f>Table4[[#This Row],[energy_kwh]] - Table4[[#This Row],[expected_kwh]]</f>
        <v>-16.491837113601036</v>
      </c>
      <c r="M2196" t="str">
        <f>IF(Table4[[#This Row],[Performance_Deviation]] &lt; 0, "Underperforming", "Outperforming")</f>
        <v>Underperforming</v>
      </c>
      <c r="N2196">
        <f>IF(Table4[[#This Row],[Performance_Ratio]] &lt; 0.85, Table4[[#This Row],[Performance_Deviation]] * 50 / 1000, 0)</f>
        <v>0</v>
      </c>
    </row>
    <row r="2197" spans="1:14" x14ac:dyDescent="0.3">
      <c r="A2197" s="6" t="s">
        <v>8</v>
      </c>
      <c r="B2197" s="5">
        <v>45321.458333333336</v>
      </c>
      <c r="C2197" s="6">
        <v>676.84371540362497</v>
      </c>
      <c r="D2197" s="6">
        <v>656.050912448551</v>
      </c>
      <c r="E2197" s="6">
        <v>656.050912448551</v>
      </c>
      <c r="F2197" s="6">
        <v>63.355628688862303</v>
      </c>
      <c r="G2197" s="6" t="str">
        <f t="shared" si="68"/>
        <v>OK</v>
      </c>
      <c r="H2197" s="6" t="str">
        <f t="shared" si="69"/>
        <v>NON-ZERO</v>
      </c>
      <c r="I2197">
        <v>772.74066103125404</v>
      </c>
      <c r="J2197">
        <f>IFERROR(Table4[[#This Row],[energy_kwh]]/Table4[[#This Row],[expected_kwh]],0)</f>
        <v>0.84899235349285773</v>
      </c>
      <c r="K2197" t="str">
        <f>IF(Table4[[#This Row],[Performance_Ratio]] &lt; 0.85, "Underperforming", "Performing")</f>
        <v>Underperforming</v>
      </c>
      <c r="L2197">
        <f>Table4[[#This Row],[energy_kwh]] - Table4[[#This Row],[expected_kwh]]</f>
        <v>-116.68974858270303</v>
      </c>
      <c r="M2197" t="str">
        <f>IF(Table4[[#This Row],[Performance_Deviation]] &lt; 0, "Underperforming", "Outperforming")</f>
        <v>Underperforming</v>
      </c>
      <c r="N2197">
        <f>IF(Table4[[#This Row],[Performance_Ratio]] &lt; 0.85, Table4[[#This Row],[Performance_Deviation]] * 50 / 1000, 0)</f>
        <v>-5.8344874291351516</v>
      </c>
    </row>
    <row r="2198" spans="1:14" x14ac:dyDescent="0.3">
      <c r="A2198" s="4" t="s">
        <v>8</v>
      </c>
      <c r="B2198" s="3">
        <v>45321.5</v>
      </c>
      <c r="C2198" s="4">
        <v>795.29005717244604</v>
      </c>
      <c r="D2198" s="4">
        <v>770.85855389542201</v>
      </c>
      <c r="E2198" s="4">
        <v>770.85855389542201</v>
      </c>
      <c r="F2198" s="4">
        <v>39.948054849058401</v>
      </c>
      <c r="G2198" s="4" t="str">
        <f t="shared" si="68"/>
        <v>OK</v>
      </c>
      <c r="H2198" s="4" t="str">
        <f t="shared" si="69"/>
        <v>NON-ZERO</v>
      </c>
      <c r="I2198">
        <v>800</v>
      </c>
      <c r="J2198">
        <f>IFERROR(Table4[[#This Row],[energy_kwh]]/Table4[[#This Row],[expected_kwh]],0)</f>
        <v>0.96357319236927752</v>
      </c>
      <c r="K2198" t="str">
        <f>IF(Table4[[#This Row],[Performance_Ratio]] &lt; 0.85, "Underperforming", "Performing")</f>
        <v>Performing</v>
      </c>
      <c r="L2198">
        <f>Table4[[#This Row],[energy_kwh]] - Table4[[#This Row],[expected_kwh]]</f>
        <v>-29.141446104577994</v>
      </c>
      <c r="M2198" t="str">
        <f>IF(Table4[[#This Row],[Performance_Deviation]] &lt; 0, "Underperforming", "Outperforming")</f>
        <v>Underperforming</v>
      </c>
      <c r="N2198">
        <f>IF(Table4[[#This Row],[Performance_Ratio]] &lt; 0.85, Table4[[#This Row],[Performance_Deviation]] * 50 / 1000, 0)</f>
        <v>0</v>
      </c>
    </row>
    <row r="2199" spans="1:14" x14ac:dyDescent="0.3">
      <c r="A2199" s="6" t="s">
        <v>8</v>
      </c>
      <c r="B2199" s="5">
        <v>45321.541666666664</v>
      </c>
      <c r="C2199" s="6">
        <v>612.83531499903302</v>
      </c>
      <c r="D2199" s="6">
        <v>594.00886561538596</v>
      </c>
      <c r="E2199" s="6">
        <v>594.00886561538596</v>
      </c>
      <c r="F2199" s="6">
        <v>91.183434266618505</v>
      </c>
      <c r="G2199" s="6" t="str">
        <f t="shared" si="68"/>
        <v>OK</v>
      </c>
      <c r="H2199" s="6" t="str">
        <f t="shared" si="69"/>
        <v>NON-ZERO</v>
      </c>
      <c r="I2199">
        <v>772.74066103125404</v>
      </c>
      <c r="J2199">
        <f>IFERROR(Table4[[#This Row],[energy_kwh]]/Table4[[#This Row],[expected_kwh]],0)</f>
        <v>0.76870403690502942</v>
      </c>
      <c r="K2199" t="str">
        <f>IF(Table4[[#This Row],[Performance_Ratio]] &lt; 0.85, "Underperforming", "Performing")</f>
        <v>Underperforming</v>
      </c>
      <c r="L2199">
        <f>Table4[[#This Row],[energy_kwh]] - Table4[[#This Row],[expected_kwh]]</f>
        <v>-178.73179541586808</v>
      </c>
      <c r="M2199" t="str">
        <f>IF(Table4[[#This Row],[Performance_Deviation]] &lt; 0, "Underperforming", "Outperforming")</f>
        <v>Underperforming</v>
      </c>
      <c r="N2199">
        <f>IF(Table4[[#This Row],[Performance_Ratio]] &lt; 0.85, Table4[[#This Row],[Performance_Deviation]] * 50 / 1000, 0)</f>
        <v>-8.9365897707934039</v>
      </c>
    </row>
    <row r="2200" spans="1:14" x14ac:dyDescent="0.3">
      <c r="A2200" s="4" t="s">
        <v>8</v>
      </c>
      <c r="B2200" s="3">
        <v>45321.583333333336</v>
      </c>
      <c r="C2200" s="4">
        <v>0</v>
      </c>
      <c r="D2200" s="4">
        <v>0</v>
      </c>
      <c r="E2200" s="4">
        <v>0</v>
      </c>
      <c r="F2200" s="4">
        <v>54.542450567169098</v>
      </c>
      <c r="G2200" s="4" t="str">
        <f t="shared" si="68"/>
        <v>OK</v>
      </c>
      <c r="H2200" s="4" t="str">
        <f t="shared" si="69"/>
        <v>ZERO</v>
      </c>
      <c r="I2200">
        <v>692.82032302755101</v>
      </c>
      <c r="J2200">
        <f>IFERROR(Table4[[#This Row],[energy_kwh]]/Table4[[#This Row],[expected_kwh]],0)</f>
        <v>0</v>
      </c>
      <c r="K2200" t="str">
        <f>IF(Table4[[#This Row],[Performance_Ratio]] &lt; 0.85, "Underperforming", "Performing")</f>
        <v>Underperforming</v>
      </c>
      <c r="L2200">
        <f>Table4[[#This Row],[energy_kwh]] - Table4[[#This Row],[expected_kwh]]</f>
        <v>-692.82032302755101</v>
      </c>
      <c r="M2200" t="str">
        <f>IF(Table4[[#This Row],[Performance_Deviation]] &lt; 0, "Underperforming", "Outperforming")</f>
        <v>Underperforming</v>
      </c>
      <c r="N2200">
        <f>IF(Table4[[#This Row],[Performance_Ratio]] &lt; 0.85, Table4[[#This Row],[Performance_Deviation]] * 50 / 1000, 0)</f>
        <v>-34.641016151377556</v>
      </c>
    </row>
    <row r="2201" spans="1:14" x14ac:dyDescent="0.3">
      <c r="A2201" s="6" t="s">
        <v>8</v>
      </c>
      <c r="B2201" s="5">
        <v>45321.625</v>
      </c>
      <c r="C2201" s="6">
        <v>594.20081441720504</v>
      </c>
      <c r="D2201" s="6">
        <v>575.94682140708505</v>
      </c>
      <c r="E2201" s="6">
        <v>575.94682140708505</v>
      </c>
      <c r="F2201" s="6">
        <v>71.519556258072598</v>
      </c>
      <c r="G2201" s="6" t="str">
        <f t="shared" si="68"/>
        <v>OK</v>
      </c>
      <c r="H2201" s="6" t="str">
        <f t="shared" si="69"/>
        <v>NON-ZERO</v>
      </c>
      <c r="I2201">
        <v>565.68542494923804</v>
      </c>
      <c r="J2201">
        <f>IFERROR(Table4[[#This Row],[energy_kwh]]/Table4[[#This Row],[expected_kwh]],0)</f>
        <v>1.0181397575494682</v>
      </c>
      <c r="K2201" t="str">
        <f>IF(Table4[[#This Row],[Performance_Ratio]] &lt; 0.85, "Underperforming", "Performing")</f>
        <v>Performing</v>
      </c>
      <c r="L2201">
        <f>Table4[[#This Row],[energy_kwh]] - Table4[[#This Row],[expected_kwh]]</f>
        <v>10.261396457847013</v>
      </c>
      <c r="M2201" t="str">
        <f>IF(Table4[[#This Row],[Performance_Deviation]] &lt; 0, "Underperforming", "Outperforming")</f>
        <v>Outperforming</v>
      </c>
      <c r="N2201">
        <f>IF(Table4[[#This Row],[Performance_Ratio]] &lt; 0.85, Table4[[#This Row],[Performance_Deviation]] * 50 / 1000, 0)</f>
        <v>0</v>
      </c>
    </row>
    <row r="2202" spans="1:14" x14ac:dyDescent="0.3">
      <c r="A2202" s="4" t="s">
        <v>8</v>
      </c>
      <c r="B2202" s="3">
        <v>45321.666666666664</v>
      </c>
      <c r="C2202" s="4">
        <v>394.38178094822399</v>
      </c>
      <c r="D2202" s="4">
        <v>382.26627706792601</v>
      </c>
      <c r="E2202" s="4">
        <v>382.26627706792601</v>
      </c>
      <c r="F2202" s="4">
        <v>50.538030394915602</v>
      </c>
      <c r="G2202" s="4" t="str">
        <f t="shared" si="68"/>
        <v>OK</v>
      </c>
      <c r="H2202" s="4" t="str">
        <f t="shared" si="69"/>
        <v>NON-ZERO</v>
      </c>
      <c r="I2202">
        <v>399.99999999999898</v>
      </c>
      <c r="J2202">
        <f>IFERROR(Table4[[#This Row],[energy_kwh]]/Table4[[#This Row],[expected_kwh]],0)</f>
        <v>0.95566569266981749</v>
      </c>
      <c r="K2202" t="str">
        <f>IF(Table4[[#This Row],[Performance_Ratio]] &lt; 0.85, "Underperforming", "Performing")</f>
        <v>Performing</v>
      </c>
      <c r="L2202">
        <f>Table4[[#This Row],[energy_kwh]] - Table4[[#This Row],[expected_kwh]]</f>
        <v>-17.733722932072965</v>
      </c>
      <c r="M2202" t="str">
        <f>IF(Table4[[#This Row],[Performance_Deviation]] &lt; 0, "Underperforming", "Outperforming")</f>
        <v>Underperforming</v>
      </c>
      <c r="N2202">
        <f>IF(Table4[[#This Row],[Performance_Ratio]] &lt; 0.85, Table4[[#This Row],[Performance_Deviation]] * 50 / 1000, 0)</f>
        <v>0</v>
      </c>
    </row>
    <row r="2203" spans="1:14" x14ac:dyDescent="0.3">
      <c r="A2203" s="6" t="s">
        <v>8</v>
      </c>
      <c r="B2203" s="5">
        <v>45321.708333333336</v>
      </c>
      <c r="C2203" s="6">
        <v>171.09762823418399</v>
      </c>
      <c r="D2203" s="6">
        <v>165.84146763316201</v>
      </c>
      <c r="E2203" s="6">
        <v>165.84146763316201</v>
      </c>
      <c r="F2203" s="6">
        <v>34.912139771485997</v>
      </c>
      <c r="G2203" s="6" t="str">
        <f t="shared" si="68"/>
        <v>OK</v>
      </c>
      <c r="H2203" s="6" t="str">
        <f t="shared" si="69"/>
        <v>NON-ZERO</v>
      </c>
      <c r="I2203">
        <v>207.05523608201599</v>
      </c>
      <c r="J2203">
        <f>IFERROR(Table4[[#This Row],[energy_kwh]]/Table4[[#This Row],[expected_kwh]],0)</f>
        <v>0.80095278328277131</v>
      </c>
      <c r="K2203" t="str">
        <f>IF(Table4[[#This Row],[Performance_Ratio]] &lt; 0.85, "Underperforming", "Performing")</f>
        <v>Underperforming</v>
      </c>
      <c r="L2203">
        <f>Table4[[#This Row],[energy_kwh]] - Table4[[#This Row],[expected_kwh]]</f>
        <v>-41.213768448853983</v>
      </c>
      <c r="M2203" t="str">
        <f>IF(Table4[[#This Row],[Performance_Deviation]] &lt; 0, "Underperforming", "Outperforming")</f>
        <v>Underperforming</v>
      </c>
      <c r="N2203">
        <f>IF(Table4[[#This Row],[Performance_Ratio]] &lt; 0.85, Table4[[#This Row],[Performance_Deviation]] * 50 / 1000, 0)</f>
        <v>-2.0606884224426989</v>
      </c>
    </row>
    <row r="2204" spans="1:14" x14ac:dyDescent="0.3">
      <c r="A2204" s="4" t="s">
        <v>8</v>
      </c>
      <c r="B2204" s="3">
        <v>45321.75</v>
      </c>
      <c r="C2204" s="7">
        <v>8.4646394646422101E-14</v>
      </c>
      <c r="D2204" s="7">
        <v>8.2046036890731104E-14</v>
      </c>
      <c r="E2204" s="7">
        <v>8.2046036890731104E-14</v>
      </c>
      <c r="F2204" s="4">
        <v>28.279567568745001</v>
      </c>
      <c r="G2204" s="4" t="str">
        <f t="shared" si="68"/>
        <v>OK</v>
      </c>
      <c r="H2204" s="4" t="str">
        <f t="shared" si="69"/>
        <v>NON-ZERO</v>
      </c>
      <c r="I2204" s="2">
        <v>9.7971743931788194E-14</v>
      </c>
      <c r="J2204">
        <f>IFERROR(Table4[[#This Row],[energy_kwh]]/Table4[[#This Row],[expected_kwh]],0)</f>
        <v>0.8374459165272673</v>
      </c>
      <c r="K2204" t="str">
        <f>IF(Table4[[#This Row],[Performance_Ratio]] &lt; 0.85, "Underperforming", "Performing")</f>
        <v>Underperforming</v>
      </c>
      <c r="L2204">
        <f>Table4[[#This Row],[energy_kwh]] - Table4[[#This Row],[expected_kwh]]</f>
        <v>-1.5925707041057091E-14</v>
      </c>
      <c r="M2204" t="str">
        <f>IF(Table4[[#This Row],[Performance_Deviation]] &lt; 0, "Underperforming", "Outperforming")</f>
        <v>Underperforming</v>
      </c>
      <c r="N2204">
        <f>IF(Table4[[#This Row],[Performance_Ratio]] &lt; 0.85, Table4[[#This Row],[Performance_Deviation]] * 50 / 1000, 0)</f>
        <v>-7.9628535205285453E-16</v>
      </c>
    </row>
    <row r="2205" spans="1:14" x14ac:dyDescent="0.3">
      <c r="A2205" s="6" t="s">
        <v>8</v>
      </c>
      <c r="B2205" s="5">
        <v>45321.791666666664</v>
      </c>
      <c r="C2205" s="6">
        <v>0</v>
      </c>
      <c r="D2205" s="6">
        <v>0</v>
      </c>
      <c r="E2205" s="6">
        <v>0</v>
      </c>
      <c r="F2205" s="6">
        <v>64.863683415650101</v>
      </c>
      <c r="G2205" s="6" t="str">
        <f t="shared" si="68"/>
        <v>OK</v>
      </c>
      <c r="H2205" s="6" t="str">
        <f t="shared" si="69"/>
        <v>ZERO</v>
      </c>
      <c r="I2205">
        <v>0</v>
      </c>
      <c r="J2205">
        <f>IFERROR(Table4[[#This Row],[energy_kwh]]/Table4[[#This Row],[expected_kwh]],0)</f>
        <v>0</v>
      </c>
      <c r="K2205" t="str">
        <f>IF(Table4[[#This Row],[Performance_Ratio]] &lt; 0.85, "Underperforming", "Performing")</f>
        <v>Underperforming</v>
      </c>
      <c r="L2205">
        <f>Table4[[#This Row],[energy_kwh]] - Table4[[#This Row],[expected_kwh]]</f>
        <v>0</v>
      </c>
      <c r="M2205" t="str">
        <f>IF(Table4[[#This Row],[Performance_Deviation]] &lt; 0, "Underperforming", "Outperforming")</f>
        <v>Outperforming</v>
      </c>
      <c r="N2205">
        <f>IF(Table4[[#This Row],[Performance_Ratio]] &lt; 0.85, Table4[[#This Row],[Performance_Deviation]] * 50 / 1000, 0)</f>
        <v>0</v>
      </c>
    </row>
    <row r="2206" spans="1:14" x14ac:dyDescent="0.3">
      <c r="A2206" s="4" t="s">
        <v>8</v>
      </c>
      <c r="B2206" s="3">
        <v>45321.833333333336</v>
      </c>
      <c r="C2206" s="4">
        <v>0</v>
      </c>
      <c r="D2206" s="4">
        <v>0</v>
      </c>
      <c r="E2206" s="4">
        <v>0</v>
      </c>
      <c r="F2206" s="4">
        <v>61.181241692654197</v>
      </c>
      <c r="G2206" s="4" t="str">
        <f t="shared" si="68"/>
        <v>OK</v>
      </c>
      <c r="H2206" s="4" t="str">
        <f t="shared" si="69"/>
        <v>ZERO</v>
      </c>
      <c r="I2206">
        <v>0</v>
      </c>
      <c r="J2206">
        <f>IFERROR(Table4[[#This Row],[energy_kwh]]/Table4[[#This Row],[expected_kwh]],0)</f>
        <v>0</v>
      </c>
      <c r="K2206" t="str">
        <f>IF(Table4[[#This Row],[Performance_Ratio]] &lt; 0.85, "Underperforming", "Performing")</f>
        <v>Underperforming</v>
      </c>
      <c r="L2206">
        <f>Table4[[#This Row],[energy_kwh]] - Table4[[#This Row],[expected_kwh]]</f>
        <v>0</v>
      </c>
      <c r="M2206" t="str">
        <f>IF(Table4[[#This Row],[Performance_Deviation]] &lt; 0, "Underperforming", "Outperforming")</f>
        <v>Outperforming</v>
      </c>
      <c r="N2206">
        <f>IF(Table4[[#This Row],[Performance_Ratio]] &lt; 0.85, Table4[[#This Row],[Performance_Deviation]] * 50 / 1000, 0)</f>
        <v>0</v>
      </c>
    </row>
    <row r="2207" spans="1:14" x14ac:dyDescent="0.3">
      <c r="A2207" s="6" t="s">
        <v>8</v>
      </c>
      <c r="B2207" s="5">
        <v>45321.875</v>
      </c>
      <c r="C2207" s="6">
        <v>0</v>
      </c>
      <c r="D2207" s="6">
        <v>0</v>
      </c>
      <c r="E2207" s="6">
        <v>0</v>
      </c>
      <c r="F2207" s="6">
        <v>91.180970238711197</v>
      </c>
      <c r="G2207" s="6" t="str">
        <f t="shared" si="68"/>
        <v>OK</v>
      </c>
      <c r="H2207" s="6" t="str">
        <f t="shared" si="69"/>
        <v>ZERO</v>
      </c>
      <c r="I2207">
        <v>0</v>
      </c>
      <c r="J2207">
        <f>IFERROR(Table4[[#This Row],[energy_kwh]]/Table4[[#This Row],[expected_kwh]],0)</f>
        <v>0</v>
      </c>
      <c r="K2207" t="str">
        <f>IF(Table4[[#This Row],[Performance_Ratio]] &lt; 0.85, "Underperforming", "Performing")</f>
        <v>Underperforming</v>
      </c>
      <c r="L2207">
        <f>Table4[[#This Row],[energy_kwh]] - Table4[[#This Row],[expected_kwh]]</f>
        <v>0</v>
      </c>
      <c r="M2207" t="str">
        <f>IF(Table4[[#This Row],[Performance_Deviation]] &lt; 0, "Underperforming", "Outperforming")</f>
        <v>Outperforming</v>
      </c>
      <c r="N2207">
        <f>IF(Table4[[#This Row],[Performance_Ratio]] &lt; 0.85, Table4[[#This Row],[Performance_Deviation]] * 50 / 1000, 0)</f>
        <v>0</v>
      </c>
    </row>
    <row r="2208" spans="1:14" x14ac:dyDescent="0.3">
      <c r="A2208" s="4" t="s">
        <v>8</v>
      </c>
      <c r="B2208" s="3">
        <v>45321.916666666664</v>
      </c>
      <c r="C2208" s="4">
        <v>0</v>
      </c>
      <c r="D2208" s="4">
        <v>0</v>
      </c>
      <c r="E2208" s="4">
        <v>0</v>
      </c>
      <c r="F2208" s="4">
        <v>82.150035765019496</v>
      </c>
      <c r="G2208" s="4" t="str">
        <f t="shared" si="68"/>
        <v>OK</v>
      </c>
      <c r="H2208" s="4" t="str">
        <f t="shared" si="69"/>
        <v>ZERO</v>
      </c>
      <c r="I2208">
        <v>0</v>
      </c>
      <c r="J2208">
        <f>IFERROR(Table4[[#This Row],[energy_kwh]]/Table4[[#This Row],[expected_kwh]],0)</f>
        <v>0</v>
      </c>
      <c r="K2208" t="str">
        <f>IF(Table4[[#This Row],[Performance_Ratio]] &lt; 0.85, "Underperforming", "Performing")</f>
        <v>Underperforming</v>
      </c>
      <c r="L2208">
        <f>Table4[[#This Row],[energy_kwh]] - Table4[[#This Row],[expected_kwh]]</f>
        <v>0</v>
      </c>
      <c r="M2208" t="str">
        <f>IF(Table4[[#This Row],[Performance_Deviation]] &lt; 0, "Underperforming", "Outperforming")</f>
        <v>Outperforming</v>
      </c>
      <c r="N2208">
        <f>IF(Table4[[#This Row],[Performance_Ratio]] &lt; 0.85, Table4[[#This Row],[Performance_Deviation]] * 50 / 1000, 0)</f>
        <v>0</v>
      </c>
    </row>
    <row r="2209" spans="1:14" x14ac:dyDescent="0.3">
      <c r="A2209" s="6" t="s">
        <v>8</v>
      </c>
      <c r="B2209" s="5">
        <v>45321.958333333336</v>
      </c>
      <c r="C2209" s="6">
        <v>0</v>
      </c>
      <c r="D2209" s="6">
        <v>0</v>
      </c>
      <c r="E2209" s="6">
        <v>0</v>
      </c>
      <c r="F2209" s="6">
        <v>72.585584853768196</v>
      </c>
      <c r="G2209" s="6" t="str">
        <f t="shared" si="68"/>
        <v>OK</v>
      </c>
      <c r="H2209" s="6" t="str">
        <f t="shared" si="69"/>
        <v>ZERO</v>
      </c>
      <c r="I2209">
        <v>0</v>
      </c>
      <c r="J2209">
        <f>IFERROR(Table4[[#This Row],[energy_kwh]]/Table4[[#This Row],[expected_kwh]],0)</f>
        <v>0</v>
      </c>
      <c r="K2209" t="str">
        <f>IF(Table4[[#This Row],[Performance_Ratio]] &lt; 0.85, "Underperforming", "Performing")</f>
        <v>Underperforming</v>
      </c>
      <c r="L2209">
        <f>Table4[[#This Row],[energy_kwh]] - Table4[[#This Row],[expected_kwh]]</f>
        <v>0</v>
      </c>
      <c r="M2209" t="str">
        <f>IF(Table4[[#This Row],[Performance_Deviation]] &lt; 0, "Underperforming", "Outperforming")</f>
        <v>Outperforming</v>
      </c>
      <c r="N2209">
        <f>IF(Table4[[#This Row],[Performance_Ratio]] &lt; 0.85, Table4[[#This Row],[Performance_Deviation]] * 50 / 1000, 0)</f>
        <v>0</v>
      </c>
    </row>
    <row r="2210" spans="1:14" x14ac:dyDescent="0.3">
      <c r="A2210" s="4" t="s">
        <v>8</v>
      </c>
      <c r="B2210" s="3">
        <v>45322</v>
      </c>
      <c r="C2210" s="4">
        <v>0</v>
      </c>
      <c r="D2210" s="4">
        <v>0</v>
      </c>
      <c r="E2210" s="4">
        <v>0</v>
      </c>
      <c r="F2210" s="4">
        <v>37.236953134440199</v>
      </c>
      <c r="G2210" s="4" t="str">
        <f t="shared" si="68"/>
        <v>OK</v>
      </c>
      <c r="H2210" s="4" t="str">
        <f t="shared" si="69"/>
        <v>ZERO</v>
      </c>
      <c r="I2210">
        <v>0</v>
      </c>
      <c r="J2210">
        <f>IFERROR(Table4[[#This Row],[energy_kwh]]/Table4[[#This Row],[expected_kwh]],0)</f>
        <v>0</v>
      </c>
      <c r="K2210" t="str">
        <f>IF(Table4[[#This Row],[Performance_Ratio]] &lt; 0.85, "Underperforming", "Performing")</f>
        <v>Underperforming</v>
      </c>
      <c r="L2210">
        <f>Table4[[#This Row],[energy_kwh]] - Table4[[#This Row],[expected_kwh]]</f>
        <v>0</v>
      </c>
      <c r="M2210" t="str">
        <f>IF(Table4[[#This Row],[Performance_Deviation]] &lt; 0, "Underperforming", "Outperforming")</f>
        <v>Outperforming</v>
      </c>
      <c r="N2210">
        <f>IF(Table4[[#This Row],[Performance_Ratio]] &lt; 0.85, Table4[[#This Row],[Performance_Deviation]] * 50 / 1000, 0)</f>
        <v>0</v>
      </c>
    </row>
    <row r="2211" spans="1:14" x14ac:dyDescent="0.3">
      <c r="A2211" s="6" t="s">
        <v>8</v>
      </c>
      <c r="B2211" s="5">
        <v>45322.041666666664</v>
      </c>
      <c r="C2211" s="6">
        <v>0</v>
      </c>
      <c r="D2211" s="6">
        <v>0</v>
      </c>
      <c r="E2211" s="6">
        <v>0</v>
      </c>
      <c r="F2211" s="6">
        <v>32.838855787634301</v>
      </c>
      <c r="G2211" s="6" t="str">
        <f t="shared" si="68"/>
        <v>OK</v>
      </c>
      <c r="H2211" s="6" t="str">
        <f t="shared" si="69"/>
        <v>ZERO</v>
      </c>
      <c r="I2211">
        <v>0</v>
      </c>
      <c r="J2211">
        <f>IFERROR(Table4[[#This Row],[energy_kwh]]/Table4[[#This Row],[expected_kwh]],0)</f>
        <v>0</v>
      </c>
      <c r="K2211" t="str">
        <f>IF(Table4[[#This Row],[Performance_Ratio]] &lt; 0.85, "Underperforming", "Performing")</f>
        <v>Underperforming</v>
      </c>
      <c r="L2211">
        <f>Table4[[#This Row],[energy_kwh]] - Table4[[#This Row],[expected_kwh]]</f>
        <v>0</v>
      </c>
      <c r="M2211" t="str">
        <f>IF(Table4[[#This Row],[Performance_Deviation]] &lt; 0, "Underperforming", "Outperforming")</f>
        <v>Outperforming</v>
      </c>
      <c r="N2211">
        <f>IF(Table4[[#This Row],[Performance_Ratio]] &lt; 0.85, Table4[[#This Row],[Performance_Deviation]] * 50 / 1000, 0)</f>
        <v>0</v>
      </c>
    </row>
    <row r="2212" spans="1:14" x14ac:dyDescent="0.3">
      <c r="A2212" s="4" t="s">
        <v>8</v>
      </c>
      <c r="B2212" s="3">
        <v>45322.083333333336</v>
      </c>
      <c r="C2212" s="4">
        <v>0</v>
      </c>
      <c r="D2212" s="4">
        <v>0</v>
      </c>
      <c r="E2212" s="4">
        <v>0</v>
      </c>
      <c r="F2212" s="4">
        <v>23.3427530534473</v>
      </c>
      <c r="G2212" s="4" t="str">
        <f t="shared" si="68"/>
        <v>OK</v>
      </c>
      <c r="H2212" s="4" t="str">
        <f t="shared" si="69"/>
        <v>ZERO</v>
      </c>
      <c r="I2212">
        <v>0</v>
      </c>
      <c r="J2212">
        <f>IFERROR(Table4[[#This Row],[energy_kwh]]/Table4[[#This Row],[expected_kwh]],0)</f>
        <v>0</v>
      </c>
      <c r="K2212" t="str">
        <f>IF(Table4[[#This Row],[Performance_Ratio]] &lt; 0.85, "Underperforming", "Performing")</f>
        <v>Underperforming</v>
      </c>
      <c r="L2212">
        <f>Table4[[#This Row],[energy_kwh]] - Table4[[#This Row],[expected_kwh]]</f>
        <v>0</v>
      </c>
      <c r="M2212" t="str">
        <f>IF(Table4[[#This Row],[Performance_Deviation]] &lt; 0, "Underperforming", "Outperforming")</f>
        <v>Outperforming</v>
      </c>
      <c r="N2212">
        <f>IF(Table4[[#This Row],[Performance_Ratio]] &lt; 0.85, Table4[[#This Row],[Performance_Deviation]] * 50 / 1000, 0)</f>
        <v>0</v>
      </c>
    </row>
    <row r="2213" spans="1:14" x14ac:dyDescent="0.3">
      <c r="A2213" s="6" t="s">
        <v>8</v>
      </c>
      <c r="B2213" s="5">
        <v>45322.125</v>
      </c>
      <c r="C2213" s="6">
        <v>0</v>
      </c>
      <c r="D2213" s="6">
        <v>0</v>
      </c>
      <c r="E2213" s="6">
        <v>0</v>
      </c>
      <c r="F2213" s="6">
        <v>44.239554899325199</v>
      </c>
      <c r="G2213" s="6" t="str">
        <f t="shared" si="68"/>
        <v>OK</v>
      </c>
      <c r="H2213" s="6" t="str">
        <f t="shared" si="69"/>
        <v>ZERO</v>
      </c>
      <c r="I2213">
        <v>0</v>
      </c>
      <c r="J2213">
        <f>IFERROR(Table4[[#This Row],[energy_kwh]]/Table4[[#This Row],[expected_kwh]],0)</f>
        <v>0</v>
      </c>
      <c r="K2213" t="str">
        <f>IF(Table4[[#This Row],[Performance_Ratio]] &lt; 0.85, "Underperforming", "Performing")</f>
        <v>Underperforming</v>
      </c>
      <c r="L2213">
        <f>Table4[[#This Row],[energy_kwh]] - Table4[[#This Row],[expected_kwh]]</f>
        <v>0</v>
      </c>
      <c r="M2213" t="str">
        <f>IF(Table4[[#This Row],[Performance_Deviation]] &lt; 0, "Underperforming", "Outperforming")</f>
        <v>Outperforming</v>
      </c>
      <c r="N2213">
        <f>IF(Table4[[#This Row],[Performance_Ratio]] &lt; 0.85, Table4[[#This Row],[Performance_Deviation]] * 50 / 1000, 0)</f>
        <v>0</v>
      </c>
    </row>
    <row r="2214" spans="1:14" x14ac:dyDescent="0.3">
      <c r="A2214" s="4" t="s">
        <v>8</v>
      </c>
      <c r="B2214" s="3">
        <v>45322.166666666664</v>
      </c>
      <c r="C2214" s="4">
        <v>0</v>
      </c>
      <c r="D2214" s="4">
        <v>0</v>
      </c>
      <c r="E2214" s="4">
        <v>0</v>
      </c>
      <c r="F2214" s="4">
        <v>34.169736032371397</v>
      </c>
      <c r="G2214" s="4" t="str">
        <f t="shared" si="68"/>
        <v>OK</v>
      </c>
      <c r="H2214" s="4" t="str">
        <f t="shared" si="69"/>
        <v>ZERO</v>
      </c>
      <c r="I2214">
        <v>0</v>
      </c>
      <c r="J2214">
        <f>IFERROR(Table4[[#This Row],[energy_kwh]]/Table4[[#This Row],[expected_kwh]],0)</f>
        <v>0</v>
      </c>
      <c r="K2214" t="str">
        <f>IF(Table4[[#This Row],[Performance_Ratio]] &lt; 0.85, "Underperforming", "Performing")</f>
        <v>Underperforming</v>
      </c>
      <c r="L2214">
        <f>Table4[[#This Row],[energy_kwh]] - Table4[[#This Row],[expected_kwh]]</f>
        <v>0</v>
      </c>
      <c r="M2214" t="str">
        <f>IF(Table4[[#This Row],[Performance_Deviation]] &lt; 0, "Underperforming", "Outperforming")</f>
        <v>Outperforming</v>
      </c>
      <c r="N2214">
        <f>IF(Table4[[#This Row],[Performance_Ratio]] &lt; 0.85, Table4[[#This Row],[Performance_Deviation]] * 50 / 1000, 0)</f>
        <v>0</v>
      </c>
    </row>
    <row r="2215" spans="1:14" x14ac:dyDescent="0.3">
      <c r="A2215" s="6" t="s">
        <v>8</v>
      </c>
      <c r="B2215" s="5">
        <v>45322.208333333336</v>
      </c>
      <c r="C2215" s="6">
        <v>0</v>
      </c>
      <c r="D2215" s="6">
        <v>0</v>
      </c>
      <c r="E2215" s="6">
        <v>0</v>
      </c>
      <c r="F2215" s="6">
        <v>48.514624848138297</v>
      </c>
      <c r="G2215" s="6" t="str">
        <f t="shared" si="68"/>
        <v>OK</v>
      </c>
      <c r="H2215" s="6" t="str">
        <f t="shared" si="69"/>
        <v>ZERO</v>
      </c>
      <c r="I2215">
        <v>0</v>
      </c>
      <c r="J2215">
        <f>IFERROR(Table4[[#This Row],[energy_kwh]]/Table4[[#This Row],[expected_kwh]],0)</f>
        <v>0</v>
      </c>
      <c r="K2215" t="str">
        <f>IF(Table4[[#This Row],[Performance_Ratio]] &lt; 0.85, "Underperforming", "Performing")</f>
        <v>Underperforming</v>
      </c>
      <c r="L2215">
        <f>Table4[[#This Row],[energy_kwh]] - Table4[[#This Row],[expected_kwh]]</f>
        <v>0</v>
      </c>
      <c r="M2215" t="str">
        <f>IF(Table4[[#This Row],[Performance_Deviation]] &lt; 0, "Underperforming", "Outperforming")</f>
        <v>Outperforming</v>
      </c>
      <c r="N2215">
        <f>IF(Table4[[#This Row],[Performance_Ratio]] &lt; 0.85, Table4[[#This Row],[Performance_Deviation]] * 50 / 1000, 0)</f>
        <v>0</v>
      </c>
    </row>
    <row r="2216" spans="1:14" x14ac:dyDescent="0.3">
      <c r="A2216" s="4" t="s">
        <v>8</v>
      </c>
      <c r="B2216" s="3">
        <v>45322.25</v>
      </c>
      <c r="C2216" s="4">
        <v>0</v>
      </c>
      <c r="D2216" s="4">
        <v>0</v>
      </c>
      <c r="E2216" s="4">
        <v>0</v>
      </c>
      <c r="F2216" s="4">
        <v>21.476241153606001</v>
      </c>
      <c r="G2216" s="4" t="str">
        <f t="shared" si="68"/>
        <v>OK</v>
      </c>
      <c r="H2216" s="4" t="str">
        <f t="shared" si="69"/>
        <v>ZERO</v>
      </c>
      <c r="I2216">
        <v>0</v>
      </c>
      <c r="J2216">
        <f>IFERROR(Table4[[#This Row],[energy_kwh]]/Table4[[#This Row],[expected_kwh]],0)</f>
        <v>0</v>
      </c>
      <c r="K2216" t="str">
        <f>IF(Table4[[#This Row],[Performance_Ratio]] &lt; 0.85, "Underperforming", "Performing")</f>
        <v>Underperforming</v>
      </c>
      <c r="L2216">
        <f>Table4[[#This Row],[energy_kwh]] - Table4[[#This Row],[expected_kwh]]</f>
        <v>0</v>
      </c>
      <c r="M2216" t="str">
        <f>IF(Table4[[#This Row],[Performance_Deviation]] &lt; 0, "Underperforming", "Outperforming")</f>
        <v>Outperforming</v>
      </c>
      <c r="N2216">
        <f>IF(Table4[[#This Row],[Performance_Ratio]] &lt; 0.85, Table4[[#This Row],[Performance_Deviation]] * 50 / 1000, 0)</f>
        <v>0</v>
      </c>
    </row>
    <row r="2217" spans="1:14" x14ac:dyDescent="0.3">
      <c r="A2217" s="6" t="s">
        <v>8</v>
      </c>
      <c r="B2217" s="5">
        <v>45322.291666666664</v>
      </c>
      <c r="C2217" s="6">
        <v>208.846456277459</v>
      </c>
      <c r="D2217" s="6">
        <v>202.430642531367</v>
      </c>
      <c r="E2217" s="6">
        <v>202.430642531367</v>
      </c>
      <c r="F2217" s="6">
        <v>80.988661046334499</v>
      </c>
      <c r="G2217" s="6" t="str">
        <f t="shared" si="68"/>
        <v>OK</v>
      </c>
      <c r="H2217" s="6" t="str">
        <f t="shared" si="69"/>
        <v>NON-ZERO</v>
      </c>
      <c r="I2217">
        <v>207.05523608201599</v>
      </c>
      <c r="J2217">
        <f>IFERROR(Table4[[#This Row],[energy_kwh]]/Table4[[#This Row],[expected_kwh]],0)</f>
        <v>0.97766492826669127</v>
      </c>
      <c r="K2217" t="str">
        <f>IF(Table4[[#This Row],[Performance_Ratio]] &lt; 0.85, "Underperforming", "Performing")</f>
        <v>Performing</v>
      </c>
      <c r="L2217">
        <f>Table4[[#This Row],[energy_kwh]] - Table4[[#This Row],[expected_kwh]]</f>
        <v>-4.6245935506489957</v>
      </c>
      <c r="M2217" t="str">
        <f>IF(Table4[[#This Row],[Performance_Deviation]] &lt; 0, "Underperforming", "Outperforming")</f>
        <v>Underperforming</v>
      </c>
      <c r="N2217">
        <f>IF(Table4[[#This Row],[Performance_Ratio]] &lt; 0.85, Table4[[#This Row],[Performance_Deviation]] * 50 / 1000, 0)</f>
        <v>0</v>
      </c>
    </row>
    <row r="2218" spans="1:14" x14ac:dyDescent="0.3">
      <c r="A2218" s="4" t="s">
        <v>8</v>
      </c>
      <c r="B2218" s="3">
        <v>45322.333333333336</v>
      </c>
      <c r="C2218" s="4">
        <v>380.74401497532</v>
      </c>
      <c r="D2218" s="4">
        <v>369.04746657051601</v>
      </c>
      <c r="E2218" s="4">
        <v>369.04746657051601</v>
      </c>
      <c r="F2218" s="4">
        <v>71.742200248502002</v>
      </c>
      <c r="G2218" s="4" t="str">
        <f t="shared" si="68"/>
        <v>OK</v>
      </c>
      <c r="H2218" s="4" t="str">
        <f t="shared" si="69"/>
        <v>NON-ZERO</v>
      </c>
      <c r="I2218">
        <v>399.99999999999898</v>
      </c>
      <c r="J2218">
        <f>IFERROR(Table4[[#This Row],[energy_kwh]]/Table4[[#This Row],[expected_kwh]],0)</f>
        <v>0.92261866642629242</v>
      </c>
      <c r="K2218" t="str">
        <f>IF(Table4[[#This Row],[Performance_Ratio]] &lt; 0.85, "Underperforming", "Performing")</f>
        <v>Performing</v>
      </c>
      <c r="L2218">
        <f>Table4[[#This Row],[energy_kwh]] - Table4[[#This Row],[expected_kwh]]</f>
        <v>-30.952533429482969</v>
      </c>
      <c r="M2218" t="str">
        <f>IF(Table4[[#This Row],[Performance_Deviation]] &lt; 0, "Underperforming", "Outperforming")</f>
        <v>Underperforming</v>
      </c>
      <c r="N2218">
        <f>IF(Table4[[#This Row],[Performance_Ratio]] &lt; 0.85, Table4[[#This Row],[Performance_Deviation]] * 50 / 1000, 0)</f>
        <v>0</v>
      </c>
    </row>
    <row r="2219" spans="1:14" x14ac:dyDescent="0.3">
      <c r="A2219" s="6" t="s">
        <v>8</v>
      </c>
      <c r="B2219" s="5">
        <v>45322.375</v>
      </c>
      <c r="C2219" s="6">
        <v>572.78559322828596</v>
      </c>
      <c r="D2219" s="6">
        <v>555.18948100258694</v>
      </c>
      <c r="E2219" s="6">
        <v>555.18948100258694</v>
      </c>
      <c r="F2219" s="6">
        <v>88.864486884627695</v>
      </c>
      <c r="G2219" s="6" t="str">
        <f t="shared" si="68"/>
        <v>OK</v>
      </c>
      <c r="H2219" s="6" t="str">
        <f t="shared" si="69"/>
        <v>NON-ZERO</v>
      </c>
      <c r="I2219">
        <v>565.68542494923804</v>
      </c>
      <c r="J2219">
        <f>IFERROR(Table4[[#This Row],[energy_kwh]]/Table4[[#This Row],[expected_kwh]],0)</f>
        <v>0.98144561715092282</v>
      </c>
      <c r="K2219" t="str">
        <f>IF(Table4[[#This Row],[Performance_Ratio]] &lt; 0.85, "Underperforming", "Performing")</f>
        <v>Performing</v>
      </c>
      <c r="L2219">
        <f>Table4[[#This Row],[energy_kwh]] - Table4[[#This Row],[expected_kwh]]</f>
        <v>-10.495943946651096</v>
      </c>
      <c r="M2219" t="str">
        <f>IF(Table4[[#This Row],[Performance_Deviation]] &lt; 0, "Underperforming", "Outperforming")</f>
        <v>Underperforming</v>
      </c>
      <c r="N2219">
        <f>IF(Table4[[#This Row],[Performance_Ratio]] &lt; 0.85, Table4[[#This Row],[Performance_Deviation]] * 50 / 1000, 0)</f>
        <v>0</v>
      </c>
    </row>
    <row r="2220" spans="1:14" x14ac:dyDescent="0.3">
      <c r="A2220" s="4" t="s">
        <v>8</v>
      </c>
      <c r="B2220" s="3">
        <v>45322.416666666664</v>
      </c>
      <c r="C2220" s="4">
        <v>640.70680837588702</v>
      </c>
      <c r="D2220" s="4">
        <v>621.02413996167297</v>
      </c>
      <c r="E2220" s="4">
        <v>621.02413996167297</v>
      </c>
      <c r="F2220" s="4">
        <v>41.841748893370699</v>
      </c>
      <c r="G2220" s="4" t="str">
        <f t="shared" si="68"/>
        <v>OK</v>
      </c>
      <c r="H2220" s="4" t="str">
        <f t="shared" si="69"/>
        <v>NON-ZERO</v>
      </c>
      <c r="I2220">
        <v>692.82032302754999</v>
      </c>
      <c r="J2220">
        <f>IFERROR(Table4[[#This Row],[energy_kwh]]/Table4[[#This Row],[expected_kwh]],0)</f>
        <v>0.89637113595032047</v>
      </c>
      <c r="K2220" t="str">
        <f>IF(Table4[[#This Row],[Performance_Ratio]] &lt; 0.85, "Underperforming", "Performing")</f>
        <v>Performing</v>
      </c>
      <c r="L2220">
        <f>Table4[[#This Row],[energy_kwh]] - Table4[[#This Row],[expected_kwh]]</f>
        <v>-71.796183065877017</v>
      </c>
      <c r="M2220" t="str">
        <f>IF(Table4[[#This Row],[Performance_Deviation]] &lt; 0, "Underperforming", "Outperforming")</f>
        <v>Underperforming</v>
      </c>
      <c r="N2220">
        <f>IF(Table4[[#This Row],[Performance_Ratio]] &lt; 0.85, Table4[[#This Row],[Performance_Deviation]] * 50 / 1000, 0)</f>
        <v>0</v>
      </c>
    </row>
    <row r="2221" spans="1:14" x14ac:dyDescent="0.3">
      <c r="A2221" s="6" t="s">
        <v>8</v>
      </c>
      <c r="B2221" s="5">
        <v>45322.458333333336</v>
      </c>
      <c r="C2221" s="6">
        <v>767.77749773556104</v>
      </c>
      <c r="D2221" s="6">
        <v>744.19118695148904</v>
      </c>
      <c r="E2221" s="6">
        <v>744.19118695148904</v>
      </c>
      <c r="F2221" s="6">
        <v>87.443773023617297</v>
      </c>
      <c r="G2221" s="6" t="str">
        <f t="shared" si="68"/>
        <v>OK</v>
      </c>
      <c r="H2221" s="6" t="str">
        <f t="shared" si="69"/>
        <v>NON-ZERO</v>
      </c>
      <c r="I2221">
        <v>772.74066103125404</v>
      </c>
      <c r="J2221">
        <f>IFERROR(Table4[[#This Row],[energy_kwh]]/Table4[[#This Row],[expected_kwh]],0)</f>
        <v>0.96305426190248022</v>
      </c>
      <c r="K2221" t="str">
        <f>IF(Table4[[#This Row],[Performance_Ratio]] &lt; 0.85, "Underperforming", "Performing")</f>
        <v>Performing</v>
      </c>
      <c r="L2221">
        <f>Table4[[#This Row],[energy_kwh]] - Table4[[#This Row],[expected_kwh]]</f>
        <v>-28.549474079764991</v>
      </c>
      <c r="M2221" t="str">
        <f>IF(Table4[[#This Row],[Performance_Deviation]] &lt; 0, "Underperforming", "Outperforming")</f>
        <v>Underperforming</v>
      </c>
      <c r="N2221">
        <f>IF(Table4[[#This Row],[Performance_Ratio]] &lt; 0.85, Table4[[#This Row],[Performance_Deviation]] * 50 / 1000, 0)</f>
        <v>0</v>
      </c>
    </row>
    <row r="2222" spans="1:14" x14ac:dyDescent="0.3">
      <c r="A2222" s="4" t="s">
        <v>8</v>
      </c>
      <c r="B2222" s="3">
        <v>45322.5</v>
      </c>
      <c r="C2222" s="4">
        <v>761.26072656627196</v>
      </c>
      <c r="D2222" s="4">
        <v>737.87461257171401</v>
      </c>
      <c r="E2222" s="4">
        <v>737.87461257171401</v>
      </c>
      <c r="F2222" s="4">
        <v>33.438475596899103</v>
      </c>
      <c r="G2222" s="4" t="str">
        <f t="shared" si="68"/>
        <v>OK</v>
      </c>
      <c r="H2222" s="4" t="str">
        <f t="shared" si="69"/>
        <v>NON-ZERO</v>
      </c>
      <c r="I2222">
        <v>800</v>
      </c>
      <c r="J2222">
        <f>IFERROR(Table4[[#This Row],[energy_kwh]]/Table4[[#This Row],[expected_kwh]],0)</f>
        <v>0.92234326571464254</v>
      </c>
      <c r="K2222" t="str">
        <f>IF(Table4[[#This Row],[Performance_Ratio]] &lt; 0.85, "Underperforming", "Performing")</f>
        <v>Performing</v>
      </c>
      <c r="L2222">
        <f>Table4[[#This Row],[energy_kwh]] - Table4[[#This Row],[expected_kwh]]</f>
        <v>-62.12538742828599</v>
      </c>
      <c r="M2222" t="str">
        <f>IF(Table4[[#This Row],[Performance_Deviation]] &lt; 0, "Underperforming", "Outperforming")</f>
        <v>Underperforming</v>
      </c>
      <c r="N2222">
        <f>IF(Table4[[#This Row],[Performance_Ratio]] &lt; 0.85, Table4[[#This Row],[Performance_Deviation]] * 50 / 1000, 0)</f>
        <v>0</v>
      </c>
    </row>
    <row r="2223" spans="1:14" x14ac:dyDescent="0.3">
      <c r="A2223" s="6" t="s">
        <v>8</v>
      </c>
      <c r="B2223" s="5">
        <v>45322.541666666664</v>
      </c>
      <c r="C2223" s="6">
        <v>610.906061574727</v>
      </c>
      <c r="D2223" s="6">
        <v>592.138879323786</v>
      </c>
      <c r="E2223" s="6">
        <v>592.138879323786</v>
      </c>
      <c r="F2223" s="6">
        <v>57.148823520043102</v>
      </c>
      <c r="G2223" s="6" t="str">
        <f t="shared" si="68"/>
        <v>OK</v>
      </c>
      <c r="H2223" s="6" t="str">
        <f t="shared" si="69"/>
        <v>NON-ZERO</v>
      </c>
      <c r="I2223">
        <v>772.74066103125404</v>
      </c>
      <c r="J2223">
        <f>IFERROR(Table4[[#This Row],[energy_kwh]]/Table4[[#This Row],[expected_kwh]],0)</f>
        <v>0.76628409657329588</v>
      </c>
      <c r="K2223" t="str">
        <f>IF(Table4[[#This Row],[Performance_Ratio]] &lt; 0.85, "Underperforming", "Performing")</f>
        <v>Underperforming</v>
      </c>
      <c r="L2223">
        <f>Table4[[#This Row],[energy_kwh]] - Table4[[#This Row],[expected_kwh]]</f>
        <v>-180.60178170746804</v>
      </c>
      <c r="M2223" t="str">
        <f>IF(Table4[[#This Row],[Performance_Deviation]] &lt; 0, "Underperforming", "Outperforming")</f>
        <v>Underperforming</v>
      </c>
      <c r="N2223">
        <f>IF(Table4[[#This Row],[Performance_Ratio]] &lt; 0.85, Table4[[#This Row],[Performance_Deviation]] * 50 / 1000, 0)</f>
        <v>-9.030089085373401</v>
      </c>
    </row>
    <row r="2224" spans="1:14" x14ac:dyDescent="0.3">
      <c r="A2224" s="4" t="s">
        <v>8</v>
      </c>
      <c r="B2224" s="3">
        <v>45322.583333333336</v>
      </c>
      <c r="C2224" s="4">
        <v>685.21680529261596</v>
      </c>
      <c r="D2224" s="4">
        <v>664.16677898712101</v>
      </c>
      <c r="E2224" s="4">
        <v>664.16677898712101</v>
      </c>
      <c r="F2224" s="4">
        <v>75.201302627400196</v>
      </c>
      <c r="G2224" s="4" t="str">
        <f t="shared" si="68"/>
        <v>OK</v>
      </c>
      <c r="H2224" s="4" t="str">
        <f t="shared" si="69"/>
        <v>NON-ZERO</v>
      </c>
      <c r="I2224">
        <v>692.82032302755101</v>
      </c>
      <c r="J2224">
        <f>IFERROR(Table4[[#This Row],[energy_kwh]]/Table4[[#This Row],[expected_kwh]],0)</f>
        <v>0.95864217158755238</v>
      </c>
      <c r="K2224" t="str">
        <f>IF(Table4[[#This Row],[Performance_Ratio]] &lt; 0.85, "Underperforming", "Performing")</f>
        <v>Performing</v>
      </c>
      <c r="L2224">
        <f>Table4[[#This Row],[energy_kwh]] - Table4[[#This Row],[expected_kwh]]</f>
        <v>-28.653544040430006</v>
      </c>
      <c r="M2224" t="str">
        <f>IF(Table4[[#This Row],[Performance_Deviation]] &lt; 0, "Underperforming", "Outperforming")</f>
        <v>Underperforming</v>
      </c>
      <c r="N2224">
        <f>IF(Table4[[#This Row],[Performance_Ratio]] &lt; 0.85, Table4[[#This Row],[Performance_Deviation]] * 50 / 1000, 0)</f>
        <v>0</v>
      </c>
    </row>
    <row r="2225" spans="1:14" x14ac:dyDescent="0.3">
      <c r="A2225" s="6" t="s">
        <v>8</v>
      </c>
      <c r="B2225" s="5">
        <v>45322.625</v>
      </c>
      <c r="C2225" s="6">
        <v>533.90069558697598</v>
      </c>
      <c r="D2225" s="6">
        <v>517.49913683969999</v>
      </c>
      <c r="E2225" s="6">
        <v>517.49913683969999</v>
      </c>
      <c r="F2225" s="6">
        <v>48.3476266730963</v>
      </c>
      <c r="G2225" s="6" t="str">
        <f t="shared" si="68"/>
        <v>OK</v>
      </c>
      <c r="H2225" s="6" t="str">
        <f t="shared" si="69"/>
        <v>NON-ZERO</v>
      </c>
      <c r="I2225">
        <v>565.68542494923804</v>
      </c>
      <c r="J2225">
        <f>IFERROR(Table4[[#This Row],[energy_kwh]]/Table4[[#This Row],[expected_kwh]],0)</f>
        <v>0.91481787229384237</v>
      </c>
      <c r="K2225" t="str">
        <f>IF(Table4[[#This Row],[Performance_Ratio]] &lt; 0.85, "Underperforming", "Performing")</f>
        <v>Performing</v>
      </c>
      <c r="L2225">
        <f>Table4[[#This Row],[energy_kwh]] - Table4[[#This Row],[expected_kwh]]</f>
        <v>-48.186288109538054</v>
      </c>
      <c r="M2225" t="str">
        <f>IF(Table4[[#This Row],[Performance_Deviation]] &lt; 0, "Underperforming", "Outperforming")</f>
        <v>Underperforming</v>
      </c>
      <c r="N2225">
        <f>IF(Table4[[#This Row],[Performance_Ratio]] &lt; 0.85, Table4[[#This Row],[Performance_Deviation]] * 50 / 1000, 0)</f>
        <v>0</v>
      </c>
    </row>
    <row r="2226" spans="1:14" x14ac:dyDescent="0.3">
      <c r="A2226" s="4" t="s">
        <v>8</v>
      </c>
      <c r="B2226" s="3">
        <v>45322.666666666664</v>
      </c>
      <c r="C2226" s="4">
        <v>355.62261135247502</v>
      </c>
      <c r="D2226" s="4">
        <v>344.69779855457301</v>
      </c>
      <c r="E2226" s="4">
        <v>344.69779855457301</v>
      </c>
      <c r="F2226" s="4">
        <v>32.023177963667599</v>
      </c>
      <c r="G2226" s="4" t="str">
        <f t="shared" si="68"/>
        <v>OK</v>
      </c>
      <c r="H2226" s="4" t="str">
        <f t="shared" si="69"/>
        <v>NON-ZERO</v>
      </c>
      <c r="I2226">
        <v>399.99999999999898</v>
      </c>
      <c r="J2226">
        <f>IFERROR(Table4[[#This Row],[energy_kwh]]/Table4[[#This Row],[expected_kwh]],0)</f>
        <v>0.86174449638643469</v>
      </c>
      <c r="K2226" t="str">
        <f>IF(Table4[[#This Row],[Performance_Ratio]] &lt; 0.85, "Underperforming", "Performing")</f>
        <v>Performing</v>
      </c>
      <c r="L2226">
        <f>Table4[[#This Row],[energy_kwh]] - Table4[[#This Row],[expected_kwh]]</f>
        <v>-55.302201445425965</v>
      </c>
      <c r="M2226" t="str">
        <f>IF(Table4[[#This Row],[Performance_Deviation]] &lt; 0, "Underperforming", "Outperforming")</f>
        <v>Underperforming</v>
      </c>
      <c r="N2226">
        <f>IF(Table4[[#This Row],[Performance_Ratio]] &lt; 0.85, Table4[[#This Row],[Performance_Deviation]] * 50 / 1000, 0)</f>
        <v>0</v>
      </c>
    </row>
    <row r="2227" spans="1:14" x14ac:dyDescent="0.3">
      <c r="A2227" s="6" t="s">
        <v>8</v>
      </c>
      <c r="B2227" s="5">
        <v>45322.708333333336</v>
      </c>
      <c r="C2227" s="6">
        <v>195.588530917696</v>
      </c>
      <c r="D2227" s="6">
        <v>189.58000385141699</v>
      </c>
      <c r="E2227" s="6">
        <v>189.58000385141699</v>
      </c>
      <c r="F2227" s="6">
        <v>25.690373091803501</v>
      </c>
      <c r="G2227" s="6" t="str">
        <f t="shared" si="68"/>
        <v>OK</v>
      </c>
      <c r="H2227" s="6" t="str">
        <f t="shared" si="69"/>
        <v>NON-ZERO</v>
      </c>
      <c r="I2227">
        <v>207.05523608201599</v>
      </c>
      <c r="J2227">
        <f>IFERROR(Table4[[#This Row],[energy_kwh]]/Table4[[#This Row],[expected_kwh]],0)</f>
        <v>0.91560110934032624</v>
      </c>
      <c r="K2227" t="str">
        <f>IF(Table4[[#This Row],[Performance_Ratio]] &lt; 0.85, "Underperforming", "Performing")</f>
        <v>Performing</v>
      </c>
      <c r="L2227">
        <f>Table4[[#This Row],[energy_kwh]] - Table4[[#This Row],[expected_kwh]]</f>
        <v>-17.475232230599005</v>
      </c>
      <c r="M2227" t="str">
        <f>IF(Table4[[#This Row],[Performance_Deviation]] &lt; 0, "Underperforming", "Outperforming")</f>
        <v>Underperforming</v>
      </c>
      <c r="N2227">
        <f>IF(Table4[[#This Row],[Performance_Ratio]] &lt; 0.85, Table4[[#This Row],[Performance_Deviation]] * 50 / 1000, 0)</f>
        <v>0</v>
      </c>
    </row>
    <row r="2228" spans="1:14" x14ac:dyDescent="0.3">
      <c r="A2228" s="4" t="s">
        <v>8</v>
      </c>
      <c r="B2228" s="3">
        <v>45322.75</v>
      </c>
      <c r="C2228" s="7">
        <v>9.9409043409209394E-14</v>
      </c>
      <c r="D2228" s="7">
        <v>9.6355173506129102E-14</v>
      </c>
      <c r="E2228" s="7">
        <v>9.6355173506129102E-14</v>
      </c>
      <c r="F2228" s="4">
        <v>74.024218735891907</v>
      </c>
      <c r="G2228" s="4" t="str">
        <f t="shared" si="68"/>
        <v>OK</v>
      </c>
      <c r="H2228" s="4" t="str">
        <f t="shared" si="69"/>
        <v>NON-ZERO</v>
      </c>
      <c r="I2228" s="2">
        <v>9.7971743931788194E-14</v>
      </c>
      <c r="J2228">
        <f>IFERROR(Table4[[#This Row],[energy_kwh]]/Table4[[#This Row],[expected_kwh]],0)</f>
        <v>0.98349962590454032</v>
      </c>
      <c r="K2228" t="str">
        <f>IF(Table4[[#This Row],[Performance_Ratio]] &lt; 0.85, "Underperforming", "Performing")</f>
        <v>Performing</v>
      </c>
      <c r="L2228">
        <f>Table4[[#This Row],[energy_kwh]] - Table4[[#This Row],[expected_kwh]]</f>
        <v>-1.6165704256590918E-15</v>
      </c>
      <c r="M2228" t="str">
        <f>IF(Table4[[#This Row],[Performance_Deviation]] &lt; 0, "Underperforming", "Outperforming")</f>
        <v>Underperforming</v>
      </c>
      <c r="N2228">
        <f>IF(Table4[[#This Row],[Performance_Ratio]] &lt; 0.85, Table4[[#This Row],[Performance_Deviation]] * 50 / 1000, 0)</f>
        <v>0</v>
      </c>
    </row>
    <row r="2229" spans="1:14" x14ac:dyDescent="0.3">
      <c r="A2229" s="6" t="s">
        <v>8</v>
      </c>
      <c r="B2229" s="5">
        <v>45322.791666666664</v>
      </c>
      <c r="C2229" s="6">
        <v>0</v>
      </c>
      <c r="D2229" s="6">
        <v>0</v>
      </c>
      <c r="E2229" s="6">
        <v>0</v>
      </c>
      <c r="F2229" s="6">
        <v>44.175384356070701</v>
      </c>
      <c r="G2229" s="6" t="str">
        <f t="shared" si="68"/>
        <v>OK</v>
      </c>
      <c r="H2229" s="6" t="str">
        <f t="shared" si="69"/>
        <v>ZERO</v>
      </c>
      <c r="I2229">
        <v>0</v>
      </c>
      <c r="J2229">
        <f>IFERROR(Table4[[#This Row],[energy_kwh]]/Table4[[#This Row],[expected_kwh]],0)</f>
        <v>0</v>
      </c>
      <c r="K2229" t="str">
        <f>IF(Table4[[#This Row],[Performance_Ratio]] &lt; 0.85, "Underperforming", "Performing")</f>
        <v>Underperforming</v>
      </c>
      <c r="L2229">
        <f>Table4[[#This Row],[energy_kwh]] - Table4[[#This Row],[expected_kwh]]</f>
        <v>0</v>
      </c>
      <c r="M2229" t="str">
        <f>IF(Table4[[#This Row],[Performance_Deviation]] &lt; 0, "Underperforming", "Outperforming")</f>
        <v>Outperforming</v>
      </c>
      <c r="N2229">
        <f>IF(Table4[[#This Row],[Performance_Ratio]] &lt; 0.85, Table4[[#This Row],[Performance_Deviation]] * 50 / 1000, 0)</f>
        <v>0</v>
      </c>
    </row>
    <row r="2230" spans="1:14" x14ac:dyDescent="0.3">
      <c r="A2230" s="4" t="s">
        <v>8</v>
      </c>
      <c r="B2230" s="3">
        <v>45322.833333333336</v>
      </c>
      <c r="C2230" s="4">
        <v>0</v>
      </c>
      <c r="D2230" s="4">
        <v>0</v>
      </c>
      <c r="E2230" s="4">
        <v>0</v>
      </c>
      <c r="F2230" s="4">
        <v>54.551373011160003</v>
      </c>
      <c r="G2230" s="4" t="str">
        <f t="shared" si="68"/>
        <v>OK</v>
      </c>
      <c r="H2230" s="4" t="str">
        <f t="shared" si="69"/>
        <v>ZERO</v>
      </c>
      <c r="I2230">
        <v>0</v>
      </c>
      <c r="J2230">
        <f>IFERROR(Table4[[#This Row],[energy_kwh]]/Table4[[#This Row],[expected_kwh]],0)</f>
        <v>0</v>
      </c>
      <c r="K2230" t="str">
        <f>IF(Table4[[#This Row],[Performance_Ratio]] &lt; 0.85, "Underperforming", "Performing")</f>
        <v>Underperforming</v>
      </c>
      <c r="L2230">
        <f>Table4[[#This Row],[energy_kwh]] - Table4[[#This Row],[expected_kwh]]</f>
        <v>0</v>
      </c>
      <c r="M2230" t="str">
        <f>IF(Table4[[#This Row],[Performance_Deviation]] &lt; 0, "Underperforming", "Outperforming")</f>
        <v>Outperforming</v>
      </c>
      <c r="N2230">
        <f>IF(Table4[[#This Row],[Performance_Ratio]] &lt; 0.85, Table4[[#This Row],[Performance_Deviation]] * 50 / 1000, 0)</f>
        <v>0</v>
      </c>
    </row>
    <row r="2231" spans="1:14" x14ac:dyDescent="0.3">
      <c r="A2231" s="6" t="s">
        <v>8</v>
      </c>
      <c r="B2231" s="5">
        <v>45322.875</v>
      </c>
      <c r="C2231" s="6">
        <v>0</v>
      </c>
      <c r="D2231" s="6">
        <v>0</v>
      </c>
      <c r="E2231" s="6">
        <v>0</v>
      </c>
      <c r="F2231" s="6">
        <v>94.165678410315707</v>
      </c>
      <c r="G2231" s="6" t="str">
        <f t="shared" si="68"/>
        <v>OK</v>
      </c>
      <c r="H2231" s="6" t="str">
        <f t="shared" si="69"/>
        <v>ZERO</v>
      </c>
      <c r="I2231">
        <v>0</v>
      </c>
      <c r="J2231">
        <f>IFERROR(Table4[[#This Row],[energy_kwh]]/Table4[[#This Row],[expected_kwh]],0)</f>
        <v>0</v>
      </c>
      <c r="K2231" t="str">
        <f>IF(Table4[[#This Row],[Performance_Ratio]] &lt; 0.85, "Underperforming", "Performing")</f>
        <v>Underperforming</v>
      </c>
      <c r="L2231">
        <f>Table4[[#This Row],[energy_kwh]] - Table4[[#This Row],[expected_kwh]]</f>
        <v>0</v>
      </c>
      <c r="M2231" t="str">
        <f>IF(Table4[[#This Row],[Performance_Deviation]] &lt; 0, "Underperforming", "Outperforming")</f>
        <v>Outperforming</v>
      </c>
      <c r="N2231">
        <f>IF(Table4[[#This Row],[Performance_Ratio]] &lt; 0.85, Table4[[#This Row],[Performance_Deviation]] * 50 / 1000, 0)</f>
        <v>0</v>
      </c>
    </row>
    <row r="2232" spans="1:14" x14ac:dyDescent="0.3">
      <c r="A2232" s="4" t="s">
        <v>8</v>
      </c>
      <c r="B2232" s="3">
        <v>45322.916666666664</v>
      </c>
      <c r="C2232" s="4">
        <v>0</v>
      </c>
      <c r="D2232" s="4">
        <v>0</v>
      </c>
      <c r="E2232" s="4">
        <v>0</v>
      </c>
      <c r="F2232" s="4">
        <v>53.064133452688601</v>
      </c>
      <c r="G2232" s="4" t="str">
        <f t="shared" si="68"/>
        <v>OK</v>
      </c>
      <c r="H2232" s="4" t="str">
        <f t="shared" si="69"/>
        <v>ZERO</v>
      </c>
      <c r="I2232">
        <v>0</v>
      </c>
      <c r="J2232">
        <f>IFERROR(Table4[[#This Row],[energy_kwh]]/Table4[[#This Row],[expected_kwh]],0)</f>
        <v>0</v>
      </c>
      <c r="K2232" t="str">
        <f>IF(Table4[[#This Row],[Performance_Ratio]] &lt; 0.85, "Underperforming", "Performing")</f>
        <v>Underperforming</v>
      </c>
      <c r="L2232">
        <f>Table4[[#This Row],[energy_kwh]] - Table4[[#This Row],[expected_kwh]]</f>
        <v>0</v>
      </c>
      <c r="M2232" t="str">
        <f>IF(Table4[[#This Row],[Performance_Deviation]] &lt; 0, "Underperforming", "Outperforming")</f>
        <v>Outperforming</v>
      </c>
      <c r="N2232">
        <f>IF(Table4[[#This Row],[Performance_Ratio]] &lt; 0.85, Table4[[#This Row],[Performance_Deviation]] * 50 / 1000, 0)</f>
        <v>0</v>
      </c>
    </row>
    <row r="2233" spans="1:14" x14ac:dyDescent="0.3">
      <c r="A2233" s="6" t="s">
        <v>8</v>
      </c>
      <c r="B2233" s="5">
        <v>45322.958333333336</v>
      </c>
      <c r="C2233" s="6">
        <v>0</v>
      </c>
      <c r="D2233" s="6">
        <v>0</v>
      </c>
      <c r="E2233" s="6">
        <v>0</v>
      </c>
      <c r="F2233" s="6">
        <v>22.5341863211186</v>
      </c>
      <c r="G2233" s="6" t="str">
        <f t="shared" si="68"/>
        <v>OK</v>
      </c>
      <c r="H2233" s="6" t="str">
        <f t="shared" si="69"/>
        <v>ZERO</v>
      </c>
      <c r="I2233">
        <v>0</v>
      </c>
      <c r="J2233">
        <f>IFERROR(Table4[[#This Row],[energy_kwh]]/Table4[[#This Row],[expected_kwh]],0)</f>
        <v>0</v>
      </c>
      <c r="K2233" t="str">
        <f>IF(Table4[[#This Row],[Performance_Ratio]] &lt; 0.85, "Underperforming", "Performing")</f>
        <v>Underperforming</v>
      </c>
      <c r="L2233">
        <f>Table4[[#This Row],[energy_kwh]] - Table4[[#This Row],[expected_kwh]]</f>
        <v>0</v>
      </c>
      <c r="M2233" t="str">
        <f>IF(Table4[[#This Row],[Performance_Deviation]] &lt; 0, "Underperforming", "Outperforming")</f>
        <v>Outperforming</v>
      </c>
      <c r="N2233">
        <f>IF(Table4[[#This Row],[Performance_Ratio]] &lt; 0.85, Table4[[#This Row],[Performance_Deviation]] * 50 / 1000, 0)</f>
        <v>0</v>
      </c>
    </row>
    <row r="2234" spans="1:14" x14ac:dyDescent="0.3">
      <c r="A2234" s="4" t="s">
        <v>9</v>
      </c>
      <c r="B2234" s="3">
        <v>45292</v>
      </c>
      <c r="C2234" s="4">
        <v>0</v>
      </c>
      <c r="D2234" s="4">
        <v>0</v>
      </c>
      <c r="E2234" s="4">
        <v>0</v>
      </c>
      <c r="F2234" s="4">
        <v>55.179525516586502</v>
      </c>
      <c r="G2234" s="4" t="str">
        <f t="shared" si="68"/>
        <v>OK</v>
      </c>
      <c r="H2234" s="4" t="str">
        <f t="shared" si="69"/>
        <v>ZERO</v>
      </c>
      <c r="I2234">
        <v>0</v>
      </c>
      <c r="J2234">
        <f>IFERROR(Table4[[#This Row],[energy_kwh]]/Table4[[#This Row],[expected_kwh]],0)</f>
        <v>0</v>
      </c>
      <c r="K2234" t="str">
        <f>IF(Table4[[#This Row],[Performance_Ratio]] &lt; 0.85, "Underperforming", "Performing")</f>
        <v>Underperforming</v>
      </c>
      <c r="L2234">
        <f>Table4[[#This Row],[energy_kwh]] - Table4[[#This Row],[expected_kwh]]</f>
        <v>0</v>
      </c>
      <c r="M2234" t="str">
        <f>IF(Table4[[#This Row],[Performance_Deviation]] &lt; 0, "Underperforming", "Outperforming")</f>
        <v>Outperforming</v>
      </c>
      <c r="N2234">
        <f>IF(Table4[[#This Row],[Performance_Ratio]] &lt; 0.85, Table4[[#This Row],[Performance_Deviation]] * 50 / 1000, 0)</f>
        <v>0</v>
      </c>
    </row>
    <row r="2235" spans="1:14" x14ac:dyDescent="0.3">
      <c r="A2235" s="6" t="s">
        <v>9</v>
      </c>
      <c r="B2235" s="5">
        <v>45292.041666666664</v>
      </c>
      <c r="C2235" s="6">
        <v>0</v>
      </c>
      <c r="D2235" s="6">
        <v>0</v>
      </c>
      <c r="E2235" s="6">
        <v>0</v>
      </c>
      <c r="F2235" s="6">
        <v>30.9221553894088</v>
      </c>
      <c r="G2235" s="6" t="str">
        <f t="shared" si="68"/>
        <v>OK</v>
      </c>
      <c r="H2235" s="6" t="str">
        <f t="shared" si="69"/>
        <v>ZERO</v>
      </c>
      <c r="I2235">
        <v>0</v>
      </c>
      <c r="J2235">
        <f>IFERROR(Table4[[#This Row],[energy_kwh]]/Table4[[#This Row],[expected_kwh]],0)</f>
        <v>0</v>
      </c>
      <c r="K2235" t="str">
        <f>IF(Table4[[#This Row],[Performance_Ratio]] &lt; 0.85, "Underperforming", "Performing")</f>
        <v>Underperforming</v>
      </c>
      <c r="L2235">
        <f>Table4[[#This Row],[energy_kwh]] - Table4[[#This Row],[expected_kwh]]</f>
        <v>0</v>
      </c>
      <c r="M2235" t="str">
        <f>IF(Table4[[#This Row],[Performance_Deviation]] &lt; 0, "Underperforming", "Outperforming")</f>
        <v>Outperforming</v>
      </c>
      <c r="N2235">
        <f>IF(Table4[[#This Row],[Performance_Ratio]] &lt; 0.85, Table4[[#This Row],[Performance_Deviation]] * 50 / 1000, 0)</f>
        <v>0</v>
      </c>
    </row>
    <row r="2236" spans="1:14" x14ac:dyDescent="0.3">
      <c r="A2236" s="4" t="s">
        <v>9</v>
      </c>
      <c r="B2236" s="3">
        <v>45292.083333333336</v>
      </c>
      <c r="C2236" s="4">
        <v>0</v>
      </c>
      <c r="D2236" s="4">
        <v>0</v>
      </c>
      <c r="E2236" s="4">
        <v>0</v>
      </c>
      <c r="F2236" s="4">
        <v>90.969836975231104</v>
      </c>
      <c r="G2236" s="4" t="str">
        <f t="shared" si="68"/>
        <v>OK</v>
      </c>
      <c r="H2236" s="4" t="str">
        <f t="shared" si="69"/>
        <v>ZERO</v>
      </c>
      <c r="I2236">
        <v>0</v>
      </c>
      <c r="J2236">
        <f>IFERROR(Table4[[#This Row],[energy_kwh]]/Table4[[#This Row],[expected_kwh]],0)</f>
        <v>0</v>
      </c>
      <c r="K2236" t="str">
        <f>IF(Table4[[#This Row],[Performance_Ratio]] &lt; 0.85, "Underperforming", "Performing")</f>
        <v>Underperforming</v>
      </c>
      <c r="L2236">
        <f>Table4[[#This Row],[energy_kwh]] - Table4[[#This Row],[expected_kwh]]</f>
        <v>0</v>
      </c>
      <c r="M2236" t="str">
        <f>IF(Table4[[#This Row],[Performance_Deviation]] &lt; 0, "Underperforming", "Outperforming")</f>
        <v>Outperforming</v>
      </c>
      <c r="N2236">
        <f>IF(Table4[[#This Row],[Performance_Ratio]] &lt; 0.85, Table4[[#This Row],[Performance_Deviation]] * 50 / 1000, 0)</f>
        <v>0</v>
      </c>
    </row>
    <row r="2237" spans="1:14" x14ac:dyDescent="0.3">
      <c r="A2237" s="6" t="s">
        <v>9</v>
      </c>
      <c r="B2237" s="5">
        <v>45292.125</v>
      </c>
      <c r="C2237" s="6">
        <v>0</v>
      </c>
      <c r="D2237" s="6">
        <v>0</v>
      </c>
      <c r="E2237" s="6">
        <v>0</v>
      </c>
      <c r="F2237" s="6">
        <v>68.395831649267194</v>
      </c>
      <c r="G2237" s="6" t="str">
        <f t="shared" si="68"/>
        <v>OK</v>
      </c>
      <c r="H2237" s="6" t="str">
        <f t="shared" si="69"/>
        <v>ZERO</v>
      </c>
      <c r="I2237">
        <v>0</v>
      </c>
      <c r="J2237">
        <f>IFERROR(Table4[[#This Row],[energy_kwh]]/Table4[[#This Row],[expected_kwh]],0)</f>
        <v>0</v>
      </c>
      <c r="K2237" t="str">
        <f>IF(Table4[[#This Row],[Performance_Ratio]] &lt; 0.85, "Underperforming", "Performing")</f>
        <v>Underperforming</v>
      </c>
      <c r="L2237">
        <f>Table4[[#This Row],[energy_kwh]] - Table4[[#This Row],[expected_kwh]]</f>
        <v>0</v>
      </c>
      <c r="M2237" t="str">
        <f>IF(Table4[[#This Row],[Performance_Deviation]] &lt; 0, "Underperforming", "Outperforming")</f>
        <v>Outperforming</v>
      </c>
      <c r="N2237">
        <f>IF(Table4[[#This Row],[Performance_Ratio]] &lt; 0.85, Table4[[#This Row],[Performance_Deviation]] * 50 / 1000, 0)</f>
        <v>0</v>
      </c>
    </row>
    <row r="2238" spans="1:14" x14ac:dyDescent="0.3">
      <c r="A2238" s="4" t="s">
        <v>9</v>
      </c>
      <c r="B2238" s="3">
        <v>45292.166666666664</v>
      </c>
      <c r="C2238" s="4">
        <v>0</v>
      </c>
      <c r="D2238" s="4">
        <v>0</v>
      </c>
      <c r="E2238" s="4">
        <v>0</v>
      </c>
      <c r="F2238" s="4">
        <v>25.420378175851301</v>
      </c>
      <c r="G2238" s="4" t="str">
        <f t="shared" si="68"/>
        <v>OK</v>
      </c>
      <c r="H2238" s="4" t="str">
        <f t="shared" si="69"/>
        <v>ZERO</v>
      </c>
      <c r="I2238">
        <v>0</v>
      </c>
      <c r="J2238">
        <f>IFERROR(Table4[[#This Row],[energy_kwh]]/Table4[[#This Row],[expected_kwh]],0)</f>
        <v>0</v>
      </c>
      <c r="K2238" t="str">
        <f>IF(Table4[[#This Row],[Performance_Ratio]] &lt; 0.85, "Underperforming", "Performing")</f>
        <v>Underperforming</v>
      </c>
      <c r="L2238">
        <f>Table4[[#This Row],[energy_kwh]] - Table4[[#This Row],[expected_kwh]]</f>
        <v>0</v>
      </c>
      <c r="M2238" t="str">
        <f>IF(Table4[[#This Row],[Performance_Deviation]] &lt; 0, "Underperforming", "Outperforming")</f>
        <v>Outperforming</v>
      </c>
      <c r="N2238">
        <f>IF(Table4[[#This Row],[Performance_Ratio]] &lt; 0.85, Table4[[#This Row],[Performance_Deviation]] * 50 / 1000, 0)</f>
        <v>0</v>
      </c>
    </row>
    <row r="2239" spans="1:14" x14ac:dyDescent="0.3">
      <c r="A2239" s="6" t="s">
        <v>9</v>
      </c>
      <c r="B2239" s="5">
        <v>45292.208333333336</v>
      </c>
      <c r="C2239" s="6">
        <v>0</v>
      </c>
      <c r="D2239" s="6">
        <v>0</v>
      </c>
      <c r="E2239" s="6">
        <v>0</v>
      </c>
      <c r="F2239" s="6">
        <v>48.437064798495697</v>
      </c>
      <c r="G2239" s="6" t="str">
        <f t="shared" si="68"/>
        <v>OK</v>
      </c>
      <c r="H2239" s="6" t="str">
        <f t="shared" si="69"/>
        <v>ZERO</v>
      </c>
      <c r="I2239">
        <v>0</v>
      </c>
      <c r="J2239">
        <f>IFERROR(Table4[[#This Row],[energy_kwh]]/Table4[[#This Row],[expected_kwh]],0)</f>
        <v>0</v>
      </c>
      <c r="K2239" t="str">
        <f>IF(Table4[[#This Row],[Performance_Ratio]] &lt; 0.85, "Underperforming", "Performing")</f>
        <v>Underperforming</v>
      </c>
      <c r="L2239">
        <f>Table4[[#This Row],[energy_kwh]] - Table4[[#This Row],[expected_kwh]]</f>
        <v>0</v>
      </c>
      <c r="M2239" t="str">
        <f>IF(Table4[[#This Row],[Performance_Deviation]] &lt; 0, "Underperforming", "Outperforming")</f>
        <v>Outperforming</v>
      </c>
      <c r="N2239">
        <f>IF(Table4[[#This Row],[Performance_Ratio]] &lt; 0.85, Table4[[#This Row],[Performance_Deviation]] * 50 / 1000, 0)</f>
        <v>0</v>
      </c>
    </row>
    <row r="2240" spans="1:14" x14ac:dyDescent="0.3">
      <c r="A2240" s="4" t="s">
        <v>9</v>
      </c>
      <c r="B2240" s="3">
        <v>45292.25</v>
      </c>
      <c r="C2240" s="4">
        <v>0</v>
      </c>
      <c r="D2240" s="4">
        <v>0</v>
      </c>
      <c r="E2240" s="4">
        <v>0</v>
      </c>
      <c r="F2240" s="4">
        <v>81.854237305769004</v>
      </c>
      <c r="G2240" s="4" t="str">
        <f t="shared" si="68"/>
        <v>OK</v>
      </c>
      <c r="H2240" s="4" t="str">
        <f t="shared" si="69"/>
        <v>ZERO</v>
      </c>
      <c r="I2240">
        <v>0</v>
      </c>
      <c r="J2240">
        <f>IFERROR(Table4[[#This Row],[energy_kwh]]/Table4[[#This Row],[expected_kwh]],0)</f>
        <v>0</v>
      </c>
      <c r="K2240" t="str">
        <f>IF(Table4[[#This Row],[Performance_Ratio]] &lt; 0.85, "Underperforming", "Performing")</f>
        <v>Underperforming</v>
      </c>
      <c r="L2240">
        <f>Table4[[#This Row],[energy_kwh]] - Table4[[#This Row],[expected_kwh]]</f>
        <v>0</v>
      </c>
      <c r="M2240" t="str">
        <f>IF(Table4[[#This Row],[Performance_Deviation]] &lt; 0, "Underperforming", "Outperforming")</f>
        <v>Outperforming</v>
      </c>
      <c r="N2240">
        <f>IF(Table4[[#This Row],[Performance_Ratio]] &lt; 0.85, Table4[[#This Row],[Performance_Deviation]] * 50 / 1000, 0)</f>
        <v>0</v>
      </c>
    </row>
    <row r="2241" spans="1:14" x14ac:dyDescent="0.3">
      <c r="A2241" s="6" t="s">
        <v>9</v>
      </c>
      <c r="B2241" s="5">
        <v>45292.291666666664</v>
      </c>
      <c r="C2241" s="6">
        <v>209.50844598705899</v>
      </c>
      <c r="D2241" s="6">
        <v>201.95489957587901</v>
      </c>
      <c r="E2241" s="6">
        <v>201.95489957587901</v>
      </c>
      <c r="F2241" s="6">
        <v>24.612930234397801</v>
      </c>
      <c r="G2241" s="6" t="str">
        <f t="shared" si="68"/>
        <v>OK</v>
      </c>
      <c r="H2241" s="6" t="str">
        <f t="shared" si="69"/>
        <v>NON-ZERO</v>
      </c>
      <c r="I2241">
        <v>248.466283298419</v>
      </c>
      <c r="J2241">
        <f>IFERROR(Table4[[#This Row],[energy_kwh]]/Table4[[#This Row],[expected_kwh]],0)</f>
        <v>0.81280605519148952</v>
      </c>
      <c r="K2241" t="str">
        <f>IF(Table4[[#This Row],[Performance_Ratio]] &lt; 0.85, "Underperforming", "Performing")</f>
        <v>Underperforming</v>
      </c>
      <c r="L2241">
        <f>Table4[[#This Row],[energy_kwh]] - Table4[[#This Row],[expected_kwh]]</f>
        <v>-46.511383722539989</v>
      </c>
      <c r="M2241" t="str">
        <f>IF(Table4[[#This Row],[Performance_Deviation]] &lt; 0, "Underperforming", "Outperforming")</f>
        <v>Underperforming</v>
      </c>
      <c r="N2241">
        <f>IF(Table4[[#This Row],[Performance_Ratio]] &lt; 0.85, Table4[[#This Row],[Performance_Deviation]] * 50 / 1000, 0)</f>
        <v>-2.3255691861269994</v>
      </c>
    </row>
    <row r="2242" spans="1:14" x14ac:dyDescent="0.3">
      <c r="A2242" s="4" t="s">
        <v>9</v>
      </c>
      <c r="B2242" s="3">
        <v>45292.333333333336</v>
      </c>
      <c r="C2242" s="4">
        <v>451.28649007919199</v>
      </c>
      <c r="D2242" s="4">
        <v>435.01596011801701</v>
      </c>
      <c r="E2242" s="4">
        <v>435.01596011801701</v>
      </c>
      <c r="F2242" s="4">
        <v>75.711612618864905</v>
      </c>
      <c r="G2242" s="4" t="str">
        <f t="shared" ref="G2242:G2305" si="70">IF(D2242 &gt; C2242, "ERROR", "OK")</f>
        <v>OK</v>
      </c>
      <c r="H2242" s="4" t="str">
        <f t="shared" ref="H2242:H2305" si="71">IF(E2242=0,"ZERO","NON-ZERO")</f>
        <v>NON-ZERO</v>
      </c>
      <c r="I2242">
        <v>479.99999999999898</v>
      </c>
      <c r="J2242">
        <f>IFERROR(Table4[[#This Row],[energy_kwh]]/Table4[[#This Row],[expected_kwh]],0)</f>
        <v>0.90628325024587064</v>
      </c>
      <c r="K2242" t="str">
        <f>IF(Table4[[#This Row],[Performance_Ratio]] &lt; 0.85, "Underperforming", "Performing")</f>
        <v>Performing</v>
      </c>
      <c r="L2242">
        <f>Table4[[#This Row],[energy_kwh]] - Table4[[#This Row],[expected_kwh]]</f>
        <v>-44.984039881981971</v>
      </c>
      <c r="M2242" t="str">
        <f>IF(Table4[[#This Row],[Performance_Deviation]] &lt; 0, "Underperforming", "Outperforming")</f>
        <v>Underperforming</v>
      </c>
      <c r="N2242">
        <f>IF(Table4[[#This Row],[Performance_Ratio]] &lt; 0.85, Table4[[#This Row],[Performance_Deviation]] * 50 / 1000, 0)</f>
        <v>0</v>
      </c>
    </row>
    <row r="2243" spans="1:14" x14ac:dyDescent="0.3">
      <c r="A2243" s="6" t="s">
        <v>9</v>
      </c>
      <c r="B2243" s="5">
        <v>45292.375</v>
      </c>
      <c r="C2243" s="6">
        <v>619.92712420741498</v>
      </c>
      <c r="D2243" s="6">
        <v>597.576482054596</v>
      </c>
      <c r="E2243" s="6">
        <v>597.576482054596</v>
      </c>
      <c r="F2243" s="6">
        <v>40.569638761917403</v>
      </c>
      <c r="G2243" s="6" t="str">
        <f t="shared" si="70"/>
        <v>OK</v>
      </c>
      <c r="H2243" s="6" t="str">
        <f t="shared" si="71"/>
        <v>NON-ZERO</v>
      </c>
      <c r="I2243">
        <v>678.82250993908497</v>
      </c>
      <c r="J2243">
        <f>IFERROR(Table4[[#This Row],[energy_kwh]]/Table4[[#This Row],[expected_kwh]],0)</f>
        <v>0.88031329737168018</v>
      </c>
      <c r="K2243" t="str">
        <f>IF(Table4[[#This Row],[Performance_Ratio]] &lt; 0.85, "Underperforming", "Performing")</f>
        <v>Performing</v>
      </c>
      <c r="L2243">
        <f>Table4[[#This Row],[energy_kwh]] - Table4[[#This Row],[expected_kwh]]</f>
        <v>-81.246027884488967</v>
      </c>
      <c r="M2243" t="str">
        <f>IF(Table4[[#This Row],[Performance_Deviation]] &lt; 0, "Underperforming", "Outperforming")</f>
        <v>Underperforming</v>
      </c>
      <c r="N2243">
        <f>IF(Table4[[#This Row],[Performance_Ratio]] &lt; 0.85, Table4[[#This Row],[Performance_Deviation]] * 50 / 1000, 0)</f>
        <v>0</v>
      </c>
    </row>
    <row r="2244" spans="1:14" x14ac:dyDescent="0.3">
      <c r="A2244" s="4" t="s">
        <v>9</v>
      </c>
      <c r="B2244" s="3">
        <v>45292.416666666664</v>
      </c>
      <c r="C2244" s="4">
        <v>723.31965746095102</v>
      </c>
      <c r="D2244" s="4">
        <v>697.24133600231301</v>
      </c>
      <c r="E2244" s="4">
        <v>697.24133600231301</v>
      </c>
      <c r="F2244" s="4">
        <v>80.315218047333502</v>
      </c>
      <c r="G2244" s="4" t="str">
        <f t="shared" si="70"/>
        <v>OK</v>
      </c>
      <c r="H2244" s="4" t="str">
        <f t="shared" si="71"/>
        <v>NON-ZERO</v>
      </c>
      <c r="I2244">
        <v>831.38438763306101</v>
      </c>
      <c r="J2244">
        <f>IFERROR(Table4[[#This Row],[energy_kwh]]/Table4[[#This Row],[expected_kwh]],0)</f>
        <v>0.83865098548139538</v>
      </c>
      <c r="K2244" t="str">
        <f>IF(Table4[[#This Row],[Performance_Ratio]] &lt; 0.85, "Underperforming", "Performing")</f>
        <v>Underperforming</v>
      </c>
      <c r="L2244">
        <f>Table4[[#This Row],[energy_kwh]] - Table4[[#This Row],[expected_kwh]]</f>
        <v>-134.143051630748</v>
      </c>
      <c r="M2244" t="str">
        <f>IF(Table4[[#This Row],[Performance_Deviation]] &lt; 0, "Underperforming", "Outperforming")</f>
        <v>Underperforming</v>
      </c>
      <c r="N2244">
        <f>IF(Table4[[#This Row],[Performance_Ratio]] &lt; 0.85, Table4[[#This Row],[Performance_Deviation]] * 50 / 1000, 0)</f>
        <v>-6.7071525815374011</v>
      </c>
    </row>
    <row r="2245" spans="1:14" x14ac:dyDescent="0.3">
      <c r="A2245" s="6" t="s">
        <v>9</v>
      </c>
      <c r="B2245" s="5">
        <v>45292.458333333336</v>
      </c>
      <c r="C2245" s="6">
        <v>890.85781813528502</v>
      </c>
      <c r="D2245" s="6">
        <v>858.73913268876595</v>
      </c>
      <c r="E2245" s="6">
        <v>858.73913268876595</v>
      </c>
      <c r="F2245" s="6">
        <v>46.671649944317402</v>
      </c>
      <c r="G2245" s="6" t="str">
        <f t="shared" si="70"/>
        <v>OK</v>
      </c>
      <c r="H2245" s="6" t="str">
        <f t="shared" si="71"/>
        <v>NON-ZERO</v>
      </c>
      <c r="I2245">
        <v>927.28879323750505</v>
      </c>
      <c r="J2245">
        <f>IFERROR(Table4[[#This Row],[energy_kwh]]/Table4[[#This Row],[expected_kwh]],0)</f>
        <v>0.92607517631113911</v>
      </c>
      <c r="K2245" t="str">
        <f>IF(Table4[[#This Row],[Performance_Ratio]] &lt; 0.85, "Underperforming", "Performing")</f>
        <v>Performing</v>
      </c>
      <c r="L2245">
        <f>Table4[[#This Row],[energy_kwh]] - Table4[[#This Row],[expected_kwh]]</f>
        <v>-68.549660548739098</v>
      </c>
      <c r="M2245" t="str">
        <f>IF(Table4[[#This Row],[Performance_Deviation]] &lt; 0, "Underperforming", "Outperforming")</f>
        <v>Underperforming</v>
      </c>
      <c r="N2245">
        <f>IF(Table4[[#This Row],[Performance_Ratio]] &lt; 0.85, Table4[[#This Row],[Performance_Deviation]] * 50 / 1000, 0)</f>
        <v>0</v>
      </c>
    </row>
    <row r="2246" spans="1:14" x14ac:dyDescent="0.3">
      <c r="A2246" s="4" t="s">
        <v>9</v>
      </c>
      <c r="B2246" s="3">
        <v>45292.5</v>
      </c>
      <c r="C2246" s="4">
        <v>915.46611481617197</v>
      </c>
      <c r="D2246" s="4">
        <v>882.46021019238503</v>
      </c>
      <c r="E2246" s="4">
        <v>882.46021019238503</v>
      </c>
      <c r="F2246" s="4">
        <v>49.766598366868898</v>
      </c>
      <c r="G2246" s="4" t="str">
        <f t="shared" si="70"/>
        <v>OK</v>
      </c>
      <c r="H2246" s="4" t="str">
        <f t="shared" si="71"/>
        <v>NON-ZERO</v>
      </c>
      <c r="I2246">
        <v>960</v>
      </c>
      <c r="J2246">
        <f>IFERROR(Table4[[#This Row],[energy_kwh]]/Table4[[#This Row],[expected_kwh]],0)</f>
        <v>0.9192293856170678</v>
      </c>
      <c r="K2246" t="str">
        <f>IF(Table4[[#This Row],[Performance_Ratio]] &lt; 0.85, "Underperforming", "Performing")</f>
        <v>Performing</v>
      </c>
      <c r="L2246">
        <f>Table4[[#This Row],[energy_kwh]] - Table4[[#This Row],[expected_kwh]]</f>
        <v>-77.539789807614966</v>
      </c>
      <c r="M2246" t="str">
        <f>IF(Table4[[#This Row],[Performance_Deviation]] &lt; 0, "Underperforming", "Outperforming")</f>
        <v>Underperforming</v>
      </c>
      <c r="N2246">
        <f>IF(Table4[[#This Row],[Performance_Ratio]] &lt; 0.85, Table4[[#This Row],[Performance_Deviation]] * 50 / 1000, 0)</f>
        <v>0</v>
      </c>
    </row>
    <row r="2247" spans="1:14" x14ac:dyDescent="0.3">
      <c r="A2247" s="6" t="s">
        <v>9</v>
      </c>
      <c r="B2247" s="5">
        <v>45292.541666666664</v>
      </c>
      <c r="C2247" s="6">
        <v>976.32163789542301</v>
      </c>
      <c r="D2247" s="6">
        <v>941.12166889494699</v>
      </c>
      <c r="E2247" s="6">
        <v>941.12166889494699</v>
      </c>
      <c r="F2247" s="6">
        <v>57.331742270517204</v>
      </c>
      <c r="G2247" s="6" t="str">
        <f t="shared" si="70"/>
        <v>OK</v>
      </c>
      <c r="H2247" s="6" t="str">
        <f t="shared" si="71"/>
        <v>NON-ZERO</v>
      </c>
      <c r="I2247">
        <v>927.28879323750505</v>
      </c>
      <c r="J2247">
        <f>IFERROR(Table4[[#This Row],[energy_kwh]]/Table4[[#This Row],[expected_kwh]],0)</f>
        <v>1.0149175486195043</v>
      </c>
      <c r="K2247" t="str">
        <f>IF(Table4[[#This Row],[Performance_Ratio]] &lt; 0.85, "Underperforming", "Performing")</f>
        <v>Performing</v>
      </c>
      <c r="L2247">
        <f>Table4[[#This Row],[energy_kwh]] - Table4[[#This Row],[expected_kwh]]</f>
        <v>13.832875657441946</v>
      </c>
      <c r="M2247" t="str">
        <f>IF(Table4[[#This Row],[Performance_Deviation]] &lt; 0, "Underperforming", "Outperforming")</f>
        <v>Outperforming</v>
      </c>
      <c r="N2247">
        <f>IF(Table4[[#This Row],[Performance_Ratio]] &lt; 0.85, Table4[[#This Row],[Performance_Deviation]] * 50 / 1000, 0)</f>
        <v>0</v>
      </c>
    </row>
    <row r="2248" spans="1:14" x14ac:dyDescent="0.3">
      <c r="A2248" s="4" t="s">
        <v>9</v>
      </c>
      <c r="B2248" s="3">
        <v>45292.583333333336</v>
      </c>
      <c r="C2248" s="4">
        <v>719.20078295363305</v>
      </c>
      <c r="D2248" s="4">
        <v>693.27096199866901</v>
      </c>
      <c r="E2248" s="4">
        <v>693.27096199866901</v>
      </c>
      <c r="F2248" s="4">
        <v>77.937338457223504</v>
      </c>
      <c r="G2248" s="4" t="str">
        <f t="shared" si="70"/>
        <v>OK</v>
      </c>
      <c r="H2248" s="4" t="str">
        <f t="shared" si="71"/>
        <v>NON-ZERO</v>
      </c>
      <c r="I2248">
        <v>831.38438763306101</v>
      </c>
      <c r="J2248">
        <f>IFERROR(Table4[[#This Row],[energy_kwh]]/Table4[[#This Row],[expected_kwh]],0)</f>
        <v>0.83387536777350502</v>
      </c>
      <c r="K2248" t="str">
        <f>IF(Table4[[#This Row],[Performance_Ratio]] &lt; 0.85, "Underperforming", "Performing")</f>
        <v>Underperforming</v>
      </c>
      <c r="L2248">
        <f>Table4[[#This Row],[energy_kwh]] - Table4[[#This Row],[expected_kwh]]</f>
        <v>-138.113425634392</v>
      </c>
      <c r="M2248" t="str">
        <f>IF(Table4[[#This Row],[Performance_Deviation]] &lt; 0, "Underperforming", "Outperforming")</f>
        <v>Underperforming</v>
      </c>
      <c r="N2248">
        <f>IF(Table4[[#This Row],[Performance_Ratio]] &lt; 0.85, Table4[[#This Row],[Performance_Deviation]] * 50 / 1000, 0)</f>
        <v>-6.9056712817196004</v>
      </c>
    </row>
    <row r="2249" spans="1:14" x14ac:dyDescent="0.3">
      <c r="A2249" s="6" t="s">
        <v>9</v>
      </c>
      <c r="B2249" s="5">
        <v>45292.625</v>
      </c>
      <c r="C2249" s="6">
        <v>609.83451306217705</v>
      </c>
      <c r="D2249" s="6">
        <v>587.84774648647999</v>
      </c>
      <c r="E2249" s="6">
        <v>587.84774648647999</v>
      </c>
      <c r="F2249" s="6">
        <v>69.027401967880905</v>
      </c>
      <c r="G2249" s="6" t="str">
        <f t="shared" si="70"/>
        <v>OK</v>
      </c>
      <c r="H2249" s="6" t="str">
        <f t="shared" si="71"/>
        <v>NON-ZERO</v>
      </c>
      <c r="I2249">
        <v>678.82250993908497</v>
      </c>
      <c r="J2249">
        <f>IFERROR(Table4[[#This Row],[energy_kwh]]/Table4[[#This Row],[expected_kwh]],0)</f>
        <v>0.86598151634546017</v>
      </c>
      <c r="K2249" t="str">
        <f>IF(Table4[[#This Row],[Performance_Ratio]] &lt; 0.85, "Underperforming", "Performing")</f>
        <v>Performing</v>
      </c>
      <c r="L2249">
        <f>Table4[[#This Row],[energy_kwh]] - Table4[[#This Row],[expected_kwh]]</f>
        <v>-90.974763452604975</v>
      </c>
      <c r="M2249" t="str">
        <f>IF(Table4[[#This Row],[Performance_Deviation]] &lt; 0, "Underperforming", "Outperforming")</f>
        <v>Underperforming</v>
      </c>
      <c r="N2249">
        <f>IF(Table4[[#This Row],[Performance_Ratio]] &lt; 0.85, Table4[[#This Row],[Performance_Deviation]] * 50 / 1000, 0)</f>
        <v>0</v>
      </c>
    </row>
    <row r="2250" spans="1:14" x14ac:dyDescent="0.3">
      <c r="A2250" s="4" t="s">
        <v>9</v>
      </c>
      <c r="B2250" s="3">
        <v>45292.666666666664</v>
      </c>
      <c r="C2250" s="4">
        <v>477.630852799514</v>
      </c>
      <c r="D2250" s="4">
        <v>460.41051212525099</v>
      </c>
      <c r="E2250" s="4">
        <v>460.41051212525099</v>
      </c>
      <c r="F2250" s="4">
        <v>75.292075793736998</v>
      </c>
      <c r="G2250" s="4" t="str">
        <f t="shared" si="70"/>
        <v>OK</v>
      </c>
      <c r="H2250" s="4" t="str">
        <f t="shared" si="71"/>
        <v>NON-ZERO</v>
      </c>
      <c r="I2250">
        <v>479.99999999999898</v>
      </c>
      <c r="J2250">
        <f>IFERROR(Table4[[#This Row],[energy_kwh]]/Table4[[#This Row],[expected_kwh]],0)</f>
        <v>0.95918856692760823</v>
      </c>
      <c r="K2250" t="str">
        <f>IF(Table4[[#This Row],[Performance_Ratio]] &lt; 0.85, "Underperforming", "Performing")</f>
        <v>Performing</v>
      </c>
      <c r="L2250">
        <f>Table4[[#This Row],[energy_kwh]] - Table4[[#This Row],[expected_kwh]]</f>
        <v>-19.589487874747988</v>
      </c>
      <c r="M2250" t="str">
        <f>IF(Table4[[#This Row],[Performance_Deviation]] &lt; 0, "Underperforming", "Outperforming")</f>
        <v>Underperforming</v>
      </c>
      <c r="N2250">
        <f>IF(Table4[[#This Row],[Performance_Ratio]] &lt; 0.85, Table4[[#This Row],[Performance_Deviation]] * 50 / 1000, 0)</f>
        <v>0</v>
      </c>
    </row>
    <row r="2251" spans="1:14" x14ac:dyDescent="0.3">
      <c r="A2251" s="6" t="s">
        <v>9</v>
      </c>
      <c r="B2251" s="5">
        <v>45292.708333333336</v>
      </c>
      <c r="C2251" s="6">
        <v>245.816599882807</v>
      </c>
      <c r="D2251" s="6">
        <v>236.95401161289101</v>
      </c>
      <c r="E2251" s="6">
        <v>236.95401161289101</v>
      </c>
      <c r="F2251" s="6">
        <v>87.755581689709402</v>
      </c>
      <c r="G2251" s="6" t="str">
        <f t="shared" si="70"/>
        <v>OK</v>
      </c>
      <c r="H2251" s="6" t="str">
        <f t="shared" si="71"/>
        <v>NON-ZERO</v>
      </c>
      <c r="I2251">
        <v>248.46628329842</v>
      </c>
      <c r="J2251">
        <f>IFERROR(Table4[[#This Row],[energy_kwh]]/Table4[[#This Row],[expected_kwh]],0)</f>
        <v>0.95366666441537984</v>
      </c>
      <c r="K2251" t="str">
        <f>IF(Table4[[#This Row],[Performance_Ratio]] &lt; 0.85, "Underperforming", "Performing")</f>
        <v>Performing</v>
      </c>
      <c r="L2251">
        <f>Table4[[#This Row],[energy_kwh]] - Table4[[#This Row],[expected_kwh]]</f>
        <v>-11.512271685528987</v>
      </c>
      <c r="M2251" t="str">
        <f>IF(Table4[[#This Row],[Performance_Deviation]] &lt; 0, "Underperforming", "Outperforming")</f>
        <v>Underperforming</v>
      </c>
      <c r="N2251">
        <f>IF(Table4[[#This Row],[Performance_Ratio]] &lt; 0.85, Table4[[#This Row],[Performance_Deviation]] * 50 / 1000, 0)</f>
        <v>0</v>
      </c>
    </row>
    <row r="2252" spans="1:14" x14ac:dyDescent="0.3">
      <c r="A2252" s="4" t="s">
        <v>9</v>
      </c>
      <c r="B2252" s="3">
        <v>45292.75</v>
      </c>
      <c r="C2252" s="7">
        <v>1.1515509262172901E-13</v>
      </c>
      <c r="D2252" s="7">
        <v>1.11003329992285E-13</v>
      </c>
      <c r="E2252" s="7">
        <v>1.11003329992285E-13</v>
      </c>
      <c r="F2252" s="4">
        <v>34.284274777253401</v>
      </c>
      <c r="G2252" s="4" t="str">
        <f t="shared" si="70"/>
        <v>OK</v>
      </c>
      <c r="H2252" s="4" t="str">
        <f t="shared" si="71"/>
        <v>NON-ZERO</v>
      </c>
      <c r="I2252" s="2">
        <v>1.1756609271814501E-13</v>
      </c>
      <c r="J2252">
        <f>IFERROR(Table4[[#This Row],[energy_kwh]]/Table4[[#This Row],[expected_kwh]],0)</f>
        <v>0.94417809953424503</v>
      </c>
      <c r="K2252" t="str">
        <f>IF(Table4[[#This Row],[Performance_Ratio]] &lt; 0.85, "Underperforming", "Performing")</f>
        <v>Performing</v>
      </c>
      <c r="L2252">
        <f>Table4[[#This Row],[energy_kwh]] - Table4[[#This Row],[expected_kwh]]</f>
        <v>-6.5627627258600064E-15</v>
      </c>
      <c r="M2252" t="str">
        <f>IF(Table4[[#This Row],[Performance_Deviation]] &lt; 0, "Underperforming", "Outperforming")</f>
        <v>Underperforming</v>
      </c>
      <c r="N2252">
        <f>IF(Table4[[#This Row],[Performance_Ratio]] &lt; 0.85, Table4[[#This Row],[Performance_Deviation]] * 50 / 1000, 0)</f>
        <v>0</v>
      </c>
    </row>
    <row r="2253" spans="1:14" x14ac:dyDescent="0.3">
      <c r="A2253" s="6" t="s">
        <v>9</v>
      </c>
      <c r="B2253" s="5">
        <v>45292.791666666664</v>
      </c>
      <c r="C2253" s="6">
        <v>0</v>
      </c>
      <c r="D2253" s="6">
        <v>0</v>
      </c>
      <c r="E2253" s="6">
        <v>0</v>
      </c>
      <c r="F2253" s="6">
        <v>49.224306671608602</v>
      </c>
      <c r="G2253" s="6" t="str">
        <f t="shared" si="70"/>
        <v>OK</v>
      </c>
      <c r="H2253" s="6" t="str">
        <f t="shared" si="71"/>
        <v>ZERO</v>
      </c>
      <c r="I2253">
        <v>0</v>
      </c>
      <c r="J2253">
        <f>IFERROR(Table4[[#This Row],[energy_kwh]]/Table4[[#This Row],[expected_kwh]],0)</f>
        <v>0</v>
      </c>
      <c r="K2253" t="str">
        <f>IF(Table4[[#This Row],[Performance_Ratio]] &lt; 0.85, "Underperforming", "Performing")</f>
        <v>Underperforming</v>
      </c>
      <c r="L2253">
        <f>Table4[[#This Row],[energy_kwh]] - Table4[[#This Row],[expected_kwh]]</f>
        <v>0</v>
      </c>
      <c r="M2253" t="str">
        <f>IF(Table4[[#This Row],[Performance_Deviation]] &lt; 0, "Underperforming", "Outperforming")</f>
        <v>Outperforming</v>
      </c>
      <c r="N2253">
        <f>IF(Table4[[#This Row],[Performance_Ratio]] &lt; 0.85, Table4[[#This Row],[Performance_Deviation]] * 50 / 1000, 0)</f>
        <v>0</v>
      </c>
    </row>
    <row r="2254" spans="1:14" x14ac:dyDescent="0.3">
      <c r="A2254" s="4" t="s">
        <v>9</v>
      </c>
      <c r="B2254" s="3">
        <v>45292.833333333336</v>
      </c>
      <c r="C2254" s="4">
        <v>0</v>
      </c>
      <c r="D2254" s="4">
        <v>0</v>
      </c>
      <c r="E2254" s="4">
        <v>0</v>
      </c>
      <c r="F2254" s="4">
        <v>85.415339674917107</v>
      </c>
      <c r="G2254" s="4" t="str">
        <f t="shared" si="70"/>
        <v>OK</v>
      </c>
      <c r="H2254" s="4" t="str">
        <f t="shared" si="71"/>
        <v>ZERO</v>
      </c>
      <c r="I2254">
        <v>0</v>
      </c>
      <c r="J2254">
        <f>IFERROR(Table4[[#This Row],[energy_kwh]]/Table4[[#This Row],[expected_kwh]],0)</f>
        <v>0</v>
      </c>
      <c r="K2254" t="str">
        <f>IF(Table4[[#This Row],[Performance_Ratio]] &lt; 0.85, "Underperforming", "Performing")</f>
        <v>Underperforming</v>
      </c>
      <c r="L2254">
        <f>Table4[[#This Row],[energy_kwh]] - Table4[[#This Row],[expected_kwh]]</f>
        <v>0</v>
      </c>
      <c r="M2254" t="str">
        <f>IF(Table4[[#This Row],[Performance_Deviation]] &lt; 0, "Underperforming", "Outperforming")</f>
        <v>Outperforming</v>
      </c>
      <c r="N2254">
        <f>IF(Table4[[#This Row],[Performance_Ratio]] &lt; 0.85, Table4[[#This Row],[Performance_Deviation]] * 50 / 1000, 0)</f>
        <v>0</v>
      </c>
    </row>
    <row r="2255" spans="1:14" x14ac:dyDescent="0.3">
      <c r="A2255" s="6" t="s">
        <v>9</v>
      </c>
      <c r="B2255" s="5">
        <v>45292.875</v>
      </c>
      <c r="C2255" s="6">
        <v>0</v>
      </c>
      <c r="D2255" s="6">
        <v>0</v>
      </c>
      <c r="E2255" s="6">
        <v>0</v>
      </c>
      <c r="F2255" s="6">
        <v>31.8680556361447</v>
      </c>
      <c r="G2255" s="6" t="str">
        <f t="shared" si="70"/>
        <v>OK</v>
      </c>
      <c r="H2255" s="6" t="str">
        <f t="shared" si="71"/>
        <v>ZERO</v>
      </c>
      <c r="I2255">
        <v>0</v>
      </c>
      <c r="J2255">
        <f>IFERROR(Table4[[#This Row],[energy_kwh]]/Table4[[#This Row],[expected_kwh]],0)</f>
        <v>0</v>
      </c>
      <c r="K2255" t="str">
        <f>IF(Table4[[#This Row],[Performance_Ratio]] &lt; 0.85, "Underperforming", "Performing")</f>
        <v>Underperforming</v>
      </c>
      <c r="L2255">
        <f>Table4[[#This Row],[energy_kwh]] - Table4[[#This Row],[expected_kwh]]</f>
        <v>0</v>
      </c>
      <c r="M2255" t="str">
        <f>IF(Table4[[#This Row],[Performance_Deviation]] &lt; 0, "Underperforming", "Outperforming")</f>
        <v>Outperforming</v>
      </c>
      <c r="N2255">
        <f>IF(Table4[[#This Row],[Performance_Ratio]] &lt; 0.85, Table4[[#This Row],[Performance_Deviation]] * 50 / 1000, 0)</f>
        <v>0</v>
      </c>
    </row>
    <row r="2256" spans="1:14" x14ac:dyDescent="0.3">
      <c r="A2256" s="4" t="s">
        <v>9</v>
      </c>
      <c r="B2256" s="3">
        <v>45292.916666666664</v>
      </c>
      <c r="C2256" s="4">
        <v>0</v>
      </c>
      <c r="D2256" s="4">
        <v>0</v>
      </c>
      <c r="E2256" s="4">
        <v>0</v>
      </c>
      <c r="F2256" s="4">
        <v>34.918761030291797</v>
      </c>
      <c r="G2256" s="4" t="str">
        <f t="shared" si="70"/>
        <v>OK</v>
      </c>
      <c r="H2256" s="4" t="str">
        <f t="shared" si="71"/>
        <v>ZERO</v>
      </c>
      <c r="I2256">
        <v>0</v>
      </c>
      <c r="J2256">
        <f>IFERROR(Table4[[#This Row],[energy_kwh]]/Table4[[#This Row],[expected_kwh]],0)</f>
        <v>0</v>
      </c>
      <c r="K2256" t="str">
        <f>IF(Table4[[#This Row],[Performance_Ratio]] &lt; 0.85, "Underperforming", "Performing")</f>
        <v>Underperforming</v>
      </c>
      <c r="L2256">
        <f>Table4[[#This Row],[energy_kwh]] - Table4[[#This Row],[expected_kwh]]</f>
        <v>0</v>
      </c>
      <c r="M2256" t="str">
        <f>IF(Table4[[#This Row],[Performance_Deviation]] &lt; 0, "Underperforming", "Outperforming")</f>
        <v>Outperforming</v>
      </c>
      <c r="N2256">
        <f>IF(Table4[[#This Row],[Performance_Ratio]] &lt; 0.85, Table4[[#This Row],[Performance_Deviation]] * 50 / 1000, 0)</f>
        <v>0</v>
      </c>
    </row>
    <row r="2257" spans="1:14" x14ac:dyDescent="0.3">
      <c r="A2257" s="6" t="s">
        <v>9</v>
      </c>
      <c r="B2257" s="5">
        <v>45292.958333333336</v>
      </c>
      <c r="C2257" s="6">
        <v>0</v>
      </c>
      <c r="D2257" s="6">
        <v>0</v>
      </c>
      <c r="E2257" s="6">
        <v>0</v>
      </c>
      <c r="F2257" s="6">
        <v>52.833295391717598</v>
      </c>
      <c r="G2257" s="6" t="str">
        <f t="shared" si="70"/>
        <v>OK</v>
      </c>
      <c r="H2257" s="6" t="str">
        <f t="shared" si="71"/>
        <v>ZERO</v>
      </c>
      <c r="I2257">
        <v>0</v>
      </c>
      <c r="J2257">
        <f>IFERROR(Table4[[#This Row],[energy_kwh]]/Table4[[#This Row],[expected_kwh]],0)</f>
        <v>0</v>
      </c>
      <c r="K2257" t="str">
        <f>IF(Table4[[#This Row],[Performance_Ratio]] &lt; 0.85, "Underperforming", "Performing")</f>
        <v>Underperforming</v>
      </c>
      <c r="L2257">
        <f>Table4[[#This Row],[energy_kwh]] - Table4[[#This Row],[expected_kwh]]</f>
        <v>0</v>
      </c>
      <c r="M2257" t="str">
        <f>IF(Table4[[#This Row],[Performance_Deviation]] &lt; 0, "Underperforming", "Outperforming")</f>
        <v>Outperforming</v>
      </c>
      <c r="N2257">
        <f>IF(Table4[[#This Row],[Performance_Ratio]] &lt; 0.85, Table4[[#This Row],[Performance_Deviation]] * 50 / 1000, 0)</f>
        <v>0</v>
      </c>
    </row>
    <row r="2258" spans="1:14" x14ac:dyDescent="0.3">
      <c r="A2258" s="4" t="s">
        <v>9</v>
      </c>
      <c r="B2258" s="3">
        <v>45293</v>
      </c>
      <c r="C2258" s="4">
        <v>0</v>
      </c>
      <c r="D2258" s="4">
        <v>0</v>
      </c>
      <c r="E2258" s="4">
        <v>0</v>
      </c>
      <c r="F2258" s="4">
        <v>29.9121333143767</v>
      </c>
      <c r="G2258" s="4" t="str">
        <f t="shared" si="70"/>
        <v>OK</v>
      </c>
      <c r="H2258" s="4" t="str">
        <f t="shared" si="71"/>
        <v>ZERO</v>
      </c>
      <c r="I2258">
        <v>0</v>
      </c>
      <c r="J2258">
        <f>IFERROR(Table4[[#This Row],[energy_kwh]]/Table4[[#This Row],[expected_kwh]],0)</f>
        <v>0</v>
      </c>
      <c r="K2258" t="str">
        <f>IF(Table4[[#This Row],[Performance_Ratio]] &lt; 0.85, "Underperforming", "Performing")</f>
        <v>Underperforming</v>
      </c>
      <c r="L2258">
        <f>Table4[[#This Row],[energy_kwh]] - Table4[[#This Row],[expected_kwh]]</f>
        <v>0</v>
      </c>
      <c r="M2258" t="str">
        <f>IF(Table4[[#This Row],[Performance_Deviation]] &lt; 0, "Underperforming", "Outperforming")</f>
        <v>Outperforming</v>
      </c>
      <c r="N2258">
        <f>IF(Table4[[#This Row],[Performance_Ratio]] &lt; 0.85, Table4[[#This Row],[Performance_Deviation]] * 50 / 1000, 0)</f>
        <v>0</v>
      </c>
    </row>
    <row r="2259" spans="1:14" x14ac:dyDescent="0.3">
      <c r="A2259" s="6" t="s">
        <v>9</v>
      </c>
      <c r="B2259" s="5">
        <v>45293.041666666664</v>
      </c>
      <c r="C2259" s="6">
        <v>0</v>
      </c>
      <c r="D2259" s="6">
        <v>0</v>
      </c>
      <c r="E2259" s="6">
        <v>0</v>
      </c>
      <c r="F2259" s="6">
        <v>78.679685648334399</v>
      </c>
      <c r="G2259" s="6" t="str">
        <f t="shared" si="70"/>
        <v>OK</v>
      </c>
      <c r="H2259" s="6" t="str">
        <f t="shared" si="71"/>
        <v>ZERO</v>
      </c>
      <c r="I2259">
        <v>0</v>
      </c>
      <c r="J2259">
        <f>IFERROR(Table4[[#This Row],[energy_kwh]]/Table4[[#This Row],[expected_kwh]],0)</f>
        <v>0</v>
      </c>
      <c r="K2259" t="str">
        <f>IF(Table4[[#This Row],[Performance_Ratio]] &lt; 0.85, "Underperforming", "Performing")</f>
        <v>Underperforming</v>
      </c>
      <c r="L2259">
        <f>Table4[[#This Row],[energy_kwh]] - Table4[[#This Row],[expected_kwh]]</f>
        <v>0</v>
      </c>
      <c r="M2259" t="str">
        <f>IF(Table4[[#This Row],[Performance_Deviation]] &lt; 0, "Underperforming", "Outperforming")</f>
        <v>Outperforming</v>
      </c>
      <c r="N2259">
        <f>IF(Table4[[#This Row],[Performance_Ratio]] &lt; 0.85, Table4[[#This Row],[Performance_Deviation]] * 50 / 1000, 0)</f>
        <v>0</v>
      </c>
    </row>
    <row r="2260" spans="1:14" x14ac:dyDescent="0.3">
      <c r="A2260" s="4" t="s">
        <v>9</v>
      </c>
      <c r="B2260" s="3">
        <v>45293.083333333336</v>
      </c>
      <c r="C2260" s="4">
        <v>0</v>
      </c>
      <c r="D2260" s="4">
        <v>0</v>
      </c>
      <c r="E2260" s="4">
        <v>0</v>
      </c>
      <c r="F2260" s="4">
        <v>32.142170753926798</v>
      </c>
      <c r="G2260" s="4" t="str">
        <f t="shared" si="70"/>
        <v>OK</v>
      </c>
      <c r="H2260" s="4" t="str">
        <f t="shared" si="71"/>
        <v>ZERO</v>
      </c>
      <c r="I2260">
        <v>0</v>
      </c>
      <c r="J2260">
        <f>IFERROR(Table4[[#This Row],[energy_kwh]]/Table4[[#This Row],[expected_kwh]],0)</f>
        <v>0</v>
      </c>
      <c r="K2260" t="str">
        <f>IF(Table4[[#This Row],[Performance_Ratio]] &lt; 0.85, "Underperforming", "Performing")</f>
        <v>Underperforming</v>
      </c>
      <c r="L2260">
        <f>Table4[[#This Row],[energy_kwh]] - Table4[[#This Row],[expected_kwh]]</f>
        <v>0</v>
      </c>
      <c r="M2260" t="str">
        <f>IF(Table4[[#This Row],[Performance_Deviation]] &lt; 0, "Underperforming", "Outperforming")</f>
        <v>Outperforming</v>
      </c>
      <c r="N2260">
        <f>IF(Table4[[#This Row],[Performance_Ratio]] &lt; 0.85, Table4[[#This Row],[Performance_Deviation]] * 50 / 1000, 0)</f>
        <v>0</v>
      </c>
    </row>
    <row r="2261" spans="1:14" x14ac:dyDescent="0.3">
      <c r="A2261" s="6" t="s">
        <v>9</v>
      </c>
      <c r="B2261" s="5">
        <v>45293.125</v>
      </c>
      <c r="C2261" s="6">
        <v>0</v>
      </c>
      <c r="D2261" s="6">
        <v>0</v>
      </c>
      <c r="E2261" s="6">
        <v>0</v>
      </c>
      <c r="F2261" s="6">
        <v>58.9586589793428</v>
      </c>
      <c r="G2261" s="6" t="str">
        <f t="shared" si="70"/>
        <v>OK</v>
      </c>
      <c r="H2261" s="6" t="str">
        <f t="shared" si="71"/>
        <v>ZERO</v>
      </c>
      <c r="I2261">
        <v>0</v>
      </c>
      <c r="J2261">
        <f>IFERROR(Table4[[#This Row],[energy_kwh]]/Table4[[#This Row],[expected_kwh]],0)</f>
        <v>0</v>
      </c>
      <c r="K2261" t="str">
        <f>IF(Table4[[#This Row],[Performance_Ratio]] &lt; 0.85, "Underperforming", "Performing")</f>
        <v>Underperforming</v>
      </c>
      <c r="L2261">
        <f>Table4[[#This Row],[energy_kwh]] - Table4[[#This Row],[expected_kwh]]</f>
        <v>0</v>
      </c>
      <c r="M2261" t="str">
        <f>IF(Table4[[#This Row],[Performance_Deviation]] &lt; 0, "Underperforming", "Outperforming")</f>
        <v>Outperforming</v>
      </c>
      <c r="N2261">
        <f>IF(Table4[[#This Row],[Performance_Ratio]] &lt; 0.85, Table4[[#This Row],[Performance_Deviation]] * 50 / 1000, 0)</f>
        <v>0</v>
      </c>
    </row>
    <row r="2262" spans="1:14" x14ac:dyDescent="0.3">
      <c r="A2262" s="4" t="s">
        <v>9</v>
      </c>
      <c r="B2262" s="3">
        <v>45293.166666666664</v>
      </c>
      <c r="C2262" s="4">
        <v>0</v>
      </c>
      <c r="D2262" s="4">
        <v>0</v>
      </c>
      <c r="E2262" s="4">
        <v>0</v>
      </c>
      <c r="F2262" s="4">
        <v>81.294445174064194</v>
      </c>
      <c r="G2262" s="4" t="str">
        <f t="shared" si="70"/>
        <v>OK</v>
      </c>
      <c r="H2262" s="4" t="str">
        <f t="shared" si="71"/>
        <v>ZERO</v>
      </c>
      <c r="I2262">
        <v>0</v>
      </c>
      <c r="J2262">
        <f>IFERROR(Table4[[#This Row],[energy_kwh]]/Table4[[#This Row],[expected_kwh]],0)</f>
        <v>0</v>
      </c>
      <c r="K2262" t="str">
        <f>IF(Table4[[#This Row],[Performance_Ratio]] &lt; 0.85, "Underperforming", "Performing")</f>
        <v>Underperforming</v>
      </c>
      <c r="L2262">
        <f>Table4[[#This Row],[energy_kwh]] - Table4[[#This Row],[expected_kwh]]</f>
        <v>0</v>
      </c>
      <c r="M2262" t="str">
        <f>IF(Table4[[#This Row],[Performance_Deviation]] &lt; 0, "Underperforming", "Outperforming")</f>
        <v>Outperforming</v>
      </c>
      <c r="N2262">
        <f>IF(Table4[[#This Row],[Performance_Ratio]] &lt; 0.85, Table4[[#This Row],[Performance_Deviation]] * 50 / 1000, 0)</f>
        <v>0</v>
      </c>
    </row>
    <row r="2263" spans="1:14" x14ac:dyDescent="0.3">
      <c r="A2263" s="6" t="s">
        <v>9</v>
      </c>
      <c r="B2263" s="5">
        <v>45293.208333333336</v>
      </c>
      <c r="C2263" s="6">
        <v>0</v>
      </c>
      <c r="D2263" s="6">
        <v>0</v>
      </c>
      <c r="E2263" s="6">
        <v>0</v>
      </c>
      <c r="F2263" s="6">
        <v>39.691267251500001</v>
      </c>
      <c r="G2263" s="6" t="str">
        <f t="shared" si="70"/>
        <v>OK</v>
      </c>
      <c r="H2263" s="6" t="str">
        <f t="shared" si="71"/>
        <v>ZERO</v>
      </c>
      <c r="I2263">
        <v>0</v>
      </c>
      <c r="J2263">
        <f>IFERROR(Table4[[#This Row],[energy_kwh]]/Table4[[#This Row],[expected_kwh]],0)</f>
        <v>0</v>
      </c>
      <c r="K2263" t="str">
        <f>IF(Table4[[#This Row],[Performance_Ratio]] &lt; 0.85, "Underperforming", "Performing")</f>
        <v>Underperforming</v>
      </c>
      <c r="L2263">
        <f>Table4[[#This Row],[energy_kwh]] - Table4[[#This Row],[expected_kwh]]</f>
        <v>0</v>
      </c>
      <c r="M2263" t="str">
        <f>IF(Table4[[#This Row],[Performance_Deviation]] &lt; 0, "Underperforming", "Outperforming")</f>
        <v>Outperforming</v>
      </c>
      <c r="N2263">
        <f>IF(Table4[[#This Row],[Performance_Ratio]] &lt; 0.85, Table4[[#This Row],[Performance_Deviation]] * 50 / 1000, 0)</f>
        <v>0</v>
      </c>
    </row>
    <row r="2264" spans="1:14" x14ac:dyDescent="0.3">
      <c r="A2264" s="4" t="s">
        <v>9</v>
      </c>
      <c r="B2264" s="3">
        <v>45293.25</v>
      </c>
      <c r="C2264" s="4">
        <v>0</v>
      </c>
      <c r="D2264" s="4">
        <v>0</v>
      </c>
      <c r="E2264" s="4">
        <v>0</v>
      </c>
      <c r="F2264" s="4">
        <v>72.355575385898604</v>
      </c>
      <c r="G2264" s="4" t="str">
        <f t="shared" si="70"/>
        <v>OK</v>
      </c>
      <c r="H2264" s="4" t="str">
        <f t="shared" si="71"/>
        <v>ZERO</v>
      </c>
      <c r="I2264">
        <v>0</v>
      </c>
      <c r="J2264">
        <f>IFERROR(Table4[[#This Row],[energy_kwh]]/Table4[[#This Row],[expected_kwh]],0)</f>
        <v>0</v>
      </c>
      <c r="K2264" t="str">
        <f>IF(Table4[[#This Row],[Performance_Ratio]] &lt; 0.85, "Underperforming", "Performing")</f>
        <v>Underperforming</v>
      </c>
      <c r="L2264">
        <f>Table4[[#This Row],[energy_kwh]] - Table4[[#This Row],[expected_kwh]]</f>
        <v>0</v>
      </c>
      <c r="M2264" t="str">
        <f>IF(Table4[[#This Row],[Performance_Deviation]] &lt; 0, "Underperforming", "Outperforming")</f>
        <v>Outperforming</v>
      </c>
      <c r="N2264">
        <f>IF(Table4[[#This Row],[Performance_Ratio]] &lt; 0.85, Table4[[#This Row],[Performance_Deviation]] * 50 / 1000, 0)</f>
        <v>0</v>
      </c>
    </row>
    <row r="2265" spans="1:14" x14ac:dyDescent="0.3">
      <c r="A2265" s="6" t="s">
        <v>9</v>
      </c>
      <c r="B2265" s="5">
        <v>45293.291666666664</v>
      </c>
      <c r="C2265" s="6">
        <v>219.18861321636101</v>
      </c>
      <c r="D2265" s="6">
        <v>211.28606134103299</v>
      </c>
      <c r="E2265" s="6">
        <v>211.28606134103299</v>
      </c>
      <c r="F2265" s="6">
        <v>49.861212014217898</v>
      </c>
      <c r="G2265" s="6" t="str">
        <f t="shared" si="70"/>
        <v>OK</v>
      </c>
      <c r="H2265" s="6" t="str">
        <f t="shared" si="71"/>
        <v>NON-ZERO</v>
      </c>
      <c r="I2265">
        <v>248.466283298419</v>
      </c>
      <c r="J2265">
        <f>IFERROR(Table4[[#This Row],[energy_kwh]]/Table4[[#This Row],[expected_kwh]],0)</f>
        <v>0.8503610974341701</v>
      </c>
      <c r="K2265" t="str">
        <f>IF(Table4[[#This Row],[Performance_Ratio]] &lt; 0.85, "Underperforming", "Performing")</f>
        <v>Performing</v>
      </c>
      <c r="L2265">
        <f>Table4[[#This Row],[energy_kwh]] - Table4[[#This Row],[expected_kwh]]</f>
        <v>-37.18022195738601</v>
      </c>
      <c r="M2265" t="str">
        <f>IF(Table4[[#This Row],[Performance_Deviation]] &lt; 0, "Underperforming", "Outperforming")</f>
        <v>Underperforming</v>
      </c>
      <c r="N2265">
        <f>IF(Table4[[#This Row],[Performance_Ratio]] &lt; 0.85, Table4[[#This Row],[Performance_Deviation]] * 50 / 1000, 0)</f>
        <v>0</v>
      </c>
    </row>
    <row r="2266" spans="1:14" x14ac:dyDescent="0.3">
      <c r="A2266" s="4" t="s">
        <v>9</v>
      </c>
      <c r="B2266" s="3">
        <v>45293.333333333336</v>
      </c>
      <c r="C2266" s="4">
        <v>476.28445961211997</v>
      </c>
      <c r="D2266" s="4">
        <v>459.11266134091198</v>
      </c>
      <c r="E2266" s="4">
        <v>459.11266134091198</v>
      </c>
      <c r="F2266" s="4">
        <v>44.668983365804301</v>
      </c>
      <c r="G2266" s="4" t="str">
        <f t="shared" si="70"/>
        <v>OK</v>
      </c>
      <c r="H2266" s="4" t="str">
        <f t="shared" si="71"/>
        <v>NON-ZERO</v>
      </c>
      <c r="I2266">
        <v>479.99999999999898</v>
      </c>
      <c r="J2266">
        <f>IFERROR(Table4[[#This Row],[energy_kwh]]/Table4[[#This Row],[expected_kwh]],0)</f>
        <v>0.95648471112690203</v>
      </c>
      <c r="K2266" t="str">
        <f>IF(Table4[[#This Row],[Performance_Ratio]] &lt; 0.85, "Underperforming", "Performing")</f>
        <v>Performing</v>
      </c>
      <c r="L2266">
        <f>Table4[[#This Row],[energy_kwh]] - Table4[[#This Row],[expected_kwh]]</f>
        <v>-20.887338659086993</v>
      </c>
      <c r="M2266" t="str">
        <f>IF(Table4[[#This Row],[Performance_Deviation]] &lt; 0, "Underperforming", "Outperforming")</f>
        <v>Underperforming</v>
      </c>
      <c r="N2266">
        <f>IF(Table4[[#This Row],[Performance_Ratio]] &lt; 0.85, Table4[[#This Row],[Performance_Deviation]] * 50 / 1000, 0)</f>
        <v>0</v>
      </c>
    </row>
    <row r="2267" spans="1:14" x14ac:dyDescent="0.3">
      <c r="A2267" s="6" t="s">
        <v>9</v>
      </c>
      <c r="B2267" s="5">
        <v>45293.375</v>
      </c>
      <c r="C2267" s="6">
        <v>650.00131458529904</v>
      </c>
      <c r="D2267" s="6">
        <v>626.56638777881005</v>
      </c>
      <c r="E2267" s="6">
        <v>626.56638777881005</v>
      </c>
      <c r="F2267" s="6">
        <v>43.476901602618597</v>
      </c>
      <c r="G2267" s="6" t="str">
        <f t="shared" si="70"/>
        <v>OK</v>
      </c>
      <c r="H2267" s="6" t="str">
        <f t="shared" si="71"/>
        <v>NON-ZERO</v>
      </c>
      <c r="I2267">
        <v>678.82250993908497</v>
      </c>
      <c r="J2267">
        <f>IFERROR(Table4[[#This Row],[energy_kwh]]/Table4[[#This Row],[expected_kwh]],0)</f>
        <v>0.92301946179574368</v>
      </c>
      <c r="K2267" t="str">
        <f>IF(Table4[[#This Row],[Performance_Ratio]] &lt; 0.85, "Underperforming", "Performing")</f>
        <v>Performing</v>
      </c>
      <c r="L2267">
        <f>Table4[[#This Row],[energy_kwh]] - Table4[[#This Row],[expected_kwh]]</f>
        <v>-52.256122160274913</v>
      </c>
      <c r="M2267" t="str">
        <f>IF(Table4[[#This Row],[Performance_Deviation]] &lt; 0, "Underperforming", "Outperforming")</f>
        <v>Underperforming</v>
      </c>
      <c r="N2267">
        <f>IF(Table4[[#This Row],[Performance_Ratio]] &lt; 0.85, Table4[[#This Row],[Performance_Deviation]] * 50 / 1000, 0)</f>
        <v>0</v>
      </c>
    </row>
    <row r="2268" spans="1:14" x14ac:dyDescent="0.3">
      <c r="A2268" s="4" t="s">
        <v>9</v>
      </c>
      <c r="B2268" s="3">
        <v>45293.416666666664</v>
      </c>
      <c r="C2268" s="4">
        <v>802.54659932233403</v>
      </c>
      <c r="D2268" s="4">
        <v>773.61185658890497</v>
      </c>
      <c r="E2268" s="4">
        <v>773.61185658890497</v>
      </c>
      <c r="F2268" s="4">
        <v>42.353189209351697</v>
      </c>
      <c r="G2268" s="4" t="str">
        <f t="shared" si="70"/>
        <v>OK</v>
      </c>
      <c r="H2268" s="4" t="str">
        <f t="shared" si="71"/>
        <v>NON-ZERO</v>
      </c>
      <c r="I2268">
        <v>831.38438763306101</v>
      </c>
      <c r="J2268">
        <f>IFERROR(Table4[[#This Row],[energy_kwh]]/Table4[[#This Row],[expected_kwh]],0)</f>
        <v>0.93051044510393854</v>
      </c>
      <c r="K2268" t="str">
        <f>IF(Table4[[#This Row],[Performance_Ratio]] &lt; 0.85, "Underperforming", "Performing")</f>
        <v>Performing</v>
      </c>
      <c r="L2268">
        <f>Table4[[#This Row],[energy_kwh]] - Table4[[#This Row],[expected_kwh]]</f>
        <v>-57.77253104415604</v>
      </c>
      <c r="M2268" t="str">
        <f>IF(Table4[[#This Row],[Performance_Deviation]] &lt; 0, "Underperforming", "Outperforming")</f>
        <v>Underperforming</v>
      </c>
      <c r="N2268">
        <f>IF(Table4[[#This Row],[Performance_Ratio]] &lt; 0.85, Table4[[#This Row],[Performance_Deviation]] * 50 / 1000, 0)</f>
        <v>0</v>
      </c>
    </row>
    <row r="2269" spans="1:14" x14ac:dyDescent="0.3">
      <c r="A2269" s="6" t="s">
        <v>9</v>
      </c>
      <c r="B2269" s="5">
        <v>45293.458333333336</v>
      </c>
      <c r="C2269" s="6">
        <v>965.12907875144901</v>
      </c>
      <c r="D2269" s="6">
        <v>930.33264247995498</v>
      </c>
      <c r="E2269" s="6">
        <v>930.33264247995498</v>
      </c>
      <c r="F2269" s="6">
        <v>92.540990510620105</v>
      </c>
      <c r="G2269" s="6" t="str">
        <f t="shared" si="70"/>
        <v>OK</v>
      </c>
      <c r="H2269" s="6" t="str">
        <f t="shared" si="71"/>
        <v>NON-ZERO</v>
      </c>
      <c r="I2269">
        <v>927.28879323750505</v>
      </c>
      <c r="J2269">
        <f>IFERROR(Table4[[#This Row],[energy_kwh]]/Table4[[#This Row],[expected_kwh]],0)</f>
        <v>1.0032825256431954</v>
      </c>
      <c r="K2269" t="str">
        <f>IF(Table4[[#This Row],[Performance_Ratio]] &lt; 0.85, "Underperforming", "Performing")</f>
        <v>Performing</v>
      </c>
      <c r="L2269">
        <f>Table4[[#This Row],[energy_kwh]] - Table4[[#This Row],[expected_kwh]]</f>
        <v>3.0438492424499373</v>
      </c>
      <c r="M2269" t="str">
        <f>IF(Table4[[#This Row],[Performance_Deviation]] &lt; 0, "Underperforming", "Outperforming")</f>
        <v>Outperforming</v>
      </c>
      <c r="N2269">
        <f>IF(Table4[[#This Row],[Performance_Ratio]] &lt; 0.85, Table4[[#This Row],[Performance_Deviation]] * 50 / 1000, 0)</f>
        <v>0</v>
      </c>
    </row>
    <row r="2270" spans="1:14" x14ac:dyDescent="0.3">
      <c r="A2270" s="4" t="s">
        <v>9</v>
      </c>
      <c r="B2270" s="3">
        <v>45293.5</v>
      </c>
      <c r="C2270" s="4">
        <v>774.04683895253095</v>
      </c>
      <c r="D2270" s="4">
        <v>746.13961690757196</v>
      </c>
      <c r="E2270" s="4">
        <v>746.13961690757196</v>
      </c>
      <c r="F2270" s="4">
        <v>61.401362922173803</v>
      </c>
      <c r="G2270" s="4" t="str">
        <f t="shared" si="70"/>
        <v>OK</v>
      </c>
      <c r="H2270" s="4" t="str">
        <f t="shared" si="71"/>
        <v>NON-ZERO</v>
      </c>
      <c r="I2270">
        <v>960</v>
      </c>
      <c r="J2270">
        <f>IFERROR(Table4[[#This Row],[energy_kwh]]/Table4[[#This Row],[expected_kwh]],0)</f>
        <v>0.77722876761205417</v>
      </c>
      <c r="K2270" t="str">
        <f>IF(Table4[[#This Row],[Performance_Ratio]] &lt; 0.85, "Underperforming", "Performing")</f>
        <v>Underperforming</v>
      </c>
      <c r="L2270">
        <f>Table4[[#This Row],[energy_kwh]] - Table4[[#This Row],[expected_kwh]]</f>
        <v>-213.86038309242804</v>
      </c>
      <c r="M2270" t="str">
        <f>IF(Table4[[#This Row],[Performance_Deviation]] &lt; 0, "Underperforming", "Outperforming")</f>
        <v>Underperforming</v>
      </c>
      <c r="N2270">
        <f>IF(Table4[[#This Row],[Performance_Ratio]] &lt; 0.85, Table4[[#This Row],[Performance_Deviation]] * 50 / 1000, 0)</f>
        <v>-10.693019154621402</v>
      </c>
    </row>
    <row r="2271" spans="1:14" x14ac:dyDescent="0.3">
      <c r="A2271" s="6" t="s">
        <v>9</v>
      </c>
      <c r="B2271" s="5">
        <v>45293.541666666664</v>
      </c>
      <c r="C2271" s="6">
        <v>804.27603970208997</v>
      </c>
      <c r="D2271" s="6">
        <v>775.27894431212599</v>
      </c>
      <c r="E2271" s="6">
        <v>775.27894431212599</v>
      </c>
      <c r="F2271" s="6">
        <v>59.8991238703086</v>
      </c>
      <c r="G2271" s="6" t="str">
        <f t="shared" si="70"/>
        <v>OK</v>
      </c>
      <c r="H2271" s="6" t="str">
        <f t="shared" si="71"/>
        <v>NON-ZERO</v>
      </c>
      <c r="I2271">
        <v>927.28879323750505</v>
      </c>
      <c r="J2271">
        <f>IFERROR(Table4[[#This Row],[energy_kwh]]/Table4[[#This Row],[expected_kwh]],0)</f>
        <v>0.83607065022897886</v>
      </c>
      <c r="K2271" t="str">
        <f>IF(Table4[[#This Row],[Performance_Ratio]] &lt; 0.85, "Underperforming", "Performing")</f>
        <v>Underperforming</v>
      </c>
      <c r="L2271">
        <f>Table4[[#This Row],[energy_kwh]] - Table4[[#This Row],[expected_kwh]]</f>
        <v>-152.00984892537906</v>
      </c>
      <c r="M2271" t="str">
        <f>IF(Table4[[#This Row],[Performance_Deviation]] &lt; 0, "Underperforming", "Outperforming")</f>
        <v>Underperforming</v>
      </c>
      <c r="N2271">
        <f>IF(Table4[[#This Row],[Performance_Ratio]] &lt; 0.85, Table4[[#This Row],[Performance_Deviation]] * 50 / 1000, 0)</f>
        <v>-7.6004924462689534</v>
      </c>
    </row>
    <row r="2272" spans="1:14" x14ac:dyDescent="0.3">
      <c r="A2272" s="4" t="s">
        <v>9</v>
      </c>
      <c r="B2272" s="3">
        <v>45293.583333333336</v>
      </c>
      <c r="C2272" s="4">
        <v>823.04743335570004</v>
      </c>
      <c r="D2272" s="4">
        <v>793.37356050935705</v>
      </c>
      <c r="E2272" s="4">
        <v>793.37356050935705</v>
      </c>
      <c r="F2272" s="4">
        <v>80.004080596352793</v>
      </c>
      <c r="G2272" s="4" t="str">
        <f t="shared" si="70"/>
        <v>OK</v>
      </c>
      <c r="H2272" s="4" t="str">
        <f t="shared" si="71"/>
        <v>NON-ZERO</v>
      </c>
      <c r="I2272">
        <v>831.38438763306101</v>
      </c>
      <c r="J2272">
        <f>IFERROR(Table4[[#This Row],[energy_kwh]]/Table4[[#This Row],[expected_kwh]],0)</f>
        <v>0.95428008068335246</v>
      </c>
      <c r="K2272" t="str">
        <f>IF(Table4[[#This Row],[Performance_Ratio]] &lt; 0.85, "Underperforming", "Performing")</f>
        <v>Performing</v>
      </c>
      <c r="L2272">
        <f>Table4[[#This Row],[energy_kwh]] - Table4[[#This Row],[expected_kwh]]</f>
        <v>-38.010827123703962</v>
      </c>
      <c r="M2272" t="str">
        <f>IF(Table4[[#This Row],[Performance_Deviation]] &lt; 0, "Underperforming", "Outperforming")</f>
        <v>Underperforming</v>
      </c>
      <c r="N2272">
        <f>IF(Table4[[#This Row],[Performance_Ratio]] &lt; 0.85, Table4[[#This Row],[Performance_Deviation]] * 50 / 1000, 0)</f>
        <v>0</v>
      </c>
    </row>
    <row r="2273" spans="1:14" x14ac:dyDescent="0.3">
      <c r="A2273" s="6" t="s">
        <v>9</v>
      </c>
      <c r="B2273" s="5">
        <v>45293.625</v>
      </c>
      <c r="C2273" s="6">
        <v>674.750908434503</v>
      </c>
      <c r="D2273" s="6">
        <v>650.42366817059201</v>
      </c>
      <c r="E2273" s="6">
        <v>650.42366817059201</v>
      </c>
      <c r="F2273" s="6">
        <v>20.197411668469101</v>
      </c>
      <c r="G2273" s="6" t="str">
        <f t="shared" si="70"/>
        <v>OK</v>
      </c>
      <c r="H2273" s="6" t="str">
        <f t="shared" si="71"/>
        <v>NON-ZERO</v>
      </c>
      <c r="I2273">
        <v>678.82250993908497</v>
      </c>
      <c r="J2273">
        <f>IFERROR(Table4[[#This Row],[energy_kwh]]/Table4[[#This Row],[expected_kwh]],0)</f>
        <v>0.95816455501594755</v>
      </c>
      <c r="K2273" t="str">
        <f>IF(Table4[[#This Row],[Performance_Ratio]] &lt; 0.85, "Underperforming", "Performing")</f>
        <v>Performing</v>
      </c>
      <c r="L2273">
        <f>Table4[[#This Row],[energy_kwh]] - Table4[[#This Row],[expected_kwh]]</f>
        <v>-28.398841768492957</v>
      </c>
      <c r="M2273" t="str">
        <f>IF(Table4[[#This Row],[Performance_Deviation]] &lt; 0, "Underperforming", "Outperforming")</f>
        <v>Underperforming</v>
      </c>
      <c r="N2273">
        <f>IF(Table4[[#This Row],[Performance_Ratio]] &lt; 0.85, Table4[[#This Row],[Performance_Deviation]] * 50 / 1000, 0)</f>
        <v>0</v>
      </c>
    </row>
    <row r="2274" spans="1:14" x14ac:dyDescent="0.3">
      <c r="A2274" s="4" t="s">
        <v>9</v>
      </c>
      <c r="B2274" s="3">
        <v>45293.666666666664</v>
      </c>
      <c r="C2274" s="4">
        <v>387.093124838596</v>
      </c>
      <c r="D2274" s="4">
        <v>373.13700068263898</v>
      </c>
      <c r="E2274" s="4">
        <v>373.13700068263898</v>
      </c>
      <c r="F2274" s="4">
        <v>84.4749160749856</v>
      </c>
      <c r="G2274" s="4" t="str">
        <f t="shared" si="70"/>
        <v>OK</v>
      </c>
      <c r="H2274" s="4" t="str">
        <f t="shared" si="71"/>
        <v>NON-ZERO</v>
      </c>
      <c r="I2274">
        <v>479.99999999999898</v>
      </c>
      <c r="J2274">
        <f>IFERROR(Table4[[#This Row],[energy_kwh]]/Table4[[#This Row],[expected_kwh]],0)</f>
        <v>0.77736875142216622</v>
      </c>
      <c r="K2274" t="str">
        <f>IF(Table4[[#This Row],[Performance_Ratio]] &lt; 0.85, "Underperforming", "Performing")</f>
        <v>Underperforming</v>
      </c>
      <c r="L2274">
        <f>Table4[[#This Row],[energy_kwh]] - Table4[[#This Row],[expected_kwh]]</f>
        <v>-106.86299931735999</v>
      </c>
      <c r="M2274" t="str">
        <f>IF(Table4[[#This Row],[Performance_Deviation]] &lt; 0, "Underperforming", "Outperforming")</f>
        <v>Underperforming</v>
      </c>
      <c r="N2274">
        <f>IF(Table4[[#This Row],[Performance_Ratio]] &lt; 0.85, Table4[[#This Row],[Performance_Deviation]] * 50 / 1000, 0)</f>
        <v>-5.3431499658679993</v>
      </c>
    </row>
    <row r="2275" spans="1:14" x14ac:dyDescent="0.3">
      <c r="A2275" s="6" t="s">
        <v>9</v>
      </c>
      <c r="B2275" s="5">
        <v>45293.708333333336</v>
      </c>
      <c r="C2275" s="6">
        <v>224.175778401972</v>
      </c>
      <c r="D2275" s="6">
        <v>216.09342096552601</v>
      </c>
      <c r="E2275" s="6">
        <v>216.09342096552601</v>
      </c>
      <c r="F2275" s="6">
        <v>56.053554236326697</v>
      </c>
      <c r="G2275" s="6" t="str">
        <f t="shared" si="70"/>
        <v>OK</v>
      </c>
      <c r="H2275" s="6" t="str">
        <f t="shared" si="71"/>
        <v>NON-ZERO</v>
      </c>
      <c r="I2275">
        <v>248.46628329842</v>
      </c>
      <c r="J2275">
        <f>IFERROR(Table4[[#This Row],[energy_kwh]]/Table4[[#This Row],[expected_kwh]],0)</f>
        <v>0.86970923417398804</v>
      </c>
      <c r="K2275" t="str">
        <f>IF(Table4[[#This Row],[Performance_Ratio]] &lt; 0.85, "Underperforming", "Performing")</f>
        <v>Performing</v>
      </c>
      <c r="L2275">
        <f>Table4[[#This Row],[energy_kwh]] - Table4[[#This Row],[expected_kwh]]</f>
        <v>-32.372862332893988</v>
      </c>
      <c r="M2275" t="str">
        <f>IF(Table4[[#This Row],[Performance_Deviation]] &lt; 0, "Underperforming", "Outperforming")</f>
        <v>Underperforming</v>
      </c>
      <c r="N2275">
        <f>IF(Table4[[#This Row],[Performance_Ratio]] &lt; 0.85, Table4[[#This Row],[Performance_Deviation]] * 50 / 1000, 0)</f>
        <v>0</v>
      </c>
    </row>
    <row r="2276" spans="1:14" x14ac:dyDescent="0.3">
      <c r="A2276" s="4" t="s">
        <v>9</v>
      </c>
      <c r="B2276" s="3">
        <v>45293.75</v>
      </c>
      <c r="C2276" s="7">
        <v>9.9344437626264706E-14</v>
      </c>
      <c r="D2276" s="7">
        <v>9.5762706986398699E-14</v>
      </c>
      <c r="E2276" s="7">
        <v>9.5762706986398699E-14</v>
      </c>
      <c r="F2276" s="4">
        <v>73.8845133742375</v>
      </c>
      <c r="G2276" s="4" t="str">
        <f t="shared" si="70"/>
        <v>OK</v>
      </c>
      <c r="H2276" s="4" t="str">
        <f t="shared" si="71"/>
        <v>NON-ZERO</v>
      </c>
      <c r="I2276" s="2">
        <v>1.1756609271814501E-13</v>
      </c>
      <c r="J2276">
        <f>IFERROR(Table4[[#This Row],[energy_kwh]]/Table4[[#This Row],[expected_kwh]],0)</f>
        <v>0.81454358797125181</v>
      </c>
      <c r="K2276" t="str">
        <f>IF(Table4[[#This Row],[Performance_Ratio]] &lt; 0.85, "Underperforming", "Performing")</f>
        <v>Underperforming</v>
      </c>
      <c r="L2276">
        <f>Table4[[#This Row],[energy_kwh]] - Table4[[#This Row],[expected_kwh]]</f>
        <v>-2.1803385731746311E-14</v>
      </c>
      <c r="M2276" t="str">
        <f>IF(Table4[[#This Row],[Performance_Deviation]] &lt; 0, "Underperforming", "Outperforming")</f>
        <v>Underperforming</v>
      </c>
      <c r="N2276">
        <f>IF(Table4[[#This Row],[Performance_Ratio]] &lt; 0.85, Table4[[#This Row],[Performance_Deviation]] * 50 / 1000, 0)</f>
        <v>-1.0901692865873156E-15</v>
      </c>
    </row>
    <row r="2277" spans="1:14" x14ac:dyDescent="0.3">
      <c r="A2277" s="6" t="s">
        <v>9</v>
      </c>
      <c r="B2277" s="5">
        <v>45293.791666666664</v>
      </c>
      <c r="C2277" s="6">
        <v>0</v>
      </c>
      <c r="D2277" s="6">
        <v>0</v>
      </c>
      <c r="E2277" s="6">
        <v>0</v>
      </c>
      <c r="F2277" s="6">
        <v>73.556526701376299</v>
      </c>
      <c r="G2277" s="6" t="str">
        <f t="shared" si="70"/>
        <v>OK</v>
      </c>
      <c r="H2277" s="6" t="str">
        <f t="shared" si="71"/>
        <v>ZERO</v>
      </c>
      <c r="I2277">
        <v>0</v>
      </c>
      <c r="J2277">
        <f>IFERROR(Table4[[#This Row],[energy_kwh]]/Table4[[#This Row],[expected_kwh]],0)</f>
        <v>0</v>
      </c>
      <c r="K2277" t="str">
        <f>IF(Table4[[#This Row],[Performance_Ratio]] &lt; 0.85, "Underperforming", "Performing")</f>
        <v>Underperforming</v>
      </c>
      <c r="L2277">
        <f>Table4[[#This Row],[energy_kwh]] - Table4[[#This Row],[expected_kwh]]</f>
        <v>0</v>
      </c>
      <c r="M2277" t="str">
        <f>IF(Table4[[#This Row],[Performance_Deviation]] &lt; 0, "Underperforming", "Outperforming")</f>
        <v>Outperforming</v>
      </c>
      <c r="N2277">
        <f>IF(Table4[[#This Row],[Performance_Ratio]] &lt; 0.85, Table4[[#This Row],[Performance_Deviation]] * 50 / 1000, 0)</f>
        <v>0</v>
      </c>
    </row>
    <row r="2278" spans="1:14" x14ac:dyDescent="0.3">
      <c r="A2278" s="4" t="s">
        <v>9</v>
      </c>
      <c r="B2278" s="3">
        <v>45293.833333333336</v>
      </c>
      <c r="C2278" s="4">
        <v>0</v>
      </c>
      <c r="D2278" s="4">
        <v>0</v>
      </c>
      <c r="E2278" s="4">
        <v>0</v>
      </c>
      <c r="F2278" s="4">
        <v>35.336259589686698</v>
      </c>
      <c r="G2278" s="4" t="str">
        <f t="shared" si="70"/>
        <v>OK</v>
      </c>
      <c r="H2278" s="4" t="str">
        <f t="shared" si="71"/>
        <v>ZERO</v>
      </c>
      <c r="I2278">
        <v>0</v>
      </c>
      <c r="J2278">
        <f>IFERROR(Table4[[#This Row],[energy_kwh]]/Table4[[#This Row],[expected_kwh]],0)</f>
        <v>0</v>
      </c>
      <c r="K2278" t="str">
        <f>IF(Table4[[#This Row],[Performance_Ratio]] &lt; 0.85, "Underperforming", "Performing")</f>
        <v>Underperforming</v>
      </c>
      <c r="L2278">
        <f>Table4[[#This Row],[energy_kwh]] - Table4[[#This Row],[expected_kwh]]</f>
        <v>0</v>
      </c>
      <c r="M2278" t="str">
        <f>IF(Table4[[#This Row],[Performance_Deviation]] &lt; 0, "Underperforming", "Outperforming")</f>
        <v>Outperforming</v>
      </c>
      <c r="N2278">
        <f>IF(Table4[[#This Row],[Performance_Ratio]] &lt; 0.85, Table4[[#This Row],[Performance_Deviation]] * 50 / 1000, 0)</f>
        <v>0</v>
      </c>
    </row>
    <row r="2279" spans="1:14" x14ac:dyDescent="0.3">
      <c r="A2279" s="6" t="s">
        <v>9</v>
      </c>
      <c r="B2279" s="5">
        <v>45293.875</v>
      </c>
      <c r="C2279" s="6">
        <v>0</v>
      </c>
      <c r="D2279" s="6">
        <v>0</v>
      </c>
      <c r="E2279" s="6">
        <v>0</v>
      </c>
      <c r="F2279" s="6">
        <v>30.378392190643801</v>
      </c>
      <c r="G2279" s="6" t="str">
        <f t="shared" si="70"/>
        <v>OK</v>
      </c>
      <c r="H2279" s="6" t="str">
        <f t="shared" si="71"/>
        <v>ZERO</v>
      </c>
      <c r="I2279">
        <v>0</v>
      </c>
      <c r="J2279">
        <f>IFERROR(Table4[[#This Row],[energy_kwh]]/Table4[[#This Row],[expected_kwh]],0)</f>
        <v>0</v>
      </c>
      <c r="K2279" t="str">
        <f>IF(Table4[[#This Row],[Performance_Ratio]] &lt; 0.85, "Underperforming", "Performing")</f>
        <v>Underperforming</v>
      </c>
      <c r="L2279">
        <f>Table4[[#This Row],[energy_kwh]] - Table4[[#This Row],[expected_kwh]]</f>
        <v>0</v>
      </c>
      <c r="M2279" t="str">
        <f>IF(Table4[[#This Row],[Performance_Deviation]] &lt; 0, "Underperforming", "Outperforming")</f>
        <v>Outperforming</v>
      </c>
      <c r="N2279">
        <f>IF(Table4[[#This Row],[Performance_Ratio]] &lt; 0.85, Table4[[#This Row],[Performance_Deviation]] * 50 / 1000, 0)</f>
        <v>0</v>
      </c>
    </row>
    <row r="2280" spans="1:14" x14ac:dyDescent="0.3">
      <c r="A2280" s="4" t="s">
        <v>9</v>
      </c>
      <c r="B2280" s="3">
        <v>45293.916666666664</v>
      </c>
      <c r="C2280" s="4">
        <v>0</v>
      </c>
      <c r="D2280" s="4">
        <v>0</v>
      </c>
      <c r="E2280" s="4">
        <v>0</v>
      </c>
      <c r="F2280" s="4">
        <v>65.345953512891597</v>
      </c>
      <c r="G2280" s="4" t="str">
        <f t="shared" si="70"/>
        <v>OK</v>
      </c>
      <c r="H2280" s="4" t="str">
        <f t="shared" si="71"/>
        <v>ZERO</v>
      </c>
      <c r="I2280">
        <v>0</v>
      </c>
      <c r="J2280">
        <f>IFERROR(Table4[[#This Row],[energy_kwh]]/Table4[[#This Row],[expected_kwh]],0)</f>
        <v>0</v>
      </c>
      <c r="K2280" t="str">
        <f>IF(Table4[[#This Row],[Performance_Ratio]] &lt; 0.85, "Underperforming", "Performing")</f>
        <v>Underperforming</v>
      </c>
      <c r="L2280">
        <f>Table4[[#This Row],[energy_kwh]] - Table4[[#This Row],[expected_kwh]]</f>
        <v>0</v>
      </c>
      <c r="M2280" t="str">
        <f>IF(Table4[[#This Row],[Performance_Deviation]] &lt; 0, "Underperforming", "Outperforming")</f>
        <v>Outperforming</v>
      </c>
      <c r="N2280">
        <f>IF(Table4[[#This Row],[Performance_Ratio]] &lt; 0.85, Table4[[#This Row],[Performance_Deviation]] * 50 / 1000, 0)</f>
        <v>0</v>
      </c>
    </row>
    <row r="2281" spans="1:14" x14ac:dyDescent="0.3">
      <c r="A2281" s="6" t="s">
        <v>9</v>
      </c>
      <c r="B2281" s="5">
        <v>45293.958333333336</v>
      </c>
      <c r="C2281" s="6">
        <v>0</v>
      </c>
      <c r="D2281" s="6">
        <v>0</v>
      </c>
      <c r="E2281" s="6">
        <v>0</v>
      </c>
      <c r="F2281" s="6">
        <v>43.383323510376599</v>
      </c>
      <c r="G2281" s="6" t="str">
        <f t="shared" si="70"/>
        <v>OK</v>
      </c>
      <c r="H2281" s="6" t="str">
        <f t="shared" si="71"/>
        <v>ZERO</v>
      </c>
      <c r="I2281">
        <v>0</v>
      </c>
      <c r="J2281">
        <f>IFERROR(Table4[[#This Row],[energy_kwh]]/Table4[[#This Row],[expected_kwh]],0)</f>
        <v>0</v>
      </c>
      <c r="K2281" t="str">
        <f>IF(Table4[[#This Row],[Performance_Ratio]] &lt; 0.85, "Underperforming", "Performing")</f>
        <v>Underperforming</v>
      </c>
      <c r="L2281">
        <f>Table4[[#This Row],[energy_kwh]] - Table4[[#This Row],[expected_kwh]]</f>
        <v>0</v>
      </c>
      <c r="M2281" t="str">
        <f>IF(Table4[[#This Row],[Performance_Deviation]] &lt; 0, "Underperforming", "Outperforming")</f>
        <v>Outperforming</v>
      </c>
      <c r="N2281">
        <f>IF(Table4[[#This Row],[Performance_Ratio]] &lt; 0.85, Table4[[#This Row],[Performance_Deviation]] * 50 / 1000, 0)</f>
        <v>0</v>
      </c>
    </row>
    <row r="2282" spans="1:14" x14ac:dyDescent="0.3">
      <c r="A2282" s="4" t="s">
        <v>9</v>
      </c>
      <c r="B2282" s="3">
        <v>45294</v>
      </c>
      <c r="C2282" s="4">
        <v>0</v>
      </c>
      <c r="D2282" s="4">
        <v>0</v>
      </c>
      <c r="E2282" s="4">
        <v>0</v>
      </c>
      <c r="F2282" s="4">
        <v>43.009571233257503</v>
      </c>
      <c r="G2282" s="4" t="str">
        <f t="shared" si="70"/>
        <v>OK</v>
      </c>
      <c r="H2282" s="4" t="str">
        <f t="shared" si="71"/>
        <v>ZERO</v>
      </c>
      <c r="I2282">
        <v>0</v>
      </c>
      <c r="J2282">
        <f>IFERROR(Table4[[#This Row],[energy_kwh]]/Table4[[#This Row],[expected_kwh]],0)</f>
        <v>0</v>
      </c>
      <c r="K2282" t="str">
        <f>IF(Table4[[#This Row],[Performance_Ratio]] &lt; 0.85, "Underperforming", "Performing")</f>
        <v>Underperforming</v>
      </c>
      <c r="L2282">
        <f>Table4[[#This Row],[energy_kwh]] - Table4[[#This Row],[expected_kwh]]</f>
        <v>0</v>
      </c>
      <c r="M2282" t="str">
        <f>IF(Table4[[#This Row],[Performance_Deviation]] &lt; 0, "Underperforming", "Outperforming")</f>
        <v>Outperforming</v>
      </c>
      <c r="N2282">
        <f>IF(Table4[[#This Row],[Performance_Ratio]] &lt; 0.85, Table4[[#This Row],[Performance_Deviation]] * 50 / 1000, 0)</f>
        <v>0</v>
      </c>
    </row>
    <row r="2283" spans="1:14" x14ac:dyDescent="0.3">
      <c r="A2283" s="6" t="s">
        <v>9</v>
      </c>
      <c r="B2283" s="5">
        <v>45294.041666666664</v>
      </c>
      <c r="C2283" s="6">
        <v>0</v>
      </c>
      <c r="D2283" s="6">
        <v>0</v>
      </c>
      <c r="E2283" s="6">
        <v>0</v>
      </c>
      <c r="F2283" s="6">
        <v>45.888487872172199</v>
      </c>
      <c r="G2283" s="6" t="str">
        <f t="shared" si="70"/>
        <v>OK</v>
      </c>
      <c r="H2283" s="6" t="str">
        <f t="shared" si="71"/>
        <v>ZERO</v>
      </c>
      <c r="I2283">
        <v>0</v>
      </c>
      <c r="J2283">
        <f>IFERROR(Table4[[#This Row],[energy_kwh]]/Table4[[#This Row],[expected_kwh]],0)</f>
        <v>0</v>
      </c>
      <c r="K2283" t="str">
        <f>IF(Table4[[#This Row],[Performance_Ratio]] &lt; 0.85, "Underperforming", "Performing")</f>
        <v>Underperforming</v>
      </c>
      <c r="L2283">
        <f>Table4[[#This Row],[energy_kwh]] - Table4[[#This Row],[expected_kwh]]</f>
        <v>0</v>
      </c>
      <c r="M2283" t="str">
        <f>IF(Table4[[#This Row],[Performance_Deviation]] &lt; 0, "Underperforming", "Outperforming")</f>
        <v>Outperforming</v>
      </c>
      <c r="N2283">
        <f>IF(Table4[[#This Row],[Performance_Ratio]] &lt; 0.85, Table4[[#This Row],[Performance_Deviation]] * 50 / 1000, 0)</f>
        <v>0</v>
      </c>
    </row>
    <row r="2284" spans="1:14" x14ac:dyDescent="0.3">
      <c r="A2284" s="4" t="s">
        <v>9</v>
      </c>
      <c r="B2284" s="3">
        <v>45294.083333333336</v>
      </c>
      <c r="C2284" s="4">
        <v>0</v>
      </c>
      <c r="D2284" s="4">
        <v>0</v>
      </c>
      <c r="E2284" s="4">
        <v>0</v>
      </c>
      <c r="F2284" s="4">
        <v>40.211753760002203</v>
      </c>
      <c r="G2284" s="4" t="str">
        <f t="shared" si="70"/>
        <v>OK</v>
      </c>
      <c r="H2284" s="4" t="str">
        <f t="shared" si="71"/>
        <v>ZERO</v>
      </c>
      <c r="I2284">
        <v>0</v>
      </c>
      <c r="J2284">
        <f>IFERROR(Table4[[#This Row],[energy_kwh]]/Table4[[#This Row],[expected_kwh]],0)</f>
        <v>0</v>
      </c>
      <c r="K2284" t="str">
        <f>IF(Table4[[#This Row],[Performance_Ratio]] &lt; 0.85, "Underperforming", "Performing")</f>
        <v>Underperforming</v>
      </c>
      <c r="L2284">
        <f>Table4[[#This Row],[energy_kwh]] - Table4[[#This Row],[expected_kwh]]</f>
        <v>0</v>
      </c>
      <c r="M2284" t="str">
        <f>IF(Table4[[#This Row],[Performance_Deviation]] &lt; 0, "Underperforming", "Outperforming")</f>
        <v>Outperforming</v>
      </c>
      <c r="N2284">
        <f>IF(Table4[[#This Row],[Performance_Ratio]] &lt; 0.85, Table4[[#This Row],[Performance_Deviation]] * 50 / 1000, 0)</f>
        <v>0</v>
      </c>
    </row>
    <row r="2285" spans="1:14" x14ac:dyDescent="0.3">
      <c r="A2285" s="6" t="s">
        <v>9</v>
      </c>
      <c r="B2285" s="5">
        <v>45294.125</v>
      </c>
      <c r="C2285" s="6">
        <v>0</v>
      </c>
      <c r="D2285" s="6">
        <v>0</v>
      </c>
      <c r="E2285" s="6">
        <v>0</v>
      </c>
      <c r="F2285" s="6">
        <v>34.805280029790602</v>
      </c>
      <c r="G2285" s="6" t="str">
        <f t="shared" si="70"/>
        <v>OK</v>
      </c>
      <c r="H2285" s="6" t="str">
        <f t="shared" si="71"/>
        <v>ZERO</v>
      </c>
      <c r="I2285">
        <v>0</v>
      </c>
      <c r="J2285">
        <f>IFERROR(Table4[[#This Row],[energy_kwh]]/Table4[[#This Row],[expected_kwh]],0)</f>
        <v>0</v>
      </c>
      <c r="K2285" t="str">
        <f>IF(Table4[[#This Row],[Performance_Ratio]] &lt; 0.85, "Underperforming", "Performing")</f>
        <v>Underperforming</v>
      </c>
      <c r="L2285">
        <f>Table4[[#This Row],[energy_kwh]] - Table4[[#This Row],[expected_kwh]]</f>
        <v>0</v>
      </c>
      <c r="M2285" t="str">
        <f>IF(Table4[[#This Row],[Performance_Deviation]] &lt; 0, "Underperforming", "Outperforming")</f>
        <v>Outperforming</v>
      </c>
      <c r="N2285">
        <f>IF(Table4[[#This Row],[Performance_Ratio]] &lt; 0.85, Table4[[#This Row],[Performance_Deviation]] * 50 / 1000, 0)</f>
        <v>0</v>
      </c>
    </row>
    <row r="2286" spans="1:14" x14ac:dyDescent="0.3">
      <c r="A2286" s="4" t="s">
        <v>9</v>
      </c>
      <c r="B2286" s="3">
        <v>45294.166666666664</v>
      </c>
      <c r="C2286" s="4">
        <v>0</v>
      </c>
      <c r="D2286" s="4">
        <v>0</v>
      </c>
      <c r="E2286" s="4">
        <v>0</v>
      </c>
      <c r="F2286" s="4">
        <v>91.060792579671798</v>
      </c>
      <c r="G2286" s="4" t="str">
        <f t="shared" si="70"/>
        <v>OK</v>
      </c>
      <c r="H2286" s="4" t="str">
        <f t="shared" si="71"/>
        <v>ZERO</v>
      </c>
      <c r="I2286">
        <v>0</v>
      </c>
      <c r="J2286">
        <f>IFERROR(Table4[[#This Row],[energy_kwh]]/Table4[[#This Row],[expected_kwh]],0)</f>
        <v>0</v>
      </c>
      <c r="K2286" t="str">
        <f>IF(Table4[[#This Row],[Performance_Ratio]] &lt; 0.85, "Underperforming", "Performing")</f>
        <v>Underperforming</v>
      </c>
      <c r="L2286">
        <f>Table4[[#This Row],[energy_kwh]] - Table4[[#This Row],[expected_kwh]]</f>
        <v>0</v>
      </c>
      <c r="M2286" t="str">
        <f>IF(Table4[[#This Row],[Performance_Deviation]] &lt; 0, "Underperforming", "Outperforming")</f>
        <v>Outperforming</v>
      </c>
      <c r="N2286">
        <f>IF(Table4[[#This Row],[Performance_Ratio]] &lt; 0.85, Table4[[#This Row],[Performance_Deviation]] * 50 / 1000, 0)</f>
        <v>0</v>
      </c>
    </row>
    <row r="2287" spans="1:14" x14ac:dyDescent="0.3">
      <c r="A2287" s="6" t="s">
        <v>9</v>
      </c>
      <c r="B2287" s="5">
        <v>45294.208333333336</v>
      </c>
      <c r="C2287" s="6">
        <v>0</v>
      </c>
      <c r="D2287" s="6">
        <v>0</v>
      </c>
      <c r="E2287" s="6">
        <v>0</v>
      </c>
      <c r="F2287" s="6">
        <v>67.554129200823695</v>
      </c>
      <c r="G2287" s="6" t="str">
        <f t="shared" si="70"/>
        <v>OK</v>
      </c>
      <c r="H2287" s="6" t="str">
        <f t="shared" si="71"/>
        <v>ZERO</v>
      </c>
      <c r="I2287">
        <v>0</v>
      </c>
      <c r="J2287">
        <f>IFERROR(Table4[[#This Row],[energy_kwh]]/Table4[[#This Row],[expected_kwh]],0)</f>
        <v>0</v>
      </c>
      <c r="K2287" t="str">
        <f>IF(Table4[[#This Row],[Performance_Ratio]] &lt; 0.85, "Underperforming", "Performing")</f>
        <v>Underperforming</v>
      </c>
      <c r="L2287">
        <f>Table4[[#This Row],[energy_kwh]] - Table4[[#This Row],[expected_kwh]]</f>
        <v>0</v>
      </c>
      <c r="M2287" t="str">
        <f>IF(Table4[[#This Row],[Performance_Deviation]] &lt; 0, "Underperforming", "Outperforming")</f>
        <v>Outperforming</v>
      </c>
      <c r="N2287">
        <f>IF(Table4[[#This Row],[Performance_Ratio]] &lt; 0.85, Table4[[#This Row],[Performance_Deviation]] * 50 / 1000, 0)</f>
        <v>0</v>
      </c>
    </row>
    <row r="2288" spans="1:14" x14ac:dyDescent="0.3">
      <c r="A2288" s="4" t="s">
        <v>9</v>
      </c>
      <c r="B2288" s="3">
        <v>45294.25</v>
      </c>
      <c r="C2288" s="4">
        <v>0</v>
      </c>
      <c r="D2288" s="4">
        <v>0</v>
      </c>
      <c r="E2288" s="4">
        <v>0</v>
      </c>
      <c r="F2288" s="4">
        <v>51.603270591039099</v>
      </c>
      <c r="G2288" s="4" t="str">
        <f t="shared" si="70"/>
        <v>OK</v>
      </c>
      <c r="H2288" s="4" t="str">
        <f t="shared" si="71"/>
        <v>ZERO</v>
      </c>
      <c r="I2288">
        <v>0</v>
      </c>
      <c r="J2288">
        <f>IFERROR(Table4[[#This Row],[energy_kwh]]/Table4[[#This Row],[expected_kwh]],0)</f>
        <v>0</v>
      </c>
      <c r="K2288" t="str">
        <f>IF(Table4[[#This Row],[Performance_Ratio]] &lt; 0.85, "Underperforming", "Performing")</f>
        <v>Underperforming</v>
      </c>
      <c r="L2288">
        <f>Table4[[#This Row],[energy_kwh]] - Table4[[#This Row],[expected_kwh]]</f>
        <v>0</v>
      </c>
      <c r="M2288" t="str">
        <f>IF(Table4[[#This Row],[Performance_Deviation]] &lt; 0, "Underperforming", "Outperforming")</f>
        <v>Outperforming</v>
      </c>
      <c r="N2288">
        <f>IF(Table4[[#This Row],[Performance_Ratio]] &lt; 0.85, Table4[[#This Row],[Performance_Deviation]] * 50 / 1000, 0)</f>
        <v>0</v>
      </c>
    </row>
    <row r="2289" spans="1:14" x14ac:dyDescent="0.3">
      <c r="A2289" s="6" t="s">
        <v>9</v>
      </c>
      <c r="B2289" s="5">
        <v>45294.291666666664</v>
      </c>
      <c r="C2289" s="6">
        <v>224.56333726124501</v>
      </c>
      <c r="D2289" s="6">
        <v>216.46700690921199</v>
      </c>
      <c r="E2289" s="6">
        <v>216.46700690921199</v>
      </c>
      <c r="F2289" s="6">
        <v>60.314232515228603</v>
      </c>
      <c r="G2289" s="6" t="str">
        <f t="shared" si="70"/>
        <v>OK</v>
      </c>
      <c r="H2289" s="6" t="str">
        <f t="shared" si="71"/>
        <v>NON-ZERO</v>
      </c>
      <c r="I2289">
        <v>248.466283298419</v>
      </c>
      <c r="J2289">
        <f>IFERROR(Table4[[#This Row],[energy_kwh]]/Table4[[#This Row],[expected_kwh]],0)</f>
        <v>0.8712128021379284</v>
      </c>
      <c r="K2289" t="str">
        <f>IF(Table4[[#This Row],[Performance_Ratio]] &lt; 0.85, "Underperforming", "Performing")</f>
        <v>Performing</v>
      </c>
      <c r="L2289">
        <f>Table4[[#This Row],[energy_kwh]] - Table4[[#This Row],[expected_kwh]]</f>
        <v>-31.999276389207012</v>
      </c>
      <c r="M2289" t="str">
        <f>IF(Table4[[#This Row],[Performance_Deviation]] &lt; 0, "Underperforming", "Outperforming")</f>
        <v>Underperforming</v>
      </c>
      <c r="N2289">
        <f>IF(Table4[[#This Row],[Performance_Ratio]] &lt; 0.85, Table4[[#This Row],[Performance_Deviation]] * 50 / 1000, 0)</f>
        <v>0</v>
      </c>
    </row>
    <row r="2290" spans="1:14" x14ac:dyDescent="0.3">
      <c r="A2290" s="4" t="s">
        <v>9</v>
      </c>
      <c r="B2290" s="3">
        <v>45294.333333333336</v>
      </c>
      <c r="C2290" s="4">
        <v>404.04506192222402</v>
      </c>
      <c r="D2290" s="4">
        <v>389.47775837959699</v>
      </c>
      <c r="E2290" s="4">
        <v>389.47775837959699</v>
      </c>
      <c r="F2290" s="4">
        <v>90.341523207116197</v>
      </c>
      <c r="G2290" s="4" t="str">
        <f t="shared" si="70"/>
        <v>OK</v>
      </c>
      <c r="H2290" s="4" t="str">
        <f t="shared" si="71"/>
        <v>NON-ZERO</v>
      </c>
      <c r="I2290">
        <v>479.99999999999898</v>
      </c>
      <c r="J2290">
        <f>IFERROR(Table4[[#This Row],[energy_kwh]]/Table4[[#This Row],[expected_kwh]],0)</f>
        <v>0.81141199662416208</v>
      </c>
      <c r="K2290" t="str">
        <f>IF(Table4[[#This Row],[Performance_Ratio]] &lt; 0.85, "Underperforming", "Performing")</f>
        <v>Underperforming</v>
      </c>
      <c r="L2290">
        <f>Table4[[#This Row],[energy_kwh]] - Table4[[#This Row],[expected_kwh]]</f>
        <v>-90.522241620401985</v>
      </c>
      <c r="M2290" t="str">
        <f>IF(Table4[[#This Row],[Performance_Deviation]] &lt; 0, "Underperforming", "Outperforming")</f>
        <v>Underperforming</v>
      </c>
      <c r="N2290">
        <f>IF(Table4[[#This Row],[Performance_Ratio]] &lt; 0.85, Table4[[#This Row],[Performance_Deviation]] * 50 / 1000, 0)</f>
        <v>-4.5261120810200994</v>
      </c>
    </row>
    <row r="2291" spans="1:14" x14ac:dyDescent="0.3">
      <c r="A2291" s="6" t="s">
        <v>9</v>
      </c>
      <c r="B2291" s="5">
        <v>45294.375</v>
      </c>
      <c r="C2291" s="6">
        <v>707.803456683371</v>
      </c>
      <c r="D2291" s="6">
        <v>682.284551061868</v>
      </c>
      <c r="E2291" s="6">
        <v>682.284551061868</v>
      </c>
      <c r="F2291" s="6">
        <v>26.690491911272201</v>
      </c>
      <c r="G2291" s="6" t="str">
        <f t="shared" si="70"/>
        <v>OK</v>
      </c>
      <c r="H2291" s="6" t="str">
        <f t="shared" si="71"/>
        <v>NON-ZERO</v>
      </c>
      <c r="I2291">
        <v>678.82250993908497</v>
      </c>
      <c r="J2291">
        <f>IFERROR(Table4[[#This Row],[energy_kwh]]/Table4[[#This Row],[expected_kwh]],0)</f>
        <v>1.0051000682388886</v>
      </c>
      <c r="K2291" t="str">
        <f>IF(Table4[[#This Row],[Performance_Ratio]] &lt; 0.85, "Underperforming", "Performing")</f>
        <v>Performing</v>
      </c>
      <c r="L2291">
        <f>Table4[[#This Row],[energy_kwh]] - Table4[[#This Row],[expected_kwh]]</f>
        <v>3.4620411227830346</v>
      </c>
      <c r="M2291" t="str">
        <f>IF(Table4[[#This Row],[Performance_Deviation]] &lt; 0, "Underperforming", "Outperforming")</f>
        <v>Outperforming</v>
      </c>
      <c r="N2291">
        <f>IF(Table4[[#This Row],[Performance_Ratio]] &lt; 0.85, Table4[[#This Row],[Performance_Deviation]] * 50 / 1000, 0)</f>
        <v>0</v>
      </c>
    </row>
    <row r="2292" spans="1:14" x14ac:dyDescent="0.3">
      <c r="A2292" s="4" t="s">
        <v>9</v>
      </c>
      <c r="B2292" s="3">
        <v>45294.416666666664</v>
      </c>
      <c r="C2292" s="4">
        <v>790.45143580781996</v>
      </c>
      <c r="D2292" s="4">
        <v>761.95276799503404</v>
      </c>
      <c r="E2292" s="4">
        <v>761.95276799503404</v>
      </c>
      <c r="F2292" s="4">
        <v>58.8050967368724</v>
      </c>
      <c r="G2292" s="4" t="str">
        <f t="shared" si="70"/>
        <v>OK</v>
      </c>
      <c r="H2292" s="4" t="str">
        <f t="shared" si="71"/>
        <v>NON-ZERO</v>
      </c>
      <c r="I2292">
        <v>831.38438763306101</v>
      </c>
      <c r="J2292">
        <f>IFERROR(Table4[[#This Row],[energy_kwh]]/Table4[[#This Row],[expected_kwh]],0)</f>
        <v>0.91648674106606964</v>
      </c>
      <c r="K2292" t="str">
        <f>IF(Table4[[#This Row],[Performance_Ratio]] &lt; 0.85, "Underperforming", "Performing")</f>
        <v>Performing</v>
      </c>
      <c r="L2292">
        <f>Table4[[#This Row],[energy_kwh]] - Table4[[#This Row],[expected_kwh]]</f>
        <v>-69.431619638026973</v>
      </c>
      <c r="M2292" t="str">
        <f>IF(Table4[[#This Row],[Performance_Deviation]] &lt; 0, "Underperforming", "Outperforming")</f>
        <v>Underperforming</v>
      </c>
      <c r="N2292">
        <f>IF(Table4[[#This Row],[Performance_Ratio]] &lt; 0.85, Table4[[#This Row],[Performance_Deviation]] * 50 / 1000, 0)</f>
        <v>0</v>
      </c>
    </row>
    <row r="2293" spans="1:14" x14ac:dyDescent="0.3">
      <c r="A2293" s="6" t="s">
        <v>9</v>
      </c>
      <c r="B2293" s="5">
        <v>45294.458333333336</v>
      </c>
      <c r="C2293" s="6">
        <v>784.76331083509899</v>
      </c>
      <c r="D2293" s="6">
        <v>756.469720749712</v>
      </c>
      <c r="E2293" s="6">
        <v>756.469720749712</v>
      </c>
      <c r="F2293" s="6">
        <v>58.552311460690198</v>
      </c>
      <c r="G2293" s="6" t="str">
        <f t="shared" si="70"/>
        <v>OK</v>
      </c>
      <c r="H2293" s="6" t="str">
        <f t="shared" si="71"/>
        <v>NON-ZERO</v>
      </c>
      <c r="I2293">
        <v>927.28879323750505</v>
      </c>
      <c r="J2293">
        <f>IFERROR(Table4[[#This Row],[energy_kwh]]/Table4[[#This Row],[expected_kwh]],0)</f>
        <v>0.81578654488921298</v>
      </c>
      <c r="K2293" t="str">
        <f>IF(Table4[[#This Row],[Performance_Ratio]] &lt; 0.85, "Underperforming", "Performing")</f>
        <v>Underperforming</v>
      </c>
      <c r="L2293">
        <f>Table4[[#This Row],[energy_kwh]] - Table4[[#This Row],[expected_kwh]]</f>
        <v>-170.81907248779305</v>
      </c>
      <c r="M2293" t="str">
        <f>IF(Table4[[#This Row],[Performance_Deviation]] &lt; 0, "Underperforming", "Outperforming")</f>
        <v>Underperforming</v>
      </c>
      <c r="N2293">
        <f>IF(Table4[[#This Row],[Performance_Ratio]] &lt; 0.85, Table4[[#This Row],[Performance_Deviation]] * 50 / 1000, 0)</f>
        <v>-8.5409536243896529</v>
      </c>
    </row>
    <row r="2294" spans="1:14" x14ac:dyDescent="0.3">
      <c r="A2294" s="4" t="s">
        <v>9</v>
      </c>
      <c r="B2294" s="3">
        <v>45294.5</v>
      </c>
      <c r="C2294" s="4">
        <v>962.64823005002904</v>
      </c>
      <c r="D2294" s="4">
        <v>927.94123745569595</v>
      </c>
      <c r="E2294" s="4">
        <v>927.94123745569595</v>
      </c>
      <c r="F2294" s="4">
        <v>89.77633828498</v>
      </c>
      <c r="G2294" s="4" t="str">
        <f t="shared" si="70"/>
        <v>OK</v>
      </c>
      <c r="H2294" s="4" t="str">
        <f t="shared" si="71"/>
        <v>NON-ZERO</v>
      </c>
      <c r="I2294">
        <v>960</v>
      </c>
      <c r="J2294">
        <f>IFERROR(Table4[[#This Row],[energy_kwh]]/Table4[[#This Row],[expected_kwh]],0)</f>
        <v>0.96660545568301659</v>
      </c>
      <c r="K2294" t="str">
        <f>IF(Table4[[#This Row],[Performance_Ratio]] &lt; 0.85, "Underperforming", "Performing")</f>
        <v>Performing</v>
      </c>
      <c r="L2294">
        <f>Table4[[#This Row],[energy_kwh]] - Table4[[#This Row],[expected_kwh]]</f>
        <v>-32.058762544304045</v>
      </c>
      <c r="M2294" t="str">
        <f>IF(Table4[[#This Row],[Performance_Deviation]] &lt; 0, "Underperforming", "Outperforming")</f>
        <v>Underperforming</v>
      </c>
      <c r="N2294">
        <f>IF(Table4[[#This Row],[Performance_Ratio]] &lt; 0.85, Table4[[#This Row],[Performance_Deviation]] * 50 / 1000, 0)</f>
        <v>0</v>
      </c>
    </row>
    <row r="2295" spans="1:14" x14ac:dyDescent="0.3">
      <c r="A2295" s="6" t="s">
        <v>9</v>
      </c>
      <c r="B2295" s="5">
        <v>45294.541666666664</v>
      </c>
      <c r="C2295" s="6">
        <v>889.32981449444503</v>
      </c>
      <c r="D2295" s="6">
        <v>857.26621917263799</v>
      </c>
      <c r="E2295" s="6">
        <v>857.26621917263799</v>
      </c>
      <c r="F2295" s="6">
        <v>29.813177101161401</v>
      </c>
      <c r="G2295" s="6" t="str">
        <f t="shared" si="70"/>
        <v>OK</v>
      </c>
      <c r="H2295" s="6" t="str">
        <f t="shared" si="71"/>
        <v>NON-ZERO</v>
      </c>
      <c r="I2295">
        <v>927.28879323750505</v>
      </c>
      <c r="J2295">
        <f>IFERROR(Table4[[#This Row],[energy_kwh]]/Table4[[#This Row],[expected_kwh]],0)</f>
        <v>0.92448676768712734</v>
      </c>
      <c r="K2295" t="str">
        <f>IF(Table4[[#This Row],[Performance_Ratio]] &lt; 0.85, "Underperforming", "Performing")</f>
        <v>Performing</v>
      </c>
      <c r="L2295">
        <f>Table4[[#This Row],[energy_kwh]] - Table4[[#This Row],[expected_kwh]]</f>
        <v>-70.022574064867058</v>
      </c>
      <c r="M2295" t="str">
        <f>IF(Table4[[#This Row],[Performance_Deviation]] &lt; 0, "Underperforming", "Outperforming")</f>
        <v>Underperforming</v>
      </c>
      <c r="N2295">
        <f>IF(Table4[[#This Row],[Performance_Ratio]] &lt; 0.85, Table4[[#This Row],[Performance_Deviation]] * 50 / 1000, 0)</f>
        <v>0</v>
      </c>
    </row>
    <row r="2296" spans="1:14" x14ac:dyDescent="0.3">
      <c r="A2296" s="4" t="s">
        <v>9</v>
      </c>
      <c r="B2296" s="3">
        <v>45294.583333333336</v>
      </c>
      <c r="C2296" s="4">
        <v>827.16066160103799</v>
      </c>
      <c r="D2296" s="4">
        <v>797.33849181943594</v>
      </c>
      <c r="E2296" s="4">
        <v>797.33849181943594</v>
      </c>
      <c r="F2296" s="4">
        <v>66.890865039313596</v>
      </c>
      <c r="G2296" s="4" t="str">
        <f t="shared" si="70"/>
        <v>OK</v>
      </c>
      <c r="H2296" s="4" t="str">
        <f t="shared" si="71"/>
        <v>NON-ZERO</v>
      </c>
      <c r="I2296">
        <v>831.38438763306101</v>
      </c>
      <c r="J2296">
        <f>IFERROR(Table4[[#This Row],[energy_kwh]]/Table4[[#This Row],[expected_kwh]],0)</f>
        <v>0.95904915184833672</v>
      </c>
      <c r="K2296" t="str">
        <f>IF(Table4[[#This Row],[Performance_Ratio]] &lt; 0.85, "Underperforming", "Performing")</f>
        <v>Performing</v>
      </c>
      <c r="L2296">
        <f>Table4[[#This Row],[energy_kwh]] - Table4[[#This Row],[expected_kwh]]</f>
        <v>-34.045895813625066</v>
      </c>
      <c r="M2296" t="str">
        <f>IF(Table4[[#This Row],[Performance_Deviation]] &lt; 0, "Underperforming", "Outperforming")</f>
        <v>Underperforming</v>
      </c>
      <c r="N2296">
        <f>IF(Table4[[#This Row],[Performance_Ratio]] &lt; 0.85, Table4[[#This Row],[Performance_Deviation]] * 50 / 1000, 0)</f>
        <v>0</v>
      </c>
    </row>
    <row r="2297" spans="1:14" x14ac:dyDescent="0.3">
      <c r="A2297" s="6" t="s">
        <v>9</v>
      </c>
      <c r="B2297" s="5">
        <v>45294.625</v>
      </c>
      <c r="C2297" s="6">
        <v>734.40455110745904</v>
      </c>
      <c r="D2297" s="6">
        <v>707.92657865514798</v>
      </c>
      <c r="E2297" s="6">
        <v>707.92657865514798</v>
      </c>
      <c r="F2297" s="6">
        <v>28.482931737628899</v>
      </c>
      <c r="G2297" s="6" t="str">
        <f t="shared" si="70"/>
        <v>OK</v>
      </c>
      <c r="H2297" s="6" t="str">
        <f t="shared" si="71"/>
        <v>NON-ZERO</v>
      </c>
      <c r="I2297">
        <v>678.82250993908497</v>
      </c>
      <c r="J2297">
        <f>IFERROR(Table4[[#This Row],[energy_kwh]]/Table4[[#This Row],[expected_kwh]],0)</f>
        <v>1.0428743423942655</v>
      </c>
      <c r="K2297" t="str">
        <f>IF(Table4[[#This Row],[Performance_Ratio]] &lt; 0.85, "Underperforming", "Performing")</f>
        <v>Performing</v>
      </c>
      <c r="L2297">
        <f>Table4[[#This Row],[energy_kwh]] - Table4[[#This Row],[expected_kwh]]</f>
        <v>29.104068716063011</v>
      </c>
      <c r="M2297" t="str">
        <f>IF(Table4[[#This Row],[Performance_Deviation]] &lt; 0, "Underperforming", "Outperforming")</f>
        <v>Outperforming</v>
      </c>
      <c r="N2297">
        <f>IF(Table4[[#This Row],[Performance_Ratio]] &lt; 0.85, Table4[[#This Row],[Performance_Deviation]] * 50 / 1000, 0)</f>
        <v>0</v>
      </c>
    </row>
    <row r="2298" spans="1:14" x14ac:dyDescent="0.3">
      <c r="A2298" s="4" t="s">
        <v>9</v>
      </c>
      <c r="B2298" s="3">
        <v>45294.666666666664</v>
      </c>
      <c r="C2298" s="4">
        <v>438.116006000634</v>
      </c>
      <c r="D2298" s="4">
        <v>422.32032020278803</v>
      </c>
      <c r="E2298" s="4">
        <v>422.32032020278803</v>
      </c>
      <c r="F2298" s="4">
        <v>72.259663547325601</v>
      </c>
      <c r="G2298" s="4" t="str">
        <f t="shared" si="70"/>
        <v>OK</v>
      </c>
      <c r="H2298" s="4" t="str">
        <f t="shared" si="71"/>
        <v>NON-ZERO</v>
      </c>
      <c r="I2298">
        <v>479.99999999999898</v>
      </c>
      <c r="J2298">
        <f>IFERROR(Table4[[#This Row],[energy_kwh]]/Table4[[#This Row],[expected_kwh]],0)</f>
        <v>0.87983400042247695</v>
      </c>
      <c r="K2298" t="str">
        <f>IF(Table4[[#This Row],[Performance_Ratio]] &lt; 0.85, "Underperforming", "Performing")</f>
        <v>Performing</v>
      </c>
      <c r="L2298">
        <f>Table4[[#This Row],[energy_kwh]] - Table4[[#This Row],[expected_kwh]]</f>
        <v>-57.679679797210952</v>
      </c>
      <c r="M2298" t="str">
        <f>IF(Table4[[#This Row],[Performance_Deviation]] &lt; 0, "Underperforming", "Outperforming")</f>
        <v>Underperforming</v>
      </c>
      <c r="N2298">
        <f>IF(Table4[[#This Row],[Performance_Ratio]] &lt; 0.85, Table4[[#This Row],[Performance_Deviation]] * 50 / 1000, 0)</f>
        <v>0</v>
      </c>
    </row>
    <row r="2299" spans="1:14" x14ac:dyDescent="0.3">
      <c r="A2299" s="6" t="s">
        <v>9</v>
      </c>
      <c r="B2299" s="5">
        <v>45294.708333333336</v>
      </c>
      <c r="C2299" s="6">
        <v>248.28964597479899</v>
      </c>
      <c r="D2299" s="6">
        <v>239.33789534035401</v>
      </c>
      <c r="E2299" s="6">
        <v>239.33789534035401</v>
      </c>
      <c r="F2299" s="6">
        <v>47.330739949655197</v>
      </c>
      <c r="G2299" s="6" t="str">
        <f t="shared" si="70"/>
        <v>OK</v>
      </c>
      <c r="H2299" s="6" t="str">
        <f t="shared" si="71"/>
        <v>NON-ZERO</v>
      </c>
      <c r="I2299">
        <v>248.46628329842</v>
      </c>
      <c r="J2299">
        <f>IFERROR(Table4[[#This Row],[energy_kwh]]/Table4[[#This Row],[expected_kwh]],0)</f>
        <v>0.96326105966215803</v>
      </c>
      <c r="K2299" t="str">
        <f>IF(Table4[[#This Row],[Performance_Ratio]] &lt; 0.85, "Underperforming", "Performing")</f>
        <v>Performing</v>
      </c>
      <c r="L2299">
        <f>Table4[[#This Row],[energy_kwh]] - Table4[[#This Row],[expected_kwh]]</f>
        <v>-9.1283879580659857</v>
      </c>
      <c r="M2299" t="str">
        <f>IF(Table4[[#This Row],[Performance_Deviation]] &lt; 0, "Underperforming", "Outperforming")</f>
        <v>Underperforming</v>
      </c>
      <c r="N2299">
        <f>IF(Table4[[#This Row],[Performance_Ratio]] &lt; 0.85, Table4[[#This Row],[Performance_Deviation]] * 50 / 1000, 0)</f>
        <v>0</v>
      </c>
    </row>
    <row r="2300" spans="1:14" x14ac:dyDescent="0.3">
      <c r="A2300" s="4" t="s">
        <v>9</v>
      </c>
      <c r="B2300" s="3">
        <v>45294.75</v>
      </c>
      <c r="C2300" s="7">
        <v>1.2238835123780099E-13</v>
      </c>
      <c r="D2300" s="7">
        <v>1.17975803156948E-13</v>
      </c>
      <c r="E2300" s="7">
        <v>1.17975803156948E-13</v>
      </c>
      <c r="F2300" s="4">
        <v>34.880757589517202</v>
      </c>
      <c r="G2300" s="4" t="str">
        <f t="shared" si="70"/>
        <v>OK</v>
      </c>
      <c r="H2300" s="4" t="str">
        <f t="shared" si="71"/>
        <v>NON-ZERO</v>
      </c>
      <c r="I2300" s="2">
        <v>1.1756609271814501E-13</v>
      </c>
      <c r="J2300">
        <f>IFERROR(Table4[[#This Row],[energy_kwh]]/Table4[[#This Row],[expected_kwh]],0)</f>
        <v>1.0034849371049972</v>
      </c>
      <c r="K2300" t="str">
        <f>IF(Table4[[#This Row],[Performance_Ratio]] &lt; 0.85, "Underperforming", "Performing")</f>
        <v>Performing</v>
      </c>
      <c r="L2300">
        <f>Table4[[#This Row],[energy_kwh]] - Table4[[#This Row],[expected_kwh]]</f>
        <v>4.0971043880299195E-16</v>
      </c>
      <c r="M2300" t="str">
        <f>IF(Table4[[#This Row],[Performance_Deviation]] &lt; 0, "Underperforming", "Outperforming")</f>
        <v>Outperforming</v>
      </c>
      <c r="N2300">
        <f>IF(Table4[[#This Row],[Performance_Ratio]] &lt; 0.85, Table4[[#This Row],[Performance_Deviation]] * 50 / 1000, 0)</f>
        <v>0</v>
      </c>
    </row>
    <row r="2301" spans="1:14" x14ac:dyDescent="0.3">
      <c r="A2301" s="6" t="s">
        <v>9</v>
      </c>
      <c r="B2301" s="5">
        <v>45294.791666666664</v>
      </c>
      <c r="C2301" s="6">
        <v>0</v>
      </c>
      <c r="D2301" s="6">
        <v>0</v>
      </c>
      <c r="E2301" s="6">
        <v>0</v>
      </c>
      <c r="F2301" s="6">
        <v>55.677805864179199</v>
      </c>
      <c r="G2301" s="6" t="str">
        <f t="shared" si="70"/>
        <v>OK</v>
      </c>
      <c r="H2301" s="6" t="str">
        <f t="shared" si="71"/>
        <v>ZERO</v>
      </c>
      <c r="I2301">
        <v>0</v>
      </c>
      <c r="J2301">
        <f>IFERROR(Table4[[#This Row],[energy_kwh]]/Table4[[#This Row],[expected_kwh]],0)</f>
        <v>0</v>
      </c>
      <c r="K2301" t="str">
        <f>IF(Table4[[#This Row],[Performance_Ratio]] &lt; 0.85, "Underperforming", "Performing")</f>
        <v>Underperforming</v>
      </c>
      <c r="L2301">
        <f>Table4[[#This Row],[energy_kwh]] - Table4[[#This Row],[expected_kwh]]</f>
        <v>0</v>
      </c>
      <c r="M2301" t="str">
        <f>IF(Table4[[#This Row],[Performance_Deviation]] &lt; 0, "Underperforming", "Outperforming")</f>
        <v>Outperforming</v>
      </c>
      <c r="N2301">
        <f>IF(Table4[[#This Row],[Performance_Ratio]] &lt; 0.85, Table4[[#This Row],[Performance_Deviation]] * 50 / 1000, 0)</f>
        <v>0</v>
      </c>
    </row>
    <row r="2302" spans="1:14" x14ac:dyDescent="0.3">
      <c r="A2302" s="4" t="s">
        <v>9</v>
      </c>
      <c r="B2302" s="3">
        <v>45294.833333333336</v>
      </c>
      <c r="C2302" s="4">
        <v>0</v>
      </c>
      <c r="D2302" s="4">
        <v>0</v>
      </c>
      <c r="E2302" s="4">
        <v>0</v>
      </c>
      <c r="F2302" s="4">
        <v>87.155953339566395</v>
      </c>
      <c r="G2302" s="4" t="str">
        <f t="shared" si="70"/>
        <v>OK</v>
      </c>
      <c r="H2302" s="4" t="str">
        <f t="shared" si="71"/>
        <v>ZERO</v>
      </c>
      <c r="I2302">
        <v>0</v>
      </c>
      <c r="J2302">
        <f>IFERROR(Table4[[#This Row],[energy_kwh]]/Table4[[#This Row],[expected_kwh]],0)</f>
        <v>0</v>
      </c>
      <c r="K2302" t="str">
        <f>IF(Table4[[#This Row],[Performance_Ratio]] &lt; 0.85, "Underperforming", "Performing")</f>
        <v>Underperforming</v>
      </c>
      <c r="L2302">
        <f>Table4[[#This Row],[energy_kwh]] - Table4[[#This Row],[expected_kwh]]</f>
        <v>0</v>
      </c>
      <c r="M2302" t="str">
        <f>IF(Table4[[#This Row],[Performance_Deviation]] &lt; 0, "Underperforming", "Outperforming")</f>
        <v>Outperforming</v>
      </c>
      <c r="N2302">
        <f>IF(Table4[[#This Row],[Performance_Ratio]] &lt; 0.85, Table4[[#This Row],[Performance_Deviation]] * 50 / 1000, 0)</f>
        <v>0</v>
      </c>
    </row>
    <row r="2303" spans="1:14" x14ac:dyDescent="0.3">
      <c r="A2303" s="6" t="s">
        <v>9</v>
      </c>
      <c r="B2303" s="5">
        <v>45294.875</v>
      </c>
      <c r="C2303" s="6">
        <v>0</v>
      </c>
      <c r="D2303" s="6">
        <v>0</v>
      </c>
      <c r="E2303" s="6">
        <v>0</v>
      </c>
      <c r="F2303" s="6">
        <v>28.913943385717701</v>
      </c>
      <c r="G2303" s="6" t="str">
        <f t="shared" si="70"/>
        <v>OK</v>
      </c>
      <c r="H2303" s="6" t="str">
        <f t="shared" si="71"/>
        <v>ZERO</v>
      </c>
      <c r="I2303">
        <v>0</v>
      </c>
      <c r="J2303">
        <f>IFERROR(Table4[[#This Row],[energy_kwh]]/Table4[[#This Row],[expected_kwh]],0)</f>
        <v>0</v>
      </c>
      <c r="K2303" t="str">
        <f>IF(Table4[[#This Row],[Performance_Ratio]] &lt; 0.85, "Underperforming", "Performing")</f>
        <v>Underperforming</v>
      </c>
      <c r="L2303">
        <f>Table4[[#This Row],[energy_kwh]] - Table4[[#This Row],[expected_kwh]]</f>
        <v>0</v>
      </c>
      <c r="M2303" t="str">
        <f>IF(Table4[[#This Row],[Performance_Deviation]] &lt; 0, "Underperforming", "Outperforming")</f>
        <v>Outperforming</v>
      </c>
      <c r="N2303">
        <f>IF(Table4[[#This Row],[Performance_Ratio]] &lt; 0.85, Table4[[#This Row],[Performance_Deviation]] * 50 / 1000, 0)</f>
        <v>0</v>
      </c>
    </row>
    <row r="2304" spans="1:14" x14ac:dyDescent="0.3">
      <c r="A2304" s="4" t="s">
        <v>9</v>
      </c>
      <c r="B2304" s="3">
        <v>45294.916666666664</v>
      </c>
      <c r="C2304" s="4">
        <v>0</v>
      </c>
      <c r="D2304" s="4">
        <v>0</v>
      </c>
      <c r="E2304" s="4">
        <v>0</v>
      </c>
      <c r="F2304" s="4">
        <v>94.369567674812501</v>
      </c>
      <c r="G2304" s="4" t="str">
        <f t="shared" si="70"/>
        <v>OK</v>
      </c>
      <c r="H2304" s="4" t="str">
        <f t="shared" si="71"/>
        <v>ZERO</v>
      </c>
      <c r="I2304">
        <v>0</v>
      </c>
      <c r="J2304">
        <f>IFERROR(Table4[[#This Row],[energy_kwh]]/Table4[[#This Row],[expected_kwh]],0)</f>
        <v>0</v>
      </c>
      <c r="K2304" t="str">
        <f>IF(Table4[[#This Row],[Performance_Ratio]] &lt; 0.85, "Underperforming", "Performing")</f>
        <v>Underperforming</v>
      </c>
      <c r="L2304">
        <f>Table4[[#This Row],[energy_kwh]] - Table4[[#This Row],[expected_kwh]]</f>
        <v>0</v>
      </c>
      <c r="M2304" t="str">
        <f>IF(Table4[[#This Row],[Performance_Deviation]] &lt; 0, "Underperforming", "Outperforming")</f>
        <v>Outperforming</v>
      </c>
      <c r="N2304">
        <f>IF(Table4[[#This Row],[Performance_Ratio]] &lt; 0.85, Table4[[#This Row],[Performance_Deviation]] * 50 / 1000, 0)</f>
        <v>0</v>
      </c>
    </row>
    <row r="2305" spans="1:14" x14ac:dyDescent="0.3">
      <c r="A2305" s="6" t="s">
        <v>9</v>
      </c>
      <c r="B2305" s="5">
        <v>45294.958333333336</v>
      </c>
      <c r="C2305" s="6">
        <v>0</v>
      </c>
      <c r="D2305" s="6">
        <v>0</v>
      </c>
      <c r="E2305" s="6">
        <v>0</v>
      </c>
      <c r="F2305" s="6">
        <v>28.654989371062101</v>
      </c>
      <c r="G2305" s="6" t="str">
        <f t="shared" si="70"/>
        <v>OK</v>
      </c>
      <c r="H2305" s="6" t="str">
        <f t="shared" si="71"/>
        <v>ZERO</v>
      </c>
      <c r="I2305">
        <v>0</v>
      </c>
      <c r="J2305">
        <f>IFERROR(Table4[[#This Row],[energy_kwh]]/Table4[[#This Row],[expected_kwh]],0)</f>
        <v>0</v>
      </c>
      <c r="K2305" t="str">
        <f>IF(Table4[[#This Row],[Performance_Ratio]] &lt; 0.85, "Underperforming", "Performing")</f>
        <v>Underperforming</v>
      </c>
      <c r="L2305">
        <f>Table4[[#This Row],[energy_kwh]] - Table4[[#This Row],[expected_kwh]]</f>
        <v>0</v>
      </c>
      <c r="M2305" t="str">
        <f>IF(Table4[[#This Row],[Performance_Deviation]] &lt; 0, "Underperforming", "Outperforming")</f>
        <v>Outperforming</v>
      </c>
      <c r="N2305">
        <f>IF(Table4[[#This Row],[Performance_Ratio]] &lt; 0.85, Table4[[#This Row],[Performance_Deviation]] * 50 / 1000, 0)</f>
        <v>0</v>
      </c>
    </row>
    <row r="2306" spans="1:14" x14ac:dyDescent="0.3">
      <c r="A2306" s="4" t="s">
        <v>9</v>
      </c>
      <c r="B2306" s="3">
        <v>45295</v>
      </c>
      <c r="C2306" s="4">
        <v>0</v>
      </c>
      <c r="D2306" s="4">
        <v>0</v>
      </c>
      <c r="E2306" s="4">
        <v>0</v>
      </c>
      <c r="F2306" s="4">
        <v>57.783008279347499</v>
      </c>
      <c r="G2306" s="4" t="str">
        <f t="shared" ref="G2306:G2369" si="72">IF(D2306 &gt; C2306, "ERROR", "OK")</f>
        <v>OK</v>
      </c>
      <c r="H2306" s="4" t="str">
        <f t="shared" ref="H2306:H2369" si="73">IF(E2306=0,"ZERO","NON-ZERO")</f>
        <v>ZERO</v>
      </c>
      <c r="I2306">
        <v>0</v>
      </c>
      <c r="J2306">
        <f>IFERROR(Table4[[#This Row],[energy_kwh]]/Table4[[#This Row],[expected_kwh]],0)</f>
        <v>0</v>
      </c>
      <c r="K2306" t="str">
        <f>IF(Table4[[#This Row],[Performance_Ratio]] &lt; 0.85, "Underperforming", "Performing")</f>
        <v>Underperforming</v>
      </c>
      <c r="L2306">
        <f>Table4[[#This Row],[energy_kwh]] - Table4[[#This Row],[expected_kwh]]</f>
        <v>0</v>
      </c>
      <c r="M2306" t="str">
        <f>IF(Table4[[#This Row],[Performance_Deviation]] &lt; 0, "Underperforming", "Outperforming")</f>
        <v>Outperforming</v>
      </c>
      <c r="N2306">
        <f>IF(Table4[[#This Row],[Performance_Ratio]] &lt; 0.85, Table4[[#This Row],[Performance_Deviation]] * 50 / 1000, 0)</f>
        <v>0</v>
      </c>
    </row>
    <row r="2307" spans="1:14" x14ac:dyDescent="0.3">
      <c r="A2307" s="6" t="s">
        <v>9</v>
      </c>
      <c r="B2307" s="5">
        <v>45295.041666666664</v>
      </c>
      <c r="C2307" s="6">
        <v>0</v>
      </c>
      <c r="D2307" s="6">
        <v>0</v>
      </c>
      <c r="E2307" s="6">
        <v>0</v>
      </c>
      <c r="F2307" s="6">
        <v>24.180164487605101</v>
      </c>
      <c r="G2307" s="6" t="str">
        <f t="shared" si="72"/>
        <v>OK</v>
      </c>
      <c r="H2307" s="6" t="str">
        <f t="shared" si="73"/>
        <v>ZERO</v>
      </c>
      <c r="I2307">
        <v>0</v>
      </c>
      <c r="J2307">
        <f>IFERROR(Table4[[#This Row],[energy_kwh]]/Table4[[#This Row],[expected_kwh]],0)</f>
        <v>0</v>
      </c>
      <c r="K2307" t="str">
        <f>IF(Table4[[#This Row],[Performance_Ratio]] &lt; 0.85, "Underperforming", "Performing")</f>
        <v>Underperforming</v>
      </c>
      <c r="L2307">
        <f>Table4[[#This Row],[energy_kwh]] - Table4[[#This Row],[expected_kwh]]</f>
        <v>0</v>
      </c>
      <c r="M2307" t="str">
        <f>IF(Table4[[#This Row],[Performance_Deviation]] &lt; 0, "Underperforming", "Outperforming")</f>
        <v>Outperforming</v>
      </c>
      <c r="N2307">
        <f>IF(Table4[[#This Row],[Performance_Ratio]] &lt; 0.85, Table4[[#This Row],[Performance_Deviation]] * 50 / 1000, 0)</f>
        <v>0</v>
      </c>
    </row>
    <row r="2308" spans="1:14" x14ac:dyDescent="0.3">
      <c r="A2308" s="4" t="s">
        <v>9</v>
      </c>
      <c r="B2308" s="3">
        <v>45295.083333333336</v>
      </c>
      <c r="C2308" s="4">
        <v>0</v>
      </c>
      <c r="D2308" s="4">
        <v>0</v>
      </c>
      <c r="E2308" s="4">
        <v>0</v>
      </c>
      <c r="F2308" s="4">
        <v>62.0404514312578</v>
      </c>
      <c r="G2308" s="4" t="str">
        <f t="shared" si="72"/>
        <v>OK</v>
      </c>
      <c r="H2308" s="4" t="str">
        <f t="shared" si="73"/>
        <v>ZERO</v>
      </c>
      <c r="I2308">
        <v>0</v>
      </c>
      <c r="J2308">
        <f>IFERROR(Table4[[#This Row],[energy_kwh]]/Table4[[#This Row],[expected_kwh]],0)</f>
        <v>0</v>
      </c>
      <c r="K2308" t="str">
        <f>IF(Table4[[#This Row],[Performance_Ratio]] &lt; 0.85, "Underperforming", "Performing")</f>
        <v>Underperforming</v>
      </c>
      <c r="L2308">
        <f>Table4[[#This Row],[energy_kwh]] - Table4[[#This Row],[expected_kwh]]</f>
        <v>0</v>
      </c>
      <c r="M2308" t="str">
        <f>IF(Table4[[#This Row],[Performance_Deviation]] &lt; 0, "Underperforming", "Outperforming")</f>
        <v>Outperforming</v>
      </c>
      <c r="N2308">
        <f>IF(Table4[[#This Row],[Performance_Ratio]] &lt; 0.85, Table4[[#This Row],[Performance_Deviation]] * 50 / 1000, 0)</f>
        <v>0</v>
      </c>
    </row>
    <row r="2309" spans="1:14" x14ac:dyDescent="0.3">
      <c r="A2309" s="6" t="s">
        <v>9</v>
      </c>
      <c r="B2309" s="5">
        <v>45295.125</v>
      </c>
      <c r="C2309" s="6">
        <v>0</v>
      </c>
      <c r="D2309" s="6">
        <v>0</v>
      </c>
      <c r="E2309" s="6">
        <v>0</v>
      </c>
      <c r="F2309" s="6">
        <v>83.677588496260398</v>
      </c>
      <c r="G2309" s="6" t="str">
        <f t="shared" si="72"/>
        <v>OK</v>
      </c>
      <c r="H2309" s="6" t="str">
        <f t="shared" si="73"/>
        <v>ZERO</v>
      </c>
      <c r="I2309">
        <v>0</v>
      </c>
      <c r="J2309">
        <f>IFERROR(Table4[[#This Row],[energy_kwh]]/Table4[[#This Row],[expected_kwh]],0)</f>
        <v>0</v>
      </c>
      <c r="K2309" t="str">
        <f>IF(Table4[[#This Row],[Performance_Ratio]] &lt; 0.85, "Underperforming", "Performing")</f>
        <v>Underperforming</v>
      </c>
      <c r="L2309">
        <f>Table4[[#This Row],[energy_kwh]] - Table4[[#This Row],[expected_kwh]]</f>
        <v>0</v>
      </c>
      <c r="M2309" t="str">
        <f>IF(Table4[[#This Row],[Performance_Deviation]] &lt; 0, "Underperforming", "Outperforming")</f>
        <v>Outperforming</v>
      </c>
      <c r="N2309">
        <f>IF(Table4[[#This Row],[Performance_Ratio]] &lt; 0.85, Table4[[#This Row],[Performance_Deviation]] * 50 / 1000, 0)</f>
        <v>0</v>
      </c>
    </row>
    <row r="2310" spans="1:14" x14ac:dyDescent="0.3">
      <c r="A2310" s="4" t="s">
        <v>9</v>
      </c>
      <c r="B2310" s="3">
        <v>45295.166666666664</v>
      </c>
      <c r="C2310" s="4">
        <v>0</v>
      </c>
      <c r="D2310" s="4">
        <v>0</v>
      </c>
      <c r="E2310" s="4">
        <v>0</v>
      </c>
      <c r="F2310" s="4">
        <v>20.376912752398301</v>
      </c>
      <c r="G2310" s="4" t="str">
        <f t="shared" si="72"/>
        <v>OK</v>
      </c>
      <c r="H2310" s="4" t="str">
        <f t="shared" si="73"/>
        <v>ZERO</v>
      </c>
      <c r="I2310">
        <v>0</v>
      </c>
      <c r="J2310">
        <f>IFERROR(Table4[[#This Row],[energy_kwh]]/Table4[[#This Row],[expected_kwh]],0)</f>
        <v>0</v>
      </c>
      <c r="K2310" t="str">
        <f>IF(Table4[[#This Row],[Performance_Ratio]] &lt; 0.85, "Underperforming", "Performing")</f>
        <v>Underperforming</v>
      </c>
      <c r="L2310">
        <f>Table4[[#This Row],[energy_kwh]] - Table4[[#This Row],[expected_kwh]]</f>
        <v>0</v>
      </c>
      <c r="M2310" t="str">
        <f>IF(Table4[[#This Row],[Performance_Deviation]] &lt; 0, "Underperforming", "Outperforming")</f>
        <v>Outperforming</v>
      </c>
      <c r="N2310">
        <f>IF(Table4[[#This Row],[Performance_Ratio]] &lt; 0.85, Table4[[#This Row],[Performance_Deviation]] * 50 / 1000, 0)</f>
        <v>0</v>
      </c>
    </row>
    <row r="2311" spans="1:14" x14ac:dyDescent="0.3">
      <c r="A2311" s="6" t="s">
        <v>9</v>
      </c>
      <c r="B2311" s="5">
        <v>45295.208333333336</v>
      </c>
      <c r="C2311" s="6">
        <v>0</v>
      </c>
      <c r="D2311" s="6">
        <v>0</v>
      </c>
      <c r="E2311" s="6">
        <v>0</v>
      </c>
      <c r="F2311" s="6">
        <v>88.309843328664996</v>
      </c>
      <c r="G2311" s="6" t="str">
        <f t="shared" si="72"/>
        <v>OK</v>
      </c>
      <c r="H2311" s="6" t="str">
        <f t="shared" si="73"/>
        <v>ZERO</v>
      </c>
      <c r="I2311">
        <v>0</v>
      </c>
      <c r="J2311">
        <f>IFERROR(Table4[[#This Row],[energy_kwh]]/Table4[[#This Row],[expected_kwh]],0)</f>
        <v>0</v>
      </c>
      <c r="K2311" t="str">
        <f>IF(Table4[[#This Row],[Performance_Ratio]] &lt; 0.85, "Underperforming", "Performing")</f>
        <v>Underperforming</v>
      </c>
      <c r="L2311">
        <f>Table4[[#This Row],[energy_kwh]] - Table4[[#This Row],[expected_kwh]]</f>
        <v>0</v>
      </c>
      <c r="M2311" t="str">
        <f>IF(Table4[[#This Row],[Performance_Deviation]] &lt; 0, "Underperforming", "Outperforming")</f>
        <v>Outperforming</v>
      </c>
      <c r="N2311">
        <f>IF(Table4[[#This Row],[Performance_Ratio]] &lt; 0.85, Table4[[#This Row],[Performance_Deviation]] * 50 / 1000, 0)</f>
        <v>0</v>
      </c>
    </row>
    <row r="2312" spans="1:14" x14ac:dyDescent="0.3">
      <c r="A2312" s="4" t="s">
        <v>9</v>
      </c>
      <c r="B2312" s="3">
        <v>45295.25</v>
      </c>
      <c r="C2312" s="4">
        <v>0</v>
      </c>
      <c r="D2312" s="4">
        <v>0</v>
      </c>
      <c r="E2312" s="4">
        <v>0</v>
      </c>
      <c r="F2312" s="4">
        <v>35.739850795933997</v>
      </c>
      <c r="G2312" s="4" t="str">
        <f t="shared" si="72"/>
        <v>OK</v>
      </c>
      <c r="H2312" s="4" t="str">
        <f t="shared" si="73"/>
        <v>ZERO</v>
      </c>
      <c r="I2312">
        <v>0</v>
      </c>
      <c r="J2312">
        <f>IFERROR(Table4[[#This Row],[energy_kwh]]/Table4[[#This Row],[expected_kwh]],0)</f>
        <v>0</v>
      </c>
      <c r="K2312" t="str">
        <f>IF(Table4[[#This Row],[Performance_Ratio]] &lt; 0.85, "Underperforming", "Performing")</f>
        <v>Underperforming</v>
      </c>
      <c r="L2312">
        <f>Table4[[#This Row],[energy_kwh]] - Table4[[#This Row],[expected_kwh]]</f>
        <v>0</v>
      </c>
      <c r="M2312" t="str">
        <f>IF(Table4[[#This Row],[Performance_Deviation]] &lt; 0, "Underperforming", "Outperforming")</f>
        <v>Outperforming</v>
      </c>
      <c r="N2312">
        <f>IF(Table4[[#This Row],[Performance_Ratio]] &lt; 0.85, Table4[[#This Row],[Performance_Deviation]] * 50 / 1000, 0)</f>
        <v>0</v>
      </c>
    </row>
    <row r="2313" spans="1:14" x14ac:dyDescent="0.3">
      <c r="A2313" s="6" t="s">
        <v>9</v>
      </c>
      <c r="B2313" s="5">
        <v>45295.291666666664</v>
      </c>
      <c r="C2313" s="6">
        <v>221.51297898083601</v>
      </c>
      <c r="D2313" s="6">
        <v>213.526625211051</v>
      </c>
      <c r="E2313" s="6">
        <v>213.526625211051</v>
      </c>
      <c r="F2313" s="6">
        <v>24.362581904069302</v>
      </c>
      <c r="G2313" s="6" t="str">
        <f t="shared" si="72"/>
        <v>OK</v>
      </c>
      <c r="H2313" s="6" t="str">
        <f t="shared" si="73"/>
        <v>NON-ZERO</v>
      </c>
      <c r="I2313">
        <v>248.466283298419</v>
      </c>
      <c r="J2313">
        <f>IFERROR(Table4[[#This Row],[energy_kwh]]/Table4[[#This Row],[expected_kwh]],0)</f>
        <v>0.85937867454875583</v>
      </c>
      <c r="K2313" t="str">
        <f>IF(Table4[[#This Row],[Performance_Ratio]] &lt; 0.85, "Underperforming", "Performing")</f>
        <v>Performing</v>
      </c>
      <c r="L2313">
        <f>Table4[[#This Row],[energy_kwh]] - Table4[[#This Row],[expected_kwh]]</f>
        <v>-34.939658087368002</v>
      </c>
      <c r="M2313" t="str">
        <f>IF(Table4[[#This Row],[Performance_Deviation]] &lt; 0, "Underperforming", "Outperforming")</f>
        <v>Underperforming</v>
      </c>
      <c r="N2313">
        <f>IF(Table4[[#This Row],[Performance_Ratio]] &lt; 0.85, Table4[[#This Row],[Performance_Deviation]] * 50 / 1000, 0)</f>
        <v>0</v>
      </c>
    </row>
    <row r="2314" spans="1:14" x14ac:dyDescent="0.3">
      <c r="A2314" s="4" t="s">
        <v>9</v>
      </c>
      <c r="B2314" s="3">
        <v>45295.333333333336</v>
      </c>
      <c r="C2314" s="4">
        <v>503.72476289375197</v>
      </c>
      <c r="D2314" s="4">
        <v>485.563641240386</v>
      </c>
      <c r="E2314" s="4">
        <v>485.563641240386</v>
      </c>
      <c r="F2314" s="4">
        <v>62.431367316843598</v>
      </c>
      <c r="G2314" s="4" t="str">
        <f t="shared" si="72"/>
        <v>OK</v>
      </c>
      <c r="H2314" s="4" t="str">
        <f t="shared" si="73"/>
        <v>NON-ZERO</v>
      </c>
      <c r="I2314">
        <v>479.99999999999898</v>
      </c>
      <c r="J2314">
        <f>IFERROR(Table4[[#This Row],[energy_kwh]]/Table4[[#This Row],[expected_kwh]],0)</f>
        <v>1.0115909192508064</v>
      </c>
      <c r="K2314" t="str">
        <f>IF(Table4[[#This Row],[Performance_Ratio]] &lt; 0.85, "Underperforming", "Performing")</f>
        <v>Performing</v>
      </c>
      <c r="L2314">
        <f>Table4[[#This Row],[energy_kwh]] - Table4[[#This Row],[expected_kwh]]</f>
        <v>5.5636412403870281</v>
      </c>
      <c r="M2314" t="str">
        <f>IF(Table4[[#This Row],[Performance_Deviation]] &lt; 0, "Underperforming", "Outperforming")</f>
        <v>Outperforming</v>
      </c>
      <c r="N2314">
        <f>IF(Table4[[#This Row],[Performance_Ratio]] &lt; 0.85, Table4[[#This Row],[Performance_Deviation]] * 50 / 1000, 0)</f>
        <v>0</v>
      </c>
    </row>
    <row r="2315" spans="1:14" x14ac:dyDescent="0.3">
      <c r="A2315" s="6" t="s">
        <v>9</v>
      </c>
      <c r="B2315" s="5">
        <v>45295.375</v>
      </c>
      <c r="C2315" s="6">
        <v>605.80599643483902</v>
      </c>
      <c r="D2315" s="6">
        <v>583.96447263047503</v>
      </c>
      <c r="E2315" s="6">
        <v>583.96447263047503</v>
      </c>
      <c r="F2315" s="6">
        <v>24.117866818307998</v>
      </c>
      <c r="G2315" s="6" t="str">
        <f t="shared" si="72"/>
        <v>OK</v>
      </c>
      <c r="H2315" s="6" t="str">
        <f t="shared" si="73"/>
        <v>NON-ZERO</v>
      </c>
      <c r="I2315">
        <v>678.82250993908497</v>
      </c>
      <c r="J2315">
        <f>IFERROR(Table4[[#This Row],[energy_kwh]]/Table4[[#This Row],[expected_kwh]],0)</f>
        <v>0.86026091368549029</v>
      </c>
      <c r="K2315" t="str">
        <f>IF(Table4[[#This Row],[Performance_Ratio]] &lt; 0.85, "Underperforming", "Performing")</f>
        <v>Performing</v>
      </c>
      <c r="L2315">
        <f>Table4[[#This Row],[energy_kwh]] - Table4[[#This Row],[expected_kwh]]</f>
        <v>-94.858037308609937</v>
      </c>
      <c r="M2315" t="str">
        <f>IF(Table4[[#This Row],[Performance_Deviation]] &lt; 0, "Underperforming", "Outperforming")</f>
        <v>Underperforming</v>
      </c>
      <c r="N2315">
        <f>IF(Table4[[#This Row],[Performance_Ratio]] &lt; 0.85, Table4[[#This Row],[Performance_Deviation]] * 50 / 1000, 0)</f>
        <v>0</v>
      </c>
    </row>
    <row r="2316" spans="1:14" x14ac:dyDescent="0.3">
      <c r="A2316" s="4" t="s">
        <v>9</v>
      </c>
      <c r="B2316" s="3">
        <v>45295.416666666664</v>
      </c>
      <c r="C2316" s="4">
        <v>831.78209404056099</v>
      </c>
      <c r="D2316" s="4">
        <v>801.79330470214995</v>
      </c>
      <c r="E2316" s="4">
        <v>801.79330470214995</v>
      </c>
      <c r="F2316" s="4">
        <v>42.194476173521601</v>
      </c>
      <c r="G2316" s="4" t="str">
        <f t="shared" si="72"/>
        <v>OK</v>
      </c>
      <c r="H2316" s="4" t="str">
        <f t="shared" si="73"/>
        <v>NON-ZERO</v>
      </c>
      <c r="I2316">
        <v>831.38438763306101</v>
      </c>
      <c r="J2316">
        <f>IFERROR(Table4[[#This Row],[energy_kwh]]/Table4[[#This Row],[expected_kwh]],0)</f>
        <v>0.96440745896713742</v>
      </c>
      <c r="K2316" t="str">
        <f>IF(Table4[[#This Row],[Performance_Ratio]] &lt; 0.85, "Underperforming", "Performing")</f>
        <v>Performing</v>
      </c>
      <c r="L2316">
        <f>Table4[[#This Row],[energy_kwh]] - Table4[[#This Row],[expected_kwh]]</f>
        <v>-29.591082930911057</v>
      </c>
      <c r="M2316" t="str">
        <f>IF(Table4[[#This Row],[Performance_Deviation]] &lt; 0, "Underperforming", "Outperforming")</f>
        <v>Underperforming</v>
      </c>
      <c r="N2316">
        <f>IF(Table4[[#This Row],[Performance_Ratio]] &lt; 0.85, Table4[[#This Row],[Performance_Deviation]] * 50 / 1000, 0)</f>
        <v>0</v>
      </c>
    </row>
    <row r="2317" spans="1:14" x14ac:dyDescent="0.3">
      <c r="A2317" s="6" t="s">
        <v>9</v>
      </c>
      <c r="B2317" s="5">
        <v>45295.458333333336</v>
      </c>
      <c r="C2317" s="6">
        <v>901.66667915822904</v>
      </c>
      <c r="D2317" s="6">
        <v>869.15829470456902</v>
      </c>
      <c r="E2317" s="6">
        <v>869.15829470456902</v>
      </c>
      <c r="F2317" s="6">
        <v>80.889627487443803</v>
      </c>
      <c r="G2317" s="6" t="str">
        <f t="shared" si="72"/>
        <v>OK</v>
      </c>
      <c r="H2317" s="6" t="str">
        <f t="shared" si="73"/>
        <v>NON-ZERO</v>
      </c>
      <c r="I2317">
        <v>927.28879323750505</v>
      </c>
      <c r="J2317">
        <f>IFERROR(Table4[[#This Row],[energy_kwh]]/Table4[[#This Row],[expected_kwh]],0)</f>
        <v>0.93731133282654999</v>
      </c>
      <c r="K2317" t="str">
        <f>IF(Table4[[#This Row],[Performance_Ratio]] &lt; 0.85, "Underperforming", "Performing")</f>
        <v>Performing</v>
      </c>
      <c r="L2317">
        <f>Table4[[#This Row],[energy_kwh]] - Table4[[#This Row],[expected_kwh]]</f>
        <v>-58.130498532936031</v>
      </c>
      <c r="M2317" t="str">
        <f>IF(Table4[[#This Row],[Performance_Deviation]] &lt; 0, "Underperforming", "Outperforming")</f>
        <v>Underperforming</v>
      </c>
      <c r="N2317">
        <f>IF(Table4[[#This Row],[Performance_Ratio]] &lt; 0.85, Table4[[#This Row],[Performance_Deviation]] * 50 / 1000, 0)</f>
        <v>0</v>
      </c>
    </row>
    <row r="2318" spans="1:14" x14ac:dyDescent="0.3">
      <c r="A2318" s="4" t="s">
        <v>9</v>
      </c>
      <c r="B2318" s="3">
        <v>45295.5</v>
      </c>
      <c r="C2318" s="4">
        <v>977.61231082422103</v>
      </c>
      <c r="D2318" s="4">
        <v>942.365808339983</v>
      </c>
      <c r="E2318" s="4">
        <v>942.365808339983</v>
      </c>
      <c r="F2318" s="4">
        <v>70.9863593914977</v>
      </c>
      <c r="G2318" s="4" t="str">
        <f t="shared" si="72"/>
        <v>OK</v>
      </c>
      <c r="H2318" s="4" t="str">
        <f t="shared" si="73"/>
        <v>NON-ZERO</v>
      </c>
      <c r="I2318">
        <v>960</v>
      </c>
      <c r="J2318">
        <f>IFERROR(Table4[[#This Row],[energy_kwh]]/Table4[[#This Row],[expected_kwh]],0)</f>
        <v>0.98163105035414899</v>
      </c>
      <c r="K2318" t="str">
        <f>IF(Table4[[#This Row],[Performance_Ratio]] &lt; 0.85, "Underperforming", "Performing")</f>
        <v>Performing</v>
      </c>
      <c r="L2318">
        <f>Table4[[#This Row],[energy_kwh]] - Table4[[#This Row],[expected_kwh]]</f>
        <v>-17.634191660016995</v>
      </c>
      <c r="M2318" t="str">
        <f>IF(Table4[[#This Row],[Performance_Deviation]] &lt; 0, "Underperforming", "Outperforming")</f>
        <v>Underperforming</v>
      </c>
      <c r="N2318">
        <f>IF(Table4[[#This Row],[Performance_Ratio]] &lt; 0.85, Table4[[#This Row],[Performance_Deviation]] * 50 / 1000, 0)</f>
        <v>0</v>
      </c>
    </row>
    <row r="2319" spans="1:14" x14ac:dyDescent="0.3">
      <c r="A2319" s="6" t="s">
        <v>9</v>
      </c>
      <c r="B2319" s="5">
        <v>45295.541666666664</v>
      </c>
      <c r="C2319" s="6">
        <v>941.34761877371898</v>
      </c>
      <c r="D2319" s="6">
        <v>907.40859118959804</v>
      </c>
      <c r="E2319" s="6">
        <v>907.40859118959804</v>
      </c>
      <c r="F2319" s="6">
        <v>21.733300135084399</v>
      </c>
      <c r="G2319" s="6" t="str">
        <f t="shared" si="72"/>
        <v>OK</v>
      </c>
      <c r="H2319" s="6" t="str">
        <f t="shared" si="73"/>
        <v>NON-ZERO</v>
      </c>
      <c r="I2319">
        <v>927.28879323750505</v>
      </c>
      <c r="J2319">
        <f>IFERROR(Table4[[#This Row],[energy_kwh]]/Table4[[#This Row],[expected_kwh]],0)</f>
        <v>0.97856093787298137</v>
      </c>
      <c r="K2319" t="str">
        <f>IF(Table4[[#This Row],[Performance_Ratio]] &lt; 0.85, "Underperforming", "Performing")</f>
        <v>Performing</v>
      </c>
      <c r="L2319">
        <f>Table4[[#This Row],[energy_kwh]] - Table4[[#This Row],[expected_kwh]]</f>
        <v>-19.880202047907005</v>
      </c>
      <c r="M2319" t="str">
        <f>IF(Table4[[#This Row],[Performance_Deviation]] &lt; 0, "Underperforming", "Outperforming")</f>
        <v>Underperforming</v>
      </c>
      <c r="N2319">
        <f>IF(Table4[[#This Row],[Performance_Ratio]] &lt; 0.85, Table4[[#This Row],[Performance_Deviation]] * 50 / 1000, 0)</f>
        <v>0</v>
      </c>
    </row>
    <row r="2320" spans="1:14" x14ac:dyDescent="0.3">
      <c r="A2320" s="4" t="s">
        <v>9</v>
      </c>
      <c r="B2320" s="3">
        <v>45295.583333333336</v>
      </c>
      <c r="C2320" s="4">
        <v>730.68945808026399</v>
      </c>
      <c r="D2320" s="4">
        <v>704.345428331172</v>
      </c>
      <c r="E2320" s="4">
        <v>704.345428331172</v>
      </c>
      <c r="F2320" s="4">
        <v>49.360979775051099</v>
      </c>
      <c r="G2320" s="4" t="str">
        <f t="shared" si="72"/>
        <v>OK</v>
      </c>
      <c r="H2320" s="4" t="str">
        <f t="shared" si="73"/>
        <v>NON-ZERO</v>
      </c>
      <c r="I2320">
        <v>831.38438763306101</v>
      </c>
      <c r="J2320">
        <f>IFERROR(Table4[[#This Row],[energy_kwh]]/Table4[[#This Row],[expected_kwh]],0)</f>
        <v>0.84719588051975925</v>
      </c>
      <c r="K2320" t="str">
        <f>IF(Table4[[#This Row],[Performance_Ratio]] &lt; 0.85, "Underperforming", "Performing")</f>
        <v>Underperforming</v>
      </c>
      <c r="L2320">
        <f>Table4[[#This Row],[energy_kwh]] - Table4[[#This Row],[expected_kwh]]</f>
        <v>-127.03895930188901</v>
      </c>
      <c r="M2320" t="str">
        <f>IF(Table4[[#This Row],[Performance_Deviation]] &lt; 0, "Underperforming", "Outperforming")</f>
        <v>Underperforming</v>
      </c>
      <c r="N2320">
        <f>IF(Table4[[#This Row],[Performance_Ratio]] &lt; 0.85, Table4[[#This Row],[Performance_Deviation]] * 50 / 1000, 0)</f>
        <v>-6.3519479650944506</v>
      </c>
    </row>
    <row r="2321" spans="1:14" x14ac:dyDescent="0.3">
      <c r="A2321" s="6" t="s">
        <v>9</v>
      </c>
      <c r="B2321" s="5">
        <v>45295.625</v>
      </c>
      <c r="C2321" s="6">
        <v>627.42552699171699</v>
      </c>
      <c r="D2321" s="6">
        <v>752.91063239006098</v>
      </c>
      <c r="E2321" s="6">
        <v>752.91063239006098</v>
      </c>
      <c r="F2321" s="6">
        <v>32.638598259438801</v>
      </c>
      <c r="G2321" s="6" t="str">
        <f t="shared" si="72"/>
        <v>ERROR</v>
      </c>
      <c r="H2321" s="6" t="str">
        <f t="shared" si="73"/>
        <v>NON-ZERO</v>
      </c>
      <c r="I2321">
        <v>678.82250993908497</v>
      </c>
      <c r="J2321">
        <f>IFERROR(Table4[[#This Row],[energy_kwh]]/Table4[[#This Row],[expected_kwh]],0)</f>
        <v>1.1091421120634677</v>
      </c>
      <c r="K2321" t="str">
        <f>IF(Table4[[#This Row],[Performance_Ratio]] &lt; 0.85, "Underperforming", "Performing")</f>
        <v>Performing</v>
      </c>
      <c r="L2321">
        <f>Table4[[#This Row],[energy_kwh]] - Table4[[#This Row],[expected_kwh]]</f>
        <v>74.088122450976016</v>
      </c>
      <c r="M2321" t="str">
        <f>IF(Table4[[#This Row],[Performance_Deviation]] &lt; 0, "Underperforming", "Outperforming")</f>
        <v>Outperforming</v>
      </c>
      <c r="N2321">
        <f>IF(Table4[[#This Row],[Performance_Ratio]] &lt; 0.85, Table4[[#This Row],[Performance_Deviation]] * 50 / 1000, 0)</f>
        <v>0</v>
      </c>
    </row>
    <row r="2322" spans="1:14" x14ac:dyDescent="0.3">
      <c r="A2322" s="4" t="s">
        <v>9</v>
      </c>
      <c r="B2322" s="3">
        <v>45295.666666666664</v>
      </c>
      <c r="C2322" s="4">
        <v>422.40351818046298</v>
      </c>
      <c r="D2322" s="4">
        <v>407.17432508617202</v>
      </c>
      <c r="E2322" s="4">
        <v>407.17432508617202</v>
      </c>
      <c r="F2322" s="4">
        <v>35.902088787667097</v>
      </c>
      <c r="G2322" s="4" t="str">
        <f t="shared" si="72"/>
        <v>OK</v>
      </c>
      <c r="H2322" s="4" t="str">
        <f t="shared" si="73"/>
        <v>NON-ZERO</v>
      </c>
      <c r="I2322">
        <v>479.99999999999898</v>
      </c>
      <c r="J2322">
        <f>IFERROR(Table4[[#This Row],[energy_kwh]]/Table4[[#This Row],[expected_kwh]],0)</f>
        <v>0.84827984392952682</v>
      </c>
      <c r="K2322" t="str">
        <f>IF(Table4[[#This Row],[Performance_Ratio]] &lt; 0.85, "Underperforming", "Performing")</f>
        <v>Underperforming</v>
      </c>
      <c r="L2322">
        <f>Table4[[#This Row],[energy_kwh]] - Table4[[#This Row],[expected_kwh]]</f>
        <v>-72.825674913826958</v>
      </c>
      <c r="M2322" t="str">
        <f>IF(Table4[[#This Row],[Performance_Deviation]] &lt; 0, "Underperforming", "Outperforming")</f>
        <v>Underperforming</v>
      </c>
      <c r="N2322">
        <f>IF(Table4[[#This Row],[Performance_Ratio]] &lt; 0.85, Table4[[#This Row],[Performance_Deviation]] * 50 / 1000, 0)</f>
        <v>-3.6412837456913478</v>
      </c>
    </row>
    <row r="2323" spans="1:14" x14ac:dyDescent="0.3">
      <c r="A2323" s="6" t="s">
        <v>9</v>
      </c>
      <c r="B2323" s="5">
        <v>45295.708333333336</v>
      </c>
      <c r="C2323" s="6">
        <v>274.19550935890197</v>
      </c>
      <c r="D2323" s="6">
        <v>264.30975751762497</v>
      </c>
      <c r="E2323" s="6">
        <v>264.30975751762497</v>
      </c>
      <c r="F2323" s="6">
        <v>40.837467467349001</v>
      </c>
      <c r="G2323" s="6" t="str">
        <f t="shared" si="72"/>
        <v>OK</v>
      </c>
      <c r="H2323" s="6" t="str">
        <f t="shared" si="73"/>
        <v>NON-ZERO</v>
      </c>
      <c r="I2323">
        <v>248.46628329842</v>
      </c>
      <c r="J2323">
        <f>IFERROR(Table4[[#This Row],[energy_kwh]]/Table4[[#This Row],[expected_kwh]],0)</f>
        <v>1.0637650871936464</v>
      </c>
      <c r="K2323" t="str">
        <f>IF(Table4[[#This Row],[Performance_Ratio]] &lt; 0.85, "Underperforming", "Performing")</f>
        <v>Performing</v>
      </c>
      <c r="L2323">
        <f>Table4[[#This Row],[energy_kwh]] - Table4[[#This Row],[expected_kwh]]</f>
        <v>15.843474219204978</v>
      </c>
      <c r="M2323" t="str">
        <f>IF(Table4[[#This Row],[Performance_Deviation]] &lt; 0, "Underperforming", "Outperforming")</f>
        <v>Outperforming</v>
      </c>
      <c r="N2323">
        <f>IF(Table4[[#This Row],[Performance_Ratio]] &lt; 0.85, Table4[[#This Row],[Performance_Deviation]] * 50 / 1000, 0)</f>
        <v>0</v>
      </c>
    </row>
    <row r="2324" spans="1:14" x14ac:dyDescent="0.3">
      <c r="A2324" s="4" t="s">
        <v>9</v>
      </c>
      <c r="B2324" s="3">
        <v>45295.75</v>
      </c>
      <c r="C2324" s="7">
        <v>1.13990009639399E-13</v>
      </c>
      <c r="D2324" s="7">
        <v>1.09880252516408E-13</v>
      </c>
      <c r="E2324" s="7">
        <v>1.09880252516408E-13</v>
      </c>
      <c r="F2324" s="4">
        <v>26.888775292190001</v>
      </c>
      <c r="G2324" s="4" t="str">
        <f t="shared" si="72"/>
        <v>OK</v>
      </c>
      <c r="H2324" s="4" t="str">
        <f t="shared" si="73"/>
        <v>NON-ZERO</v>
      </c>
      <c r="I2324" s="2">
        <v>1.1756609271814501E-13</v>
      </c>
      <c r="J2324">
        <f>IFERROR(Table4[[#This Row],[energy_kwh]]/Table4[[#This Row],[expected_kwh]],0)</f>
        <v>0.93462536668490659</v>
      </c>
      <c r="K2324" t="str">
        <f>IF(Table4[[#This Row],[Performance_Ratio]] &lt; 0.85, "Underperforming", "Performing")</f>
        <v>Performing</v>
      </c>
      <c r="L2324">
        <f>Table4[[#This Row],[energy_kwh]] - Table4[[#This Row],[expected_kwh]]</f>
        <v>-7.6858402017370096E-15</v>
      </c>
      <c r="M2324" t="str">
        <f>IF(Table4[[#This Row],[Performance_Deviation]] &lt; 0, "Underperforming", "Outperforming")</f>
        <v>Underperforming</v>
      </c>
      <c r="N2324">
        <f>IF(Table4[[#This Row],[Performance_Ratio]] &lt; 0.85, Table4[[#This Row],[Performance_Deviation]] * 50 / 1000, 0)</f>
        <v>0</v>
      </c>
    </row>
    <row r="2325" spans="1:14" x14ac:dyDescent="0.3">
      <c r="A2325" s="6" t="s">
        <v>9</v>
      </c>
      <c r="B2325" s="5">
        <v>45295.791666666664</v>
      </c>
      <c r="C2325" s="6">
        <v>0</v>
      </c>
      <c r="D2325" s="6">
        <v>0</v>
      </c>
      <c r="E2325" s="6">
        <v>0</v>
      </c>
      <c r="F2325" s="6">
        <v>82.642196813451093</v>
      </c>
      <c r="G2325" s="6" t="str">
        <f t="shared" si="72"/>
        <v>OK</v>
      </c>
      <c r="H2325" s="6" t="str">
        <f t="shared" si="73"/>
        <v>ZERO</v>
      </c>
      <c r="I2325">
        <v>0</v>
      </c>
      <c r="J2325">
        <f>IFERROR(Table4[[#This Row],[energy_kwh]]/Table4[[#This Row],[expected_kwh]],0)</f>
        <v>0</v>
      </c>
      <c r="K2325" t="str">
        <f>IF(Table4[[#This Row],[Performance_Ratio]] &lt; 0.85, "Underperforming", "Performing")</f>
        <v>Underperforming</v>
      </c>
      <c r="L2325">
        <f>Table4[[#This Row],[energy_kwh]] - Table4[[#This Row],[expected_kwh]]</f>
        <v>0</v>
      </c>
      <c r="M2325" t="str">
        <f>IF(Table4[[#This Row],[Performance_Deviation]] &lt; 0, "Underperforming", "Outperforming")</f>
        <v>Outperforming</v>
      </c>
      <c r="N2325">
        <f>IF(Table4[[#This Row],[Performance_Ratio]] &lt; 0.85, Table4[[#This Row],[Performance_Deviation]] * 50 / 1000, 0)</f>
        <v>0</v>
      </c>
    </row>
    <row r="2326" spans="1:14" x14ac:dyDescent="0.3">
      <c r="A2326" s="4" t="s">
        <v>9</v>
      </c>
      <c r="B2326" s="3">
        <v>45295.833333333336</v>
      </c>
      <c r="C2326" s="4">
        <v>0</v>
      </c>
      <c r="D2326" s="4">
        <v>0</v>
      </c>
      <c r="E2326" s="4">
        <v>0</v>
      </c>
      <c r="F2326" s="4">
        <v>28.1455551759869</v>
      </c>
      <c r="G2326" s="4" t="str">
        <f t="shared" si="72"/>
        <v>OK</v>
      </c>
      <c r="H2326" s="4" t="str">
        <f t="shared" si="73"/>
        <v>ZERO</v>
      </c>
      <c r="I2326">
        <v>0</v>
      </c>
      <c r="J2326">
        <f>IFERROR(Table4[[#This Row],[energy_kwh]]/Table4[[#This Row],[expected_kwh]],0)</f>
        <v>0</v>
      </c>
      <c r="K2326" t="str">
        <f>IF(Table4[[#This Row],[Performance_Ratio]] &lt; 0.85, "Underperforming", "Performing")</f>
        <v>Underperforming</v>
      </c>
      <c r="L2326">
        <f>Table4[[#This Row],[energy_kwh]] - Table4[[#This Row],[expected_kwh]]</f>
        <v>0</v>
      </c>
      <c r="M2326" t="str">
        <f>IF(Table4[[#This Row],[Performance_Deviation]] &lt; 0, "Underperforming", "Outperforming")</f>
        <v>Outperforming</v>
      </c>
      <c r="N2326">
        <f>IF(Table4[[#This Row],[Performance_Ratio]] &lt; 0.85, Table4[[#This Row],[Performance_Deviation]] * 50 / 1000, 0)</f>
        <v>0</v>
      </c>
    </row>
    <row r="2327" spans="1:14" x14ac:dyDescent="0.3">
      <c r="A2327" s="6" t="s">
        <v>9</v>
      </c>
      <c r="B2327" s="5">
        <v>45295.875</v>
      </c>
      <c r="C2327" s="6">
        <v>0</v>
      </c>
      <c r="D2327" s="6">
        <v>0</v>
      </c>
      <c r="E2327" s="6">
        <v>0</v>
      </c>
      <c r="F2327" s="6">
        <v>85.587897127855697</v>
      </c>
      <c r="G2327" s="6" t="str">
        <f t="shared" si="72"/>
        <v>OK</v>
      </c>
      <c r="H2327" s="6" t="str">
        <f t="shared" si="73"/>
        <v>ZERO</v>
      </c>
      <c r="I2327">
        <v>0</v>
      </c>
      <c r="J2327">
        <f>IFERROR(Table4[[#This Row],[energy_kwh]]/Table4[[#This Row],[expected_kwh]],0)</f>
        <v>0</v>
      </c>
      <c r="K2327" t="str">
        <f>IF(Table4[[#This Row],[Performance_Ratio]] &lt; 0.85, "Underperforming", "Performing")</f>
        <v>Underperforming</v>
      </c>
      <c r="L2327">
        <f>Table4[[#This Row],[energy_kwh]] - Table4[[#This Row],[expected_kwh]]</f>
        <v>0</v>
      </c>
      <c r="M2327" t="str">
        <f>IF(Table4[[#This Row],[Performance_Deviation]] &lt; 0, "Underperforming", "Outperforming")</f>
        <v>Outperforming</v>
      </c>
      <c r="N2327">
        <f>IF(Table4[[#This Row],[Performance_Ratio]] &lt; 0.85, Table4[[#This Row],[Performance_Deviation]] * 50 / 1000, 0)</f>
        <v>0</v>
      </c>
    </row>
    <row r="2328" spans="1:14" x14ac:dyDescent="0.3">
      <c r="A2328" s="4" t="s">
        <v>9</v>
      </c>
      <c r="B2328" s="3">
        <v>45295.916666666664</v>
      </c>
      <c r="C2328" s="4">
        <v>0</v>
      </c>
      <c r="D2328" s="4">
        <v>0</v>
      </c>
      <c r="E2328" s="4">
        <v>0</v>
      </c>
      <c r="F2328" s="4">
        <v>40.234704341927298</v>
      </c>
      <c r="G2328" s="4" t="str">
        <f t="shared" si="72"/>
        <v>OK</v>
      </c>
      <c r="H2328" s="4" t="str">
        <f t="shared" si="73"/>
        <v>ZERO</v>
      </c>
      <c r="I2328">
        <v>0</v>
      </c>
      <c r="J2328">
        <f>IFERROR(Table4[[#This Row],[energy_kwh]]/Table4[[#This Row],[expected_kwh]],0)</f>
        <v>0</v>
      </c>
      <c r="K2328" t="str">
        <f>IF(Table4[[#This Row],[Performance_Ratio]] &lt; 0.85, "Underperforming", "Performing")</f>
        <v>Underperforming</v>
      </c>
      <c r="L2328">
        <f>Table4[[#This Row],[energy_kwh]] - Table4[[#This Row],[expected_kwh]]</f>
        <v>0</v>
      </c>
      <c r="M2328" t="str">
        <f>IF(Table4[[#This Row],[Performance_Deviation]] &lt; 0, "Underperforming", "Outperforming")</f>
        <v>Outperforming</v>
      </c>
      <c r="N2328">
        <f>IF(Table4[[#This Row],[Performance_Ratio]] &lt; 0.85, Table4[[#This Row],[Performance_Deviation]] * 50 / 1000, 0)</f>
        <v>0</v>
      </c>
    </row>
    <row r="2329" spans="1:14" x14ac:dyDescent="0.3">
      <c r="A2329" s="6" t="s">
        <v>9</v>
      </c>
      <c r="B2329" s="5">
        <v>45295.958333333336</v>
      </c>
      <c r="C2329" s="6">
        <v>0</v>
      </c>
      <c r="D2329" s="6">
        <v>0</v>
      </c>
      <c r="E2329" s="6">
        <v>0</v>
      </c>
      <c r="F2329" s="6">
        <v>58.4321413532492</v>
      </c>
      <c r="G2329" s="6" t="str">
        <f t="shared" si="72"/>
        <v>OK</v>
      </c>
      <c r="H2329" s="6" t="str">
        <f t="shared" si="73"/>
        <v>ZERO</v>
      </c>
      <c r="I2329">
        <v>0</v>
      </c>
      <c r="J2329">
        <f>IFERROR(Table4[[#This Row],[energy_kwh]]/Table4[[#This Row],[expected_kwh]],0)</f>
        <v>0</v>
      </c>
      <c r="K2329" t="str">
        <f>IF(Table4[[#This Row],[Performance_Ratio]] &lt; 0.85, "Underperforming", "Performing")</f>
        <v>Underperforming</v>
      </c>
      <c r="L2329">
        <f>Table4[[#This Row],[energy_kwh]] - Table4[[#This Row],[expected_kwh]]</f>
        <v>0</v>
      </c>
      <c r="M2329" t="str">
        <f>IF(Table4[[#This Row],[Performance_Deviation]] &lt; 0, "Underperforming", "Outperforming")</f>
        <v>Outperforming</v>
      </c>
      <c r="N2329">
        <f>IF(Table4[[#This Row],[Performance_Ratio]] &lt; 0.85, Table4[[#This Row],[Performance_Deviation]] * 50 / 1000, 0)</f>
        <v>0</v>
      </c>
    </row>
    <row r="2330" spans="1:14" x14ac:dyDescent="0.3">
      <c r="A2330" s="4" t="s">
        <v>9</v>
      </c>
      <c r="B2330" s="3">
        <v>45296</v>
      </c>
      <c r="C2330" s="4">
        <v>0</v>
      </c>
      <c r="D2330" s="4">
        <v>0</v>
      </c>
      <c r="E2330" s="4">
        <v>0</v>
      </c>
      <c r="F2330" s="4">
        <v>46.210558964946898</v>
      </c>
      <c r="G2330" s="4" t="str">
        <f t="shared" si="72"/>
        <v>OK</v>
      </c>
      <c r="H2330" s="4" t="str">
        <f t="shared" si="73"/>
        <v>ZERO</v>
      </c>
      <c r="I2330">
        <v>0</v>
      </c>
      <c r="J2330">
        <f>IFERROR(Table4[[#This Row],[energy_kwh]]/Table4[[#This Row],[expected_kwh]],0)</f>
        <v>0</v>
      </c>
      <c r="K2330" t="str">
        <f>IF(Table4[[#This Row],[Performance_Ratio]] &lt; 0.85, "Underperforming", "Performing")</f>
        <v>Underperforming</v>
      </c>
      <c r="L2330">
        <f>Table4[[#This Row],[energy_kwh]] - Table4[[#This Row],[expected_kwh]]</f>
        <v>0</v>
      </c>
      <c r="M2330" t="str">
        <f>IF(Table4[[#This Row],[Performance_Deviation]] &lt; 0, "Underperforming", "Outperforming")</f>
        <v>Outperforming</v>
      </c>
      <c r="N2330">
        <f>IF(Table4[[#This Row],[Performance_Ratio]] &lt; 0.85, Table4[[#This Row],[Performance_Deviation]] * 50 / 1000, 0)</f>
        <v>0</v>
      </c>
    </row>
    <row r="2331" spans="1:14" x14ac:dyDescent="0.3">
      <c r="A2331" s="6" t="s">
        <v>9</v>
      </c>
      <c r="B2331" s="5">
        <v>45296.041666666664</v>
      </c>
      <c r="C2331" s="6">
        <v>0</v>
      </c>
      <c r="D2331" s="6">
        <v>0</v>
      </c>
      <c r="E2331" s="6">
        <v>0</v>
      </c>
      <c r="F2331" s="6">
        <v>70.017904001315699</v>
      </c>
      <c r="G2331" s="6" t="str">
        <f t="shared" si="72"/>
        <v>OK</v>
      </c>
      <c r="H2331" s="6" t="str">
        <f t="shared" si="73"/>
        <v>ZERO</v>
      </c>
      <c r="I2331">
        <v>0</v>
      </c>
      <c r="J2331">
        <f>IFERROR(Table4[[#This Row],[energy_kwh]]/Table4[[#This Row],[expected_kwh]],0)</f>
        <v>0</v>
      </c>
      <c r="K2331" t="str">
        <f>IF(Table4[[#This Row],[Performance_Ratio]] &lt; 0.85, "Underperforming", "Performing")</f>
        <v>Underperforming</v>
      </c>
      <c r="L2331">
        <f>Table4[[#This Row],[energy_kwh]] - Table4[[#This Row],[expected_kwh]]</f>
        <v>0</v>
      </c>
      <c r="M2331" t="str">
        <f>IF(Table4[[#This Row],[Performance_Deviation]] &lt; 0, "Underperforming", "Outperforming")</f>
        <v>Outperforming</v>
      </c>
      <c r="N2331">
        <f>IF(Table4[[#This Row],[Performance_Ratio]] &lt; 0.85, Table4[[#This Row],[Performance_Deviation]] * 50 / 1000, 0)</f>
        <v>0</v>
      </c>
    </row>
    <row r="2332" spans="1:14" x14ac:dyDescent="0.3">
      <c r="A2332" s="4" t="s">
        <v>9</v>
      </c>
      <c r="B2332" s="3">
        <v>45296.083333333336</v>
      </c>
      <c r="C2332" s="4">
        <v>0</v>
      </c>
      <c r="D2332" s="4">
        <v>0</v>
      </c>
      <c r="E2332" s="4">
        <v>0</v>
      </c>
      <c r="F2332" s="4">
        <v>61.248423978789802</v>
      </c>
      <c r="G2332" s="4" t="str">
        <f t="shared" si="72"/>
        <v>OK</v>
      </c>
      <c r="H2332" s="4" t="str">
        <f t="shared" si="73"/>
        <v>ZERO</v>
      </c>
      <c r="I2332">
        <v>0</v>
      </c>
      <c r="J2332">
        <f>IFERROR(Table4[[#This Row],[energy_kwh]]/Table4[[#This Row],[expected_kwh]],0)</f>
        <v>0</v>
      </c>
      <c r="K2332" t="str">
        <f>IF(Table4[[#This Row],[Performance_Ratio]] &lt; 0.85, "Underperforming", "Performing")</f>
        <v>Underperforming</v>
      </c>
      <c r="L2332">
        <f>Table4[[#This Row],[energy_kwh]] - Table4[[#This Row],[expected_kwh]]</f>
        <v>0</v>
      </c>
      <c r="M2332" t="str">
        <f>IF(Table4[[#This Row],[Performance_Deviation]] &lt; 0, "Underperforming", "Outperforming")</f>
        <v>Outperforming</v>
      </c>
      <c r="N2332">
        <f>IF(Table4[[#This Row],[Performance_Ratio]] &lt; 0.85, Table4[[#This Row],[Performance_Deviation]] * 50 / 1000, 0)</f>
        <v>0</v>
      </c>
    </row>
    <row r="2333" spans="1:14" x14ac:dyDescent="0.3">
      <c r="A2333" s="6" t="s">
        <v>9</v>
      </c>
      <c r="B2333" s="5">
        <v>45296.125</v>
      </c>
      <c r="C2333" s="6">
        <v>0</v>
      </c>
      <c r="D2333" s="6">
        <v>0</v>
      </c>
      <c r="E2333" s="6">
        <v>0</v>
      </c>
      <c r="F2333" s="6">
        <v>73.662946596584604</v>
      </c>
      <c r="G2333" s="6" t="str">
        <f t="shared" si="72"/>
        <v>OK</v>
      </c>
      <c r="H2333" s="6" t="str">
        <f t="shared" si="73"/>
        <v>ZERO</v>
      </c>
      <c r="I2333">
        <v>0</v>
      </c>
      <c r="J2333">
        <f>IFERROR(Table4[[#This Row],[energy_kwh]]/Table4[[#This Row],[expected_kwh]],0)</f>
        <v>0</v>
      </c>
      <c r="K2333" t="str">
        <f>IF(Table4[[#This Row],[Performance_Ratio]] &lt; 0.85, "Underperforming", "Performing")</f>
        <v>Underperforming</v>
      </c>
      <c r="L2333">
        <f>Table4[[#This Row],[energy_kwh]] - Table4[[#This Row],[expected_kwh]]</f>
        <v>0</v>
      </c>
      <c r="M2333" t="str">
        <f>IF(Table4[[#This Row],[Performance_Deviation]] &lt; 0, "Underperforming", "Outperforming")</f>
        <v>Outperforming</v>
      </c>
      <c r="N2333">
        <f>IF(Table4[[#This Row],[Performance_Ratio]] &lt; 0.85, Table4[[#This Row],[Performance_Deviation]] * 50 / 1000, 0)</f>
        <v>0</v>
      </c>
    </row>
    <row r="2334" spans="1:14" x14ac:dyDescent="0.3">
      <c r="A2334" s="4" t="s">
        <v>9</v>
      </c>
      <c r="B2334" s="3">
        <v>45296.166666666664</v>
      </c>
      <c r="C2334" s="4">
        <v>0</v>
      </c>
      <c r="D2334" s="4">
        <v>0</v>
      </c>
      <c r="E2334" s="4">
        <v>0</v>
      </c>
      <c r="F2334" s="4">
        <v>93.205976466609997</v>
      </c>
      <c r="G2334" s="4" t="str">
        <f t="shared" si="72"/>
        <v>OK</v>
      </c>
      <c r="H2334" s="4" t="str">
        <f t="shared" si="73"/>
        <v>ZERO</v>
      </c>
      <c r="I2334">
        <v>0</v>
      </c>
      <c r="J2334">
        <f>IFERROR(Table4[[#This Row],[energy_kwh]]/Table4[[#This Row],[expected_kwh]],0)</f>
        <v>0</v>
      </c>
      <c r="K2334" t="str">
        <f>IF(Table4[[#This Row],[Performance_Ratio]] &lt; 0.85, "Underperforming", "Performing")</f>
        <v>Underperforming</v>
      </c>
      <c r="L2334">
        <f>Table4[[#This Row],[energy_kwh]] - Table4[[#This Row],[expected_kwh]]</f>
        <v>0</v>
      </c>
      <c r="M2334" t="str">
        <f>IF(Table4[[#This Row],[Performance_Deviation]] &lt; 0, "Underperforming", "Outperforming")</f>
        <v>Outperforming</v>
      </c>
      <c r="N2334">
        <f>IF(Table4[[#This Row],[Performance_Ratio]] &lt; 0.85, Table4[[#This Row],[Performance_Deviation]] * 50 / 1000, 0)</f>
        <v>0</v>
      </c>
    </row>
    <row r="2335" spans="1:14" x14ac:dyDescent="0.3">
      <c r="A2335" s="6" t="s">
        <v>9</v>
      </c>
      <c r="B2335" s="5">
        <v>45296.208333333336</v>
      </c>
      <c r="C2335" s="6">
        <v>0</v>
      </c>
      <c r="D2335" s="6">
        <v>0</v>
      </c>
      <c r="E2335" s="6">
        <v>0</v>
      </c>
      <c r="F2335" s="6">
        <v>53.244008110622097</v>
      </c>
      <c r="G2335" s="6" t="str">
        <f t="shared" si="72"/>
        <v>OK</v>
      </c>
      <c r="H2335" s="6" t="str">
        <f t="shared" si="73"/>
        <v>ZERO</v>
      </c>
      <c r="I2335">
        <v>0</v>
      </c>
      <c r="J2335">
        <f>IFERROR(Table4[[#This Row],[energy_kwh]]/Table4[[#This Row],[expected_kwh]],0)</f>
        <v>0</v>
      </c>
      <c r="K2335" t="str">
        <f>IF(Table4[[#This Row],[Performance_Ratio]] &lt; 0.85, "Underperforming", "Performing")</f>
        <v>Underperforming</v>
      </c>
      <c r="L2335">
        <f>Table4[[#This Row],[energy_kwh]] - Table4[[#This Row],[expected_kwh]]</f>
        <v>0</v>
      </c>
      <c r="M2335" t="str">
        <f>IF(Table4[[#This Row],[Performance_Deviation]] &lt; 0, "Underperforming", "Outperforming")</f>
        <v>Outperforming</v>
      </c>
      <c r="N2335">
        <f>IF(Table4[[#This Row],[Performance_Ratio]] &lt; 0.85, Table4[[#This Row],[Performance_Deviation]] * 50 / 1000, 0)</f>
        <v>0</v>
      </c>
    </row>
    <row r="2336" spans="1:14" x14ac:dyDescent="0.3">
      <c r="A2336" s="4" t="s">
        <v>9</v>
      </c>
      <c r="B2336" s="3">
        <v>45296.25</v>
      </c>
      <c r="C2336" s="4">
        <v>0</v>
      </c>
      <c r="D2336" s="4">
        <v>0</v>
      </c>
      <c r="E2336" s="4">
        <v>0</v>
      </c>
      <c r="F2336" s="4">
        <v>67.568949008865303</v>
      </c>
      <c r="G2336" s="4" t="str">
        <f t="shared" si="72"/>
        <v>OK</v>
      </c>
      <c r="H2336" s="4" t="str">
        <f t="shared" si="73"/>
        <v>ZERO</v>
      </c>
      <c r="I2336">
        <v>0</v>
      </c>
      <c r="J2336">
        <f>IFERROR(Table4[[#This Row],[energy_kwh]]/Table4[[#This Row],[expected_kwh]],0)</f>
        <v>0</v>
      </c>
      <c r="K2336" t="str">
        <f>IF(Table4[[#This Row],[Performance_Ratio]] &lt; 0.85, "Underperforming", "Performing")</f>
        <v>Underperforming</v>
      </c>
      <c r="L2336">
        <f>Table4[[#This Row],[energy_kwh]] - Table4[[#This Row],[expected_kwh]]</f>
        <v>0</v>
      </c>
      <c r="M2336" t="str">
        <f>IF(Table4[[#This Row],[Performance_Deviation]] &lt; 0, "Underperforming", "Outperforming")</f>
        <v>Outperforming</v>
      </c>
      <c r="N2336">
        <f>IF(Table4[[#This Row],[Performance_Ratio]] &lt; 0.85, Table4[[#This Row],[Performance_Deviation]] * 50 / 1000, 0)</f>
        <v>0</v>
      </c>
    </row>
    <row r="2337" spans="1:14" x14ac:dyDescent="0.3">
      <c r="A2337" s="6" t="s">
        <v>9</v>
      </c>
      <c r="B2337" s="5">
        <v>45296.291666666664</v>
      </c>
      <c r="C2337" s="6">
        <v>212.350804008202</v>
      </c>
      <c r="D2337" s="6">
        <v>204.69478018553301</v>
      </c>
      <c r="E2337" s="6">
        <v>204.69478018553301</v>
      </c>
      <c r="F2337" s="6">
        <v>43.400097958133699</v>
      </c>
      <c r="G2337" s="6" t="str">
        <f t="shared" si="72"/>
        <v>OK</v>
      </c>
      <c r="H2337" s="6" t="str">
        <f t="shared" si="73"/>
        <v>NON-ZERO</v>
      </c>
      <c r="I2337">
        <v>248.466283298419</v>
      </c>
      <c r="J2337">
        <f>IFERROR(Table4[[#This Row],[energy_kwh]]/Table4[[#This Row],[expected_kwh]],0)</f>
        <v>0.82383322786571211</v>
      </c>
      <c r="K2337" t="str">
        <f>IF(Table4[[#This Row],[Performance_Ratio]] &lt; 0.85, "Underperforming", "Performing")</f>
        <v>Underperforming</v>
      </c>
      <c r="L2337">
        <f>Table4[[#This Row],[energy_kwh]] - Table4[[#This Row],[expected_kwh]]</f>
        <v>-43.771503112885995</v>
      </c>
      <c r="M2337" t="str">
        <f>IF(Table4[[#This Row],[Performance_Deviation]] &lt; 0, "Underperforming", "Outperforming")</f>
        <v>Underperforming</v>
      </c>
      <c r="N2337">
        <f>IF(Table4[[#This Row],[Performance_Ratio]] &lt; 0.85, Table4[[#This Row],[Performance_Deviation]] * 50 / 1000, 0)</f>
        <v>-2.1885751556442998</v>
      </c>
    </row>
    <row r="2338" spans="1:14" x14ac:dyDescent="0.3">
      <c r="A2338" s="4" t="s">
        <v>9</v>
      </c>
      <c r="B2338" s="3">
        <v>45296.333333333336</v>
      </c>
      <c r="C2338" s="4">
        <v>392.348758216889</v>
      </c>
      <c r="D2338" s="4">
        <v>378.20314923870399</v>
      </c>
      <c r="E2338" s="4">
        <v>378.20314923870399</v>
      </c>
      <c r="F2338" s="4">
        <v>81.1865638268971</v>
      </c>
      <c r="G2338" s="4" t="str">
        <f t="shared" si="72"/>
        <v>OK</v>
      </c>
      <c r="H2338" s="4" t="str">
        <f t="shared" si="73"/>
        <v>NON-ZERO</v>
      </c>
      <c r="I2338">
        <v>479.99999999999898</v>
      </c>
      <c r="J2338">
        <f>IFERROR(Table4[[#This Row],[energy_kwh]]/Table4[[#This Row],[expected_kwh]],0)</f>
        <v>0.78792322758063493</v>
      </c>
      <c r="K2338" t="str">
        <f>IF(Table4[[#This Row],[Performance_Ratio]] &lt; 0.85, "Underperforming", "Performing")</f>
        <v>Underperforming</v>
      </c>
      <c r="L2338">
        <f>Table4[[#This Row],[energy_kwh]] - Table4[[#This Row],[expected_kwh]]</f>
        <v>-101.79685076129499</v>
      </c>
      <c r="M2338" t="str">
        <f>IF(Table4[[#This Row],[Performance_Deviation]] &lt; 0, "Underperforming", "Outperforming")</f>
        <v>Underperforming</v>
      </c>
      <c r="N2338">
        <f>IF(Table4[[#This Row],[Performance_Ratio]] &lt; 0.85, Table4[[#This Row],[Performance_Deviation]] * 50 / 1000, 0)</f>
        <v>-5.0898425380647492</v>
      </c>
    </row>
    <row r="2339" spans="1:14" x14ac:dyDescent="0.3">
      <c r="A2339" s="6" t="s">
        <v>9</v>
      </c>
      <c r="B2339" s="5">
        <v>45296.375</v>
      </c>
      <c r="C2339" s="6">
        <v>674.80023690478095</v>
      </c>
      <c r="D2339" s="6">
        <v>650.47121816894298</v>
      </c>
      <c r="E2339" s="6">
        <v>650.47121816894298</v>
      </c>
      <c r="F2339" s="6">
        <v>55.333276624831498</v>
      </c>
      <c r="G2339" s="6" t="str">
        <f t="shared" si="72"/>
        <v>OK</v>
      </c>
      <c r="H2339" s="6" t="str">
        <f t="shared" si="73"/>
        <v>NON-ZERO</v>
      </c>
      <c r="I2339">
        <v>678.82250993908497</v>
      </c>
      <c r="J2339">
        <f>IFERROR(Table4[[#This Row],[energy_kwh]]/Table4[[#This Row],[expected_kwh]],0)</f>
        <v>0.95823460277902961</v>
      </c>
      <c r="K2339" t="str">
        <f>IF(Table4[[#This Row],[Performance_Ratio]] &lt; 0.85, "Underperforming", "Performing")</f>
        <v>Performing</v>
      </c>
      <c r="L2339">
        <f>Table4[[#This Row],[energy_kwh]] - Table4[[#This Row],[expected_kwh]]</f>
        <v>-28.351291770141984</v>
      </c>
      <c r="M2339" t="str">
        <f>IF(Table4[[#This Row],[Performance_Deviation]] &lt; 0, "Underperforming", "Outperforming")</f>
        <v>Underperforming</v>
      </c>
      <c r="N2339">
        <f>IF(Table4[[#This Row],[Performance_Ratio]] &lt; 0.85, Table4[[#This Row],[Performance_Deviation]] * 50 / 1000, 0)</f>
        <v>0</v>
      </c>
    </row>
    <row r="2340" spans="1:14" x14ac:dyDescent="0.3">
      <c r="A2340" s="4" t="s">
        <v>9</v>
      </c>
      <c r="B2340" s="3">
        <v>45296.416666666664</v>
      </c>
      <c r="C2340" s="4">
        <v>778.87203798378005</v>
      </c>
      <c r="D2340" s="4">
        <v>750.79084985046597</v>
      </c>
      <c r="E2340" s="4">
        <v>750.79084985046597</v>
      </c>
      <c r="F2340" s="4">
        <v>91.003093627541602</v>
      </c>
      <c r="G2340" s="4" t="str">
        <f t="shared" si="72"/>
        <v>OK</v>
      </c>
      <c r="H2340" s="4" t="str">
        <f t="shared" si="73"/>
        <v>NON-ZERO</v>
      </c>
      <c r="I2340">
        <v>831.38438763306101</v>
      </c>
      <c r="J2340">
        <f>IFERROR(Table4[[#This Row],[energy_kwh]]/Table4[[#This Row],[expected_kwh]],0)</f>
        <v>0.90306104013807187</v>
      </c>
      <c r="K2340" t="str">
        <f>IF(Table4[[#This Row],[Performance_Ratio]] &lt; 0.85, "Underperforming", "Performing")</f>
        <v>Performing</v>
      </c>
      <c r="L2340">
        <f>Table4[[#This Row],[energy_kwh]] - Table4[[#This Row],[expected_kwh]]</f>
        <v>-80.593537782595035</v>
      </c>
      <c r="M2340" t="str">
        <f>IF(Table4[[#This Row],[Performance_Deviation]] &lt; 0, "Underperforming", "Outperforming")</f>
        <v>Underperforming</v>
      </c>
      <c r="N2340">
        <f>IF(Table4[[#This Row],[Performance_Ratio]] &lt; 0.85, Table4[[#This Row],[Performance_Deviation]] * 50 / 1000, 0)</f>
        <v>0</v>
      </c>
    </row>
    <row r="2341" spans="1:14" x14ac:dyDescent="0.3">
      <c r="A2341" s="6" t="s">
        <v>9</v>
      </c>
      <c r="B2341" s="5">
        <v>45296.458333333336</v>
      </c>
      <c r="C2341" s="6">
        <v>891.28795529644799</v>
      </c>
      <c r="D2341" s="6">
        <v>859.15376183069498</v>
      </c>
      <c r="E2341" s="6">
        <v>859.15376183069498</v>
      </c>
      <c r="F2341" s="6">
        <v>48.0230613850023</v>
      </c>
      <c r="G2341" s="6" t="str">
        <f t="shared" si="72"/>
        <v>OK</v>
      </c>
      <c r="H2341" s="6" t="str">
        <f t="shared" si="73"/>
        <v>NON-ZERO</v>
      </c>
      <c r="I2341">
        <v>927.28879323750505</v>
      </c>
      <c r="J2341">
        <f>IFERROR(Table4[[#This Row],[energy_kwh]]/Table4[[#This Row],[expected_kwh]],0)</f>
        <v>0.92652231763857973</v>
      </c>
      <c r="K2341" t="str">
        <f>IF(Table4[[#This Row],[Performance_Ratio]] &lt; 0.85, "Underperforming", "Performing")</f>
        <v>Performing</v>
      </c>
      <c r="L2341">
        <f>Table4[[#This Row],[energy_kwh]] - Table4[[#This Row],[expected_kwh]]</f>
        <v>-68.135031406810072</v>
      </c>
      <c r="M2341" t="str">
        <f>IF(Table4[[#This Row],[Performance_Deviation]] &lt; 0, "Underperforming", "Outperforming")</f>
        <v>Underperforming</v>
      </c>
      <c r="N2341">
        <f>IF(Table4[[#This Row],[Performance_Ratio]] &lt; 0.85, Table4[[#This Row],[Performance_Deviation]] * 50 / 1000, 0)</f>
        <v>0</v>
      </c>
    </row>
    <row r="2342" spans="1:14" x14ac:dyDescent="0.3">
      <c r="A2342" s="4" t="s">
        <v>9</v>
      </c>
      <c r="B2342" s="3">
        <v>45296.5</v>
      </c>
      <c r="C2342" s="4">
        <v>844.82359497408402</v>
      </c>
      <c r="D2342" s="4">
        <v>814.36461178688205</v>
      </c>
      <c r="E2342" s="4">
        <v>814.36461178688205</v>
      </c>
      <c r="F2342" s="4">
        <v>84.927574424300204</v>
      </c>
      <c r="G2342" s="4" t="str">
        <f t="shared" si="72"/>
        <v>OK</v>
      </c>
      <c r="H2342" s="4" t="str">
        <f t="shared" si="73"/>
        <v>NON-ZERO</v>
      </c>
      <c r="I2342">
        <v>960</v>
      </c>
      <c r="J2342">
        <f>IFERROR(Table4[[#This Row],[energy_kwh]]/Table4[[#This Row],[expected_kwh]],0)</f>
        <v>0.84829647061133551</v>
      </c>
      <c r="K2342" t="str">
        <f>IF(Table4[[#This Row],[Performance_Ratio]] &lt; 0.85, "Underperforming", "Performing")</f>
        <v>Underperforming</v>
      </c>
      <c r="L2342">
        <f>Table4[[#This Row],[energy_kwh]] - Table4[[#This Row],[expected_kwh]]</f>
        <v>-145.63538821311795</v>
      </c>
      <c r="M2342" t="str">
        <f>IF(Table4[[#This Row],[Performance_Deviation]] &lt; 0, "Underperforming", "Outperforming")</f>
        <v>Underperforming</v>
      </c>
      <c r="N2342">
        <f>IF(Table4[[#This Row],[Performance_Ratio]] &lt; 0.85, Table4[[#This Row],[Performance_Deviation]] * 50 / 1000, 0)</f>
        <v>-7.2817694106558974</v>
      </c>
    </row>
    <row r="2343" spans="1:14" x14ac:dyDescent="0.3">
      <c r="A2343" s="6" t="s">
        <v>9</v>
      </c>
      <c r="B2343" s="5">
        <v>45296.541666666664</v>
      </c>
      <c r="C2343" s="6">
        <v>847.44578408062205</v>
      </c>
      <c r="D2343" s="6">
        <v>816.89226137725996</v>
      </c>
      <c r="E2343" s="6">
        <v>816.89226137725996</v>
      </c>
      <c r="F2343" s="6">
        <v>77.221165888366997</v>
      </c>
      <c r="G2343" s="6" t="str">
        <f t="shared" si="72"/>
        <v>OK</v>
      </c>
      <c r="H2343" s="6" t="str">
        <f t="shared" si="73"/>
        <v>NON-ZERO</v>
      </c>
      <c r="I2343">
        <v>927.28879323750505</v>
      </c>
      <c r="J2343">
        <f>IFERROR(Table4[[#This Row],[energy_kwh]]/Table4[[#This Row],[expected_kwh]],0)</f>
        <v>0.88094697933875554</v>
      </c>
      <c r="K2343" t="str">
        <f>IF(Table4[[#This Row],[Performance_Ratio]] &lt; 0.85, "Underperforming", "Performing")</f>
        <v>Performing</v>
      </c>
      <c r="L2343">
        <f>Table4[[#This Row],[energy_kwh]] - Table4[[#This Row],[expected_kwh]]</f>
        <v>-110.39653186024509</v>
      </c>
      <c r="M2343" t="str">
        <f>IF(Table4[[#This Row],[Performance_Deviation]] &lt; 0, "Underperforming", "Outperforming")</f>
        <v>Underperforming</v>
      </c>
      <c r="N2343">
        <f>IF(Table4[[#This Row],[Performance_Ratio]] &lt; 0.85, Table4[[#This Row],[Performance_Deviation]] * 50 / 1000, 0)</f>
        <v>0</v>
      </c>
    </row>
    <row r="2344" spans="1:14" x14ac:dyDescent="0.3">
      <c r="A2344" s="4" t="s">
        <v>9</v>
      </c>
      <c r="B2344" s="3">
        <v>45296.583333333336</v>
      </c>
      <c r="C2344" s="4">
        <v>815.77171691901901</v>
      </c>
      <c r="D2344" s="4">
        <v>786.36016028393999</v>
      </c>
      <c r="E2344" s="4">
        <v>786.36016028393999</v>
      </c>
      <c r="F2344" s="4">
        <v>44.949244986566796</v>
      </c>
      <c r="G2344" s="4" t="str">
        <f t="shared" si="72"/>
        <v>OK</v>
      </c>
      <c r="H2344" s="4" t="str">
        <f t="shared" si="73"/>
        <v>NON-ZERO</v>
      </c>
      <c r="I2344">
        <v>831.38438763306101</v>
      </c>
      <c r="J2344">
        <f>IFERROR(Table4[[#This Row],[energy_kwh]]/Table4[[#This Row],[expected_kwh]],0)</f>
        <v>0.94584427129152093</v>
      </c>
      <c r="K2344" t="str">
        <f>IF(Table4[[#This Row],[Performance_Ratio]] &lt; 0.85, "Underperforming", "Performing")</f>
        <v>Performing</v>
      </c>
      <c r="L2344">
        <f>Table4[[#This Row],[energy_kwh]] - Table4[[#This Row],[expected_kwh]]</f>
        <v>-45.02422734912102</v>
      </c>
      <c r="M2344" t="str">
        <f>IF(Table4[[#This Row],[Performance_Deviation]] &lt; 0, "Underperforming", "Outperforming")</f>
        <v>Underperforming</v>
      </c>
      <c r="N2344">
        <f>IF(Table4[[#This Row],[Performance_Ratio]] &lt; 0.85, Table4[[#This Row],[Performance_Deviation]] * 50 / 1000, 0)</f>
        <v>0</v>
      </c>
    </row>
    <row r="2345" spans="1:14" x14ac:dyDescent="0.3">
      <c r="A2345" s="6" t="s">
        <v>9</v>
      </c>
      <c r="B2345" s="5">
        <v>45296.625</v>
      </c>
      <c r="C2345" s="6">
        <v>659.12583433883503</v>
      </c>
      <c r="D2345" s="6">
        <v>635.36193519372102</v>
      </c>
      <c r="E2345" s="6">
        <v>635.36193519372102</v>
      </c>
      <c r="F2345" s="6">
        <v>20.521819047746799</v>
      </c>
      <c r="G2345" s="6" t="str">
        <f t="shared" si="72"/>
        <v>OK</v>
      </c>
      <c r="H2345" s="6" t="str">
        <f t="shared" si="73"/>
        <v>NON-ZERO</v>
      </c>
      <c r="I2345">
        <v>678.82250993908497</v>
      </c>
      <c r="J2345">
        <f>IFERROR(Table4[[#This Row],[energy_kwh]]/Table4[[#This Row],[expected_kwh]],0)</f>
        <v>0.93597652684018395</v>
      </c>
      <c r="K2345" t="str">
        <f>IF(Table4[[#This Row],[Performance_Ratio]] &lt; 0.85, "Underperforming", "Performing")</f>
        <v>Performing</v>
      </c>
      <c r="L2345">
        <f>Table4[[#This Row],[energy_kwh]] - Table4[[#This Row],[expected_kwh]]</f>
        <v>-43.460574745363942</v>
      </c>
      <c r="M2345" t="str">
        <f>IF(Table4[[#This Row],[Performance_Deviation]] &lt; 0, "Underperforming", "Outperforming")</f>
        <v>Underperforming</v>
      </c>
      <c r="N2345">
        <f>IF(Table4[[#This Row],[Performance_Ratio]] &lt; 0.85, Table4[[#This Row],[Performance_Deviation]] * 50 / 1000, 0)</f>
        <v>0</v>
      </c>
    </row>
    <row r="2346" spans="1:14" x14ac:dyDescent="0.3">
      <c r="A2346" s="4" t="s">
        <v>9</v>
      </c>
      <c r="B2346" s="3">
        <v>45296.666666666664</v>
      </c>
      <c r="C2346" s="4">
        <v>443.59732362476399</v>
      </c>
      <c r="D2346" s="4">
        <v>427.60401626148001</v>
      </c>
      <c r="E2346" s="4">
        <v>427.60401626148001</v>
      </c>
      <c r="F2346" s="4">
        <v>22.139001862898599</v>
      </c>
      <c r="G2346" s="4" t="str">
        <f t="shared" si="72"/>
        <v>OK</v>
      </c>
      <c r="H2346" s="4" t="str">
        <f t="shared" si="73"/>
        <v>NON-ZERO</v>
      </c>
      <c r="I2346">
        <v>479.99999999999898</v>
      </c>
      <c r="J2346">
        <f>IFERROR(Table4[[#This Row],[energy_kwh]]/Table4[[#This Row],[expected_kwh]],0)</f>
        <v>0.89084170054475198</v>
      </c>
      <c r="K2346" t="str">
        <f>IF(Table4[[#This Row],[Performance_Ratio]] &lt; 0.85, "Underperforming", "Performing")</f>
        <v>Performing</v>
      </c>
      <c r="L2346">
        <f>Table4[[#This Row],[energy_kwh]] - Table4[[#This Row],[expected_kwh]]</f>
        <v>-52.395983738518964</v>
      </c>
      <c r="M2346" t="str">
        <f>IF(Table4[[#This Row],[Performance_Deviation]] &lt; 0, "Underperforming", "Outperforming")</f>
        <v>Underperforming</v>
      </c>
      <c r="N2346">
        <f>IF(Table4[[#This Row],[Performance_Ratio]] &lt; 0.85, Table4[[#This Row],[Performance_Deviation]] * 50 / 1000, 0)</f>
        <v>0</v>
      </c>
    </row>
    <row r="2347" spans="1:14" x14ac:dyDescent="0.3">
      <c r="A2347" s="6" t="s">
        <v>9</v>
      </c>
      <c r="B2347" s="5">
        <v>45296.708333333336</v>
      </c>
      <c r="C2347" s="6">
        <v>231.863503778482</v>
      </c>
      <c r="D2347" s="6">
        <v>223.503975700279</v>
      </c>
      <c r="E2347" s="6">
        <v>223.503975700279</v>
      </c>
      <c r="F2347" s="6">
        <v>75.206160825281401</v>
      </c>
      <c r="G2347" s="6" t="str">
        <f t="shared" si="72"/>
        <v>OK</v>
      </c>
      <c r="H2347" s="6" t="str">
        <f t="shared" si="73"/>
        <v>NON-ZERO</v>
      </c>
      <c r="I2347">
        <v>248.46628329842</v>
      </c>
      <c r="J2347">
        <f>IFERROR(Table4[[#This Row],[energy_kwh]]/Table4[[#This Row],[expected_kwh]],0)</f>
        <v>0.89953442669659911</v>
      </c>
      <c r="K2347" t="str">
        <f>IF(Table4[[#This Row],[Performance_Ratio]] &lt; 0.85, "Underperforming", "Performing")</f>
        <v>Performing</v>
      </c>
      <c r="L2347">
        <f>Table4[[#This Row],[energy_kwh]] - Table4[[#This Row],[expected_kwh]]</f>
        <v>-24.962307598140995</v>
      </c>
      <c r="M2347" t="str">
        <f>IF(Table4[[#This Row],[Performance_Deviation]] &lt; 0, "Underperforming", "Outperforming")</f>
        <v>Underperforming</v>
      </c>
      <c r="N2347">
        <f>IF(Table4[[#This Row],[Performance_Ratio]] &lt; 0.85, Table4[[#This Row],[Performance_Deviation]] * 50 / 1000, 0)</f>
        <v>0</v>
      </c>
    </row>
    <row r="2348" spans="1:14" x14ac:dyDescent="0.3">
      <c r="A2348" s="4" t="s">
        <v>9</v>
      </c>
      <c r="B2348" s="3">
        <v>45296.75</v>
      </c>
      <c r="C2348" s="7">
        <v>1.1416284016095199E-13</v>
      </c>
      <c r="D2348" s="7">
        <v>1.1004685186499E-13</v>
      </c>
      <c r="E2348" s="7">
        <v>1.1004685186499E-13</v>
      </c>
      <c r="F2348" s="4">
        <v>93.865367458520097</v>
      </c>
      <c r="G2348" s="4" t="str">
        <f t="shared" si="72"/>
        <v>OK</v>
      </c>
      <c r="H2348" s="4" t="str">
        <f t="shared" si="73"/>
        <v>NON-ZERO</v>
      </c>
      <c r="I2348" s="2">
        <v>1.1756609271814501E-13</v>
      </c>
      <c r="J2348">
        <f>IFERROR(Table4[[#This Row],[energy_kwh]]/Table4[[#This Row],[expected_kwh]],0)</f>
        <v>0.93604243639208307</v>
      </c>
      <c r="K2348" t="str">
        <f>IF(Table4[[#This Row],[Performance_Ratio]] &lt; 0.85, "Underperforming", "Performing")</f>
        <v>Performing</v>
      </c>
      <c r="L2348">
        <f>Table4[[#This Row],[energy_kwh]] - Table4[[#This Row],[expected_kwh]]</f>
        <v>-7.519240853155013E-15</v>
      </c>
      <c r="M2348" t="str">
        <f>IF(Table4[[#This Row],[Performance_Deviation]] &lt; 0, "Underperforming", "Outperforming")</f>
        <v>Underperforming</v>
      </c>
      <c r="N2348">
        <f>IF(Table4[[#This Row],[Performance_Ratio]] &lt; 0.85, Table4[[#This Row],[Performance_Deviation]] * 50 / 1000, 0)</f>
        <v>0</v>
      </c>
    </row>
    <row r="2349" spans="1:14" x14ac:dyDescent="0.3">
      <c r="A2349" s="6" t="s">
        <v>9</v>
      </c>
      <c r="B2349" s="5">
        <v>45296.791666666664</v>
      </c>
      <c r="C2349" s="6">
        <v>0</v>
      </c>
      <c r="D2349" s="6">
        <v>0</v>
      </c>
      <c r="E2349" s="6">
        <v>0</v>
      </c>
      <c r="F2349" s="6">
        <v>69.443340278815398</v>
      </c>
      <c r="G2349" s="6" t="str">
        <f t="shared" si="72"/>
        <v>OK</v>
      </c>
      <c r="H2349" s="6" t="str">
        <f t="shared" si="73"/>
        <v>ZERO</v>
      </c>
      <c r="I2349">
        <v>0</v>
      </c>
      <c r="J2349">
        <f>IFERROR(Table4[[#This Row],[energy_kwh]]/Table4[[#This Row],[expected_kwh]],0)</f>
        <v>0</v>
      </c>
      <c r="K2349" t="str">
        <f>IF(Table4[[#This Row],[Performance_Ratio]] &lt; 0.85, "Underperforming", "Performing")</f>
        <v>Underperforming</v>
      </c>
      <c r="L2349">
        <f>Table4[[#This Row],[energy_kwh]] - Table4[[#This Row],[expected_kwh]]</f>
        <v>0</v>
      </c>
      <c r="M2349" t="str">
        <f>IF(Table4[[#This Row],[Performance_Deviation]] &lt; 0, "Underperforming", "Outperforming")</f>
        <v>Outperforming</v>
      </c>
      <c r="N2349">
        <f>IF(Table4[[#This Row],[Performance_Ratio]] &lt; 0.85, Table4[[#This Row],[Performance_Deviation]] * 50 / 1000, 0)</f>
        <v>0</v>
      </c>
    </row>
    <row r="2350" spans="1:14" x14ac:dyDescent="0.3">
      <c r="A2350" s="4" t="s">
        <v>9</v>
      </c>
      <c r="B2350" s="3">
        <v>45296.833333333336</v>
      </c>
      <c r="C2350" s="4">
        <v>0</v>
      </c>
      <c r="D2350" s="4">
        <v>0</v>
      </c>
      <c r="E2350" s="4">
        <v>0</v>
      </c>
      <c r="F2350" s="4">
        <v>27.479822925791101</v>
      </c>
      <c r="G2350" s="4" t="str">
        <f t="shared" si="72"/>
        <v>OK</v>
      </c>
      <c r="H2350" s="4" t="str">
        <f t="shared" si="73"/>
        <v>ZERO</v>
      </c>
      <c r="I2350">
        <v>0</v>
      </c>
      <c r="J2350">
        <f>IFERROR(Table4[[#This Row],[energy_kwh]]/Table4[[#This Row],[expected_kwh]],0)</f>
        <v>0</v>
      </c>
      <c r="K2350" t="str">
        <f>IF(Table4[[#This Row],[Performance_Ratio]] &lt; 0.85, "Underperforming", "Performing")</f>
        <v>Underperforming</v>
      </c>
      <c r="L2350">
        <f>Table4[[#This Row],[energy_kwh]] - Table4[[#This Row],[expected_kwh]]</f>
        <v>0</v>
      </c>
      <c r="M2350" t="str">
        <f>IF(Table4[[#This Row],[Performance_Deviation]] &lt; 0, "Underperforming", "Outperforming")</f>
        <v>Outperforming</v>
      </c>
      <c r="N2350">
        <f>IF(Table4[[#This Row],[Performance_Ratio]] &lt; 0.85, Table4[[#This Row],[Performance_Deviation]] * 50 / 1000, 0)</f>
        <v>0</v>
      </c>
    </row>
    <row r="2351" spans="1:14" x14ac:dyDescent="0.3">
      <c r="A2351" s="6" t="s">
        <v>9</v>
      </c>
      <c r="B2351" s="5">
        <v>45296.875</v>
      </c>
      <c r="C2351" s="6">
        <v>0</v>
      </c>
      <c r="D2351" s="6">
        <v>0</v>
      </c>
      <c r="E2351" s="6">
        <v>0</v>
      </c>
      <c r="F2351" s="6">
        <v>36.867260429780501</v>
      </c>
      <c r="G2351" s="6" t="str">
        <f t="shared" si="72"/>
        <v>OK</v>
      </c>
      <c r="H2351" s="6" t="str">
        <f t="shared" si="73"/>
        <v>ZERO</v>
      </c>
      <c r="I2351">
        <v>0</v>
      </c>
      <c r="J2351">
        <f>IFERROR(Table4[[#This Row],[energy_kwh]]/Table4[[#This Row],[expected_kwh]],0)</f>
        <v>0</v>
      </c>
      <c r="K2351" t="str">
        <f>IF(Table4[[#This Row],[Performance_Ratio]] &lt; 0.85, "Underperforming", "Performing")</f>
        <v>Underperforming</v>
      </c>
      <c r="L2351">
        <f>Table4[[#This Row],[energy_kwh]] - Table4[[#This Row],[expected_kwh]]</f>
        <v>0</v>
      </c>
      <c r="M2351" t="str">
        <f>IF(Table4[[#This Row],[Performance_Deviation]] &lt; 0, "Underperforming", "Outperforming")</f>
        <v>Outperforming</v>
      </c>
      <c r="N2351">
        <f>IF(Table4[[#This Row],[Performance_Ratio]] &lt; 0.85, Table4[[#This Row],[Performance_Deviation]] * 50 / 1000, 0)</f>
        <v>0</v>
      </c>
    </row>
    <row r="2352" spans="1:14" x14ac:dyDescent="0.3">
      <c r="A2352" s="4" t="s">
        <v>9</v>
      </c>
      <c r="B2352" s="3">
        <v>45296.916666666664</v>
      </c>
      <c r="C2352" s="4">
        <v>0</v>
      </c>
      <c r="D2352" s="4">
        <v>0</v>
      </c>
      <c r="E2352" s="4">
        <v>0</v>
      </c>
      <c r="F2352" s="4">
        <v>20.070728189561699</v>
      </c>
      <c r="G2352" s="4" t="str">
        <f t="shared" si="72"/>
        <v>OK</v>
      </c>
      <c r="H2352" s="4" t="str">
        <f t="shared" si="73"/>
        <v>ZERO</v>
      </c>
      <c r="I2352">
        <v>0</v>
      </c>
      <c r="J2352">
        <f>IFERROR(Table4[[#This Row],[energy_kwh]]/Table4[[#This Row],[expected_kwh]],0)</f>
        <v>0</v>
      </c>
      <c r="K2352" t="str">
        <f>IF(Table4[[#This Row],[Performance_Ratio]] &lt; 0.85, "Underperforming", "Performing")</f>
        <v>Underperforming</v>
      </c>
      <c r="L2352">
        <f>Table4[[#This Row],[energy_kwh]] - Table4[[#This Row],[expected_kwh]]</f>
        <v>0</v>
      </c>
      <c r="M2352" t="str">
        <f>IF(Table4[[#This Row],[Performance_Deviation]] &lt; 0, "Underperforming", "Outperforming")</f>
        <v>Outperforming</v>
      </c>
      <c r="N2352">
        <f>IF(Table4[[#This Row],[Performance_Ratio]] &lt; 0.85, Table4[[#This Row],[Performance_Deviation]] * 50 / 1000, 0)</f>
        <v>0</v>
      </c>
    </row>
    <row r="2353" spans="1:14" x14ac:dyDescent="0.3">
      <c r="A2353" s="6" t="s">
        <v>9</v>
      </c>
      <c r="B2353" s="5">
        <v>45296.958333333336</v>
      </c>
      <c r="C2353" s="6">
        <v>0</v>
      </c>
      <c r="D2353" s="6">
        <v>0</v>
      </c>
      <c r="E2353" s="6">
        <v>0</v>
      </c>
      <c r="F2353" s="6">
        <v>80.743484022956693</v>
      </c>
      <c r="G2353" s="6" t="str">
        <f t="shared" si="72"/>
        <v>OK</v>
      </c>
      <c r="H2353" s="6" t="str">
        <f t="shared" si="73"/>
        <v>ZERO</v>
      </c>
      <c r="I2353">
        <v>0</v>
      </c>
      <c r="J2353">
        <f>IFERROR(Table4[[#This Row],[energy_kwh]]/Table4[[#This Row],[expected_kwh]],0)</f>
        <v>0</v>
      </c>
      <c r="K2353" t="str">
        <f>IF(Table4[[#This Row],[Performance_Ratio]] &lt; 0.85, "Underperforming", "Performing")</f>
        <v>Underperforming</v>
      </c>
      <c r="L2353">
        <f>Table4[[#This Row],[energy_kwh]] - Table4[[#This Row],[expected_kwh]]</f>
        <v>0</v>
      </c>
      <c r="M2353" t="str">
        <f>IF(Table4[[#This Row],[Performance_Deviation]] &lt; 0, "Underperforming", "Outperforming")</f>
        <v>Outperforming</v>
      </c>
      <c r="N2353">
        <f>IF(Table4[[#This Row],[Performance_Ratio]] &lt; 0.85, Table4[[#This Row],[Performance_Deviation]] * 50 / 1000, 0)</f>
        <v>0</v>
      </c>
    </row>
    <row r="2354" spans="1:14" x14ac:dyDescent="0.3">
      <c r="A2354" s="4" t="s">
        <v>9</v>
      </c>
      <c r="B2354" s="3">
        <v>45297</v>
      </c>
      <c r="C2354" s="4">
        <v>0</v>
      </c>
      <c r="D2354" s="4">
        <v>0</v>
      </c>
      <c r="E2354" s="4">
        <v>0</v>
      </c>
      <c r="F2354" s="4">
        <v>55.784732554676197</v>
      </c>
      <c r="G2354" s="4" t="str">
        <f t="shared" si="72"/>
        <v>OK</v>
      </c>
      <c r="H2354" s="4" t="str">
        <f t="shared" si="73"/>
        <v>ZERO</v>
      </c>
      <c r="I2354">
        <v>0</v>
      </c>
      <c r="J2354">
        <f>IFERROR(Table4[[#This Row],[energy_kwh]]/Table4[[#This Row],[expected_kwh]],0)</f>
        <v>0</v>
      </c>
      <c r="K2354" t="str">
        <f>IF(Table4[[#This Row],[Performance_Ratio]] &lt; 0.85, "Underperforming", "Performing")</f>
        <v>Underperforming</v>
      </c>
      <c r="L2354">
        <f>Table4[[#This Row],[energy_kwh]] - Table4[[#This Row],[expected_kwh]]</f>
        <v>0</v>
      </c>
      <c r="M2354" t="str">
        <f>IF(Table4[[#This Row],[Performance_Deviation]] &lt; 0, "Underperforming", "Outperforming")</f>
        <v>Outperforming</v>
      </c>
      <c r="N2354">
        <f>IF(Table4[[#This Row],[Performance_Ratio]] &lt; 0.85, Table4[[#This Row],[Performance_Deviation]] * 50 / 1000, 0)</f>
        <v>0</v>
      </c>
    </row>
    <row r="2355" spans="1:14" x14ac:dyDescent="0.3">
      <c r="A2355" s="6" t="s">
        <v>9</v>
      </c>
      <c r="B2355" s="5">
        <v>45297.041666666664</v>
      </c>
      <c r="C2355" s="6">
        <v>0</v>
      </c>
      <c r="D2355" s="6">
        <v>0</v>
      </c>
      <c r="E2355" s="6">
        <v>0</v>
      </c>
      <c r="F2355" s="6">
        <v>59.507668045211901</v>
      </c>
      <c r="G2355" s="6" t="str">
        <f t="shared" si="72"/>
        <v>OK</v>
      </c>
      <c r="H2355" s="6" t="str">
        <f t="shared" si="73"/>
        <v>ZERO</v>
      </c>
      <c r="I2355">
        <v>0</v>
      </c>
      <c r="J2355">
        <f>IFERROR(Table4[[#This Row],[energy_kwh]]/Table4[[#This Row],[expected_kwh]],0)</f>
        <v>0</v>
      </c>
      <c r="K2355" t="str">
        <f>IF(Table4[[#This Row],[Performance_Ratio]] &lt; 0.85, "Underperforming", "Performing")</f>
        <v>Underperforming</v>
      </c>
      <c r="L2355">
        <f>Table4[[#This Row],[energy_kwh]] - Table4[[#This Row],[expected_kwh]]</f>
        <v>0</v>
      </c>
      <c r="M2355" t="str">
        <f>IF(Table4[[#This Row],[Performance_Deviation]] &lt; 0, "Underperforming", "Outperforming")</f>
        <v>Outperforming</v>
      </c>
      <c r="N2355">
        <f>IF(Table4[[#This Row],[Performance_Ratio]] &lt; 0.85, Table4[[#This Row],[Performance_Deviation]] * 50 / 1000, 0)</f>
        <v>0</v>
      </c>
    </row>
    <row r="2356" spans="1:14" x14ac:dyDescent="0.3">
      <c r="A2356" s="4" t="s">
        <v>9</v>
      </c>
      <c r="B2356" s="3">
        <v>45297.083333333336</v>
      </c>
      <c r="C2356" s="4">
        <v>0</v>
      </c>
      <c r="D2356" s="4">
        <v>0</v>
      </c>
      <c r="E2356" s="4">
        <v>0</v>
      </c>
      <c r="F2356" s="4">
        <v>37.247106155077503</v>
      </c>
      <c r="G2356" s="4" t="str">
        <f t="shared" si="72"/>
        <v>OK</v>
      </c>
      <c r="H2356" s="4" t="str">
        <f t="shared" si="73"/>
        <v>ZERO</v>
      </c>
      <c r="I2356">
        <v>0</v>
      </c>
      <c r="J2356">
        <f>IFERROR(Table4[[#This Row],[energy_kwh]]/Table4[[#This Row],[expected_kwh]],0)</f>
        <v>0</v>
      </c>
      <c r="K2356" t="str">
        <f>IF(Table4[[#This Row],[Performance_Ratio]] &lt; 0.85, "Underperforming", "Performing")</f>
        <v>Underperforming</v>
      </c>
      <c r="L2356">
        <f>Table4[[#This Row],[energy_kwh]] - Table4[[#This Row],[expected_kwh]]</f>
        <v>0</v>
      </c>
      <c r="M2356" t="str">
        <f>IF(Table4[[#This Row],[Performance_Deviation]] &lt; 0, "Underperforming", "Outperforming")</f>
        <v>Outperforming</v>
      </c>
      <c r="N2356">
        <f>IF(Table4[[#This Row],[Performance_Ratio]] &lt; 0.85, Table4[[#This Row],[Performance_Deviation]] * 50 / 1000, 0)</f>
        <v>0</v>
      </c>
    </row>
    <row r="2357" spans="1:14" x14ac:dyDescent="0.3">
      <c r="A2357" s="6" t="s">
        <v>9</v>
      </c>
      <c r="B2357" s="5">
        <v>45297.125</v>
      </c>
      <c r="C2357" s="6">
        <v>0</v>
      </c>
      <c r="D2357" s="6">
        <v>0</v>
      </c>
      <c r="E2357" s="6">
        <v>0</v>
      </c>
      <c r="F2357" s="6">
        <v>71.090694336616096</v>
      </c>
      <c r="G2357" s="6" t="str">
        <f t="shared" si="72"/>
        <v>OK</v>
      </c>
      <c r="H2357" s="6" t="str">
        <f t="shared" si="73"/>
        <v>ZERO</v>
      </c>
      <c r="I2357">
        <v>0</v>
      </c>
      <c r="J2357">
        <f>IFERROR(Table4[[#This Row],[energy_kwh]]/Table4[[#This Row],[expected_kwh]],0)</f>
        <v>0</v>
      </c>
      <c r="K2357" t="str">
        <f>IF(Table4[[#This Row],[Performance_Ratio]] &lt; 0.85, "Underperforming", "Performing")</f>
        <v>Underperforming</v>
      </c>
      <c r="L2357">
        <f>Table4[[#This Row],[energy_kwh]] - Table4[[#This Row],[expected_kwh]]</f>
        <v>0</v>
      </c>
      <c r="M2357" t="str">
        <f>IF(Table4[[#This Row],[Performance_Deviation]] &lt; 0, "Underperforming", "Outperforming")</f>
        <v>Outperforming</v>
      </c>
      <c r="N2357">
        <f>IF(Table4[[#This Row],[Performance_Ratio]] &lt; 0.85, Table4[[#This Row],[Performance_Deviation]] * 50 / 1000, 0)</f>
        <v>0</v>
      </c>
    </row>
    <row r="2358" spans="1:14" x14ac:dyDescent="0.3">
      <c r="A2358" s="4" t="s">
        <v>9</v>
      </c>
      <c r="B2358" s="3">
        <v>45297.166666666664</v>
      </c>
      <c r="C2358" s="4">
        <v>0</v>
      </c>
      <c r="D2358" s="4">
        <v>0</v>
      </c>
      <c r="E2358" s="4">
        <v>0</v>
      </c>
      <c r="F2358" s="4">
        <v>80.552820484436694</v>
      </c>
      <c r="G2358" s="4" t="str">
        <f t="shared" si="72"/>
        <v>OK</v>
      </c>
      <c r="H2358" s="4" t="str">
        <f t="shared" si="73"/>
        <v>ZERO</v>
      </c>
      <c r="I2358">
        <v>0</v>
      </c>
      <c r="J2358">
        <f>IFERROR(Table4[[#This Row],[energy_kwh]]/Table4[[#This Row],[expected_kwh]],0)</f>
        <v>0</v>
      </c>
      <c r="K2358" t="str">
        <f>IF(Table4[[#This Row],[Performance_Ratio]] &lt; 0.85, "Underperforming", "Performing")</f>
        <v>Underperforming</v>
      </c>
      <c r="L2358">
        <f>Table4[[#This Row],[energy_kwh]] - Table4[[#This Row],[expected_kwh]]</f>
        <v>0</v>
      </c>
      <c r="M2358" t="str">
        <f>IF(Table4[[#This Row],[Performance_Deviation]] &lt; 0, "Underperforming", "Outperforming")</f>
        <v>Outperforming</v>
      </c>
      <c r="N2358">
        <f>IF(Table4[[#This Row],[Performance_Ratio]] &lt; 0.85, Table4[[#This Row],[Performance_Deviation]] * 50 / 1000, 0)</f>
        <v>0</v>
      </c>
    </row>
    <row r="2359" spans="1:14" x14ac:dyDescent="0.3">
      <c r="A2359" s="6" t="s">
        <v>9</v>
      </c>
      <c r="B2359" s="5">
        <v>45297.208333333336</v>
      </c>
      <c r="C2359" s="6">
        <v>0</v>
      </c>
      <c r="D2359" s="6">
        <v>0</v>
      </c>
      <c r="E2359" s="6">
        <v>0</v>
      </c>
      <c r="F2359" s="6">
        <v>93.7208691215165</v>
      </c>
      <c r="G2359" s="6" t="str">
        <f t="shared" si="72"/>
        <v>OK</v>
      </c>
      <c r="H2359" s="6" t="str">
        <f t="shared" si="73"/>
        <v>ZERO</v>
      </c>
      <c r="I2359">
        <v>0</v>
      </c>
      <c r="J2359">
        <f>IFERROR(Table4[[#This Row],[energy_kwh]]/Table4[[#This Row],[expected_kwh]],0)</f>
        <v>0</v>
      </c>
      <c r="K2359" t="str">
        <f>IF(Table4[[#This Row],[Performance_Ratio]] &lt; 0.85, "Underperforming", "Performing")</f>
        <v>Underperforming</v>
      </c>
      <c r="L2359">
        <f>Table4[[#This Row],[energy_kwh]] - Table4[[#This Row],[expected_kwh]]</f>
        <v>0</v>
      </c>
      <c r="M2359" t="str">
        <f>IF(Table4[[#This Row],[Performance_Deviation]] &lt; 0, "Underperforming", "Outperforming")</f>
        <v>Outperforming</v>
      </c>
      <c r="N2359">
        <f>IF(Table4[[#This Row],[Performance_Ratio]] &lt; 0.85, Table4[[#This Row],[Performance_Deviation]] * 50 / 1000, 0)</f>
        <v>0</v>
      </c>
    </row>
    <row r="2360" spans="1:14" x14ac:dyDescent="0.3">
      <c r="A2360" s="4" t="s">
        <v>9</v>
      </c>
      <c r="B2360" s="3">
        <v>45297.25</v>
      </c>
      <c r="C2360" s="4">
        <v>0</v>
      </c>
      <c r="D2360" s="4">
        <v>0</v>
      </c>
      <c r="E2360" s="4">
        <v>0</v>
      </c>
      <c r="F2360" s="4">
        <v>93.387084850384298</v>
      </c>
      <c r="G2360" s="4" t="str">
        <f t="shared" si="72"/>
        <v>OK</v>
      </c>
      <c r="H2360" s="4" t="str">
        <f t="shared" si="73"/>
        <v>ZERO</v>
      </c>
      <c r="I2360">
        <v>0</v>
      </c>
      <c r="J2360">
        <f>IFERROR(Table4[[#This Row],[energy_kwh]]/Table4[[#This Row],[expected_kwh]],0)</f>
        <v>0</v>
      </c>
      <c r="K2360" t="str">
        <f>IF(Table4[[#This Row],[Performance_Ratio]] &lt; 0.85, "Underperforming", "Performing")</f>
        <v>Underperforming</v>
      </c>
      <c r="L2360">
        <f>Table4[[#This Row],[energy_kwh]] - Table4[[#This Row],[expected_kwh]]</f>
        <v>0</v>
      </c>
      <c r="M2360" t="str">
        <f>IF(Table4[[#This Row],[Performance_Deviation]] &lt; 0, "Underperforming", "Outperforming")</f>
        <v>Outperforming</v>
      </c>
      <c r="N2360">
        <f>IF(Table4[[#This Row],[Performance_Ratio]] &lt; 0.85, Table4[[#This Row],[Performance_Deviation]] * 50 / 1000, 0)</f>
        <v>0</v>
      </c>
    </row>
    <row r="2361" spans="1:14" x14ac:dyDescent="0.3">
      <c r="A2361" s="6" t="s">
        <v>9</v>
      </c>
      <c r="B2361" s="5">
        <v>45297.291666666664</v>
      </c>
      <c r="C2361" s="6">
        <v>224.673799571942</v>
      </c>
      <c r="D2361" s="6">
        <v>216.57348664924601</v>
      </c>
      <c r="E2361" s="6">
        <v>216.57348664924601</v>
      </c>
      <c r="F2361" s="6">
        <v>69.184720992478901</v>
      </c>
      <c r="G2361" s="6" t="str">
        <f t="shared" si="72"/>
        <v>OK</v>
      </c>
      <c r="H2361" s="6" t="str">
        <f t="shared" si="73"/>
        <v>NON-ZERO</v>
      </c>
      <c r="I2361">
        <v>248.466283298419</v>
      </c>
      <c r="J2361">
        <f>IFERROR(Table4[[#This Row],[energy_kwh]]/Table4[[#This Row],[expected_kwh]],0)</f>
        <v>0.87164135018324262</v>
      </c>
      <c r="K2361" t="str">
        <f>IF(Table4[[#This Row],[Performance_Ratio]] &lt; 0.85, "Underperforming", "Performing")</f>
        <v>Performing</v>
      </c>
      <c r="L2361">
        <f>Table4[[#This Row],[energy_kwh]] - Table4[[#This Row],[expected_kwh]]</f>
        <v>-31.892796649172993</v>
      </c>
      <c r="M2361" t="str">
        <f>IF(Table4[[#This Row],[Performance_Deviation]] &lt; 0, "Underperforming", "Outperforming")</f>
        <v>Underperforming</v>
      </c>
      <c r="N2361">
        <f>IF(Table4[[#This Row],[Performance_Ratio]] &lt; 0.85, Table4[[#This Row],[Performance_Deviation]] * 50 / 1000, 0)</f>
        <v>0</v>
      </c>
    </row>
    <row r="2362" spans="1:14" x14ac:dyDescent="0.3">
      <c r="A2362" s="4" t="s">
        <v>9</v>
      </c>
      <c r="B2362" s="3">
        <v>45297.333333333336</v>
      </c>
      <c r="C2362" s="4">
        <v>438.70299889681098</v>
      </c>
      <c r="D2362" s="4">
        <v>422.886149856293</v>
      </c>
      <c r="E2362" s="4">
        <v>422.886149856293</v>
      </c>
      <c r="F2362" s="4">
        <v>51.256179546803899</v>
      </c>
      <c r="G2362" s="4" t="str">
        <f t="shared" si="72"/>
        <v>OK</v>
      </c>
      <c r="H2362" s="4" t="str">
        <f t="shared" si="73"/>
        <v>NON-ZERO</v>
      </c>
      <c r="I2362">
        <v>479.99999999999898</v>
      </c>
      <c r="J2362">
        <f>IFERROR(Table4[[#This Row],[energy_kwh]]/Table4[[#This Row],[expected_kwh]],0)</f>
        <v>0.88101281220061234</v>
      </c>
      <c r="K2362" t="str">
        <f>IF(Table4[[#This Row],[Performance_Ratio]] &lt; 0.85, "Underperforming", "Performing")</f>
        <v>Performing</v>
      </c>
      <c r="L2362">
        <f>Table4[[#This Row],[energy_kwh]] - Table4[[#This Row],[expected_kwh]]</f>
        <v>-57.113850143705974</v>
      </c>
      <c r="M2362" t="str">
        <f>IF(Table4[[#This Row],[Performance_Deviation]] &lt; 0, "Underperforming", "Outperforming")</f>
        <v>Underperforming</v>
      </c>
      <c r="N2362">
        <f>IF(Table4[[#This Row],[Performance_Ratio]] &lt; 0.85, Table4[[#This Row],[Performance_Deviation]] * 50 / 1000, 0)</f>
        <v>0</v>
      </c>
    </row>
    <row r="2363" spans="1:14" x14ac:dyDescent="0.3">
      <c r="A2363" s="6" t="s">
        <v>9</v>
      </c>
      <c r="B2363" s="5">
        <v>45297.375</v>
      </c>
      <c r="C2363" s="6">
        <v>644.72579388748898</v>
      </c>
      <c r="D2363" s="6">
        <v>621.48106891389602</v>
      </c>
      <c r="E2363" s="6">
        <v>621.48106891389602</v>
      </c>
      <c r="F2363" s="6">
        <v>36.5957443299638</v>
      </c>
      <c r="G2363" s="6" t="str">
        <f t="shared" si="72"/>
        <v>OK</v>
      </c>
      <c r="H2363" s="6" t="str">
        <f t="shared" si="73"/>
        <v>NON-ZERO</v>
      </c>
      <c r="I2363">
        <v>678.82250993908497</v>
      </c>
      <c r="J2363">
        <f>IFERROR(Table4[[#This Row],[energy_kwh]]/Table4[[#This Row],[expected_kwh]],0)</f>
        <v>0.91552807960016747</v>
      </c>
      <c r="K2363" t="str">
        <f>IF(Table4[[#This Row],[Performance_Ratio]] &lt; 0.85, "Underperforming", "Performing")</f>
        <v>Performing</v>
      </c>
      <c r="L2363">
        <f>Table4[[#This Row],[energy_kwh]] - Table4[[#This Row],[expected_kwh]]</f>
        <v>-57.341441025188942</v>
      </c>
      <c r="M2363" t="str">
        <f>IF(Table4[[#This Row],[Performance_Deviation]] &lt; 0, "Underperforming", "Outperforming")</f>
        <v>Underperforming</v>
      </c>
      <c r="N2363">
        <f>IF(Table4[[#This Row],[Performance_Ratio]] &lt; 0.85, Table4[[#This Row],[Performance_Deviation]] * 50 / 1000, 0)</f>
        <v>0</v>
      </c>
    </row>
    <row r="2364" spans="1:14" x14ac:dyDescent="0.3">
      <c r="A2364" s="4" t="s">
        <v>9</v>
      </c>
      <c r="B2364" s="3">
        <v>45297.416666666664</v>
      </c>
      <c r="C2364" s="4">
        <v>766.42079775750904</v>
      </c>
      <c r="D2364" s="4">
        <v>738.78852241376205</v>
      </c>
      <c r="E2364" s="4">
        <v>738.78852241376205</v>
      </c>
      <c r="F2364" s="4">
        <v>48.711815597262699</v>
      </c>
      <c r="G2364" s="4" t="str">
        <f t="shared" si="72"/>
        <v>OK</v>
      </c>
      <c r="H2364" s="4" t="str">
        <f t="shared" si="73"/>
        <v>NON-ZERO</v>
      </c>
      <c r="I2364">
        <v>831.38438763306101</v>
      </c>
      <c r="J2364">
        <f>IFERROR(Table4[[#This Row],[energy_kwh]]/Table4[[#This Row],[expected_kwh]],0)</f>
        <v>0.8886244839370655</v>
      </c>
      <c r="K2364" t="str">
        <f>IF(Table4[[#This Row],[Performance_Ratio]] &lt; 0.85, "Underperforming", "Performing")</f>
        <v>Performing</v>
      </c>
      <c r="L2364">
        <f>Table4[[#This Row],[energy_kwh]] - Table4[[#This Row],[expected_kwh]]</f>
        <v>-92.595865219298958</v>
      </c>
      <c r="M2364" t="str">
        <f>IF(Table4[[#This Row],[Performance_Deviation]] &lt; 0, "Underperforming", "Outperforming")</f>
        <v>Underperforming</v>
      </c>
      <c r="N2364">
        <f>IF(Table4[[#This Row],[Performance_Ratio]] &lt; 0.85, Table4[[#This Row],[Performance_Deviation]] * 50 / 1000, 0)</f>
        <v>0</v>
      </c>
    </row>
    <row r="2365" spans="1:14" x14ac:dyDescent="0.3">
      <c r="A2365" s="6" t="s">
        <v>9</v>
      </c>
      <c r="B2365" s="5">
        <v>45297.458333333336</v>
      </c>
      <c r="C2365" s="6">
        <v>811.90642424562805</v>
      </c>
      <c r="D2365" s="6">
        <v>782.63422556083901</v>
      </c>
      <c r="E2365" s="6">
        <v>782.63422556083901</v>
      </c>
      <c r="F2365" s="6">
        <v>38.090508097101697</v>
      </c>
      <c r="G2365" s="6" t="str">
        <f t="shared" si="72"/>
        <v>OK</v>
      </c>
      <c r="H2365" s="6" t="str">
        <f t="shared" si="73"/>
        <v>NON-ZERO</v>
      </c>
      <c r="I2365">
        <v>927.28879323750505</v>
      </c>
      <c r="J2365">
        <f>IFERROR(Table4[[#This Row],[energy_kwh]]/Table4[[#This Row],[expected_kwh]],0)</f>
        <v>0.84400267885086377</v>
      </c>
      <c r="K2365" t="str">
        <f>IF(Table4[[#This Row],[Performance_Ratio]] &lt; 0.85, "Underperforming", "Performing")</f>
        <v>Underperforming</v>
      </c>
      <c r="L2365">
        <f>Table4[[#This Row],[energy_kwh]] - Table4[[#This Row],[expected_kwh]]</f>
        <v>-144.65456767666603</v>
      </c>
      <c r="M2365" t="str">
        <f>IF(Table4[[#This Row],[Performance_Deviation]] &lt; 0, "Underperforming", "Outperforming")</f>
        <v>Underperforming</v>
      </c>
      <c r="N2365">
        <f>IF(Table4[[#This Row],[Performance_Ratio]] &lt; 0.85, Table4[[#This Row],[Performance_Deviation]] * 50 / 1000, 0)</f>
        <v>-7.2327283838333019</v>
      </c>
    </row>
    <row r="2366" spans="1:14" x14ac:dyDescent="0.3">
      <c r="A2366" s="4" t="s">
        <v>9</v>
      </c>
      <c r="B2366" s="3">
        <v>45297.5</v>
      </c>
      <c r="C2366" s="4">
        <v>924.32939357741702</v>
      </c>
      <c r="D2366" s="4">
        <v>891.00393530908502</v>
      </c>
      <c r="E2366" s="4">
        <v>891.00393530908502</v>
      </c>
      <c r="F2366" s="4">
        <v>36.695272740592799</v>
      </c>
      <c r="G2366" s="4" t="str">
        <f t="shared" si="72"/>
        <v>OK</v>
      </c>
      <c r="H2366" s="4" t="str">
        <f t="shared" si="73"/>
        <v>NON-ZERO</v>
      </c>
      <c r="I2366">
        <v>960</v>
      </c>
      <c r="J2366">
        <f>IFERROR(Table4[[#This Row],[energy_kwh]]/Table4[[#This Row],[expected_kwh]],0)</f>
        <v>0.92812909928029685</v>
      </c>
      <c r="K2366" t="str">
        <f>IF(Table4[[#This Row],[Performance_Ratio]] &lt; 0.85, "Underperforming", "Performing")</f>
        <v>Performing</v>
      </c>
      <c r="L2366">
        <f>Table4[[#This Row],[energy_kwh]] - Table4[[#This Row],[expected_kwh]]</f>
        <v>-68.996064690914977</v>
      </c>
      <c r="M2366" t="str">
        <f>IF(Table4[[#This Row],[Performance_Deviation]] &lt; 0, "Underperforming", "Outperforming")</f>
        <v>Underperforming</v>
      </c>
      <c r="N2366">
        <f>IF(Table4[[#This Row],[Performance_Ratio]] &lt; 0.85, Table4[[#This Row],[Performance_Deviation]] * 50 / 1000, 0)</f>
        <v>0</v>
      </c>
    </row>
    <row r="2367" spans="1:14" x14ac:dyDescent="0.3">
      <c r="A2367" s="6" t="s">
        <v>9</v>
      </c>
      <c r="B2367" s="5">
        <v>45297.541666666664</v>
      </c>
      <c r="C2367" s="6">
        <v>883.83249067589304</v>
      </c>
      <c r="D2367" s="6">
        <v>851.96709400142402</v>
      </c>
      <c r="E2367" s="6">
        <v>851.96709400142402</v>
      </c>
      <c r="F2367" s="6">
        <v>43.971359413105297</v>
      </c>
      <c r="G2367" s="6" t="str">
        <f t="shared" si="72"/>
        <v>OK</v>
      </c>
      <c r="H2367" s="6" t="str">
        <f t="shared" si="73"/>
        <v>NON-ZERO</v>
      </c>
      <c r="I2367">
        <v>927.28879323750505</v>
      </c>
      <c r="J2367">
        <f>IFERROR(Table4[[#This Row],[energy_kwh]]/Table4[[#This Row],[expected_kwh]],0)</f>
        <v>0.91877212386757601</v>
      </c>
      <c r="K2367" t="str">
        <f>IF(Table4[[#This Row],[Performance_Ratio]] &lt; 0.85, "Underperforming", "Performing")</f>
        <v>Performing</v>
      </c>
      <c r="L2367">
        <f>Table4[[#This Row],[energy_kwh]] - Table4[[#This Row],[expected_kwh]]</f>
        <v>-75.321699236081031</v>
      </c>
      <c r="M2367" t="str">
        <f>IF(Table4[[#This Row],[Performance_Deviation]] &lt; 0, "Underperforming", "Outperforming")</f>
        <v>Underperforming</v>
      </c>
      <c r="N2367">
        <f>IF(Table4[[#This Row],[Performance_Ratio]] &lt; 0.85, Table4[[#This Row],[Performance_Deviation]] * 50 / 1000, 0)</f>
        <v>0</v>
      </c>
    </row>
    <row r="2368" spans="1:14" x14ac:dyDescent="0.3">
      <c r="A2368" s="4" t="s">
        <v>9</v>
      </c>
      <c r="B2368" s="3">
        <v>45297.583333333336</v>
      </c>
      <c r="C2368" s="4">
        <v>759.38676479872095</v>
      </c>
      <c r="D2368" s="4">
        <v>732.00809209214503</v>
      </c>
      <c r="E2368" s="4">
        <v>732.00809209214503</v>
      </c>
      <c r="F2368" s="4">
        <v>56.908749281439597</v>
      </c>
      <c r="G2368" s="4" t="str">
        <f t="shared" si="72"/>
        <v>OK</v>
      </c>
      <c r="H2368" s="4" t="str">
        <f t="shared" si="73"/>
        <v>NON-ZERO</v>
      </c>
      <c r="I2368">
        <v>831.38438763306101</v>
      </c>
      <c r="J2368">
        <f>IFERROR(Table4[[#This Row],[energy_kwh]]/Table4[[#This Row],[expected_kwh]],0)</f>
        <v>0.88046889378830073</v>
      </c>
      <c r="K2368" t="str">
        <f>IF(Table4[[#This Row],[Performance_Ratio]] &lt; 0.85, "Underperforming", "Performing")</f>
        <v>Performing</v>
      </c>
      <c r="L2368">
        <f>Table4[[#This Row],[energy_kwh]] - Table4[[#This Row],[expected_kwh]]</f>
        <v>-99.376295540915976</v>
      </c>
      <c r="M2368" t="str">
        <f>IF(Table4[[#This Row],[Performance_Deviation]] &lt; 0, "Underperforming", "Outperforming")</f>
        <v>Underperforming</v>
      </c>
      <c r="N2368">
        <f>IF(Table4[[#This Row],[Performance_Ratio]] &lt; 0.85, Table4[[#This Row],[Performance_Deviation]] * 50 / 1000, 0)</f>
        <v>0</v>
      </c>
    </row>
    <row r="2369" spans="1:14" x14ac:dyDescent="0.3">
      <c r="A2369" s="6" t="s">
        <v>9</v>
      </c>
      <c r="B2369" s="5">
        <v>45297.625</v>
      </c>
      <c r="C2369" s="6">
        <v>610.05571479715695</v>
      </c>
      <c r="D2369" s="6">
        <v>588.06097308917595</v>
      </c>
      <c r="E2369" s="6">
        <v>588.06097308917595</v>
      </c>
      <c r="F2369" s="6">
        <v>27.690090358448298</v>
      </c>
      <c r="G2369" s="6" t="str">
        <f t="shared" si="72"/>
        <v>OK</v>
      </c>
      <c r="H2369" s="6" t="str">
        <f t="shared" si="73"/>
        <v>NON-ZERO</v>
      </c>
      <c r="I2369">
        <v>678.82250993908497</v>
      </c>
      <c r="J2369">
        <f>IFERROR(Table4[[#This Row],[energy_kwh]]/Table4[[#This Row],[expected_kwh]],0)</f>
        <v>0.86629562879690947</v>
      </c>
      <c r="K2369" t="str">
        <f>IF(Table4[[#This Row],[Performance_Ratio]] &lt; 0.85, "Underperforming", "Performing")</f>
        <v>Performing</v>
      </c>
      <c r="L2369">
        <f>Table4[[#This Row],[energy_kwh]] - Table4[[#This Row],[expected_kwh]]</f>
        <v>-90.761536849909021</v>
      </c>
      <c r="M2369" t="str">
        <f>IF(Table4[[#This Row],[Performance_Deviation]] &lt; 0, "Underperforming", "Outperforming")</f>
        <v>Underperforming</v>
      </c>
      <c r="N2369">
        <f>IF(Table4[[#This Row],[Performance_Ratio]] &lt; 0.85, Table4[[#This Row],[Performance_Deviation]] * 50 / 1000, 0)</f>
        <v>0</v>
      </c>
    </row>
    <row r="2370" spans="1:14" x14ac:dyDescent="0.3">
      <c r="A2370" s="4" t="s">
        <v>9</v>
      </c>
      <c r="B2370" s="3">
        <v>45297.666666666664</v>
      </c>
      <c r="C2370" s="4">
        <v>429.16907231082502</v>
      </c>
      <c r="D2370" s="4">
        <v>413.69595622392899</v>
      </c>
      <c r="E2370" s="4">
        <v>413.69595622392899</v>
      </c>
      <c r="F2370" s="4">
        <v>38.703184099691903</v>
      </c>
      <c r="G2370" s="4" t="str">
        <f t="shared" ref="G2370:G2433" si="74">IF(D2370 &gt; C2370, "ERROR", "OK")</f>
        <v>OK</v>
      </c>
      <c r="H2370" s="4" t="str">
        <f t="shared" ref="H2370:H2433" si="75">IF(E2370=0,"ZERO","NON-ZERO")</f>
        <v>NON-ZERO</v>
      </c>
      <c r="I2370">
        <v>479.99999999999898</v>
      </c>
      <c r="J2370">
        <f>IFERROR(Table4[[#This Row],[energy_kwh]]/Table4[[#This Row],[expected_kwh]],0)</f>
        <v>0.86186657546652057</v>
      </c>
      <c r="K2370" t="str">
        <f>IF(Table4[[#This Row],[Performance_Ratio]] &lt; 0.85, "Underperforming", "Performing")</f>
        <v>Performing</v>
      </c>
      <c r="L2370">
        <f>Table4[[#This Row],[energy_kwh]] - Table4[[#This Row],[expected_kwh]]</f>
        <v>-66.304043776069989</v>
      </c>
      <c r="M2370" t="str">
        <f>IF(Table4[[#This Row],[Performance_Deviation]] &lt; 0, "Underperforming", "Outperforming")</f>
        <v>Underperforming</v>
      </c>
      <c r="N2370">
        <f>IF(Table4[[#This Row],[Performance_Ratio]] &lt; 0.85, Table4[[#This Row],[Performance_Deviation]] * 50 / 1000, 0)</f>
        <v>0</v>
      </c>
    </row>
    <row r="2371" spans="1:14" x14ac:dyDescent="0.3">
      <c r="A2371" s="6" t="s">
        <v>9</v>
      </c>
      <c r="B2371" s="5">
        <v>45297.708333333336</v>
      </c>
      <c r="C2371" s="6">
        <v>239.89661333940899</v>
      </c>
      <c r="D2371" s="6">
        <v>231.24746225527599</v>
      </c>
      <c r="E2371" s="6">
        <v>231.24746225527599</v>
      </c>
      <c r="F2371" s="6">
        <v>25.472624969426501</v>
      </c>
      <c r="G2371" s="6" t="str">
        <f t="shared" si="74"/>
        <v>OK</v>
      </c>
      <c r="H2371" s="6" t="str">
        <f t="shared" si="75"/>
        <v>NON-ZERO</v>
      </c>
      <c r="I2371">
        <v>248.46628329842</v>
      </c>
      <c r="J2371">
        <f>IFERROR(Table4[[#This Row],[energy_kwh]]/Table4[[#This Row],[expected_kwh]],0)</f>
        <v>0.93069956690073974</v>
      </c>
      <c r="K2371" t="str">
        <f>IF(Table4[[#This Row],[Performance_Ratio]] &lt; 0.85, "Underperforming", "Performing")</f>
        <v>Performing</v>
      </c>
      <c r="L2371">
        <f>Table4[[#This Row],[energy_kwh]] - Table4[[#This Row],[expected_kwh]]</f>
        <v>-17.218821043144004</v>
      </c>
      <c r="M2371" t="str">
        <f>IF(Table4[[#This Row],[Performance_Deviation]] &lt; 0, "Underperforming", "Outperforming")</f>
        <v>Underperforming</v>
      </c>
      <c r="N2371">
        <f>IF(Table4[[#This Row],[Performance_Ratio]] &lt; 0.85, Table4[[#This Row],[Performance_Deviation]] * 50 / 1000, 0)</f>
        <v>0</v>
      </c>
    </row>
    <row r="2372" spans="1:14" x14ac:dyDescent="0.3">
      <c r="A2372" s="4" t="s">
        <v>9</v>
      </c>
      <c r="B2372" s="3">
        <v>45297.75</v>
      </c>
      <c r="C2372" s="7">
        <v>1.1145036566118401E-13</v>
      </c>
      <c r="D2372" s="7">
        <v>1.0743217200031001E-13</v>
      </c>
      <c r="E2372" s="7">
        <v>1.0743217200031001E-13</v>
      </c>
      <c r="F2372" s="4">
        <v>71.137477402464398</v>
      </c>
      <c r="G2372" s="4" t="str">
        <f t="shared" si="74"/>
        <v>OK</v>
      </c>
      <c r="H2372" s="4" t="str">
        <f t="shared" si="75"/>
        <v>NON-ZERO</v>
      </c>
      <c r="I2372" s="2">
        <v>1.1756609271814501E-13</v>
      </c>
      <c r="J2372">
        <f>IFERROR(Table4[[#This Row],[energy_kwh]]/Table4[[#This Row],[expected_kwh]],0)</f>
        <v>0.91380235165142176</v>
      </c>
      <c r="K2372" t="str">
        <f>IF(Table4[[#This Row],[Performance_Ratio]] &lt; 0.85, "Underperforming", "Performing")</f>
        <v>Performing</v>
      </c>
      <c r="L2372">
        <f>Table4[[#This Row],[energy_kwh]] - Table4[[#This Row],[expected_kwh]]</f>
        <v>-1.0133920717835004E-14</v>
      </c>
      <c r="M2372" t="str">
        <f>IF(Table4[[#This Row],[Performance_Deviation]] &lt; 0, "Underperforming", "Outperforming")</f>
        <v>Underperforming</v>
      </c>
      <c r="N2372">
        <f>IF(Table4[[#This Row],[Performance_Ratio]] &lt; 0.85, Table4[[#This Row],[Performance_Deviation]] * 50 / 1000, 0)</f>
        <v>0</v>
      </c>
    </row>
    <row r="2373" spans="1:14" x14ac:dyDescent="0.3">
      <c r="A2373" s="6" t="s">
        <v>9</v>
      </c>
      <c r="B2373" s="5">
        <v>45297.791666666664</v>
      </c>
      <c r="C2373" s="6">
        <v>0</v>
      </c>
      <c r="D2373" s="6">
        <v>0</v>
      </c>
      <c r="E2373" s="6">
        <v>0</v>
      </c>
      <c r="F2373" s="6">
        <v>66.7959181071041</v>
      </c>
      <c r="G2373" s="6" t="str">
        <f t="shared" si="74"/>
        <v>OK</v>
      </c>
      <c r="H2373" s="6" t="str">
        <f t="shared" si="75"/>
        <v>ZERO</v>
      </c>
      <c r="I2373">
        <v>0</v>
      </c>
      <c r="J2373">
        <f>IFERROR(Table4[[#This Row],[energy_kwh]]/Table4[[#This Row],[expected_kwh]],0)</f>
        <v>0</v>
      </c>
      <c r="K2373" t="str">
        <f>IF(Table4[[#This Row],[Performance_Ratio]] &lt; 0.85, "Underperforming", "Performing")</f>
        <v>Underperforming</v>
      </c>
      <c r="L2373">
        <f>Table4[[#This Row],[energy_kwh]] - Table4[[#This Row],[expected_kwh]]</f>
        <v>0</v>
      </c>
      <c r="M2373" t="str">
        <f>IF(Table4[[#This Row],[Performance_Deviation]] &lt; 0, "Underperforming", "Outperforming")</f>
        <v>Outperforming</v>
      </c>
      <c r="N2373">
        <f>IF(Table4[[#This Row],[Performance_Ratio]] &lt; 0.85, Table4[[#This Row],[Performance_Deviation]] * 50 / 1000, 0)</f>
        <v>0</v>
      </c>
    </row>
    <row r="2374" spans="1:14" x14ac:dyDescent="0.3">
      <c r="A2374" s="4" t="s">
        <v>9</v>
      </c>
      <c r="B2374" s="3">
        <v>45297.833333333336</v>
      </c>
      <c r="C2374" s="4">
        <v>0</v>
      </c>
      <c r="D2374" s="4">
        <v>0</v>
      </c>
      <c r="E2374" s="4">
        <v>0</v>
      </c>
      <c r="F2374" s="4">
        <v>68.681880540391106</v>
      </c>
      <c r="G2374" s="4" t="str">
        <f t="shared" si="74"/>
        <v>OK</v>
      </c>
      <c r="H2374" s="4" t="str">
        <f t="shared" si="75"/>
        <v>ZERO</v>
      </c>
      <c r="I2374">
        <v>0</v>
      </c>
      <c r="J2374">
        <f>IFERROR(Table4[[#This Row],[energy_kwh]]/Table4[[#This Row],[expected_kwh]],0)</f>
        <v>0</v>
      </c>
      <c r="K2374" t="str">
        <f>IF(Table4[[#This Row],[Performance_Ratio]] &lt; 0.85, "Underperforming", "Performing")</f>
        <v>Underperforming</v>
      </c>
      <c r="L2374">
        <f>Table4[[#This Row],[energy_kwh]] - Table4[[#This Row],[expected_kwh]]</f>
        <v>0</v>
      </c>
      <c r="M2374" t="str">
        <f>IF(Table4[[#This Row],[Performance_Deviation]] &lt; 0, "Underperforming", "Outperforming")</f>
        <v>Outperforming</v>
      </c>
      <c r="N2374">
        <f>IF(Table4[[#This Row],[Performance_Ratio]] &lt; 0.85, Table4[[#This Row],[Performance_Deviation]] * 50 / 1000, 0)</f>
        <v>0</v>
      </c>
    </row>
    <row r="2375" spans="1:14" x14ac:dyDescent="0.3">
      <c r="A2375" s="6" t="s">
        <v>9</v>
      </c>
      <c r="B2375" s="5">
        <v>45297.875</v>
      </c>
      <c r="C2375" s="6">
        <v>0</v>
      </c>
      <c r="D2375" s="6">
        <v>0</v>
      </c>
      <c r="E2375" s="6">
        <v>0</v>
      </c>
      <c r="F2375" s="6">
        <v>22.389257189619499</v>
      </c>
      <c r="G2375" s="6" t="str">
        <f t="shared" si="74"/>
        <v>OK</v>
      </c>
      <c r="H2375" s="6" t="str">
        <f t="shared" si="75"/>
        <v>ZERO</v>
      </c>
      <c r="I2375">
        <v>0</v>
      </c>
      <c r="J2375">
        <f>IFERROR(Table4[[#This Row],[energy_kwh]]/Table4[[#This Row],[expected_kwh]],0)</f>
        <v>0</v>
      </c>
      <c r="K2375" t="str">
        <f>IF(Table4[[#This Row],[Performance_Ratio]] &lt; 0.85, "Underperforming", "Performing")</f>
        <v>Underperforming</v>
      </c>
      <c r="L2375">
        <f>Table4[[#This Row],[energy_kwh]] - Table4[[#This Row],[expected_kwh]]</f>
        <v>0</v>
      </c>
      <c r="M2375" t="str">
        <f>IF(Table4[[#This Row],[Performance_Deviation]] &lt; 0, "Underperforming", "Outperforming")</f>
        <v>Outperforming</v>
      </c>
      <c r="N2375">
        <f>IF(Table4[[#This Row],[Performance_Ratio]] &lt; 0.85, Table4[[#This Row],[Performance_Deviation]] * 50 / 1000, 0)</f>
        <v>0</v>
      </c>
    </row>
    <row r="2376" spans="1:14" x14ac:dyDescent="0.3">
      <c r="A2376" s="4" t="s">
        <v>9</v>
      </c>
      <c r="B2376" s="3">
        <v>45297.916666666664</v>
      </c>
      <c r="C2376" s="4">
        <v>0</v>
      </c>
      <c r="D2376" s="4">
        <v>0</v>
      </c>
      <c r="E2376" s="4">
        <v>0</v>
      </c>
      <c r="F2376" s="4">
        <v>78.486400671735694</v>
      </c>
      <c r="G2376" s="4" t="str">
        <f t="shared" si="74"/>
        <v>OK</v>
      </c>
      <c r="H2376" s="4" t="str">
        <f t="shared" si="75"/>
        <v>ZERO</v>
      </c>
      <c r="I2376">
        <v>0</v>
      </c>
      <c r="J2376">
        <f>IFERROR(Table4[[#This Row],[energy_kwh]]/Table4[[#This Row],[expected_kwh]],0)</f>
        <v>0</v>
      </c>
      <c r="K2376" t="str">
        <f>IF(Table4[[#This Row],[Performance_Ratio]] &lt; 0.85, "Underperforming", "Performing")</f>
        <v>Underperforming</v>
      </c>
      <c r="L2376">
        <f>Table4[[#This Row],[energy_kwh]] - Table4[[#This Row],[expected_kwh]]</f>
        <v>0</v>
      </c>
      <c r="M2376" t="str">
        <f>IF(Table4[[#This Row],[Performance_Deviation]] &lt; 0, "Underperforming", "Outperforming")</f>
        <v>Outperforming</v>
      </c>
      <c r="N2376">
        <f>IF(Table4[[#This Row],[Performance_Ratio]] &lt; 0.85, Table4[[#This Row],[Performance_Deviation]] * 50 / 1000, 0)</f>
        <v>0</v>
      </c>
    </row>
    <row r="2377" spans="1:14" x14ac:dyDescent="0.3">
      <c r="A2377" s="6" t="s">
        <v>9</v>
      </c>
      <c r="B2377" s="5">
        <v>45297.958333333336</v>
      </c>
      <c r="C2377" s="6">
        <v>0</v>
      </c>
      <c r="D2377" s="6">
        <v>0</v>
      </c>
      <c r="E2377" s="6">
        <v>0</v>
      </c>
      <c r="F2377" s="6">
        <v>84.3463959051752</v>
      </c>
      <c r="G2377" s="6" t="str">
        <f t="shared" si="74"/>
        <v>OK</v>
      </c>
      <c r="H2377" s="6" t="str">
        <f t="shared" si="75"/>
        <v>ZERO</v>
      </c>
      <c r="I2377">
        <v>0</v>
      </c>
      <c r="J2377">
        <f>IFERROR(Table4[[#This Row],[energy_kwh]]/Table4[[#This Row],[expected_kwh]],0)</f>
        <v>0</v>
      </c>
      <c r="K2377" t="str">
        <f>IF(Table4[[#This Row],[Performance_Ratio]] &lt; 0.85, "Underperforming", "Performing")</f>
        <v>Underperforming</v>
      </c>
      <c r="L2377">
        <f>Table4[[#This Row],[energy_kwh]] - Table4[[#This Row],[expected_kwh]]</f>
        <v>0</v>
      </c>
      <c r="M2377" t="str">
        <f>IF(Table4[[#This Row],[Performance_Deviation]] &lt; 0, "Underperforming", "Outperforming")</f>
        <v>Outperforming</v>
      </c>
      <c r="N2377">
        <f>IF(Table4[[#This Row],[Performance_Ratio]] &lt; 0.85, Table4[[#This Row],[Performance_Deviation]] * 50 / 1000, 0)</f>
        <v>0</v>
      </c>
    </row>
    <row r="2378" spans="1:14" x14ac:dyDescent="0.3">
      <c r="A2378" s="4" t="s">
        <v>9</v>
      </c>
      <c r="B2378" s="3">
        <v>45298</v>
      </c>
      <c r="C2378" s="4">
        <v>0</v>
      </c>
      <c r="D2378" s="4">
        <v>0</v>
      </c>
      <c r="E2378" s="4">
        <v>0</v>
      </c>
      <c r="F2378" s="4">
        <v>23.984046814925001</v>
      </c>
      <c r="G2378" s="4" t="str">
        <f t="shared" si="74"/>
        <v>OK</v>
      </c>
      <c r="H2378" s="4" t="str">
        <f t="shared" si="75"/>
        <v>ZERO</v>
      </c>
      <c r="I2378">
        <v>0</v>
      </c>
      <c r="J2378">
        <f>IFERROR(Table4[[#This Row],[energy_kwh]]/Table4[[#This Row],[expected_kwh]],0)</f>
        <v>0</v>
      </c>
      <c r="K2378" t="str">
        <f>IF(Table4[[#This Row],[Performance_Ratio]] &lt; 0.85, "Underperforming", "Performing")</f>
        <v>Underperforming</v>
      </c>
      <c r="L2378">
        <f>Table4[[#This Row],[energy_kwh]] - Table4[[#This Row],[expected_kwh]]</f>
        <v>0</v>
      </c>
      <c r="M2378" t="str">
        <f>IF(Table4[[#This Row],[Performance_Deviation]] &lt; 0, "Underperforming", "Outperforming")</f>
        <v>Outperforming</v>
      </c>
      <c r="N2378">
        <f>IF(Table4[[#This Row],[Performance_Ratio]] &lt; 0.85, Table4[[#This Row],[Performance_Deviation]] * 50 / 1000, 0)</f>
        <v>0</v>
      </c>
    </row>
    <row r="2379" spans="1:14" x14ac:dyDescent="0.3">
      <c r="A2379" s="6" t="s">
        <v>9</v>
      </c>
      <c r="B2379" s="5">
        <v>45298.041666666664</v>
      </c>
      <c r="C2379" s="6">
        <v>0</v>
      </c>
      <c r="D2379" s="6">
        <v>0</v>
      </c>
      <c r="E2379" s="6">
        <v>0</v>
      </c>
      <c r="F2379" s="6">
        <v>37.183746043354901</v>
      </c>
      <c r="G2379" s="6" t="str">
        <f t="shared" si="74"/>
        <v>OK</v>
      </c>
      <c r="H2379" s="6" t="str">
        <f t="shared" si="75"/>
        <v>ZERO</v>
      </c>
      <c r="I2379">
        <v>0</v>
      </c>
      <c r="J2379">
        <f>IFERROR(Table4[[#This Row],[energy_kwh]]/Table4[[#This Row],[expected_kwh]],0)</f>
        <v>0</v>
      </c>
      <c r="K2379" t="str">
        <f>IF(Table4[[#This Row],[Performance_Ratio]] &lt; 0.85, "Underperforming", "Performing")</f>
        <v>Underperforming</v>
      </c>
      <c r="L2379">
        <f>Table4[[#This Row],[energy_kwh]] - Table4[[#This Row],[expected_kwh]]</f>
        <v>0</v>
      </c>
      <c r="M2379" t="str">
        <f>IF(Table4[[#This Row],[Performance_Deviation]] &lt; 0, "Underperforming", "Outperforming")</f>
        <v>Outperforming</v>
      </c>
      <c r="N2379">
        <f>IF(Table4[[#This Row],[Performance_Ratio]] &lt; 0.85, Table4[[#This Row],[Performance_Deviation]] * 50 / 1000, 0)</f>
        <v>0</v>
      </c>
    </row>
    <row r="2380" spans="1:14" x14ac:dyDescent="0.3">
      <c r="A2380" s="4" t="s">
        <v>9</v>
      </c>
      <c r="B2380" s="3">
        <v>45298.083333333336</v>
      </c>
      <c r="C2380" s="4">
        <v>0</v>
      </c>
      <c r="D2380" s="4">
        <v>0</v>
      </c>
      <c r="E2380" s="4">
        <v>0</v>
      </c>
      <c r="F2380" s="4">
        <v>66.208310031178996</v>
      </c>
      <c r="G2380" s="4" t="str">
        <f t="shared" si="74"/>
        <v>OK</v>
      </c>
      <c r="H2380" s="4" t="str">
        <f t="shared" si="75"/>
        <v>ZERO</v>
      </c>
      <c r="I2380">
        <v>0</v>
      </c>
      <c r="J2380">
        <f>IFERROR(Table4[[#This Row],[energy_kwh]]/Table4[[#This Row],[expected_kwh]],0)</f>
        <v>0</v>
      </c>
      <c r="K2380" t="str">
        <f>IF(Table4[[#This Row],[Performance_Ratio]] &lt; 0.85, "Underperforming", "Performing")</f>
        <v>Underperforming</v>
      </c>
      <c r="L2380">
        <f>Table4[[#This Row],[energy_kwh]] - Table4[[#This Row],[expected_kwh]]</f>
        <v>0</v>
      </c>
      <c r="M2380" t="str">
        <f>IF(Table4[[#This Row],[Performance_Deviation]] &lt; 0, "Underperforming", "Outperforming")</f>
        <v>Outperforming</v>
      </c>
      <c r="N2380">
        <f>IF(Table4[[#This Row],[Performance_Ratio]] &lt; 0.85, Table4[[#This Row],[Performance_Deviation]] * 50 / 1000, 0)</f>
        <v>0</v>
      </c>
    </row>
    <row r="2381" spans="1:14" x14ac:dyDescent="0.3">
      <c r="A2381" s="6" t="s">
        <v>9</v>
      </c>
      <c r="B2381" s="5">
        <v>45298.125</v>
      </c>
      <c r="C2381" s="6">
        <v>0</v>
      </c>
      <c r="D2381" s="6">
        <v>0</v>
      </c>
      <c r="E2381" s="6">
        <v>0</v>
      </c>
      <c r="F2381" s="6">
        <v>88.660766091374796</v>
      </c>
      <c r="G2381" s="6" t="str">
        <f t="shared" si="74"/>
        <v>OK</v>
      </c>
      <c r="H2381" s="6" t="str">
        <f t="shared" si="75"/>
        <v>ZERO</v>
      </c>
      <c r="I2381">
        <v>0</v>
      </c>
      <c r="J2381">
        <f>IFERROR(Table4[[#This Row],[energy_kwh]]/Table4[[#This Row],[expected_kwh]],0)</f>
        <v>0</v>
      </c>
      <c r="K2381" t="str">
        <f>IF(Table4[[#This Row],[Performance_Ratio]] &lt; 0.85, "Underperforming", "Performing")</f>
        <v>Underperforming</v>
      </c>
      <c r="L2381">
        <f>Table4[[#This Row],[energy_kwh]] - Table4[[#This Row],[expected_kwh]]</f>
        <v>0</v>
      </c>
      <c r="M2381" t="str">
        <f>IF(Table4[[#This Row],[Performance_Deviation]] &lt; 0, "Underperforming", "Outperforming")</f>
        <v>Outperforming</v>
      </c>
      <c r="N2381">
        <f>IF(Table4[[#This Row],[Performance_Ratio]] &lt; 0.85, Table4[[#This Row],[Performance_Deviation]] * 50 / 1000, 0)</f>
        <v>0</v>
      </c>
    </row>
    <row r="2382" spans="1:14" x14ac:dyDescent="0.3">
      <c r="A2382" s="4" t="s">
        <v>9</v>
      </c>
      <c r="B2382" s="3">
        <v>45298.166666666664</v>
      </c>
      <c r="C2382" s="4">
        <v>0</v>
      </c>
      <c r="D2382" s="4">
        <v>0</v>
      </c>
      <c r="E2382" s="4">
        <v>0</v>
      </c>
      <c r="F2382" s="4">
        <v>54.322390590888098</v>
      </c>
      <c r="G2382" s="4" t="str">
        <f t="shared" si="74"/>
        <v>OK</v>
      </c>
      <c r="H2382" s="4" t="str">
        <f t="shared" si="75"/>
        <v>ZERO</v>
      </c>
      <c r="I2382">
        <v>0</v>
      </c>
      <c r="J2382">
        <f>IFERROR(Table4[[#This Row],[energy_kwh]]/Table4[[#This Row],[expected_kwh]],0)</f>
        <v>0</v>
      </c>
      <c r="K2382" t="str">
        <f>IF(Table4[[#This Row],[Performance_Ratio]] &lt; 0.85, "Underperforming", "Performing")</f>
        <v>Underperforming</v>
      </c>
      <c r="L2382">
        <f>Table4[[#This Row],[energy_kwh]] - Table4[[#This Row],[expected_kwh]]</f>
        <v>0</v>
      </c>
      <c r="M2382" t="str">
        <f>IF(Table4[[#This Row],[Performance_Deviation]] &lt; 0, "Underperforming", "Outperforming")</f>
        <v>Outperforming</v>
      </c>
      <c r="N2382">
        <f>IF(Table4[[#This Row],[Performance_Ratio]] &lt; 0.85, Table4[[#This Row],[Performance_Deviation]] * 50 / 1000, 0)</f>
        <v>0</v>
      </c>
    </row>
    <row r="2383" spans="1:14" x14ac:dyDescent="0.3">
      <c r="A2383" s="6" t="s">
        <v>9</v>
      </c>
      <c r="B2383" s="5">
        <v>45298.208333333336</v>
      </c>
      <c r="C2383" s="6">
        <v>0</v>
      </c>
      <c r="D2383" s="6">
        <v>0</v>
      </c>
      <c r="E2383" s="6">
        <v>0</v>
      </c>
      <c r="F2383" s="6">
        <v>58.485612613495697</v>
      </c>
      <c r="G2383" s="6" t="str">
        <f t="shared" si="74"/>
        <v>OK</v>
      </c>
      <c r="H2383" s="6" t="str">
        <f t="shared" si="75"/>
        <v>ZERO</v>
      </c>
      <c r="I2383">
        <v>0</v>
      </c>
      <c r="J2383">
        <f>IFERROR(Table4[[#This Row],[energy_kwh]]/Table4[[#This Row],[expected_kwh]],0)</f>
        <v>0</v>
      </c>
      <c r="K2383" t="str">
        <f>IF(Table4[[#This Row],[Performance_Ratio]] &lt; 0.85, "Underperforming", "Performing")</f>
        <v>Underperforming</v>
      </c>
      <c r="L2383">
        <f>Table4[[#This Row],[energy_kwh]] - Table4[[#This Row],[expected_kwh]]</f>
        <v>0</v>
      </c>
      <c r="M2383" t="str">
        <f>IF(Table4[[#This Row],[Performance_Deviation]] &lt; 0, "Underperforming", "Outperforming")</f>
        <v>Outperforming</v>
      </c>
      <c r="N2383">
        <f>IF(Table4[[#This Row],[Performance_Ratio]] &lt; 0.85, Table4[[#This Row],[Performance_Deviation]] * 50 / 1000, 0)</f>
        <v>0</v>
      </c>
    </row>
    <row r="2384" spans="1:14" x14ac:dyDescent="0.3">
      <c r="A2384" s="4" t="s">
        <v>9</v>
      </c>
      <c r="B2384" s="3">
        <v>45298.25</v>
      </c>
      <c r="C2384" s="4">
        <v>0</v>
      </c>
      <c r="D2384" s="4">
        <v>0</v>
      </c>
      <c r="E2384" s="4">
        <v>0</v>
      </c>
      <c r="F2384" s="4">
        <v>52.058144064242001</v>
      </c>
      <c r="G2384" s="4" t="str">
        <f t="shared" si="74"/>
        <v>OK</v>
      </c>
      <c r="H2384" s="4" t="str">
        <f t="shared" si="75"/>
        <v>ZERO</v>
      </c>
      <c r="I2384">
        <v>0</v>
      </c>
      <c r="J2384">
        <f>IFERROR(Table4[[#This Row],[energy_kwh]]/Table4[[#This Row],[expected_kwh]],0)</f>
        <v>0</v>
      </c>
      <c r="K2384" t="str">
        <f>IF(Table4[[#This Row],[Performance_Ratio]] &lt; 0.85, "Underperforming", "Performing")</f>
        <v>Underperforming</v>
      </c>
      <c r="L2384">
        <f>Table4[[#This Row],[energy_kwh]] - Table4[[#This Row],[expected_kwh]]</f>
        <v>0</v>
      </c>
      <c r="M2384" t="str">
        <f>IF(Table4[[#This Row],[Performance_Deviation]] &lt; 0, "Underperforming", "Outperforming")</f>
        <v>Outperforming</v>
      </c>
      <c r="N2384">
        <f>IF(Table4[[#This Row],[Performance_Ratio]] &lt; 0.85, Table4[[#This Row],[Performance_Deviation]] * 50 / 1000, 0)</f>
        <v>0</v>
      </c>
    </row>
    <row r="2385" spans="1:14" x14ac:dyDescent="0.3">
      <c r="A2385" s="6" t="s">
        <v>9</v>
      </c>
      <c r="B2385" s="5">
        <v>45298.291666666664</v>
      </c>
      <c r="C2385" s="6">
        <v>226.09173663562899</v>
      </c>
      <c r="D2385" s="6">
        <v>217.940301891242</v>
      </c>
      <c r="E2385" s="6">
        <v>217.940301891242</v>
      </c>
      <c r="F2385" s="6">
        <v>70.948749898516496</v>
      </c>
      <c r="G2385" s="6" t="str">
        <f t="shared" si="74"/>
        <v>OK</v>
      </c>
      <c r="H2385" s="6" t="str">
        <f t="shared" si="75"/>
        <v>NON-ZERO</v>
      </c>
      <c r="I2385">
        <v>248.466283298419</v>
      </c>
      <c r="J2385">
        <f>IFERROR(Table4[[#This Row],[energy_kwh]]/Table4[[#This Row],[expected_kwh]],0)</f>
        <v>0.87714235910828209</v>
      </c>
      <c r="K2385" t="str">
        <f>IF(Table4[[#This Row],[Performance_Ratio]] &lt; 0.85, "Underperforming", "Performing")</f>
        <v>Performing</v>
      </c>
      <c r="L2385">
        <f>Table4[[#This Row],[energy_kwh]] - Table4[[#This Row],[expected_kwh]]</f>
        <v>-30.525981407176999</v>
      </c>
      <c r="M2385" t="str">
        <f>IF(Table4[[#This Row],[Performance_Deviation]] &lt; 0, "Underperforming", "Outperforming")</f>
        <v>Underperforming</v>
      </c>
      <c r="N2385">
        <f>IF(Table4[[#This Row],[Performance_Ratio]] &lt; 0.85, Table4[[#This Row],[Performance_Deviation]] * 50 / 1000, 0)</f>
        <v>0</v>
      </c>
    </row>
    <row r="2386" spans="1:14" x14ac:dyDescent="0.3">
      <c r="A2386" s="4" t="s">
        <v>9</v>
      </c>
      <c r="B2386" s="3">
        <v>45298.333333333336</v>
      </c>
      <c r="C2386" s="4">
        <v>377.42881247183101</v>
      </c>
      <c r="D2386" s="4">
        <v>363.821122154188</v>
      </c>
      <c r="E2386" s="4">
        <v>363.821122154188</v>
      </c>
      <c r="F2386" s="4">
        <v>57.109576620640503</v>
      </c>
      <c r="G2386" s="4" t="str">
        <f t="shared" si="74"/>
        <v>OK</v>
      </c>
      <c r="H2386" s="4" t="str">
        <f t="shared" si="75"/>
        <v>NON-ZERO</v>
      </c>
      <c r="I2386">
        <v>479.99999999999898</v>
      </c>
      <c r="J2386">
        <f>IFERROR(Table4[[#This Row],[energy_kwh]]/Table4[[#This Row],[expected_kwh]],0)</f>
        <v>0.75796067115456001</v>
      </c>
      <c r="K2386" t="str">
        <f>IF(Table4[[#This Row],[Performance_Ratio]] &lt; 0.85, "Underperforming", "Performing")</f>
        <v>Underperforming</v>
      </c>
      <c r="L2386">
        <f>Table4[[#This Row],[energy_kwh]] - Table4[[#This Row],[expected_kwh]]</f>
        <v>-116.17887784581097</v>
      </c>
      <c r="M2386" t="str">
        <f>IF(Table4[[#This Row],[Performance_Deviation]] &lt; 0, "Underperforming", "Outperforming")</f>
        <v>Underperforming</v>
      </c>
      <c r="N2386">
        <f>IF(Table4[[#This Row],[Performance_Ratio]] &lt; 0.85, Table4[[#This Row],[Performance_Deviation]] * 50 / 1000, 0)</f>
        <v>-5.8089438922905483</v>
      </c>
    </row>
    <row r="2387" spans="1:14" x14ac:dyDescent="0.3">
      <c r="A2387" s="6" t="s">
        <v>9</v>
      </c>
      <c r="B2387" s="5">
        <v>45298.375</v>
      </c>
      <c r="C2387" s="6">
        <v>615.641312767964</v>
      </c>
      <c r="D2387" s="6">
        <v>593.44518980631597</v>
      </c>
      <c r="E2387" s="6">
        <v>593.44518980631597</v>
      </c>
      <c r="F2387" s="6">
        <v>32.792028350488799</v>
      </c>
      <c r="G2387" s="6" t="str">
        <f t="shared" si="74"/>
        <v>OK</v>
      </c>
      <c r="H2387" s="6" t="str">
        <f t="shared" si="75"/>
        <v>NON-ZERO</v>
      </c>
      <c r="I2387">
        <v>678.82250993908497</v>
      </c>
      <c r="J2387">
        <f>IFERROR(Table4[[#This Row],[energy_kwh]]/Table4[[#This Row],[expected_kwh]],0)</f>
        <v>0.87422732911371714</v>
      </c>
      <c r="K2387" t="str">
        <f>IF(Table4[[#This Row],[Performance_Ratio]] &lt; 0.85, "Underperforming", "Performing")</f>
        <v>Performing</v>
      </c>
      <c r="L2387">
        <f>Table4[[#This Row],[energy_kwh]] - Table4[[#This Row],[expected_kwh]]</f>
        <v>-85.377320132769</v>
      </c>
      <c r="M2387" t="str">
        <f>IF(Table4[[#This Row],[Performance_Deviation]] &lt; 0, "Underperforming", "Outperforming")</f>
        <v>Underperforming</v>
      </c>
      <c r="N2387">
        <f>IF(Table4[[#This Row],[Performance_Ratio]] &lt; 0.85, Table4[[#This Row],[Performance_Deviation]] * 50 / 1000, 0)</f>
        <v>0</v>
      </c>
    </row>
    <row r="2388" spans="1:14" x14ac:dyDescent="0.3">
      <c r="A2388" s="4" t="s">
        <v>9</v>
      </c>
      <c r="B2388" s="3">
        <v>45298.416666666664</v>
      </c>
      <c r="C2388" s="4">
        <v>809.75178931787605</v>
      </c>
      <c r="D2388" s="4">
        <v>780.55727310955797</v>
      </c>
      <c r="E2388" s="4">
        <v>780.55727310955797</v>
      </c>
      <c r="F2388" s="4">
        <v>86.648200202221602</v>
      </c>
      <c r="G2388" s="4" t="str">
        <f t="shared" si="74"/>
        <v>OK</v>
      </c>
      <c r="H2388" s="4" t="str">
        <f t="shared" si="75"/>
        <v>NON-ZERO</v>
      </c>
      <c r="I2388">
        <v>831.38438763306101</v>
      </c>
      <c r="J2388">
        <f>IFERROR(Table4[[#This Row],[energy_kwh]]/Table4[[#This Row],[expected_kwh]],0)</f>
        <v>0.93886448280775747</v>
      </c>
      <c r="K2388" t="str">
        <f>IF(Table4[[#This Row],[Performance_Ratio]] &lt; 0.85, "Underperforming", "Performing")</f>
        <v>Performing</v>
      </c>
      <c r="L2388">
        <f>Table4[[#This Row],[energy_kwh]] - Table4[[#This Row],[expected_kwh]]</f>
        <v>-50.827114523503042</v>
      </c>
      <c r="M2388" t="str">
        <f>IF(Table4[[#This Row],[Performance_Deviation]] &lt; 0, "Underperforming", "Outperforming")</f>
        <v>Underperforming</v>
      </c>
      <c r="N2388">
        <f>IF(Table4[[#This Row],[Performance_Ratio]] &lt; 0.85, Table4[[#This Row],[Performance_Deviation]] * 50 / 1000, 0)</f>
        <v>0</v>
      </c>
    </row>
    <row r="2389" spans="1:14" x14ac:dyDescent="0.3">
      <c r="A2389" s="6" t="s">
        <v>9</v>
      </c>
      <c r="B2389" s="5">
        <v>45298.458333333336</v>
      </c>
      <c r="C2389" s="6">
        <v>818.89367304165296</v>
      </c>
      <c r="D2389" s="6">
        <v>789.36955846002002</v>
      </c>
      <c r="E2389" s="6">
        <v>789.36955846002002</v>
      </c>
      <c r="F2389" s="6">
        <v>73.807583815868995</v>
      </c>
      <c r="G2389" s="6" t="str">
        <f t="shared" si="74"/>
        <v>OK</v>
      </c>
      <c r="H2389" s="6" t="str">
        <f t="shared" si="75"/>
        <v>NON-ZERO</v>
      </c>
      <c r="I2389">
        <v>927.28879323750505</v>
      </c>
      <c r="J2389">
        <f>IFERROR(Table4[[#This Row],[energy_kwh]]/Table4[[#This Row],[expected_kwh]],0)</f>
        <v>0.85126614730675387</v>
      </c>
      <c r="K2389" t="str">
        <f>IF(Table4[[#This Row],[Performance_Ratio]] &lt; 0.85, "Underperforming", "Performing")</f>
        <v>Performing</v>
      </c>
      <c r="L2389">
        <f>Table4[[#This Row],[energy_kwh]] - Table4[[#This Row],[expected_kwh]]</f>
        <v>-137.91923477748503</v>
      </c>
      <c r="M2389" t="str">
        <f>IF(Table4[[#This Row],[Performance_Deviation]] &lt; 0, "Underperforming", "Outperforming")</f>
        <v>Underperforming</v>
      </c>
      <c r="N2389">
        <f>IF(Table4[[#This Row],[Performance_Ratio]] &lt; 0.85, Table4[[#This Row],[Performance_Deviation]] * 50 / 1000, 0)</f>
        <v>0</v>
      </c>
    </row>
    <row r="2390" spans="1:14" x14ac:dyDescent="0.3">
      <c r="A2390" s="4" t="s">
        <v>9</v>
      </c>
      <c r="B2390" s="3">
        <v>45298.5</v>
      </c>
      <c r="C2390" s="4">
        <v>863.70423063319504</v>
      </c>
      <c r="D2390" s="4">
        <v>832.56453141541999</v>
      </c>
      <c r="E2390" s="4">
        <v>832.56453141541999</v>
      </c>
      <c r="F2390" s="4">
        <v>32.907488948739598</v>
      </c>
      <c r="G2390" s="4" t="str">
        <f t="shared" si="74"/>
        <v>OK</v>
      </c>
      <c r="H2390" s="4" t="str">
        <f t="shared" si="75"/>
        <v>NON-ZERO</v>
      </c>
      <c r="I2390">
        <v>960</v>
      </c>
      <c r="J2390">
        <f>IFERROR(Table4[[#This Row],[energy_kwh]]/Table4[[#This Row],[expected_kwh]],0)</f>
        <v>0.86725472022439587</v>
      </c>
      <c r="K2390" t="str">
        <f>IF(Table4[[#This Row],[Performance_Ratio]] &lt; 0.85, "Underperforming", "Performing")</f>
        <v>Performing</v>
      </c>
      <c r="L2390">
        <f>Table4[[#This Row],[energy_kwh]] - Table4[[#This Row],[expected_kwh]]</f>
        <v>-127.43546858458001</v>
      </c>
      <c r="M2390" t="str">
        <f>IF(Table4[[#This Row],[Performance_Deviation]] &lt; 0, "Underperforming", "Outperforming")</f>
        <v>Underperforming</v>
      </c>
      <c r="N2390">
        <f>IF(Table4[[#This Row],[Performance_Ratio]] &lt; 0.85, Table4[[#This Row],[Performance_Deviation]] * 50 / 1000, 0)</f>
        <v>0</v>
      </c>
    </row>
    <row r="2391" spans="1:14" x14ac:dyDescent="0.3">
      <c r="A2391" s="6" t="s">
        <v>9</v>
      </c>
      <c r="B2391" s="5">
        <v>45298.541666666664</v>
      </c>
      <c r="C2391" s="6">
        <v>921.96703155997898</v>
      </c>
      <c r="D2391" s="6">
        <v>888.72674509011301</v>
      </c>
      <c r="E2391" s="6">
        <v>888.72674509011301</v>
      </c>
      <c r="F2391" s="6">
        <v>31.9722449939573</v>
      </c>
      <c r="G2391" s="6" t="str">
        <f t="shared" si="74"/>
        <v>OK</v>
      </c>
      <c r="H2391" s="6" t="str">
        <f t="shared" si="75"/>
        <v>NON-ZERO</v>
      </c>
      <c r="I2391">
        <v>927.28879323750505</v>
      </c>
      <c r="J2391">
        <f>IFERROR(Table4[[#This Row],[energy_kwh]]/Table4[[#This Row],[expected_kwh]],0)</f>
        <v>0.95841419800539396</v>
      </c>
      <c r="K2391" t="str">
        <f>IF(Table4[[#This Row],[Performance_Ratio]] &lt; 0.85, "Underperforming", "Performing")</f>
        <v>Performing</v>
      </c>
      <c r="L2391">
        <f>Table4[[#This Row],[energy_kwh]] - Table4[[#This Row],[expected_kwh]]</f>
        <v>-38.562048147392034</v>
      </c>
      <c r="M2391" t="str">
        <f>IF(Table4[[#This Row],[Performance_Deviation]] &lt; 0, "Underperforming", "Outperforming")</f>
        <v>Underperforming</v>
      </c>
      <c r="N2391">
        <f>IF(Table4[[#This Row],[Performance_Ratio]] &lt; 0.85, Table4[[#This Row],[Performance_Deviation]] * 50 / 1000, 0)</f>
        <v>0</v>
      </c>
    </row>
    <row r="2392" spans="1:14" x14ac:dyDescent="0.3">
      <c r="A2392" s="4" t="s">
        <v>9</v>
      </c>
      <c r="B2392" s="3">
        <v>45298.583333333336</v>
      </c>
      <c r="C2392" s="4">
        <v>825.51733758056696</v>
      </c>
      <c r="D2392" s="4">
        <v>795.75441564550704</v>
      </c>
      <c r="E2392" s="4">
        <v>795.75441564550704</v>
      </c>
      <c r="F2392" s="4">
        <v>67.201620697170299</v>
      </c>
      <c r="G2392" s="4" t="str">
        <f t="shared" si="74"/>
        <v>OK</v>
      </c>
      <c r="H2392" s="4" t="str">
        <f t="shared" si="75"/>
        <v>NON-ZERO</v>
      </c>
      <c r="I2392">
        <v>831.38438763306101</v>
      </c>
      <c r="J2392">
        <f>IFERROR(Table4[[#This Row],[energy_kwh]]/Table4[[#This Row],[expected_kwh]],0)</f>
        <v>0.95714380433701429</v>
      </c>
      <c r="K2392" t="str">
        <f>IF(Table4[[#This Row],[Performance_Ratio]] &lt; 0.85, "Underperforming", "Performing")</f>
        <v>Performing</v>
      </c>
      <c r="L2392">
        <f>Table4[[#This Row],[energy_kwh]] - Table4[[#This Row],[expected_kwh]]</f>
        <v>-35.629971987553972</v>
      </c>
      <c r="M2392" t="str">
        <f>IF(Table4[[#This Row],[Performance_Deviation]] &lt; 0, "Underperforming", "Outperforming")</f>
        <v>Underperforming</v>
      </c>
      <c r="N2392">
        <f>IF(Table4[[#This Row],[Performance_Ratio]] &lt; 0.85, Table4[[#This Row],[Performance_Deviation]] * 50 / 1000, 0)</f>
        <v>0</v>
      </c>
    </row>
    <row r="2393" spans="1:14" x14ac:dyDescent="0.3">
      <c r="A2393" s="6" t="s">
        <v>9</v>
      </c>
      <c r="B2393" s="5">
        <v>45298.625</v>
      </c>
      <c r="C2393" s="6">
        <v>615.09773627816003</v>
      </c>
      <c r="D2393" s="6">
        <v>592.92121123880304</v>
      </c>
      <c r="E2393" s="6">
        <v>592.92121123880304</v>
      </c>
      <c r="F2393" s="6">
        <v>28.899177739718901</v>
      </c>
      <c r="G2393" s="6" t="str">
        <f t="shared" si="74"/>
        <v>OK</v>
      </c>
      <c r="H2393" s="6" t="str">
        <f t="shared" si="75"/>
        <v>NON-ZERO</v>
      </c>
      <c r="I2393">
        <v>678.82250993908497</v>
      </c>
      <c r="J2393">
        <f>IFERROR(Table4[[#This Row],[energy_kwh]]/Table4[[#This Row],[expected_kwh]],0)</f>
        <v>0.87345543578395712</v>
      </c>
      <c r="K2393" t="str">
        <f>IF(Table4[[#This Row],[Performance_Ratio]] &lt; 0.85, "Underperforming", "Performing")</f>
        <v>Performing</v>
      </c>
      <c r="L2393">
        <f>Table4[[#This Row],[energy_kwh]] - Table4[[#This Row],[expected_kwh]]</f>
        <v>-85.901298700281927</v>
      </c>
      <c r="M2393" t="str">
        <f>IF(Table4[[#This Row],[Performance_Deviation]] &lt; 0, "Underperforming", "Outperforming")</f>
        <v>Underperforming</v>
      </c>
      <c r="N2393">
        <f>IF(Table4[[#This Row],[Performance_Ratio]] &lt; 0.85, Table4[[#This Row],[Performance_Deviation]] * 50 / 1000, 0)</f>
        <v>0</v>
      </c>
    </row>
    <row r="2394" spans="1:14" x14ac:dyDescent="0.3">
      <c r="A2394" s="4" t="s">
        <v>9</v>
      </c>
      <c r="B2394" s="3">
        <v>45298.666666666664</v>
      </c>
      <c r="C2394" s="4">
        <v>485.05893390284302</v>
      </c>
      <c r="D2394" s="4">
        <v>467.57078371333301</v>
      </c>
      <c r="E2394" s="4">
        <v>467.57078371333301</v>
      </c>
      <c r="F2394" s="4">
        <v>43.629237245569897</v>
      </c>
      <c r="G2394" s="4" t="str">
        <f t="shared" si="74"/>
        <v>OK</v>
      </c>
      <c r="H2394" s="4" t="str">
        <f t="shared" si="75"/>
        <v>NON-ZERO</v>
      </c>
      <c r="I2394">
        <v>479.99999999999898</v>
      </c>
      <c r="J2394">
        <f>IFERROR(Table4[[#This Row],[energy_kwh]]/Table4[[#This Row],[expected_kwh]],0)</f>
        <v>0.97410579940277919</v>
      </c>
      <c r="K2394" t="str">
        <f>IF(Table4[[#This Row],[Performance_Ratio]] &lt; 0.85, "Underperforming", "Performing")</f>
        <v>Performing</v>
      </c>
      <c r="L2394">
        <f>Table4[[#This Row],[energy_kwh]] - Table4[[#This Row],[expected_kwh]]</f>
        <v>-12.429216286665962</v>
      </c>
      <c r="M2394" t="str">
        <f>IF(Table4[[#This Row],[Performance_Deviation]] &lt; 0, "Underperforming", "Outperforming")</f>
        <v>Underperforming</v>
      </c>
      <c r="N2394">
        <f>IF(Table4[[#This Row],[Performance_Ratio]] &lt; 0.85, Table4[[#This Row],[Performance_Deviation]] * 50 / 1000, 0)</f>
        <v>0</v>
      </c>
    </row>
    <row r="2395" spans="1:14" x14ac:dyDescent="0.3">
      <c r="A2395" s="6" t="s">
        <v>9</v>
      </c>
      <c r="B2395" s="5">
        <v>45298.708333333336</v>
      </c>
      <c r="C2395" s="6">
        <v>238.64849627452099</v>
      </c>
      <c r="D2395" s="6">
        <v>230.04434437947401</v>
      </c>
      <c r="E2395" s="6">
        <v>230.04434437947401</v>
      </c>
      <c r="F2395" s="6">
        <v>70.920906821050195</v>
      </c>
      <c r="G2395" s="6" t="str">
        <f t="shared" si="74"/>
        <v>OK</v>
      </c>
      <c r="H2395" s="6" t="str">
        <f t="shared" si="75"/>
        <v>NON-ZERO</v>
      </c>
      <c r="I2395">
        <v>248.46628329842</v>
      </c>
      <c r="J2395">
        <f>IFERROR(Table4[[#This Row],[energy_kwh]]/Table4[[#This Row],[expected_kwh]],0)</f>
        <v>0.92585738928279315</v>
      </c>
      <c r="K2395" t="str">
        <f>IF(Table4[[#This Row],[Performance_Ratio]] &lt; 0.85, "Underperforming", "Performing")</f>
        <v>Performing</v>
      </c>
      <c r="L2395">
        <f>Table4[[#This Row],[energy_kwh]] - Table4[[#This Row],[expected_kwh]]</f>
        <v>-18.421938918945983</v>
      </c>
      <c r="M2395" t="str">
        <f>IF(Table4[[#This Row],[Performance_Deviation]] &lt; 0, "Underperforming", "Outperforming")</f>
        <v>Underperforming</v>
      </c>
      <c r="N2395">
        <f>IF(Table4[[#This Row],[Performance_Ratio]] &lt; 0.85, Table4[[#This Row],[Performance_Deviation]] * 50 / 1000, 0)</f>
        <v>0</v>
      </c>
    </row>
    <row r="2396" spans="1:14" x14ac:dyDescent="0.3">
      <c r="A2396" s="4" t="s">
        <v>9</v>
      </c>
      <c r="B2396" s="3">
        <v>45298.75</v>
      </c>
      <c r="C2396" s="7">
        <v>1.2658590239693399E-13</v>
      </c>
      <c r="D2396" s="7">
        <v>1.2202201723110401E-13</v>
      </c>
      <c r="E2396" s="7">
        <v>1.2202201723110401E-13</v>
      </c>
      <c r="F2396" s="4">
        <v>39.631465177776697</v>
      </c>
      <c r="G2396" s="4" t="str">
        <f t="shared" si="74"/>
        <v>OK</v>
      </c>
      <c r="H2396" s="4" t="str">
        <f t="shared" si="75"/>
        <v>NON-ZERO</v>
      </c>
      <c r="I2396" s="2">
        <v>1.1756609271814501E-13</v>
      </c>
      <c r="J2396">
        <f>IFERROR(Table4[[#This Row],[energy_kwh]]/Table4[[#This Row],[expected_kwh]],0)</f>
        <v>1.0379014425838045</v>
      </c>
      <c r="K2396" t="str">
        <f>IF(Table4[[#This Row],[Performance_Ratio]] &lt; 0.85, "Underperforming", "Performing")</f>
        <v>Performing</v>
      </c>
      <c r="L2396">
        <f>Table4[[#This Row],[energy_kwh]] - Table4[[#This Row],[expected_kwh]]</f>
        <v>4.4559245129590023E-15</v>
      </c>
      <c r="M2396" t="str">
        <f>IF(Table4[[#This Row],[Performance_Deviation]] &lt; 0, "Underperforming", "Outperforming")</f>
        <v>Outperforming</v>
      </c>
      <c r="N2396">
        <f>IF(Table4[[#This Row],[Performance_Ratio]] &lt; 0.85, Table4[[#This Row],[Performance_Deviation]] * 50 / 1000, 0)</f>
        <v>0</v>
      </c>
    </row>
    <row r="2397" spans="1:14" x14ac:dyDescent="0.3">
      <c r="A2397" s="6" t="s">
        <v>9</v>
      </c>
      <c r="B2397" s="5">
        <v>45298.791666666664</v>
      </c>
      <c r="C2397" s="6">
        <v>0</v>
      </c>
      <c r="D2397" s="6">
        <v>0</v>
      </c>
      <c r="E2397" s="6">
        <v>0</v>
      </c>
      <c r="F2397" s="6">
        <v>84.538361494058293</v>
      </c>
      <c r="G2397" s="6" t="str">
        <f t="shared" si="74"/>
        <v>OK</v>
      </c>
      <c r="H2397" s="6" t="str">
        <f t="shared" si="75"/>
        <v>ZERO</v>
      </c>
      <c r="I2397">
        <v>0</v>
      </c>
      <c r="J2397">
        <f>IFERROR(Table4[[#This Row],[energy_kwh]]/Table4[[#This Row],[expected_kwh]],0)</f>
        <v>0</v>
      </c>
      <c r="K2397" t="str">
        <f>IF(Table4[[#This Row],[Performance_Ratio]] &lt; 0.85, "Underperforming", "Performing")</f>
        <v>Underperforming</v>
      </c>
      <c r="L2397">
        <f>Table4[[#This Row],[energy_kwh]] - Table4[[#This Row],[expected_kwh]]</f>
        <v>0</v>
      </c>
      <c r="M2397" t="str">
        <f>IF(Table4[[#This Row],[Performance_Deviation]] &lt; 0, "Underperforming", "Outperforming")</f>
        <v>Outperforming</v>
      </c>
      <c r="N2397">
        <f>IF(Table4[[#This Row],[Performance_Ratio]] &lt; 0.85, Table4[[#This Row],[Performance_Deviation]] * 50 / 1000, 0)</f>
        <v>0</v>
      </c>
    </row>
    <row r="2398" spans="1:14" x14ac:dyDescent="0.3">
      <c r="A2398" s="4" t="s">
        <v>9</v>
      </c>
      <c r="B2398" s="3">
        <v>45298.833333333336</v>
      </c>
      <c r="C2398" s="4">
        <v>0</v>
      </c>
      <c r="D2398" s="4">
        <v>0</v>
      </c>
      <c r="E2398" s="4">
        <v>0</v>
      </c>
      <c r="F2398" s="4">
        <v>44.950473989774203</v>
      </c>
      <c r="G2398" s="4" t="str">
        <f t="shared" si="74"/>
        <v>OK</v>
      </c>
      <c r="H2398" s="4" t="str">
        <f t="shared" si="75"/>
        <v>ZERO</v>
      </c>
      <c r="I2398">
        <v>0</v>
      </c>
      <c r="J2398">
        <f>IFERROR(Table4[[#This Row],[energy_kwh]]/Table4[[#This Row],[expected_kwh]],0)</f>
        <v>0</v>
      </c>
      <c r="K2398" t="str">
        <f>IF(Table4[[#This Row],[Performance_Ratio]] &lt; 0.85, "Underperforming", "Performing")</f>
        <v>Underperforming</v>
      </c>
      <c r="L2398">
        <f>Table4[[#This Row],[energy_kwh]] - Table4[[#This Row],[expected_kwh]]</f>
        <v>0</v>
      </c>
      <c r="M2398" t="str">
        <f>IF(Table4[[#This Row],[Performance_Deviation]] &lt; 0, "Underperforming", "Outperforming")</f>
        <v>Outperforming</v>
      </c>
      <c r="N2398">
        <f>IF(Table4[[#This Row],[Performance_Ratio]] &lt; 0.85, Table4[[#This Row],[Performance_Deviation]] * 50 / 1000, 0)</f>
        <v>0</v>
      </c>
    </row>
    <row r="2399" spans="1:14" x14ac:dyDescent="0.3">
      <c r="A2399" s="6" t="s">
        <v>9</v>
      </c>
      <c r="B2399" s="5">
        <v>45298.875</v>
      </c>
      <c r="C2399" s="6">
        <v>0</v>
      </c>
      <c r="D2399" s="6">
        <v>0</v>
      </c>
      <c r="E2399" s="6">
        <v>0</v>
      </c>
      <c r="F2399" s="6">
        <v>60.957410600246803</v>
      </c>
      <c r="G2399" s="6" t="str">
        <f t="shared" si="74"/>
        <v>OK</v>
      </c>
      <c r="H2399" s="6" t="str">
        <f t="shared" si="75"/>
        <v>ZERO</v>
      </c>
      <c r="I2399">
        <v>0</v>
      </c>
      <c r="J2399">
        <f>IFERROR(Table4[[#This Row],[energy_kwh]]/Table4[[#This Row],[expected_kwh]],0)</f>
        <v>0</v>
      </c>
      <c r="K2399" t="str">
        <f>IF(Table4[[#This Row],[Performance_Ratio]] &lt; 0.85, "Underperforming", "Performing")</f>
        <v>Underperforming</v>
      </c>
      <c r="L2399">
        <f>Table4[[#This Row],[energy_kwh]] - Table4[[#This Row],[expected_kwh]]</f>
        <v>0</v>
      </c>
      <c r="M2399" t="str">
        <f>IF(Table4[[#This Row],[Performance_Deviation]] &lt; 0, "Underperforming", "Outperforming")</f>
        <v>Outperforming</v>
      </c>
      <c r="N2399">
        <f>IF(Table4[[#This Row],[Performance_Ratio]] &lt; 0.85, Table4[[#This Row],[Performance_Deviation]] * 50 / 1000, 0)</f>
        <v>0</v>
      </c>
    </row>
    <row r="2400" spans="1:14" x14ac:dyDescent="0.3">
      <c r="A2400" s="4" t="s">
        <v>9</v>
      </c>
      <c r="B2400" s="3">
        <v>45298.916666666664</v>
      </c>
      <c r="C2400" s="4">
        <v>0</v>
      </c>
      <c r="D2400" s="4">
        <v>0</v>
      </c>
      <c r="E2400" s="4">
        <v>0</v>
      </c>
      <c r="F2400" s="4">
        <v>92.523876352102803</v>
      </c>
      <c r="G2400" s="4" t="str">
        <f t="shared" si="74"/>
        <v>OK</v>
      </c>
      <c r="H2400" s="4" t="str">
        <f t="shared" si="75"/>
        <v>ZERO</v>
      </c>
      <c r="I2400">
        <v>0</v>
      </c>
      <c r="J2400">
        <f>IFERROR(Table4[[#This Row],[energy_kwh]]/Table4[[#This Row],[expected_kwh]],0)</f>
        <v>0</v>
      </c>
      <c r="K2400" t="str">
        <f>IF(Table4[[#This Row],[Performance_Ratio]] &lt; 0.85, "Underperforming", "Performing")</f>
        <v>Underperforming</v>
      </c>
      <c r="L2400">
        <f>Table4[[#This Row],[energy_kwh]] - Table4[[#This Row],[expected_kwh]]</f>
        <v>0</v>
      </c>
      <c r="M2400" t="str">
        <f>IF(Table4[[#This Row],[Performance_Deviation]] &lt; 0, "Underperforming", "Outperforming")</f>
        <v>Outperforming</v>
      </c>
      <c r="N2400">
        <f>IF(Table4[[#This Row],[Performance_Ratio]] &lt; 0.85, Table4[[#This Row],[Performance_Deviation]] * 50 / 1000, 0)</f>
        <v>0</v>
      </c>
    </row>
    <row r="2401" spans="1:14" x14ac:dyDescent="0.3">
      <c r="A2401" s="6" t="s">
        <v>9</v>
      </c>
      <c r="B2401" s="5">
        <v>45298.958333333336</v>
      </c>
      <c r="C2401" s="6">
        <v>0</v>
      </c>
      <c r="D2401" s="6">
        <v>0</v>
      </c>
      <c r="E2401" s="6">
        <v>0</v>
      </c>
      <c r="F2401" s="6">
        <v>93.812371961241098</v>
      </c>
      <c r="G2401" s="6" t="str">
        <f t="shared" si="74"/>
        <v>OK</v>
      </c>
      <c r="H2401" s="6" t="str">
        <f t="shared" si="75"/>
        <v>ZERO</v>
      </c>
      <c r="I2401">
        <v>0</v>
      </c>
      <c r="J2401">
        <f>IFERROR(Table4[[#This Row],[energy_kwh]]/Table4[[#This Row],[expected_kwh]],0)</f>
        <v>0</v>
      </c>
      <c r="K2401" t="str">
        <f>IF(Table4[[#This Row],[Performance_Ratio]] &lt; 0.85, "Underperforming", "Performing")</f>
        <v>Underperforming</v>
      </c>
      <c r="L2401">
        <f>Table4[[#This Row],[energy_kwh]] - Table4[[#This Row],[expected_kwh]]</f>
        <v>0</v>
      </c>
      <c r="M2401" t="str">
        <f>IF(Table4[[#This Row],[Performance_Deviation]] &lt; 0, "Underperforming", "Outperforming")</f>
        <v>Outperforming</v>
      </c>
      <c r="N2401">
        <f>IF(Table4[[#This Row],[Performance_Ratio]] &lt; 0.85, Table4[[#This Row],[Performance_Deviation]] * 50 / 1000, 0)</f>
        <v>0</v>
      </c>
    </row>
    <row r="2402" spans="1:14" x14ac:dyDescent="0.3">
      <c r="A2402" s="4" t="s">
        <v>9</v>
      </c>
      <c r="B2402" s="3">
        <v>45299</v>
      </c>
      <c r="C2402" s="4">
        <v>0</v>
      </c>
      <c r="D2402" s="4">
        <v>0</v>
      </c>
      <c r="E2402" s="4">
        <v>0</v>
      </c>
      <c r="F2402" s="4">
        <v>57.604735894649302</v>
      </c>
      <c r="G2402" s="4" t="str">
        <f t="shared" si="74"/>
        <v>OK</v>
      </c>
      <c r="H2402" s="4" t="str">
        <f t="shared" si="75"/>
        <v>ZERO</v>
      </c>
      <c r="I2402">
        <v>0</v>
      </c>
      <c r="J2402">
        <f>IFERROR(Table4[[#This Row],[energy_kwh]]/Table4[[#This Row],[expected_kwh]],0)</f>
        <v>0</v>
      </c>
      <c r="K2402" t="str">
        <f>IF(Table4[[#This Row],[Performance_Ratio]] &lt; 0.85, "Underperforming", "Performing")</f>
        <v>Underperforming</v>
      </c>
      <c r="L2402">
        <f>Table4[[#This Row],[energy_kwh]] - Table4[[#This Row],[expected_kwh]]</f>
        <v>0</v>
      </c>
      <c r="M2402" t="str">
        <f>IF(Table4[[#This Row],[Performance_Deviation]] &lt; 0, "Underperforming", "Outperforming")</f>
        <v>Outperforming</v>
      </c>
      <c r="N2402">
        <f>IF(Table4[[#This Row],[Performance_Ratio]] &lt; 0.85, Table4[[#This Row],[Performance_Deviation]] * 50 / 1000, 0)</f>
        <v>0</v>
      </c>
    </row>
    <row r="2403" spans="1:14" x14ac:dyDescent="0.3">
      <c r="A2403" s="6" t="s">
        <v>9</v>
      </c>
      <c r="B2403" s="5">
        <v>45299.041666666664</v>
      </c>
      <c r="C2403" s="6">
        <v>0</v>
      </c>
      <c r="D2403" s="6">
        <v>0</v>
      </c>
      <c r="E2403" s="6">
        <v>0</v>
      </c>
      <c r="F2403" s="6">
        <v>71.114452241498697</v>
      </c>
      <c r="G2403" s="6" t="str">
        <f t="shared" si="74"/>
        <v>OK</v>
      </c>
      <c r="H2403" s="6" t="str">
        <f t="shared" si="75"/>
        <v>ZERO</v>
      </c>
      <c r="I2403">
        <v>0</v>
      </c>
      <c r="J2403">
        <f>IFERROR(Table4[[#This Row],[energy_kwh]]/Table4[[#This Row],[expected_kwh]],0)</f>
        <v>0</v>
      </c>
      <c r="K2403" t="str">
        <f>IF(Table4[[#This Row],[Performance_Ratio]] &lt; 0.85, "Underperforming", "Performing")</f>
        <v>Underperforming</v>
      </c>
      <c r="L2403">
        <f>Table4[[#This Row],[energy_kwh]] - Table4[[#This Row],[expected_kwh]]</f>
        <v>0</v>
      </c>
      <c r="M2403" t="str">
        <f>IF(Table4[[#This Row],[Performance_Deviation]] &lt; 0, "Underperforming", "Outperforming")</f>
        <v>Outperforming</v>
      </c>
      <c r="N2403">
        <f>IF(Table4[[#This Row],[Performance_Ratio]] &lt; 0.85, Table4[[#This Row],[Performance_Deviation]] * 50 / 1000, 0)</f>
        <v>0</v>
      </c>
    </row>
    <row r="2404" spans="1:14" x14ac:dyDescent="0.3">
      <c r="A2404" s="4" t="s">
        <v>9</v>
      </c>
      <c r="B2404" s="3">
        <v>45299.083333333336</v>
      </c>
      <c r="C2404" s="4">
        <v>0</v>
      </c>
      <c r="D2404" s="4">
        <v>0</v>
      </c>
      <c r="E2404" s="4">
        <v>0</v>
      </c>
      <c r="F2404" s="4">
        <v>23.147954468262899</v>
      </c>
      <c r="G2404" s="4" t="str">
        <f t="shared" si="74"/>
        <v>OK</v>
      </c>
      <c r="H2404" s="4" t="str">
        <f t="shared" si="75"/>
        <v>ZERO</v>
      </c>
      <c r="I2404">
        <v>0</v>
      </c>
      <c r="J2404">
        <f>IFERROR(Table4[[#This Row],[energy_kwh]]/Table4[[#This Row],[expected_kwh]],0)</f>
        <v>0</v>
      </c>
      <c r="K2404" t="str">
        <f>IF(Table4[[#This Row],[Performance_Ratio]] &lt; 0.85, "Underperforming", "Performing")</f>
        <v>Underperforming</v>
      </c>
      <c r="L2404">
        <f>Table4[[#This Row],[energy_kwh]] - Table4[[#This Row],[expected_kwh]]</f>
        <v>0</v>
      </c>
      <c r="M2404" t="str">
        <f>IF(Table4[[#This Row],[Performance_Deviation]] &lt; 0, "Underperforming", "Outperforming")</f>
        <v>Outperforming</v>
      </c>
      <c r="N2404">
        <f>IF(Table4[[#This Row],[Performance_Ratio]] &lt; 0.85, Table4[[#This Row],[Performance_Deviation]] * 50 / 1000, 0)</f>
        <v>0</v>
      </c>
    </row>
    <row r="2405" spans="1:14" x14ac:dyDescent="0.3">
      <c r="A2405" s="6" t="s">
        <v>9</v>
      </c>
      <c r="B2405" s="5">
        <v>45299.125</v>
      </c>
      <c r="C2405" s="6">
        <v>0</v>
      </c>
      <c r="D2405" s="6">
        <v>0</v>
      </c>
      <c r="E2405" s="6">
        <v>0</v>
      </c>
      <c r="F2405" s="6">
        <v>43.261041581810098</v>
      </c>
      <c r="G2405" s="6" t="str">
        <f t="shared" si="74"/>
        <v>OK</v>
      </c>
      <c r="H2405" s="6" t="str">
        <f t="shared" si="75"/>
        <v>ZERO</v>
      </c>
      <c r="I2405">
        <v>0</v>
      </c>
      <c r="J2405">
        <f>IFERROR(Table4[[#This Row],[energy_kwh]]/Table4[[#This Row],[expected_kwh]],0)</f>
        <v>0</v>
      </c>
      <c r="K2405" t="str">
        <f>IF(Table4[[#This Row],[Performance_Ratio]] &lt; 0.85, "Underperforming", "Performing")</f>
        <v>Underperforming</v>
      </c>
      <c r="L2405">
        <f>Table4[[#This Row],[energy_kwh]] - Table4[[#This Row],[expected_kwh]]</f>
        <v>0</v>
      </c>
      <c r="M2405" t="str">
        <f>IF(Table4[[#This Row],[Performance_Deviation]] &lt; 0, "Underperforming", "Outperforming")</f>
        <v>Outperforming</v>
      </c>
      <c r="N2405">
        <f>IF(Table4[[#This Row],[Performance_Ratio]] &lt; 0.85, Table4[[#This Row],[Performance_Deviation]] * 50 / 1000, 0)</f>
        <v>0</v>
      </c>
    </row>
    <row r="2406" spans="1:14" x14ac:dyDescent="0.3">
      <c r="A2406" s="4" t="s">
        <v>9</v>
      </c>
      <c r="B2406" s="3">
        <v>45299.166666666664</v>
      </c>
      <c r="C2406" s="4">
        <v>0</v>
      </c>
      <c r="D2406" s="4">
        <v>0</v>
      </c>
      <c r="E2406" s="4">
        <v>0</v>
      </c>
      <c r="F2406" s="4">
        <v>26.647473106218499</v>
      </c>
      <c r="G2406" s="4" t="str">
        <f t="shared" si="74"/>
        <v>OK</v>
      </c>
      <c r="H2406" s="4" t="str">
        <f t="shared" si="75"/>
        <v>ZERO</v>
      </c>
      <c r="I2406">
        <v>0</v>
      </c>
      <c r="J2406">
        <f>IFERROR(Table4[[#This Row],[energy_kwh]]/Table4[[#This Row],[expected_kwh]],0)</f>
        <v>0</v>
      </c>
      <c r="K2406" t="str">
        <f>IF(Table4[[#This Row],[Performance_Ratio]] &lt; 0.85, "Underperforming", "Performing")</f>
        <v>Underperforming</v>
      </c>
      <c r="L2406">
        <f>Table4[[#This Row],[energy_kwh]] - Table4[[#This Row],[expected_kwh]]</f>
        <v>0</v>
      </c>
      <c r="M2406" t="str">
        <f>IF(Table4[[#This Row],[Performance_Deviation]] &lt; 0, "Underperforming", "Outperforming")</f>
        <v>Outperforming</v>
      </c>
      <c r="N2406">
        <f>IF(Table4[[#This Row],[Performance_Ratio]] &lt; 0.85, Table4[[#This Row],[Performance_Deviation]] * 50 / 1000, 0)</f>
        <v>0</v>
      </c>
    </row>
    <row r="2407" spans="1:14" x14ac:dyDescent="0.3">
      <c r="A2407" s="6" t="s">
        <v>9</v>
      </c>
      <c r="B2407" s="5">
        <v>45299.208333333336</v>
      </c>
      <c r="C2407" s="6">
        <v>0</v>
      </c>
      <c r="D2407" s="6">
        <v>0</v>
      </c>
      <c r="E2407" s="6">
        <v>0</v>
      </c>
      <c r="F2407" s="6">
        <v>66.780668412465502</v>
      </c>
      <c r="G2407" s="6" t="str">
        <f t="shared" si="74"/>
        <v>OK</v>
      </c>
      <c r="H2407" s="6" t="str">
        <f t="shared" si="75"/>
        <v>ZERO</v>
      </c>
      <c r="I2407">
        <v>0</v>
      </c>
      <c r="J2407">
        <f>IFERROR(Table4[[#This Row],[energy_kwh]]/Table4[[#This Row],[expected_kwh]],0)</f>
        <v>0</v>
      </c>
      <c r="K2407" t="str">
        <f>IF(Table4[[#This Row],[Performance_Ratio]] &lt; 0.85, "Underperforming", "Performing")</f>
        <v>Underperforming</v>
      </c>
      <c r="L2407">
        <f>Table4[[#This Row],[energy_kwh]] - Table4[[#This Row],[expected_kwh]]</f>
        <v>0</v>
      </c>
      <c r="M2407" t="str">
        <f>IF(Table4[[#This Row],[Performance_Deviation]] &lt; 0, "Underperforming", "Outperforming")</f>
        <v>Outperforming</v>
      </c>
      <c r="N2407">
        <f>IF(Table4[[#This Row],[Performance_Ratio]] &lt; 0.85, Table4[[#This Row],[Performance_Deviation]] * 50 / 1000, 0)</f>
        <v>0</v>
      </c>
    </row>
    <row r="2408" spans="1:14" x14ac:dyDescent="0.3">
      <c r="A2408" s="4" t="s">
        <v>9</v>
      </c>
      <c r="B2408" s="3">
        <v>45299.25</v>
      </c>
      <c r="C2408" s="4">
        <v>0</v>
      </c>
      <c r="D2408" s="4">
        <v>0</v>
      </c>
      <c r="E2408" s="4">
        <v>0</v>
      </c>
      <c r="F2408" s="4">
        <v>48.104826690181902</v>
      </c>
      <c r="G2408" s="4" t="str">
        <f t="shared" si="74"/>
        <v>OK</v>
      </c>
      <c r="H2408" s="4" t="str">
        <f t="shared" si="75"/>
        <v>ZERO</v>
      </c>
      <c r="I2408">
        <v>0</v>
      </c>
      <c r="J2408">
        <f>IFERROR(Table4[[#This Row],[energy_kwh]]/Table4[[#This Row],[expected_kwh]],0)</f>
        <v>0</v>
      </c>
      <c r="K2408" t="str">
        <f>IF(Table4[[#This Row],[Performance_Ratio]] &lt; 0.85, "Underperforming", "Performing")</f>
        <v>Underperforming</v>
      </c>
      <c r="L2408">
        <f>Table4[[#This Row],[energy_kwh]] - Table4[[#This Row],[expected_kwh]]</f>
        <v>0</v>
      </c>
      <c r="M2408" t="str">
        <f>IF(Table4[[#This Row],[Performance_Deviation]] &lt; 0, "Underperforming", "Outperforming")</f>
        <v>Outperforming</v>
      </c>
      <c r="N2408">
        <f>IF(Table4[[#This Row],[Performance_Ratio]] &lt; 0.85, Table4[[#This Row],[Performance_Deviation]] * 50 / 1000, 0)</f>
        <v>0</v>
      </c>
    </row>
    <row r="2409" spans="1:14" x14ac:dyDescent="0.3">
      <c r="A2409" s="6" t="s">
        <v>9</v>
      </c>
      <c r="B2409" s="5">
        <v>45299.291666666664</v>
      </c>
      <c r="C2409" s="6">
        <v>254.527338001321</v>
      </c>
      <c r="D2409" s="6">
        <v>245.35069573542501</v>
      </c>
      <c r="E2409" s="6">
        <v>245.35069573542501</v>
      </c>
      <c r="F2409" s="6">
        <v>28.174999239723199</v>
      </c>
      <c r="G2409" s="6" t="str">
        <f t="shared" si="74"/>
        <v>OK</v>
      </c>
      <c r="H2409" s="6" t="str">
        <f t="shared" si="75"/>
        <v>NON-ZERO</v>
      </c>
      <c r="I2409">
        <v>248.466283298419</v>
      </c>
      <c r="J2409">
        <f>IFERROR(Table4[[#This Row],[energy_kwh]]/Table4[[#This Row],[expected_kwh]],0)</f>
        <v>0.98746072295349607</v>
      </c>
      <c r="K2409" t="str">
        <f>IF(Table4[[#This Row],[Performance_Ratio]] &lt; 0.85, "Underperforming", "Performing")</f>
        <v>Performing</v>
      </c>
      <c r="L2409">
        <f>Table4[[#This Row],[energy_kwh]] - Table4[[#This Row],[expected_kwh]]</f>
        <v>-3.1155875629939942</v>
      </c>
      <c r="M2409" t="str">
        <f>IF(Table4[[#This Row],[Performance_Deviation]] &lt; 0, "Underperforming", "Outperforming")</f>
        <v>Underperforming</v>
      </c>
      <c r="N2409">
        <f>IF(Table4[[#This Row],[Performance_Ratio]] &lt; 0.85, Table4[[#This Row],[Performance_Deviation]] * 50 / 1000, 0)</f>
        <v>0</v>
      </c>
    </row>
    <row r="2410" spans="1:14" x14ac:dyDescent="0.3">
      <c r="A2410" s="4" t="s">
        <v>9</v>
      </c>
      <c r="B2410" s="3">
        <v>45299.333333333336</v>
      </c>
      <c r="C2410" s="4">
        <v>450.20413324424499</v>
      </c>
      <c r="D2410" s="4">
        <v>433.97262620907998</v>
      </c>
      <c r="E2410" s="4">
        <v>433.97262620907998</v>
      </c>
      <c r="F2410" s="4">
        <v>30.77687054463</v>
      </c>
      <c r="G2410" s="4" t="str">
        <f t="shared" si="74"/>
        <v>OK</v>
      </c>
      <c r="H2410" s="4" t="str">
        <f t="shared" si="75"/>
        <v>NON-ZERO</v>
      </c>
      <c r="I2410">
        <v>479.99999999999898</v>
      </c>
      <c r="J2410">
        <f>IFERROR(Table4[[#This Row],[energy_kwh]]/Table4[[#This Row],[expected_kwh]],0)</f>
        <v>0.90410963793558519</v>
      </c>
      <c r="K2410" t="str">
        <f>IF(Table4[[#This Row],[Performance_Ratio]] &lt; 0.85, "Underperforming", "Performing")</f>
        <v>Performing</v>
      </c>
      <c r="L2410">
        <f>Table4[[#This Row],[energy_kwh]] - Table4[[#This Row],[expected_kwh]]</f>
        <v>-46.027373790919</v>
      </c>
      <c r="M2410" t="str">
        <f>IF(Table4[[#This Row],[Performance_Deviation]] &lt; 0, "Underperforming", "Outperforming")</f>
        <v>Underperforming</v>
      </c>
      <c r="N2410">
        <f>IF(Table4[[#This Row],[Performance_Ratio]] &lt; 0.85, Table4[[#This Row],[Performance_Deviation]] * 50 / 1000, 0)</f>
        <v>0</v>
      </c>
    </row>
    <row r="2411" spans="1:14" x14ac:dyDescent="0.3">
      <c r="A2411" s="6" t="s">
        <v>9</v>
      </c>
      <c r="B2411" s="5">
        <v>45299.375</v>
      </c>
      <c r="C2411" s="6">
        <v>600.35023336139204</v>
      </c>
      <c r="D2411" s="6">
        <v>578.70540978736699</v>
      </c>
      <c r="E2411" s="6">
        <v>578.70540978736699</v>
      </c>
      <c r="F2411" s="6">
        <v>43.7447261309485</v>
      </c>
      <c r="G2411" s="6" t="str">
        <f t="shared" si="74"/>
        <v>OK</v>
      </c>
      <c r="H2411" s="6" t="str">
        <f t="shared" si="75"/>
        <v>NON-ZERO</v>
      </c>
      <c r="I2411">
        <v>678.82250993908497</v>
      </c>
      <c r="J2411">
        <f>IFERROR(Table4[[#This Row],[energy_kwh]]/Table4[[#This Row],[expected_kwh]],0)</f>
        <v>0.85251358243747377</v>
      </c>
      <c r="K2411" t="str">
        <f>IF(Table4[[#This Row],[Performance_Ratio]] &lt; 0.85, "Underperforming", "Performing")</f>
        <v>Performing</v>
      </c>
      <c r="L2411">
        <f>Table4[[#This Row],[energy_kwh]] - Table4[[#This Row],[expected_kwh]]</f>
        <v>-100.11710015171798</v>
      </c>
      <c r="M2411" t="str">
        <f>IF(Table4[[#This Row],[Performance_Deviation]] &lt; 0, "Underperforming", "Outperforming")</f>
        <v>Underperforming</v>
      </c>
      <c r="N2411">
        <f>IF(Table4[[#This Row],[Performance_Ratio]] &lt; 0.85, Table4[[#This Row],[Performance_Deviation]] * 50 / 1000, 0)</f>
        <v>0</v>
      </c>
    </row>
    <row r="2412" spans="1:14" x14ac:dyDescent="0.3">
      <c r="A2412" s="4" t="s">
        <v>9</v>
      </c>
      <c r="B2412" s="3">
        <v>45299.416666666664</v>
      </c>
      <c r="C2412" s="4">
        <v>779.20022771512595</v>
      </c>
      <c r="D2412" s="4">
        <v>751.10720714061597</v>
      </c>
      <c r="E2412" s="4">
        <v>751.10720714061597</v>
      </c>
      <c r="F2412" s="4">
        <v>46.930308428236302</v>
      </c>
      <c r="G2412" s="4" t="str">
        <f t="shared" si="74"/>
        <v>OK</v>
      </c>
      <c r="H2412" s="4" t="str">
        <f t="shared" si="75"/>
        <v>NON-ZERO</v>
      </c>
      <c r="I2412">
        <v>831.38438763306101</v>
      </c>
      <c r="J2412">
        <f>IFERROR(Table4[[#This Row],[energy_kwh]]/Table4[[#This Row],[expected_kwh]],0)</f>
        <v>0.90344155881854726</v>
      </c>
      <c r="K2412" t="str">
        <f>IF(Table4[[#This Row],[Performance_Ratio]] &lt; 0.85, "Underperforming", "Performing")</f>
        <v>Performing</v>
      </c>
      <c r="L2412">
        <f>Table4[[#This Row],[energy_kwh]] - Table4[[#This Row],[expected_kwh]]</f>
        <v>-80.277180492445041</v>
      </c>
      <c r="M2412" t="str">
        <f>IF(Table4[[#This Row],[Performance_Deviation]] &lt; 0, "Underperforming", "Outperforming")</f>
        <v>Underperforming</v>
      </c>
      <c r="N2412">
        <f>IF(Table4[[#This Row],[Performance_Ratio]] &lt; 0.85, Table4[[#This Row],[Performance_Deviation]] * 50 / 1000, 0)</f>
        <v>0</v>
      </c>
    </row>
    <row r="2413" spans="1:14" x14ac:dyDescent="0.3">
      <c r="A2413" s="6" t="s">
        <v>9</v>
      </c>
      <c r="B2413" s="5">
        <v>45299.458333333336</v>
      </c>
      <c r="C2413" s="6">
        <v>1012.35903291638</v>
      </c>
      <c r="D2413" s="6">
        <v>975.85978390575804</v>
      </c>
      <c r="E2413" s="6">
        <v>975.85978390575804</v>
      </c>
      <c r="F2413" s="6">
        <v>88.342573273600294</v>
      </c>
      <c r="G2413" s="6" t="str">
        <f t="shared" si="74"/>
        <v>OK</v>
      </c>
      <c r="H2413" s="6" t="str">
        <f t="shared" si="75"/>
        <v>NON-ZERO</v>
      </c>
      <c r="I2413">
        <v>927.28879323750505</v>
      </c>
      <c r="J2413">
        <f>IFERROR(Table4[[#This Row],[energy_kwh]]/Table4[[#This Row],[expected_kwh]],0)</f>
        <v>1.0523795726018361</v>
      </c>
      <c r="K2413" t="str">
        <f>IF(Table4[[#This Row],[Performance_Ratio]] &lt; 0.85, "Underperforming", "Performing")</f>
        <v>Performing</v>
      </c>
      <c r="L2413">
        <f>Table4[[#This Row],[energy_kwh]] - Table4[[#This Row],[expected_kwh]]</f>
        <v>48.570990668252989</v>
      </c>
      <c r="M2413" t="str">
        <f>IF(Table4[[#This Row],[Performance_Deviation]] &lt; 0, "Underperforming", "Outperforming")</f>
        <v>Outperforming</v>
      </c>
      <c r="N2413">
        <f>IF(Table4[[#This Row],[Performance_Ratio]] &lt; 0.85, Table4[[#This Row],[Performance_Deviation]] * 50 / 1000, 0)</f>
        <v>0</v>
      </c>
    </row>
    <row r="2414" spans="1:14" x14ac:dyDescent="0.3">
      <c r="A2414" s="4" t="s">
        <v>9</v>
      </c>
      <c r="B2414" s="3">
        <v>45299.5</v>
      </c>
      <c r="C2414" s="4">
        <v>898.39045457007705</v>
      </c>
      <c r="D2414" s="4">
        <v>866.00019000587304</v>
      </c>
      <c r="E2414" s="4">
        <v>866.00019000587304</v>
      </c>
      <c r="F2414" s="4">
        <v>74.315368460627695</v>
      </c>
      <c r="G2414" s="4" t="str">
        <f t="shared" si="74"/>
        <v>OK</v>
      </c>
      <c r="H2414" s="4" t="str">
        <f t="shared" si="75"/>
        <v>NON-ZERO</v>
      </c>
      <c r="I2414">
        <v>960</v>
      </c>
      <c r="J2414">
        <f>IFERROR(Table4[[#This Row],[energy_kwh]]/Table4[[#This Row],[expected_kwh]],0)</f>
        <v>0.90208353125611773</v>
      </c>
      <c r="K2414" t="str">
        <f>IF(Table4[[#This Row],[Performance_Ratio]] &lt; 0.85, "Underperforming", "Performing")</f>
        <v>Performing</v>
      </c>
      <c r="L2414">
        <f>Table4[[#This Row],[energy_kwh]] - Table4[[#This Row],[expected_kwh]]</f>
        <v>-93.999809994126963</v>
      </c>
      <c r="M2414" t="str">
        <f>IF(Table4[[#This Row],[Performance_Deviation]] &lt; 0, "Underperforming", "Outperforming")</f>
        <v>Underperforming</v>
      </c>
      <c r="N2414">
        <f>IF(Table4[[#This Row],[Performance_Ratio]] &lt; 0.85, Table4[[#This Row],[Performance_Deviation]] * 50 / 1000, 0)</f>
        <v>0</v>
      </c>
    </row>
    <row r="2415" spans="1:14" x14ac:dyDescent="0.3">
      <c r="A2415" s="6" t="s">
        <v>9</v>
      </c>
      <c r="B2415" s="5">
        <v>45299.541666666664</v>
      </c>
      <c r="C2415" s="6">
        <v>892.25322490743599</v>
      </c>
      <c r="D2415" s="6">
        <v>860.08422993871</v>
      </c>
      <c r="E2415" s="6">
        <v>860.08422993871</v>
      </c>
      <c r="F2415" s="6">
        <v>88.119391600779906</v>
      </c>
      <c r="G2415" s="6" t="str">
        <f t="shared" si="74"/>
        <v>OK</v>
      </c>
      <c r="H2415" s="6" t="str">
        <f t="shared" si="75"/>
        <v>NON-ZERO</v>
      </c>
      <c r="I2415">
        <v>927.28879323750505</v>
      </c>
      <c r="J2415">
        <f>IFERROR(Table4[[#This Row],[energy_kwh]]/Table4[[#This Row],[expected_kwh]],0)</f>
        <v>0.92752574625197481</v>
      </c>
      <c r="K2415" t="str">
        <f>IF(Table4[[#This Row],[Performance_Ratio]] &lt; 0.85, "Underperforming", "Performing")</f>
        <v>Performing</v>
      </c>
      <c r="L2415">
        <f>Table4[[#This Row],[energy_kwh]] - Table4[[#This Row],[expected_kwh]]</f>
        <v>-67.204563298795051</v>
      </c>
      <c r="M2415" t="str">
        <f>IF(Table4[[#This Row],[Performance_Deviation]] &lt; 0, "Underperforming", "Outperforming")</f>
        <v>Underperforming</v>
      </c>
      <c r="N2415">
        <f>IF(Table4[[#This Row],[Performance_Ratio]] &lt; 0.85, Table4[[#This Row],[Performance_Deviation]] * 50 / 1000, 0)</f>
        <v>0</v>
      </c>
    </row>
    <row r="2416" spans="1:14" x14ac:dyDescent="0.3">
      <c r="A2416" s="4" t="s">
        <v>9</v>
      </c>
      <c r="B2416" s="3">
        <v>45299.583333333336</v>
      </c>
      <c r="C2416" s="4">
        <v>795.65171991867601</v>
      </c>
      <c r="D2416" s="4">
        <v>766.96556282736697</v>
      </c>
      <c r="E2416" s="4">
        <v>766.96556282736697</v>
      </c>
      <c r="F2416" s="4">
        <v>36.762073569187997</v>
      </c>
      <c r="G2416" s="4" t="str">
        <f t="shared" si="74"/>
        <v>OK</v>
      </c>
      <c r="H2416" s="4" t="str">
        <f t="shared" si="75"/>
        <v>NON-ZERO</v>
      </c>
      <c r="I2416">
        <v>831.38438763306101</v>
      </c>
      <c r="J2416">
        <f>IFERROR(Table4[[#This Row],[energy_kwh]]/Table4[[#This Row],[expected_kwh]],0)</f>
        <v>0.92251619616156921</v>
      </c>
      <c r="K2416" t="str">
        <f>IF(Table4[[#This Row],[Performance_Ratio]] &lt; 0.85, "Underperforming", "Performing")</f>
        <v>Performing</v>
      </c>
      <c r="L2416">
        <f>Table4[[#This Row],[energy_kwh]] - Table4[[#This Row],[expected_kwh]]</f>
        <v>-64.418824805694044</v>
      </c>
      <c r="M2416" t="str">
        <f>IF(Table4[[#This Row],[Performance_Deviation]] &lt; 0, "Underperforming", "Outperforming")</f>
        <v>Underperforming</v>
      </c>
      <c r="N2416">
        <f>IF(Table4[[#This Row],[Performance_Ratio]] &lt; 0.85, Table4[[#This Row],[Performance_Deviation]] * 50 / 1000, 0)</f>
        <v>0</v>
      </c>
    </row>
    <row r="2417" spans="1:14" x14ac:dyDescent="0.3">
      <c r="A2417" s="6" t="s">
        <v>9</v>
      </c>
      <c r="B2417" s="5">
        <v>45299.625</v>
      </c>
      <c r="C2417" s="6">
        <v>634.71474114019804</v>
      </c>
      <c r="D2417" s="6">
        <v>611.83095126492594</v>
      </c>
      <c r="E2417" s="6">
        <v>611.83095126492594</v>
      </c>
      <c r="F2417" s="6">
        <v>61.463134698857601</v>
      </c>
      <c r="G2417" s="6" t="str">
        <f t="shared" si="74"/>
        <v>OK</v>
      </c>
      <c r="H2417" s="6" t="str">
        <f t="shared" si="75"/>
        <v>NON-ZERO</v>
      </c>
      <c r="I2417">
        <v>678.82250993908497</v>
      </c>
      <c r="J2417">
        <f>IFERROR(Table4[[#This Row],[energy_kwh]]/Table4[[#This Row],[expected_kwh]],0)</f>
        <v>0.90131211370676168</v>
      </c>
      <c r="K2417" t="str">
        <f>IF(Table4[[#This Row],[Performance_Ratio]] &lt; 0.85, "Underperforming", "Performing")</f>
        <v>Performing</v>
      </c>
      <c r="L2417">
        <f>Table4[[#This Row],[energy_kwh]] - Table4[[#This Row],[expected_kwh]]</f>
        <v>-66.991558674159023</v>
      </c>
      <c r="M2417" t="str">
        <f>IF(Table4[[#This Row],[Performance_Deviation]] &lt; 0, "Underperforming", "Outperforming")</f>
        <v>Underperforming</v>
      </c>
      <c r="N2417">
        <f>IF(Table4[[#This Row],[Performance_Ratio]] &lt; 0.85, Table4[[#This Row],[Performance_Deviation]] * 50 / 1000, 0)</f>
        <v>0</v>
      </c>
    </row>
    <row r="2418" spans="1:14" x14ac:dyDescent="0.3">
      <c r="A2418" s="4" t="s">
        <v>9</v>
      </c>
      <c r="B2418" s="3">
        <v>45299.666666666664</v>
      </c>
      <c r="C2418" s="4">
        <v>439.39482794813301</v>
      </c>
      <c r="D2418" s="4">
        <v>423.553035937782</v>
      </c>
      <c r="E2418" s="4">
        <v>423.553035937782</v>
      </c>
      <c r="F2418" s="4">
        <v>85.434914244390399</v>
      </c>
      <c r="G2418" s="4" t="str">
        <f t="shared" si="74"/>
        <v>OK</v>
      </c>
      <c r="H2418" s="4" t="str">
        <f t="shared" si="75"/>
        <v>NON-ZERO</v>
      </c>
      <c r="I2418">
        <v>479.99999999999898</v>
      </c>
      <c r="J2418">
        <f>IFERROR(Table4[[#This Row],[energy_kwh]]/Table4[[#This Row],[expected_kwh]],0)</f>
        <v>0.88240215820371437</v>
      </c>
      <c r="K2418" t="str">
        <f>IF(Table4[[#This Row],[Performance_Ratio]] &lt; 0.85, "Underperforming", "Performing")</f>
        <v>Performing</v>
      </c>
      <c r="L2418">
        <f>Table4[[#This Row],[energy_kwh]] - Table4[[#This Row],[expected_kwh]]</f>
        <v>-56.446964062216978</v>
      </c>
      <c r="M2418" t="str">
        <f>IF(Table4[[#This Row],[Performance_Deviation]] &lt; 0, "Underperforming", "Outperforming")</f>
        <v>Underperforming</v>
      </c>
      <c r="N2418">
        <f>IF(Table4[[#This Row],[Performance_Ratio]] &lt; 0.85, Table4[[#This Row],[Performance_Deviation]] * 50 / 1000, 0)</f>
        <v>0</v>
      </c>
    </row>
    <row r="2419" spans="1:14" x14ac:dyDescent="0.3">
      <c r="A2419" s="6" t="s">
        <v>9</v>
      </c>
      <c r="B2419" s="5">
        <v>45299.708333333336</v>
      </c>
      <c r="C2419" s="6">
        <v>210.267276204192</v>
      </c>
      <c r="D2419" s="6">
        <v>202.686371185887</v>
      </c>
      <c r="E2419" s="6">
        <v>202.686371185887</v>
      </c>
      <c r="F2419" s="6">
        <v>26.675238348700901</v>
      </c>
      <c r="G2419" s="6" t="str">
        <f t="shared" si="74"/>
        <v>OK</v>
      </c>
      <c r="H2419" s="6" t="str">
        <f t="shared" si="75"/>
        <v>NON-ZERO</v>
      </c>
      <c r="I2419">
        <v>248.46628329842</v>
      </c>
      <c r="J2419">
        <f>IFERROR(Table4[[#This Row],[energy_kwh]]/Table4[[#This Row],[expected_kwh]],0)</f>
        <v>0.81575000235525275</v>
      </c>
      <c r="K2419" t="str">
        <f>IF(Table4[[#This Row],[Performance_Ratio]] &lt; 0.85, "Underperforming", "Performing")</f>
        <v>Underperforming</v>
      </c>
      <c r="L2419">
        <f>Table4[[#This Row],[energy_kwh]] - Table4[[#This Row],[expected_kwh]]</f>
        <v>-45.779912112532998</v>
      </c>
      <c r="M2419" t="str">
        <f>IF(Table4[[#This Row],[Performance_Deviation]] &lt; 0, "Underperforming", "Outperforming")</f>
        <v>Underperforming</v>
      </c>
      <c r="N2419">
        <f>IF(Table4[[#This Row],[Performance_Ratio]] &lt; 0.85, Table4[[#This Row],[Performance_Deviation]] * 50 / 1000, 0)</f>
        <v>-2.2889956056266501</v>
      </c>
    </row>
    <row r="2420" spans="1:14" x14ac:dyDescent="0.3">
      <c r="A2420" s="4" t="s">
        <v>9</v>
      </c>
      <c r="B2420" s="3">
        <v>45299.75</v>
      </c>
      <c r="C2420" s="7">
        <v>1.04446010140341E-13</v>
      </c>
      <c r="D2420" s="7">
        <v>1.00680349136362E-13</v>
      </c>
      <c r="E2420" s="7">
        <v>1.00680349136362E-13</v>
      </c>
      <c r="F2420" s="4">
        <v>51.278654624067499</v>
      </c>
      <c r="G2420" s="4" t="str">
        <f t="shared" si="74"/>
        <v>OK</v>
      </c>
      <c r="H2420" s="4" t="str">
        <f t="shared" si="75"/>
        <v>NON-ZERO</v>
      </c>
      <c r="I2420" s="2">
        <v>1.1756609271814501E-13</v>
      </c>
      <c r="J2420">
        <f>IFERROR(Table4[[#This Row],[energy_kwh]]/Table4[[#This Row],[expected_kwh]],0)</f>
        <v>0.85637233328605056</v>
      </c>
      <c r="K2420" t="str">
        <f>IF(Table4[[#This Row],[Performance_Ratio]] &lt; 0.85, "Underperforming", "Performing")</f>
        <v>Performing</v>
      </c>
      <c r="L2420">
        <f>Table4[[#This Row],[energy_kwh]] - Table4[[#This Row],[expected_kwh]]</f>
        <v>-1.6885743581783006E-14</v>
      </c>
      <c r="M2420" t="str">
        <f>IF(Table4[[#This Row],[Performance_Deviation]] &lt; 0, "Underperforming", "Outperforming")</f>
        <v>Underperforming</v>
      </c>
      <c r="N2420">
        <f>IF(Table4[[#This Row],[Performance_Ratio]] &lt; 0.85, Table4[[#This Row],[Performance_Deviation]] * 50 / 1000, 0)</f>
        <v>0</v>
      </c>
    </row>
    <row r="2421" spans="1:14" x14ac:dyDescent="0.3">
      <c r="A2421" s="6" t="s">
        <v>9</v>
      </c>
      <c r="B2421" s="5">
        <v>45299.791666666664</v>
      </c>
      <c r="C2421" s="6">
        <v>0</v>
      </c>
      <c r="D2421" s="6">
        <v>0</v>
      </c>
      <c r="E2421" s="6">
        <v>0</v>
      </c>
      <c r="F2421" s="6">
        <v>29.490834403505598</v>
      </c>
      <c r="G2421" s="6" t="str">
        <f t="shared" si="74"/>
        <v>OK</v>
      </c>
      <c r="H2421" s="6" t="str">
        <f t="shared" si="75"/>
        <v>ZERO</v>
      </c>
      <c r="I2421">
        <v>0</v>
      </c>
      <c r="J2421">
        <f>IFERROR(Table4[[#This Row],[energy_kwh]]/Table4[[#This Row],[expected_kwh]],0)</f>
        <v>0</v>
      </c>
      <c r="K2421" t="str">
        <f>IF(Table4[[#This Row],[Performance_Ratio]] &lt; 0.85, "Underperforming", "Performing")</f>
        <v>Underperforming</v>
      </c>
      <c r="L2421">
        <f>Table4[[#This Row],[energy_kwh]] - Table4[[#This Row],[expected_kwh]]</f>
        <v>0</v>
      </c>
      <c r="M2421" t="str">
        <f>IF(Table4[[#This Row],[Performance_Deviation]] &lt; 0, "Underperforming", "Outperforming")</f>
        <v>Outperforming</v>
      </c>
      <c r="N2421">
        <f>IF(Table4[[#This Row],[Performance_Ratio]] &lt; 0.85, Table4[[#This Row],[Performance_Deviation]] * 50 / 1000, 0)</f>
        <v>0</v>
      </c>
    </row>
    <row r="2422" spans="1:14" x14ac:dyDescent="0.3">
      <c r="A2422" s="4" t="s">
        <v>9</v>
      </c>
      <c r="B2422" s="3">
        <v>45299.833333333336</v>
      </c>
      <c r="C2422" s="4">
        <v>0</v>
      </c>
      <c r="D2422" s="4">
        <v>0</v>
      </c>
      <c r="E2422" s="4">
        <v>0</v>
      </c>
      <c r="F2422" s="4">
        <v>52.595574040043999</v>
      </c>
      <c r="G2422" s="4" t="str">
        <f t="shared" si="74"/>
        <v>OK</v>
      </c>
      <c r="H2422" s="4" t="str">
        <f t="shared" si="75"/>
        <v>ZERO</v>
      </c>
      <c r="I2422">
        <v>0</v>
      </c>
      <c r="J2422">
        <f>IFERROR(Table4[[#This Row],[energy_kwh]]/Table4[[#This Row],[expected_kwh]],0)</f>
        <v>0</v>
      </c>
      <c r="K2422" t="str">
        <f>IF(Table4[[#This Row],[Performance_Ratio]] &lt; 0.85, "Underperforming", "Performing")</f>
        <v>Underperforming</v>
      </c>
      <c r="L2422">
        <f>Table4[[#This Row],[energy_kwh]] - Table4[[#This Row],[expected_kwh]]</f>
        <v>0</v>
      </c>
      <c r="M2422" t="str">
        <f>IF(Table4[[#This Row],[Performance_Deviation]] &lt; 0, "Underperforming", "Outperforming")</f>
        <v>Outperforming</v>
      </c>
      <c r="N2422">
        <f>IF(Table4[[#This Row],[Performance_Ratio]] &lt; 0.85, Table4[[#This Row],[Performance_Deviation]] * 50 / 1000, 0)</f>
        <v>0</v>
      </c>
    </row>
    <row r="2423" spans="1:14" x14ac:dyDescent="0.3">
      <c r="A2423" s="6" t="s">
        <v>9</v>
      </c>
      <c r="B2423" s="5">
        <v>45299.875</v>
      </c>
      <c r="C2423" s="6">
        <v>0</v>
      </c>
      <c r="D2423" s="6">
        <v>0</v>
      </c>
      <c r="E2423" s="6">
        <v>0</v>
      </c>
      <c r="F2423" s="6">
        <v>59.074354148701701</v>
      </c>
      <c r="G2423" s="6" t="str">
        <f t="shared" si="74"/>
        <v>OK</v>
      </c>
      <c r="H2423" s="6" t="str">
        <f t="shared" si="75"/>
        <v>ZERO</v>
      </c>
      <c r="I2423">
        <v>0</v>
      </c>
      <c r="J2423">
        <f>IFERROR(Table4[[#This Row],[energy_kwh]]/Table4[[#This Row],[expected_kwh]],0)</f>
        <v>0</v>
      </c>
      <c r="K2423" t="str">
        <f>IF(Table4[[#This Row],[Performance_Ratio]] &lt; 0.85, "Underperforming", "Performing")</f>
        <v>Underperforming</v>
      </c>
      <c r="L2423">
        <f>Table4[[#This Row],[energy_kwh]] - Table4[[#This Row],[expected_kwh]]</f>
        <v>0</v>
      </c>
      <c r="M2423" t="str">
        <f>IF(Table4[[#This Row],[Performance_Deviation]] &lt; 0, "Underperforming", "Outperforming")</f>
        <v>Outperforming</v>
      </c>
      <c r="N2423">
        <f>IF(Table4[[#This Row],[Performance_Ratio]] &lt; 0.85, Table4[[#This Row],[Performance_Deviation]] * 50 / 1000, 0)</f>
        <v>0</v>
      </c>
    </row>
    <row r="2424" spans="1:14" x14ac:dyDescent="0.3">
      <c r="A2424" s="4" t="s">
        <v>9</v>
      </c>
      <c r="B2424" s="3">
        <v>45299.916666666664</v>
      </c>
      <c r="C2424" s="4">
        <v>0</v>
      </c>
      <c r="D2424" s="4">
        <v>0</v>
      </c>
      <c r="E2424" s="4">
        <v>0</v>
      </c>
      <c r="F2424" s="4">
        <v>81.583289580613695</v>
      </c>
      <c r="G2424" s="4" t="str">
        <f t="shared" si="74"/>
        <v>OK</v>
      </c>
      <c r="H2424" s="4" t="str">
        <f t="shared" si="75"/>
        <v>ZERO</v>
      </c>
      <c r="I2424">
        <v>0</v>
      </c>
      <c r="J2424">
        <f>IFERROR(Table4[[#This Row],[energy_kwh]]/Table4[[#This Row],[expected_kwh]],0)</f>
        <v>0</v>
      </c>
      <c r="K2424" t="str">
        <f>IF(Table4[[#This Row],[Performance_Ratio]] &lt; 0.85, "Underperforming", "Performing")</f>
        <v>Underperforming</v>
      </c>
      <c r="L2424">
        <f>Table4[[#This Row],[energy_kwh]] - Table4[[#This Row],[expected_kwh]]</f>
        <v>0</v>
      </c>
      <c r="M2424" t="str">
        <f>IF(Table4[[#This Row],[Performance_Deviation]] &lt; 0, "Underperforming", "Outperforming")</f>
        <v>Outperforming</v>
      </c>
      <c r="N2424">
        <f>IF(Table4[[#This Row],[Performance_Ratio]] &lt; 0.85, Table4[[#This Row],[Performance_Deviation]] * 50 / 1000, 0)</f>
        <v>0</v>
      </c>
    </row>
    <row r="2425" spans="1:14" x14ac:dyDescent="0.3">
      <c r="A2425" s="6" t="s">
        <v>9</v>
      </c>
      <c r="B2425" s="5">
        <v>45299.958333333336</v>
      </c>
      <c r="C2425" s="6">
        <v>0</v>
      </c>
      <c r="D2425" s="6">
        <v>0</v>
      </c>
      <c r="E2425" s="6">
        <v>0</v>
      </c>
      <c r="F2425" s="6">
        <v>78.963700189865904</v>
      </c>
      <c r="G2425" s="6" t="str">
        <f t="shared" si="74"/>
        <v>OK</v>
      </c>
      <c r="H2425" s="6" t="str">
        <f t="shared" si="75"/>
        <v>ZERO</v>
      </c>
      <c r="I2425">
        <v>0</v>
      </c>
      <c r="J2425">
        <f>IFERROR(Table4[[#This Row],[energy_kwh]]/Table4[[#This Row],[expected_kwh]],0)</f>
        <v>0</v>
      </c>
      <c r="K2425" t="str">
        <f>IF(Table4[[#This Row],[Performance_Ratio]] &lt; 0.85, "Underperforming", "Performing")</f>
        <v>Underperforming</v>
      </c>
      <c r="L2425">
        <f>Table4[[#This Row],[energy_kwh]] - Table4[[#This Row],[expected_kwh]]</f>
        <v>0</v>
      </c>
      <c r="M2425" t="str">
        <f>IF(Table4[[#This Row],[Performance_Deviation]] &lt; 0, "Underperforming", "Outperforming")</f>
        <v>Outperforming</v>
      </c>
      <c r="N2425">
        <f>IF(Table4[[#This Row],[Performance_Ratio]] &lt; 0.85, Table4[[#This Row],[Performance_Deviation]] * 50 / 1000, 0)</f>
        <v>0</v>
      </c>
    </row>
    <row r="2426" spans="1:14" x14ac:dyDescent="0.3">
      <c r="A2426" s="4" t="s">
        <v>9</v>
      </c>
      <c r="B2426" s="3">
        <v>45300</v>
      </c>
      <c r="C2426" s="4">
        <v>0</v>
      </c>
      <c r="D2426" s="4">
        <v>0</v>
      </c>
      <c r="E2426" s="4">
        <v>0</v>
      </c>
      <c r="F2426" s="4">
        <v>86.581513206048896</v>
      </c>
      <c r="G2426" s="4" t="str">
        <f t="shared" si="74"/>
        <v>OK</v>
      </c>
      <c r="H2426" s="4" t="str">
        <f t="shared" si="75"/>
        <v>ZERO</v>
      </c>
      <c r="I2426">
        <v>0</v>
      </c>
      <c r="J2426">
        <f>IFERROR(Table4[[#This Row],[energy_kwh]]/Table4[[#This Row],[expected_kwh]],0)</f>
        <v>0</v>
      </c>
      <c r="K2426" t="str">
        <f>IF(Table4[[#This Row],[Performance_Ratio]] &lt; 0.85, "Underperforming", "Performing")</f>
        <v>Underperforming</v>
      </c>
      <c r="L2426">
        <f>Table4[[#This Row],[energy_kwh]] - Table4[[#This Row],[expected_kwh]]</f>
        <v>0</v>
      </c>
      <c r="M2426" t="str">
        <f>IF(Table4[[#This Row],[Performance_Deviation]] &lt; 0, "Underperforming", "Outperforming")</f>
        <v>Outperforming</v>
      </c>
      <c r="N2426">
        <f>IF(Table4[[#This Row],[Performance_Ratio]] &lt; 0.85, Table4[[#This Row],[Performance_Deviation]] * 50 / 1000, 0)</f>
        <v>0</v>
      </c>
    </row>
    <row r="2427" spans="1:14" x14ac:dyDescent="0.3">
      <c r="A2427" s="6" t="s">
        <v>9</v>
      </c>
      <c r="B2427" s="5">
        <v>45300.041666666664</v>
      </c>
      <c r="C2427" s="6">
        <v>0</v>
      </c>
      <c r="D2427" s="6">
        <v>0</v>
      </c>
      <c r="E2427" s="6">
        <v>0</v>
      </c>
      <c r="F2427" s="6">
        <v>20.160568950910601</v>
      </c>
      <c r="G2427" s="6" t="str">
        <f t="shared" si="74"/>
        <v>OK</v>
      </c>
      <c r="H2427" s="6" t="str">
        <f t="shared" si="75"/>
        <v>ZERO</v>
      </c>
      <c r="I2427">
        <v>0</v>
      </c>
      <c r="J2427">
        <f>IFERROR(Table4[[#This Row],[energy_kwh]]/Table4[[#This Row],[expected_kwh]],0)</f>
        <v>0</v>
      </c>
      <c r="K2427" t="str">
        <f>IF(Table4[[#This Row],[Performance_Ratio]] &lt; 0.85, "Underperforming", "Performing")</f>
        <v>Underperforming</v>
      </c>
      <c r="L2427">
        <f>Table4[[#This Row],[energy_kwh]] - Table4[[#This Row],[expected_kwh]]</f>
        <v>0</v>
      </c>
      <c r="M2427" t="str">
        <f>IF(Table4[[#This Row],[Performance_Deviation]] &lt; 0, "Underperforming", "Outperforming")</f>
        <v>Outperforming</v>
      </c>
      <c r="N2427">
        <f>IF(Table4[[#This Row],[Performance_Ratio]] &lt; 0.85, Table4[[#This Row],[Performance_Deviation]] * 50 / 1000, 0)</f>
        <v>0</v>
      </c>
    </row>
    <row r="2428" spans="1:14" x14ac:dyDescent="0.3">
      <c r="A2428" s="4" t="s">
        <v>9</v>
      </c>
      <c r="B2428" s="3">
        <v>45300.083333333336</v>
      </c>
      <c r="C2428" s="4">
        <v>0</v>
      </c>
      <c r="D2428" s="4">
        <v>0</v>
      </c>
      <c r="E2428" s="4">
        <v>0</v>
      </c>
      <c r="F2428" s="4">
        <v>65.473771053089905</v>
      </c>
      <c r="G2428" s="4" t="str">
        <f t="shared" si="74"/>
        <v>OK</v>
      </c>
      <c r="H2428" s="4" t="str">
        <f t="shared" si="75"/>
        <v>ZERO</v>
      </c>
      <c r="I2428">
        <v>0</v>
      </c>
      <c r="J2428">
        <f>IFERROR(Table4[[#This Row],[energy_kwh]]/Table4[[#This Row],[expected_kwh]],0)</f>
        <v>0</v>
      </c>
      <c r="K2428" t="str">
        <f>IF(Table4[[#This Row],[Performance_Ratio]] &lt; 0.85, "Underperforming", "Performing")</f>
        <v>Underperforming</v>
      </c>
      <c r="L2428">
        <f>Table4[[#This Row],[energy_kwh]] - Table4[[#This Row],[expected_kwh]]</f>
        <v>0</v>
      </c>
      <c r="M2428" t="str">
        <f>IF(Table4[[#This Row],[Performance_Deviation]] &lt; 0, "Underperforming", "Outperforming")</f>
        <v>Outperforming</v>
      </c>
      <c r="N2428">
        <f>IF(Table4[[#This Row],[Performance_Ratio]] &lt; 0.85, Table4[[#This Row],[Performance_Deviation]] * 50 / 1000, 0)</f>
        <v>0</v>
      </c>
    </row>
    <row r="2429" spans="1:14" x14ac:dyDescent="0.3">
      <c r="A2429" s="6" t="s">
        <v>9</v>
      </c>
      <c r="B2429" s="5">
        <v>45300.125</v>
      </c>
      <c r="C2429" s="6">
        <v>0</v>
      </c>
      <c r="D2429" s="6">
        <v>0</v>
      </c>
      <c r="E2429" s="6">
        <v>0</v>
      </c>
      <c r="F2429" s="6">
        <v>57.742125903958801</v>
      </c>
      <c r="G2429" s="6" t="str">
        <f t="shared" si="74"/>
        <v>OK</v>
      </c>
      <c r="H2429" s="6" t="str">
        <f t="shared" si="75"/>
        <v>ZERO</v>
      </c>
      <c r="I2429">
        <v>0</v>
      </c>
      <c r="J2429">
        <f>IFERROR(Table4[[#This Row],[energy_kwh]]/Table4[[#This Row],[expected_kwh]],0)</f>
        <v>0</v>
      </c>
      <c r="K2429" t="str">
        <f>IF(Table4[[#This Row],[Performance_Ratio]] &lt; 0.85, "Underperforming", "Performing")</f>
        <v>Underperforming</v>
      </c>
      <c r="L2429">
        <f>Table4[[#This Row],[energy_kwh]] - Table4[[#This Row],[expected_kwh]]</f>
        <v>0</v>
      </c>
      <c r="M2429" t="str">
        <f>IF(Table4[[#This Row],[Performance_Deviation]] &lt; 0, "Underperforming", "Outperforming")</f>
        <v>Outperforming</v>
      </c>
      <c r="N2429">
        <f>IF(Table4[[#This Row],[Performance_Ratio]] &lt; 0.85, Table4[[#This Row],[Performance_Deviation]] * 50 / 1000, 0)</f>
        <v>0</v>
      </c>
    </row>
    <row r="2430" spans="1:14" x14ac:dyDescent="0.3">
      <c r="A2430" s="4" t="s">
        <v>9</v>
      </c>
      <c r="B2430" s="3">
        <v>45300.166666666664</v>
      </c>
      <c r="C2430" s="4">
        <v>0</v>
      </c>
      <c r="D2430" s="4">
        <v>0</v>
      </c>
      <c r="E2430" s="4">
        <v>0</v>
      </c>
      <c r="F2430" s="4">
        <v>58.480206714757799</v>
      </c>
      <c r="G2430" s="4" t="str">
        <f t="shared" si="74"/>
        <v>OK</v>
      </c>
      <c r="H2430" s="4" t="str">
        <f t="shared" si="75"/>
        <v>ZERO</v>
      </c>
      <c r="I2430">
        <v>0</v>
      </c>
      <c r="J2430">
        <f>IFERROR(Table4[[#This Row],[energy_kwh]]/Table4[[#This Row],[expected_kwh]],0)</f>
        <v>0</v>
      </c>
      <c r="K2430" t="str">
        <f>IF(Table4[[#This Row],[Performance_Ratio]] &lt; 0.85, "Underperforming", "Performing")</f>
        <v>Underperforming</v>
      </c>
      <c r="L2430">
        <f>Table4[[#This Row],[energy_kwh]] - Table4[[#This Row],[expected_kwh]]</f>
        <v>0</v>
      </c>
      <c r="M2430" t="str">
        <f>IF(Table4[[#This Row],[Performance_Deviation]] &lt; 0, "Underperforming", "Outperforming")</f>
        <v>Outperforming</v>
      </c>
      <c r="N2430">
        <f>IF(Table4[[#This Row],[Performance_Ratio]] &lt; 0.85, Table4[[#This Row],[Performance_Deviation]] * 50 / 1000, 0)</f>
        <v>0</v>
      </c>
    </row>
    <row r="2431" spans="1:14" x14ac:dyDescent="0.3">
      <c r="A2431" s="6" t="s">
        <v>9</v>
      </c>
      <c r="B2431" s="5">
        <v>45300.208333333336</v>
      </c>
      <c r="C2431" s="6">
        <v>0</v>
      </c>
      <c r="D2431" s="6">
        <v>0</v>
      </c>
      <c r="E2431" s="6">
        <v>0</v>
      </c>
      <c r="F2431" s="6">
        <v>79.143632383135298</v>
      </c>
      <c r="G2431" s="6" t="str">
        <f t="shared" si="74"/>
        <v>OK</v>
      </c>
      <c r="H2431" s="6" t="str">
        <f t="shared" si="75"/>
        <v>ZERO</v>
      </c>
      <c r="I2431">
        <v>0</v>
      </c>
      <c r="J2431">
        <f>IFERROR(Table4[[#This Row],[energy_kwh]]/Table4[[#This Row],[expected_kwh]],0)</f>
        <v>0</v>
      </c>
      <c r="K2431" t="str">
        <f>IF(Table4[[#This Row],[Performance_Ratio]] &lt; 0.85, "Underperforming", "Performing")</f>
        <v>Underperforming</v>
      </c>
      <c r="L2431">
        <f>Table4[[#This Row],[energy_kwh]] - Table4[[#This Row],[expected_kwh]]</f>
        <v>0</v>
      </c>
      <c r="M2431" t="str">
        <f>IF(Table4[[#This Row],[Performance_Deviation]] &lt; 0, "Underperforming", "Outperforming")</f>
        <v>Outperforming</v>
      </c>
      <c r="N2431">
        <f>IF(Table4[[#This Row],[Performance_Ratio]] &lt; 0.85, Table4[[#This Row],[Performance_Deviation]] * 50 / 1000, 0)</f>
        <v>0</v>
      </c>
    </row>
    <row r="2432" spans="1:14" x14ac:dyDescent="0.3">
      <c r="A2432" s="4" t="s">
        <v>9</v>
      </c>
      <c r="B2432" s="3">
        <v>45300.25</v>
      </c>
      <c r="C2432" s="4">
        <v>0</v>
      </c>
      <c r="D2432" s="4">
        <v>0</v>
      </c>
      <c r="E2432" s="4">
        <v>0</v>
      </c>
      <c r="F2432" s="4">
        <v>34.561452246391099</v>
      </c>
      <c r="G2432" s="4" t="str">
        <f t="shared" si="74"/>
        <v>OK</v>
      </c>
      <c r="H2432" s="4" t="str">
        <f t="shared" si="75"/>
        <v>ZERO</v>
      </c>
      <c r="I2432">
        <v>0</v>
      </c>
      <c r="J2432">
        <f>IFERROR(Table4[[#This Row],[energy_kwh]]/Table4[[#This Row],[expected_kwh]],0)</f>
        <v>0</v>
      </c>
      <c r="K2432" t="str">
        <f>IF(Table4[[#This Row],[Performance_Ratio]] &lt; 0.85, "Underperforming", "Performing")</f>
        <v>Underperforming</v>
      </c>
      <c r="L2432">
        <f>Table4[[#This Row],[energy_kwh]] - Table4[[#This Row],[expected_kwh]]</f>
        <v>0</v>
      </c>
      <c r="M2432" t="str">
        <f>IF(Table4[[#This Row],[Performance_Deviation]] &lt; 0, "Underperforming", "Outperforming")</f>
        <v>Outperforming</v>
      </c>
      <c r="N2432">
        <f>IF(Table4[[#This Row],[Performance_Ratio]] &lt; 0.85, Table4[[#This Row],[Performance_Deviation]] * 50 / 1000, 0)</f>
        <v>0</v>
      </c>
    </row>
    <row r="2433" spans="1:14" x14ac:dyDescent="0.3">
      <c r="A2433" s="6" t="s">
        <v>9</v>
      </c>
      <c r="B2433" s="5">
        <v>45300.291666666664</v>
      </c>
      <c r="C2433" s="6">
        <v>250.950728281804</v>
      </c>
      <c r="D2433" s="6">
        <v>241.90303588894901</v>
      </c>
      <c r="E2433" s="6">
        <v>241.90303588894901</v>
      </c>
      <c r="F2433" s="6">
        <v>85.124297273777501</v>
      </c>
      <c r="G2433" s="6" t="str">
        <f t="shared" si="74"/>
        <v>OK</v>
      </c>
      <c r="H2433" s="6" t="str">
        <f t="shared" si="75"/>
        <v>NON-ZERO</v>
      </c>
      <c r="I2433">
        <v>248.466283298419</v>
      </c>
      <c r="J2433">
        <f>IFERROR(Table4[[#This Row],[energy_kwh]]/Table4[[#This Row],[expected_kwh]],0)</f>
        <v>0.97358495759528374</v>
      </c>
      <c r="K2433" t="str">
        <f>IF(Table4[[#This Row],[Performance_Ratio]] &lt; 0.85, "Underperforming", "Performing")</f>
        <v>Performing</v>
      </c>
      <c r="L2433">
        <f>Table4[[#This Row],[energy_kwh]] - Table4[[#This Row],[expected_kwh]]</f>
        <v>-6.5632474094699944</v>
      </c>
      <c r="M2433" t="str">
        <f>IF(Table4[[#This Row],[Performance_Deviation]] &lt; 0, "Underperforming", "Outperforming")</f>
        <v>Underperforming</v>
      </c>
      <c r="N2433">
        <f>IF(Table4[[#This Row],[Performance_Ratio]] &lt; 0.85, Table4[[#This Row],[Performance_Deviation]] * 50 / 1000, 0)</f>
        <v>0</v>
      </c>
    </row>
    <row r="2434" spans="1:14" x14ac:dyDescent="0.3">
      <c r="A2434" s="4" t="s">
        <v>9</v>
      </c>
      <c r="B2434" s="3">
        <v>45300.333333333336</v>
      </c>
      <c r="C2434" s="4">
        <v>526.48255835057796</v>
      </c>
      <c r="D2434" s="4">
        <v>507.50093486307702</v>
      </c>
      <c r="E2434" s="4">
        <v>507.50093486307702</v>
      </c>
      <c r="F2434" s="4">
        <v>75.912731401457904</v>
      </c>
      <c r="G2434" s="4" t="str">
        <f t="shared" ref="G2434:G2497" si="76">IF(D2434 &gt; C2434, "ERROR", "OK")</f>
        <v>OK</v>
      </c>
      <c r="H2434" s="4" t="str">
        <f t="shared" ref="H2434:H2497" si="77">IF(E2434=0,"ZERO","NON-ZERO")</f>
        <v>NON-ZERO</v>
      </c>
      <c r="I2434">
        <v>479.99999999999898</v>
      </c>
      <c r="J2434">
        <f>IFERROR(Table4[[#This Row],[energy_kwh]]/Table4[[#This Row],[expected_kwh]],0)</f>
        <v>1.0572936142980793</v>
      </c>
      <c r="K2434" t="str">
        <f>IF(Table4[[#This Row],[Performance_Ratio]] &lt; 0.85, "Underperforming", "Performing")</f>
        <v>Performing</v>
      </c>
      <c r="L2434">
        <f>Table4[[#This Row],[energy_kwh]] - Table4[[#This Row],[expected_kwh]]</f>
        <v>27.500934863078044</v>
      </c>
      <c r="M2434" t="str">
        <f>IF(Table4[[#This Row],[Performance_Deviation]] &lt; 0, "Underperforming", "Outperforming")</f>
        <v>Outperforming</v>
      </c>
      <c r="N2434">
        <f>IF(Table4[[#This Row],[Performance_Ratio]] &lt; 0.85, Table4[[#This Row],[Performance_Deviation]] * 50 / 1000, 0)</f>
        <v>0</v>
      </c>
    </row>
    <row r="2435" spans="1:14" x14ac:dyDescent="0.3">
      <c r="A2435" s="6" t="s">
        <v>9</v>
      </c>
      <c r="B2435" s="5">
        <v>45300.375</v>
      </c>
      <c r="C2435" s="6">
        <v>673.26379238886602</v>
      </c>
      <c r="D2435" s="6">
        <v>648.99016810218404</v>
      </c>
      <c r="E2435" s="6">
        <v>648.99016810218404</v>
      </c>
      <c r="F2435" s="6">
        <v>57.697985373165103</v>
      </c>
      <c r="G2435" s="6" t="str">
        <f t="shared" si="76"/>
        <v>OK</v>
      </c>
      <c r="H2435" s="6" t="str">
        <f t="shared" si="77"/>
        <v>NON-ZERO</v>
      </c>
      <c r="I2435">
        <v>678.82250993908497</v>
      </c>
      <c r="J2435">
        <f>IFERROR(Table4[[#This Row],[energy_kwh]]/Table4[[#This Row],[expected_kwh]],0)</f>
        <v>0.95605280997594211</v>
      </c>
      <c r="K2435" t="str">
        <f>IF(Table4[[#This Row],[Performance_Ratio]] &lt; 0.85, "Underperforming", "Performing")</f>
        <v>Performing</v>
      </c>
      <c r="L2435">
        <f>Table4[[#This Row],[energy_kwh]] - Table4[[#This Row],[expected_kwh]]</f>
        <v>-29.832341836900923</v>
      </c>
      <c r="M2435" t="str">
        <f>IF(Table4[[#This Row],[Performance_Deviation]] &lt; 0, "Underperforming", "Outperforming")</f>
        <v>Underperforming</v>
      </c>
      <c r="N2435">
        <f>IF(Table4[[#This Row],[Performance_Ratio]] &lt; 0.85, Table4[[#This Row],[Performance_Deviation]] * 50 / 1000, 0)</f>
        <v>0</v>
      </c>
    </row>
    <row r="2436" spans="1:14" x14ac:dyDescent="0.3">
      <c r="A2436" s="4" t="s">
        <v>9</v>
      </c>
      <c r="B2436" s="3">
        <v>45300.416666666664</v>
      </c>
      <c r="C2436" s="4">
        <v>714.34933588162505</v>
      </c>
      <c r="D2436" s="4">
        <v>688.59442735296898</v>
      </c>
      <c r="E2436" s="4">
        <v>688.59442735296898</v>
      </c>
      <c r="F2436" s="4">
        <v>34.674972171900599</v>
      </c>
      <c r="G2436" s="4" t="str">
        <f t="shared" si="76"/>
        <v>OK</v>
      </c>
      <c r="H2436" s="4" t="str">
        <f t="shared" si="77"/>
        <v>NON-ZERO</v>
      </c>
      <c r="I2436">
        <v>831.38438763306101</v>
      </c>
      <c r="J2436">
        <f>IFERROR(Table4[[#This Row],[energy_kwh]]/Table4[[#This Row],[expected_kwh]],0)</f>
        <v>0.82825037082231856</v>
      </c>
      <c r="K2436" t="str">
        <f>IF(Table4[[#This Row],[Performance_Ratio]] &lt; 0.85, "Underperforming", "Performing")</f>
        <v>Underperforming</v>
      </c>
      <c r="L2436">
        <f>Table4[[#This Row],[energy_kwh]] - Table4[[#This Row],[expected_kwh]]</f>
        <v>-142.78996028009203</v>
      </c>
      <c r="M2436" t="str">
        <f>IF(Table4[[#This Row],[Performance_Deviation]] &lt; 0, "Underperforming", "Outperforming")</f>
        <v>Underperforming</v>
      </c>
      <c r="N2436">
        <f>IF(Table4[[#This Row],[Performance_Ratio]] &lt; 0.85, Table4[[#This Row],[Performance_Deviation]] * 50 / 1000, 0)</f>
        <v>-7.1394980140046016</v>
      </c>
    </row>
    <row r="2437" spans="1:14" x14ac:dyDescent="0.3">
      <c r="A2437" s="6" t="s">
        <v>9</v>
      </c>
      <c r="B2437" s="5">
        <v>45300.458333333336</v>
      </c>
      <c r="C2437" s="6">
        <v>878.82432936198495</v>
      </c>
      <c r="D2437" s="6">
        <v>847.13949523591896</v>
      </c>
      <c r="E2437" s="6">
        <v>847.13949523591896</v>
      </c>
      <c r="F2437" s="6">
        <v>40.1952818228905</v>
      </c>
      <c r="G2437" s="6" t="str">
        <f t="shared" si="76"/>
        <v>OK</v>
      </c>
      <c r="H2437" s="6" t="str">
        <f t="shared" si="77"/>
        <v>NON-ZERO</v>
      </c>
      <c r="I2437">
        <v>927.28879323750505</v>
      </c>
      <c r="J2437">
        <f>IFERROR(Table4[[#This Row],[energy_kwh]]/Table4[[#This Row],[expected_kwh]],0)</f>
        <v>0.9135659801066337</v>
      </c>
      <c r="K2437" t="str">
        <f>IF(Table4[[#This Row],[Performance_Ratio]] &lt; 0.85, "Underperforming", "Performing")</f>
        <v>Performing</v>
      </c>
      <c r="L2437">
        <f>Table4[[#This Row],[energy_kwh]] - Table4[[#This Row],[expected_kwh]]</f>
        <v>-80.149298001586089</v>
      </c>
      <c r="M2437" t="str">
        <f>IF(Table4[[#This Row],[Performance_Deviation]] &lt; 0, "Underperforming", "Outperforming")</f>
        <v>Underperforming</v>
      </c>
      <c r="N2437">
        <f>IF(Table4[[#This Row],[Performance_Ratio]] &lt; 0.85, Table4[[#This Row],[Performance_Deviation]] * 50 / 1000, 0)</f>
        <v>0</v>
      </c>
    </row>
    <row r="2438" spans="1:14" x14ac:dyDescent="0.3">
      <c r="A2438" s="4" t="s">
        <v>9</v>
      </c>
      <c r="B2438" s="3">
        <v>45300.5</v>
      </c>
      <c r="C2438" s="4">
        <v>1028.26754529503</v>
      </c>
      <c r="D2438" s="4">
        <v>991.19473617794495</v>
      </c>
      <c r="E2438" s="4">
        <v>991.19473617794495</v>
      </c>
      <c r="F2438" s="4">
        <v>78.890215093461805</v>
      </c>
      <c r="G2438" s="4" t="str">
        <f t="shared" si="76"/>
        <v>OK</v>
      </c>
      <c r="H2438" s="4" t="str">
        <f t="shared" si="77"/>
        <v>NON-ZERO</v>
      </c>
      <c r="I2438">
        <v>960</v>
      </c>
      <c r="J2438">
        <f>IFERROR(Table4[[#This Row],[energy_kwh]]/Table4[[#This Row],[expected_kwh]],0)</f>
        <v>1.0324945168520261</v>
      </c>
      <c r="K2438" t="str">
        <f>IF(Table4[[#This Row],[Performance_Ratio]] &lt; 0.85, "Underperforming", "Performing")</f>
        <v>Performing</v>
      </c>
      <c r="L2438">
        <f>Table4[[#This Row],[energy_kwh]] - Table4[[#This Row],[expected_kwh]]</f>
        <v>31.194736177944947</v>
      </c>
      <c r="M2438" t="str">
        <f>IF(Table4[[#This Row],[Performance_Deviation]] &lt; 0, "Underperforming", "Outperforming")</f>
        <v>Outperforming</v>
      </c>
      <c r="N2438">
        <f>IF(Table4[[#This Row],[Performance_Ratio]] &lt; 0.85, Table4[[#This Row],[Performance_Deviation]] * 50 / 1000, 0)</f>
        <v>0</v>
      </c>
    </row>
    <row r="2439" spans="1:14" x14ac:dyDescent="0.3">
      <c r="A2439" s="6" t="s">
        <v>9</v>
      </c>
      <c r="B2439" s="5">
        <v>45300.541666666664</v>
      </c>
      <c r="C2439" s="6">
        <v>973.26305112042405</v>
      </c>
      <c r="D2439" s="6">
        <v>938.17335536954795</v>
      </c>
      <c r="E2439" s="6">
        <v>938.17335536954795</v>
      </c>
      <c r="F2439" s="6">
        <v>90.349089909462194</v>
      </c>
      <c r="G2439" s="6" t="str">
        <f t="shared" si="76"/>
        <v>OK</v>
      </c>
      <c r="H2439" s="6" t="str">
        <f t="shared" si="77"/>
        <v>NON-ZERO</v>
      </c>
      <c r="I2439">
        <v>927.28879323750505</v>
      </c>
      <c r="J2439">
        <f>IFERROR(Table4[[#This Row],[energy_kwh]]/Table4[[#This Row],[expected_kwh]],0)</f>
        <v>1.0117380499057267</v>
      </c>
      <c r="K2439" t="str">
        <f>IF(Table4[[#This Row],[Performance_Ratio]] &lt; 0.85, "Underperforming", "Performing")</f>
        <v>Performing</v>
      </c>
      <c r="L2439">
        <f>Table4[[#This Row],[energy_kwh]] - Table4[[#This Row],[expected_kwh]]</f>
        <v>10.884562132042902</v>
      </c>
      <c r="M2439" t="str">
        <f>IF(Table4[[#This Row],[Performance_Deviation]] &lt; 0, "Underperforming", "Outperforming")</f>
        <v>Outperforming</v>
      </c>
      <c r="N2439">
        <f>IF(Table4[[#This Row],[Performance_Ratio]] &lt; 0.85, Table4[[#This Row],[Performance_Deviation]] * 50 / 1000, 0)</f>
        <v>0</v>
      </c>
    </row>
    <row r="2440" spans="1:14" x14ac:dyDescent="0.3">
      <c r="A2440" s="4" t="s">
        <v>9</v>
      </c>
      <c r="B2440" s="3">
        <v>45300.583333333336</v>
      </c>
      <c r="C2440" s="4">
        <v>821.31092743901104</v>
      </c>
      <c r="D2440" s="4">
        <v>791.69966198767497</v>
      </c>
      <c r="E2440" s="4">
        <v>791.69966198767497</v>
      </c>
      <c r="F2440" s="4">
        <v>61.947640405762002</v>
      </c>
      <c r="G2440" s="4" t="str">
        <f t="shared" si="76"/>
        <v>OK</v>
      </c>
      <c r="H2440" s="4" t="str">
        <f t="shared" si="77"/>
        <v>NON-ZERO</v>
      </c>
      <c r="I2440">
        <v>831.38438763306101</v>
      </c>
      <c r="J2440">
        <f>IFERROR(Table4[[#This Row],[energy_kwh]]/Table4[[#This Row],[expected_kwh]],0)</f>
        <v>0.95226669367899985</v>
      </c>
      <c r="K2440" t="str">
        <f>IF(Table4[[#This Row],[Performance_Ratio]] &lt; 0.85, "Underperforming", "Performing")</f>
        <v>Performing</v>
      </c>
      <c r="L2440">
        <f>Table4[[#This Row],[energy_kwh]] - Table4[[#This Row],[expected_kwh]]</f>
        <v>-39.684725645386038</v>
      </c>
      <c r="M2440" t="str">
        <f>IF(Table4[[#This Row],[Performance_Deviation]] &lt; 0, "Underperforming", "Outperforming")</f>
        <v>Underperforming</v>
      </c>
      <c r="N2440">
        <f>IF(Table4[[#This Row],[Performance_Ratio]] &lt; 0.85, Table4[[#This Row],[Performance_Deviation]] * 50 / 1000, 0)</f>
        <v>0</v>
      </c>
    </row>
    <row r="2441" spans="1:14" x14ac:dyDescent="0.3">
      <c r="A2441" s="6" t="s">
        <v>9</v>
      </c>
      <c r="B2441" s="5">
        <v>45300.625</v>
      </c>
      <c r="C2441" s="6">
        <v>687.22289632008597</v>
      </c>
      <c r="D2441" s="6">
        <v>662.44599523753902</v>
      </c>
      <c r="E2441" s="6">
        <v>662.44599523753902</v>
      </c>
      <c r="F2441" s="6">
        <v>65.076940811651696</v>
      </c>
      <c r="G2441" s="6" t="str">
        <f t="shared" si="76"/>
        <v>OK</v>
      </c>
      <c r="H2441" s="6" t="str">
        <f t="shared" si="77"/>
        <v>NON-ZERO</v>
      </c>
      <c r="I2441">
        <v>678.82250993908497</v>
      </c>
      <c r="J2441">
        <f>IFERROR(Table4[[#This Row],[energy_kwh]]/Table4[[#This Row],[expected_kwh]],0)</f>
        <v>0.9758751154215326</v>
      </c>
      <c r="K2441" t="str">
        <f>IF(Table4[[#This Row],[Performance_Ratio]] &lt; 0.85, "Underperforming", "Performing")</f>
        <v>Performing</v>
      </c>
      <c r="L2441">
        <f>Table4[[#This Row],[energy_kwh]] - Table4[[#This Row],[expected_kwh]]</f>
        <v>-16.376514701545943</v>
      </c>
      <c r="M2441" t="str">
        <f>IF(Table4[[#This Row],[Performance_Deviation]] &lt; 0, "Underperforming", "Outperforming")</f>
        <v>Underperforming</v>
      </c>
      <c r="N2441">
        <f>IF(Table4[[#This Row],[Performance_Ratio]] &lt; 0.85, Table4[[#This Row],[Performance_Deviation]] * 50 / 1000, 0)</f>
        <v>0</v>
      </c>
    </row>
    <row r="2442" spans="1:14" x14ac:dyDescent="0.3">
      <c r="A2442" s="4" t="s">
        <v>9</v>
      </c>
      <c r="B2442" s="3">
        <v>45300.666666666664</v>
      </c>
      <c r="C2442" s="4">
        <v>492.94216112274398</v>
      </c>
      <c r="D2442" s="4">
        <v>475.16979173436101</v>
      </c>
      <c r="E2442" s="4">
        <v>475.16979173436101</v>
      </c>
      <c r="F2442" s="4">
        <v>82.899286586934295</v>
      </c>
      <c r="G2442" s="4" t="str">
        <f t="shared" si="76"/>
        <v>OK</v>
      </c>
      <c r="H2442" s="4" t="str">
        <f t="shared" si="77"/>
        <v>NON-ZERO</v>
      </c>
      <c r="I2442">
        <v>479.99999999999898</v>
      </c>
      <c r="J2442">
        <f>IFERROR(Table4[[#This Row],[energy_kwh]]/Table4[[#This Row],[expected_kwh]],0)</f>
        <v>0.98993706611325427</v>
      </c>
      <c r="K2442" t="str">
        <f>IF(Table4[[#This Row],[Performance_Ratio]] &lt; 0.85, "Underperforming", "Performing")</f>
        <v>Performing</v>
      </c>
      <c r="L2442">
        <f>Table4[[#This Row],[energy_kwh]] - Table4[[#This Row],[expected_kwh]]</f>
        <v>-4.8302082656379639</v>
      </c>
      <c r="M2442" t="str">
        <f>IF(Table4[[#This Row],[Performance_Deviation]] &lt; 0, "Underperforming", "Outperforming")</f>
        <v>Underperforming</v>
      </c>
      <c r="N2442">
        <f>IF(Table4[[#This Row],[Performance_Ratio]] &lt; 0.85, Table4[[#This Row],[Performance_Deviation]] * 50 / 1000, 0)</f>
        <v>0</v>
      </c>
    </row>
    <row r="2443" spans="1:14" x14ac:dyDescent="0.3">
      <c r="A2443" s="6" t="s">
        <v>9</v>
      </c>
      <c r="B2443" s="5">
        <v>45300.708333333336</v>
      </c>
      <c r="C2443" s="6">
        <v>224.293264168441</v>
      </c>
      <c r="D2443" s="6">
        <v>216.20667094004199</v>
      </c>
      <c r="E2443" s="6">
        <v>216.20667094004199</v>
      </c>
      <c r="F2443" s="6">
        <v>31.456282375071201</v>
      </c>
      <c r="G2443" s="6" t="str">
        <f t="shared" si="76"/>
        <v>OK</v>
      </c>
      <c r="H2443" s="6" t="str">
        <f t="shared" si="77"/>
        <v>NON-ZERO</v>
      </c>
      <c r="I2443">
        <v>248.46628329842</v>
      </c>
      <c r="J2443">
        <f>IFERROR(Table4[[#This Row],[energy_kwh]]/Table4[[#This Row],[expected_kwh]],0)</f>
        <v>0.87016503032070291</v>
      </c>
      <c r="K2443" t="str">
        <f>IF(Table4[[#This Row],[Performance_Ratio]] &lt; 0.85, "Underperforming", "Performing")</f>
        <v>Performing</v>
      </c>
      <c r="L2443">
        <f>Table4[[#This Row],[energy_kwh]] - Table4[[#This Row],[expected_kwh]]</f>
        <v>-32.259612358378007</v>
      </c>
      <c r="M2443" t="str">
        <f>IF(Table4[[#This Row],[Performance_Deviation]] &lt; 0, "Underperforming", "Outperforming")</f>
        <v>Underperforming</v>
      </c>
      <c r="N2443">
        <f>IF(Table4[[#This Row],[Performance_Ratio]] &lt; 0.85, Table4[[#This Row],[Performance_Deviation]] * 50 / 1000, 0)</f>
        <v>0</v>
      </c>
    </row>
    <row r="2444" spans="1:14" x14ac:dyDescent="0.3">
      <c r="A2444" s="4" t="s">
        <v>9</v>
      </c>
      <c r="B2444" s="3">
        <v>45300.75</v>
      </c>
      <c r="C2444" s="7">
        <v>1.13573152356745E-13</v>
      </c>
      <c r="D2444" s="7">
        <v>1.09478424464755E-13</v>
      </c>
      <c r="E2444" s="7">
        <v>1.09478424464755E-13</v>
      </c>
      <c r="F2444" s="4">
        <v>47.239189706813598</v>
      </c>
      <c r="G2444" s="4" t="str">
        <f t="shared" si="76"/>
        <v>OK</v>
      </c>
      <c r="H2444" s="4" t="str">
        <f t="shared" si="77"/>
        <v>NON-ZERO</v>
      </c>
      <c r="I2444" s="2">
        <v>1.1756609271814501E-13</v>
      </c>
      <c r="J2444">
        <f>IFERROR(Table4[[#This Row],[energy_kwh]]/Table4[[#This Row],[expected_kwh]],0)</f>
        <v>0.93120747601283704</v>
      </c>
      <c r="K2444" t="str">
        <f>IF(Table4[[#This Row],[Performance_Ratio]] &lt; 0.85, "Underperforming", "Performing")</f>
        <v>Performing</v>
      </c>
      <c r="L2444">
        <f>Table4[[#This Row],[energy_kwh]] - Table4[[#This Row],[expected_kwh]]</f>
        <v>-8.0876682533900085E-15</v>
      </c>
      <c r="M2444" t="str">
        <f>IF(Table4[[#This Row],[Performance_Deviation]] &lt; 0, "Underperforming", "Outperforming")</f>
        <v>Underperforming</v>
      </c>
      <c r="N2444">
        <f>IF(Table4[[#This Row],[Performance_Ratio]] &lt; 0.85, Table4[[#This Row],[Performance_Deviation]] * 50 / 1000, 0)</f>
        <v>0</v>
      </c>
    </row>
    <row r="2445" spans="1:14" x14ac:dyDescent="0.3">
      <c r="A2445" s="6" t="s">
        <v>9</v>
      </c>
      <c r="B2445" s="5">
        <v>45300.791666666664</v>
      </c>
      <c r="C2445" s="6">
        <v>0</v>
      </c>
      <c r="D2445" s="6">
        <v>0</v>
      </c>
      <c r="E2445" s="6">
        <v>0</v>
      </c>
      <c r="F2445" s="6">
        <v>54.195963932649597</v>
      </c>
      <c r="G2445" s="6" t="str">
        <f t="shared" si="76"/>
        <v>OK</v>
      </c>
      <c r="H2445" s="6" t="str">
        <f t="shared" si="77"/>
        <v>ZERO</v>
      </c>
      <c r="I2445">
        <v>0</v>
      </c>
      <c r="J2445">
        <f>IFERROR(Table4[[#This Row],[energy_kwh]]/Table4[[#This Row],[expected_kwh]],0)</f>
        <v>0</v>
      </c>
      <c r="K2445" t="str">
        <f>IF(Table4[[#This Row],[Performance_Ratio]] &lt; 0.85, "Underperforming", "Performing")</f>
        <v>Underperforming</v>
      </c>
      <c r="L2445">
        <f>Table4[[#This Row],[energy_kwh]] - Table4[[#This Row],[expected_kwh]]</f>
        <v>0</v>
      </c>
      <c r="M2445" t="str">
        <f>IF(Table4[[#This Row],[Performance_Deviation]] &lt; 0, "Underperforming", "Outperforming")</f>
        <v>Outperforming</v>
      </c>
      <c r="N2445">
        <f>IF(Table4[[#This Row],[Performance_Ratio]] &lt; 0.85, Table4[[#This Row],[Performance_Deviation]] * 50 / 1000, 0)</f>
        <v>0</v>
      </c>
    </row>
    <row r="2446" spans="1:14" x14ac:dyDescent="0.3">
      <c r="A2446" s="4" t="s">
        <v>9</v>
      </c>
      <c r="B2446" s="3">
        <v>45300.833333333336</v>
      </c>
      <c r="C2446" s="4">
        <v>0</v>
      </c>
      <c r="D2446" s="4">
        <v>0</v>
      </c>
      <c r="E2446" s="4">
        <v>0</v>
      </c>
      <c r="F2446" s="4">
        <v>92.9642453532757</v>
      </c>
      <c r="G2446" s="4" t="str">
        <f t="shared" si="76"/>
        <v>OK</v>
      </c>
      <c r="H2446" s="4" t="str">
        <f t="shared" si="77"/>
        <v>ZERO</v>
      </c>
      <c r="I2446">
        <v>0</v>
      </c>
      <c r="J2446">
        <f>IFERROR(Table4[[#This Row],[energy_kwh]]/Table4[[#This Row],[expected_kwh]],0)</f>
        <v>0</v>
      </c>
      <c r="K2446" t="str">
        <f>IF(Table4[[#This Row],[Performance_Ratio]] &lt; 0.85, "Underperforming", "Performing")</f>
        <v>Underperforming</v>
      </c>
      <c r="L2446">
        <f>Table4[[#This Row],[energy_kwh]] - Table4[[#This Row],[expected_kwh]]</f>
        <v>0</v>
      </c>
      <c r="M2446" t="str">
        <f>IF(Table4[[#This Row],[Performance_Deviation]] &lt; 0, "Underperforming", "Outperforming")</f>
        <v>Outperforming</v>
      </c>
      <c r="N2446">
        <f>IF(Table4[[#This Row],[Performance_Ratio]] &lt; 0.85, Table4[[#This Row],[Performance_Deviation]] * 50 / 1000, 0)</f>
        <v>0</v>
      </c>
    </row>
    <row r="2447" spans="1:14" x14ac:dyDescent="0.3">
      <c r="A2447" s="6" t="s">
        <v>9</v>
      </c>
      <c r="B2447" s="5">
        <v>45300.875</v>
      </c>
      <c r="C2447" s="6">
        <v>0</v>
      </c>
      <c r="D2447" s="6">
        <v>0</v>
      </c>
      <c r="E2447" s="6">
        <v>0</v>
      </c>
      <c r="F2447" s="6">
        <v>49.569367662180802</v>
      </c>
      <c r="G2447" s="6" t="str">
        <f t="shared" si="76"/>
        <v>OK</v>
      </c>
      <c r="H2447" s="6" t="str">
        <f t="shared" si="77"/>
        <v>ZERO</v>
      </c>
      <c r="I2447">
        <v>0</v>
      </c>
      <c r="J2447">
        <f>IFERROR(Table4[[#This Row],[energy_kwh]]/Table4[[#This Row],[expected_kwh]],0)</f>
        <v>0</v>
      </c>
      <c r="K2447" t="str">
        <f>IF(Table4[[#This Row],[Performance_Ratio]] &lt; 0.85, "Underperforming", "Performing")</f>
        <v>Underperforming</v>
      </c>
      <c r="L2447">
        <f>Table4[[#This Row],[energy_kwh]] - Table4[[#This Row],[expected_kwh]]</f>
        <v>0</v>
      </c>
      <c r="M2447" t="str">
        <f>IF(Table4[[#This Row],[Performance_Deviation]] &lt; 0, "Underperforming", "Outperforming")</f>
        <v>Outperforming</v>
      </c>
      <c r="N2447">
        <f>IF(Table4[[#This Row],[Performance_Ratio]] &lt; 0.85, Table4[[#This Row],[Performance_Deviation]] * 50 / 1000, 0)</f>
        <v>0</v>
      </c>
    </row>
    <row r="2448" spans="1:14" x14ac:dyDescent="0.3">
      <c r="A2448" s="4" t="s">
        <v>9</v>
      </c>
      <c r="B2448" s="3">
        <v>45300.916666666664</v>
      </c>
      <c r="C2448" s="4">
        <v>0</v>
      </c>
      <c r="D2448" s="4">
        <v>0</v>
      </c>
      <c r="E2448" s="4">
        <v>0</v>
      </c>
      <c r="F2448" s="4">
        <v>91.436847532574305</v>
      </c>
      <c r="G2448" s="4" t="str">
        <f t="shared" si="76"/>
        <v>OK</v>
      </c>
      <c r="H2448" s="4" t="str">
        <f t="shared" si="77"/>
        <v>ZERO</v>
      </c>
      <c r="I2448">
        <v>0</v>
      </c>
      <c r="J2448">
        <f>IFERROR(Table4[[#This Row],[energy_kwh]]/Table4[[#This Row],[expected_kwh]],0)</f>
        <v>0</v>
      </c>
      <c r="K2448" t="str">
        <f>IF(Table4[[#This Row],[Performance_Ratio]] &lt; 0.85, "Underperforming", "Performing")</f>
        <v>Underperforming</v>
      </c>
      <c r="L2448">
        <f>Table4[[#This Row],[energy_kwh]] - Table4[[#This Row],[expected_kwh]]</f>
        <v>0</v>
      </c>
      <c r="M2448" t="str">
        <f>IF(Table4[[#This Row],[Performance_Deviation]] &lt; 0, "Underperforming", "Outperforming")</f>
        <v>Outperforming</v>
      </c>
      <c r="N2448">
        <f>IF(Table4[[#This Row],[Performance_Ratio]] &lt; 0.85, Table4[[#This Row],[Performance_Deviation]] * 50 / 1000, 0)</f>
        <v>0</v>
      </c>
    </row>
    <row r="2449" spans="1:14" x14ac:dyDescent="0.3">
      <c r="A2449" s="6" t="s">
        <v>9</v>
      </c>
      <c r="B2449" s="5">
        <v>45300.958333333336</v>
      </c>
      <c r="C2449" s="6">
        <v>0</v>
      </c>
      <c r="D2449" s="6">
        <v>0</v>
      </c>
      <c r="E2449" s="6">
        <v>0</v>
      </c>
      <c r="F2449" s="6">
        <v>81.081439791100607</v>
      </c>
      <c r="G2449" s="6" t="str">
        <f t="shared" si="76"/>
        <v>OK</v>
      </c>
      <c r="H2449" s="6" t="str">
        <f t="shared" si="77"/>
        <v>ZERO</v>
      </c>
      <c r="I2449">
        <v>0</v>
      </c>
      <c r="J2449">
        <f>IFERROR(Table4[[#This Row],[energy_kwh]]/Table4[[#This Row],[expected_kwh]],0)</f>
        <v>0</v>
      </c>
      <c r="K2449" t="str">
        <f>IF(Table4[[#This Row],[Performance_Ratio]] &lt; 0.85, "Underperforming", "Performing")</f>
        <v>Underperforming</v>
      </c>
      <c r="L2449">
        <f>Table4[[#This Row],[energy_kwh]] - Table4[[#This Row],[expected_kwh]]</f>
        <v>0</v>
      </c>
      <c r="M2449" t="str">
        <f>IF(Table4[[#This Row],[Performance_Deviation]] &lt; 0, "Underperforming", "Outperforming")</f>
        <v>Outperforming</v>
      </c>
      <c r="N2449">
        <f>IF(Table4[[#This Row],[Performance_Ratio]] &lt; 0.85, Table4[[#This Row],[Performance_Deviation]] * 50 / 1000, 0)</f>
        <v>0</v>
      </c>
    </row>
    <row r="2450" spans="1:14" x14ac:dyDescent="0.3">
      <c r="A2450" s="4" t="s">
        <v>9</v>
      </c>
      <c r="B2450" s="3">
        <v>45301</v>
      </c>
      <c r="C2450" s="4">
        <v>0</v>
      </c>
      <c r="D2450" s="4">
        <v>0</v>
      </c>
      <c r="E2450" s="4">
        <v>0</v>
      </c>
      <c r="F2450" s="4">
        <v>59.29948755985</v>
      </c>
      <c r="G2450" s="4" t="str">
        <f t="shared" si="76"/>
        <v>OK</v>
      </c>
      <c r="H2450" s="4" t="str">
        <f t="shared" si="77"/>
        <v>ZERO</v>
      </c>
      <c r="I2450">
        <v>0</v>
      </c>
      <c r="J2450">
        <f>IFERROR(Table4[[#This Row],[energy_kwh]]/Table4[[#This Row],[expected_kwh]],0)</f>
        <v>0</v>
      </c>
      <c r="K2450" t="str">
        <f>IF(Table4[[#This Row],[Performance_Ratio]] &lt; 0.85, "Underperforming", "Performing")</f>
        <v>Underperforming</v>
      </c>
      <c r="L2450">
        <f>Table4[[#This Row],[energy_kwh]] - Table4[[#This Row],[expected_kwh]]</f>
        <v>0</v>
      </c>
      <c r="M2450" t="str">
        <f>IF(Table4[[#This Row],[Performance_Deviation]] &lt; 0, "Underperforming", "Outperforming")</f>
        <v>Outperforming</v>
      </c>
      <c r="N2450">
        <f>IF(Table4[[#This Row],[Performance_Ratio]] &lt; 0.85, Table4[[#This Row],[Performance_Deviation]] * 50 / 1000, 0)</f>
        <v>0</v>
      </c>
    </row>
    <row r="2451" spans="1:14" x14ac:dyDescent="0.3">
      <c r="A2451" s="6" t="s">
        <v>9</v>
      </c>
      <c r="B2451" s="5">
        <v>45301.041666666664</v>
      </c>
      <c r="C2451" s="6">
        <v>0</v>
      </c>
      <c r="D2451" s="6">
        <v>0</v>
      </c>
      <c r="E2451" s="6">
        <v>0</v>
      </c>
      <c r="F2451" s="6">
        <v>93.052341872904705</v>
      </c>
      <c r="G2451" s="6" t="str">
        <f t="shared" si="76"/>
        <v>OK</v>
      </c>
      <c r="H2451" s="6" t="str">
        <f t="shared" si="77"/>
        <v>ZERO</v>
      </c>
      <c r="I2451">
        <v>0</v>
      </c>
      <c r="J2451">
        <f>IFERROR(Table4[[#This Row],[energy_kwh]]/Table4[[#This Row],[expected_kwh]],0)</f>
        <v>0</v>
      </c>
      <c r="K2451" t="str">
        <f>IF(Table4[[#This Row],[Performance_Ratio]] &lt; 0.85, "Underperforming", "Performing")</f>
        <v>Underperforming</v>
      </c>
      <c r="L2451">
        <f>Table4[[#This Row],[energy_kwh]] - Table4[[#This Row],[expected_kwh]]</f>
        <v>0</v>
      </c>
      <c r="M2451" t="str">
        <f>IF(Table4[[#This Row],[Performance_Deviation]] &lt; 0, "Underperforming", "Outperforming")</f>
        <v>Outperforming</v>
      </c>
      <c r="N2451">
        <f>IF(Table4[[#This Row],[Performance_Ratio]] &lt; 0.85, Table4[[#This Row],[Performance_Deviation]] * 50 / 1000, 0)</f>
        <v>0</v>
      </c>
    </row>
    <row r="2452" spans="1:14" x14ac:dyDescent="0.3">
      <c r="A2452" s="4" t="s">
        <v>9</v>
      </c>
      <c r="B2452" s="3">
        <v>45301.083333333336</v>
      </c>
      <c r="C2452" s="4">
        <v>0</v>
      </c>
      <c r="D2452" s="4">
        <v>0</v>
      </c>
      <c r="E2452" s="4">
        <v>0</v>
      </c>
      <c r="F2452" s="4">
        <v>59.302825240068998</v>
      </c>
      <c r="G2452" s="4" t="str">
        <f t="shared" si="76"/>
        <v>OK</v>
      </c>
      <c r="H2452" s="4" t="str">
        <f t="shared" si="77"/>
        <v>ZERO</v>
      </c>
      <c r="I2452">
        <v>0</v>
      </c>
      <c r="J2452">
        <f>IFERROR(Table4[[#This Row],[energy_kwh]]/Table4[[#This Row],[expected_kwh]],0)</f>
        <v>0</v>
      </c>
      <c r="K2452" t="str">
        <f>IF(Table4[[#This Row],[Performance_Ratio]] &lt; 0.85, "Underperforming", "Performing")</f>
        <v>Underperforming</v>
      </c>
      <c r="L2452">
        <f>Table4[[#This Row],[energy_kwh]] - Table4[[#This Row],[expected_kwh]]</f>
        <v>0</v>
      </c>
      <c r="M2452" t="str">
        <f>IF(Table4[[#This Row],[Performance_Deviation]] &lt; 0, "Underperforming", "Outperforming")</f>
        <v>Outperforming</v>
      </c>
      <c r="N2452">
        <f>IF(Table4[[#This Row],[Performance_Ratio]] &lt; 0.85, Table4[[#This Row],[Performance_Deviation]] * 50 / 1000, 0)</f>
        <v>0</v>
      </c>
    </row>
    <row r="2453" spans="1:14" x14ac:dyDescent="0.3">
      <c r="A2453" s="6" t="s">
        <v>9</v>
      </c>
      <c r="B2453" s="5">
        <v>45301.125</v>
      </c>
      <c r="C2453" s="6">
        <v>0</v>
      </c>
      <c r="D2453" s="6">
        <v>0</v>
      </c>
      <c r="E2453" s="6">
        <v>0</v>
      </c>
      <c r="F2453" s="6">
        <v>80.444611506151801</v>
      </c>
      <c r="G2453" s="6" t="str">
        <f t="shared" si="76"/>
        <v>OK</v>
      </c>
      <c r="H2453" s="6" t="str">
        <f t="shared" si="77"/>
        <v>ZERO</v>
      </c>
      <c r="I2453">
        <v>0</v>
      </c>
      <c r="J2453">
        <f>IFERROR(Table4[[#This Row],[energy_kwh]]/Table4[[#This Row],[expected_kwh]],0)</f>
        <v>0</v>
      </c>
      <c r="K2453" t="str">
        <f>IF(Table4[[#This Row],[Performance_Ratio]] &lt; 0.85, "Underperforming", "Performing")</f>
        <v>Underperforming</v>
      </c>
      <c r="L2453">
        <f>Table4[[#This Row],[energy_kwh]] - Table4[[#This Row],[expected_kwh]]</f>
        <v>0</v>
      </c>
      <c r="M2453" t="str">
        <f>IF(Table4[[#This Row],[Performance_Deviation]] &lt; 0, "Underperforming", "Outperforming")</f>
        <v>Outperforming</v>
      </c>
      <c r="N2453">
        <f>IF(Table4[[#This Row],[Performance_Ratio]] &lt; 0.85, Table4[[#This Row],[Performance_Deviation]] * 50 / 1000, 0)</f>
        <v>0</v>
      </c>
    </row>
    <row r="2454" spans="1:14" x14ac:dyDescent="0.3">
      <c r="A2454" s="4" t="s">
        <v>9</v>
      </c>
      <c r="B2454" s="3">
        <v>45301.166666666664</v>
      </c>
      <c r="C2454" s="4">
        <v>0</v>
      </c>
      <c r="D2454" s="4">
        <v>0</v>
      </c>
      <c r="E2454" s="4">
        <v>0</v>
      </c>
      <c r="F2454" s="4">
        <v>23.751411567663901</v>
      </c>
      <c r="G2454" s="4" t="str">
        <f t="shared" si="76"/>
        <v>OK</v>
      </c>
      <c r="H2454" s="4" t="str">
        <f t="shared" si="77"/>
        <v>ZERO</v>
      </c>
      <c r="I2454">
        <v>0</v>
      </c>
      <c r="J2454">
        <f>IFERROR(Table4[[#This Row],[energy_kwh]]/Table4[[#This Row],[expected_kwh]],0)</f>
        <v>0</v>
      </c>
      <c r="K2454" t="str">
        <f>IF(Table4[[#This Row],[Performance_Ratio]] &lt; 0.85, "Underperforming", "Performing")</f>
        <v>Underperforming</v>
      </c>
      <c r="L2454">
        <f>Table4[[#This Row],[energy_kwh]] - Table4[[#This Row],[expected_kwh]]</f>
        <v>0</v>
      </c>
      <c r="M2454" t="str">
        <f>IF(Table4[[#This Row],[Performance_Deviation]] &lt; 0, "Underperforming", "Outperforming")</f>
        <v>Outperforming</v>
      </c>
      <c r="N2454">
        <f>IF(Table4[[#This Row],[Performance_Ratio]] &lt; 0.85, Table4[[#This Row],[Performance_Deviation]] * 50 / 1000, 0)</f>
        <v>0</v>
      </c>
    </row>
    <row r="2455" spans="1:14" x14ac:dyDescent="0.3">
      <c r="A2455" s="6" t="s">
        <v>9</v>
      </c>
      <c r="B2455" s="5">
        <v>45301.208333333336</v>
      </c>
      <c r="C2455" s="6">
        <v>0</v>
      </c>
      <c r="D2455" s="6">
        <v>0</v>
      </c>
      <c r="E2455" s="6">
        <v>0</v>
      </c>
      <c r="F2455" s="6">
        <v>38.86347797573</v>
      </c>
      <c r="G2455" s="6" t="str">
        <f t="shared" si="76"/>
        <v>OK</v>
      </c>
      <c r="H2455" s="6" t="str">
        <f t="shared" si="77"/>
        <v>ZERO</v>
      </c>
      <c r="I2455">
        <v>0</v>
      </c>
      <c r="J2455">
        <f>IFERROR(Table4[[#This Row],[energy_kwh]]/Table4[[#This Row],[expected_kwh]],0)</f>
        <v>0</v>
      </c>
      <c r="K2455" t="str">
        <f>IF(Table4[[#This Row],[Performance_Ratio]] &lt; 0.85, "Underperforming", "Performing")</f>
        <v>Underperforming</v>
      </c>
      <c r="L2455">
        <f>Table4[[#This Row],[energy_kwh]] - Table4[[#This Row],[expected_kwh]]</f>
        <v>0</v>
      </c>
      <c r="M2455" t="str">
        <f>IF(Table4[[#This Row],[Performance_Deviation]] &lt; 0, "Underperforming", "Outperforming")</f>
        <v>Outperforming</v>
      </c>
      <c r="N2455">
        <f>IF(Table4[[#This Row],[Performance_Ratio]] &lt; 0.85, Table4[[#This Row],[Performance_Deviation]] * 50 / 1000, 0)</f>
        <v>0</v>
      </c>
    </row>
    <row r="2456" spans="1:14" x14ac:dyDescent="0.3">
      <c r="A2456" s="4" t="s">
        <v>9</v>
      </c>
      <c r="B2456" s="3">
        <v>45301.25</v>
      </c>
      <c r="C2456" s="4">
        <v>0</v>
      </c>
      <c r="D2456" s="4">
        <v>0</v>
      </c>
      <c r="E2456" s="4">
        <v>0</v>
      </c>
      <c r="F2456" s="4">
        <v>83.6564525423926</v>
      </c>
      <c r="G2456" s="4" t="str">
        <f t="shared" si="76"/>
        <v>OK</v>
      </c>
      <c r="H2456" s="4" t="str">
        <f t="shared" si="77"/>
        <v>ZERO</v>
      </c>
      <c r="I2456">
        <v>0</v>
      </c>
      <c r="J2456">
        <f>IFERROR(Table4[[#This Row],[energy_kwh]]/Table4[[#This Row],[expected_kwh]],0)</f>
        <v>0</v>
      </c>
      <c r="K2456" t="str">
        <f>IF(Table4[[#This Row],[Performance_Ratio]] &lt; 0.85, "Underperforming", "Performing")</f>
        <v>Underperforming</v>
      </c>
      <c r="L2456">
        <f>Table4[[#This Row],[energy_kwh]] - Table4[[#This Row],[expected_kwh]]</f>
        <v>0</v>
      </c>
      <c r="M2456" t="str">
        <f>IF(Table4[[#This Row],[Performance_Deviation]] &lt; 0, "Underperforming", "Outperforming")</f>
        <v>Outperforming</v>
      </c>
      <c r="N2456">
        <f>IF(Table4[[#This Row],[Performance_Ratio]] &lt; 0.85, Table4[[#This Row],[Performance_Deviation]] * 50 / 1000, 0)</f>
        <v>0</v>
      </c>
    </row>
    <row r="2457" spans="1:14" x14ac:dyDescent="0.3">
      <c r="A2457" s="6" t="s">
        <v>9</v>
      </c>
      <c r="B2457" s="5">
        <v>45301.291666666664</v>
      </c>
      <c r="C2457" s="6">
        <v>0</v>
      </c>
      <c r="D2457" s="6">
        <v>0</v>
      </c>
      <c r="E2457" s="6">
        <v>0</v>
      </c>
      <c r="F2457" s="6">
        <v>67.071490548702897</v>
      </c>
      <c r="G2457" s="6" t="str">
        <f t="shared" si="76"/>
        <v>OK</v>
      </c>
      <c r="H2457" s="6" t="str">
        <f t="shared" si="77"/>
        <v>ZERO</v>
      </c>
      <c r="I2457">
        <v>248.466283298419</v>
      </c>
      <c r="J2457">
        <f>IFERROR(Table4[[#This Row],[energy_kwh]]/Table4[[#This Row],[expected_kwh]],0)</f>
        <v>0</v>
      </c>
      <c r="K2457" t="str">
        <f>IF(Table4[[#This Row],[Performance_Ratio]] &lt; 0.85, "Underperforming", "Performing")</f>
        <v>Underperforming</v>
      </c>
      <c r="L2457">
        <f>Table4[[#This Row],[energy_kwh]] - Table4[[#This Row],[expected_kwh]]</f>
        <v>-248.466283298419</v>
      </c>
      <c r="M2457" t="str">
        <f>IF(Table4[[#This Row],[Performance_Deviation]] &lt; 0, "Underperforming", "Outperforming")</f>
        <v>Underperforming</v>
      </c>
      <c r="N2457">
        <f>IF(Table4[[#This Row],[Performance_Ratio]] &lt; 0.85, Table4[[#This Row],[Performance_Deviation]] * 50 / 1000, 0)</f>
        <v>-12.423314164920949</v>
      </c>
    </row>
    <row r="2458" spans="1:14" x14ac:dyDescent="0.3">
      <c r="A2458" s="4" t="s">
        <v>9</v>
      </c>
      <c r="B2458" s="3">
        <v>45301.333333333336</v>
      </c>
      <c r="C2458" s="4">
        <v>0</v>
      </c>
      <c r="D2458" s="4">
        <v>0</v>
      </c>
      <c r="E2458" s="4">
        <v>0</v>
      </c>
      <c r="F2458" s="4">
        <v>30.329622613785499</v>
      </c>
      <c r="G2458" s="4" t="str">
        <f t="shared" si="76"/>
        <v>OK</v>
      </c>
      <c r="H2458" s="4" t="str">
        <f t="shared" si="77"/>
        <v>ZERO</v>
      </c>
      <c r="I2458">
        <v>479.99999999999898</v>
      </c>
      <c r="J2458">
        <f>IFERROR(Table4[[#This Row],[energy_kwh]]/Table4[[#This Row],[expected_kwh]],0)</f>
        <v>0</v>
      </c>
      <c r="K2458" t="str">
        <f>IF(Table4[[#This Row],[Performance_Ratio]] &lt; 0.85, "Underperforming", "Performing")</f>
        <v>Underperforming</v>
      </c>
      <c r="L2458">
        <f>Table4[[#This Row],[energy_kwh]] - Table4[[#This Row],[expected_kwh]]</f>
        <v>-479.99999999999898</v>
      </c>
      <c r="M2458" t="str">
        <f>IF(Table4[[#This Row],[Performance_Deviation]] &lt; 0, "Underperforming", "Outperforming")</f>
        <v>Underperforming</v>
      </c>
      <c r="N2458">
        <f>IF(Table4[[#This Row],[Performance_Ratio]] &lt; 0.85, Table4[[#This Row],[Performance_Deviation]] * 50 / 1000, 0)</f>
        <v>-23.99999999999995</v>
      </c>
    </row>
    <row r="2459" spans="1:14" x14ac:dyDescent="0.3">
      <c r="A2459" s="6" t="s">
        <v>9</v>
      </c>
      <c r="B2459" s="5">
        <v>45301.375</v>
      </c>
      <c r="C2459" s="6">
        <v>607.08472668965703</v>
      </c>
      <c r="D2459" s="6">
        <v>585.19709997864595</v>
      </c>
      <c r="E2459" s="6">
        <v>585.19709997864595</v>
      </c>
      <c r="F2459" s="6">
        <v>59.647237815246399</v>
      </c>
      <c r="G2459" s="6" t="str">
        <f t="shared" si="76"/>
        <v>OK</v>
      </c>
      <c r="H2459" s="6" t="str">
        <f t="shared" si="77"/>
        <v>NON-ZERO</v>
      </c>
      <c r="I2459">
        <v>678.82250993908497</v>
      </c>
      <c r="J2459">
        <f>IFERROR(Table4[[#This Row],[energy_kwh]]/Table4[[#This Row],[expected_kwh]],0)</f>
        <v>0.86207674526167288</v>
      </c>
      <c r="K2459" t="str">
        <f>IF(Table4[[#This Row],[Performance_Ratio]] &lt; 0.85, "Underperforming", "Performing")</f>
        <v>Performing</v>
      </c>
      <c r="L2459">
        <f>Table4[[#This Row],[energy_kwh]] - Table4[[#This Row],[expected_kwh]]</f>
        <v>-93.625409960439015</v>
      </c>
      <c r="M2459" t="str">
        <f>IF(Table4[[#This Row],[Performance_Deviation]] &lt; 0, "Underperforming", "Outperforming")</f>
        <v>Underperforming</v>
      </c>
      <c r="N2459">
        <f>IF(Table4[[#This Row],[Performance_Ratio]] &lt; 0.85, Table4[[#This Row],[Performance_Deviation]] * 50 / 1000, 0)</f>
        <v>0</v>
      </c>
    </row>
    <row r="2460" spans="1:14" x14ac:dyDescent="0.3">
      <c r="A2460" s="4" t="s">
        <v>9</v>
      </c>
      <c r="B2460" s="3">
        <v>45301.416666666664</v>
      </c>
      <c r="C2460" s="4">
        <v>693.81279778959595</v>
      </c>
      <c r="D2460" s="4">
        <v>668.79830663586904</v>
      </c>
      <c r="E2460" s="4">
        <v>668.79830663586904</v>
      </c>
      <c r="F2460" s="4">
        <v>21.9760499145438</v>
      </c>
      <c r="G2460" s="4" t="str">
        <f t="shared" si="76"/>
        <v>OK</v>
      </c>
      <c r="H2460" s="4" t="str">
        <f t="shared" si="77"/>
        <v>NON-ZERO</v>
      </c>
      <c r="I2460">
        <v>831.38438763306101</v>
      </c>
      <c r="J2460">
        <f>IFERROR(Table4[[#This Row],[energy_kwh]]/Table4[[#This Row],[expected_kwh]],0)</f>
        <v>0.80443933827038527</v>
      </c>
      <c r="K2460" t="str">
        <f>IF(Table4[[#This Row],[Performance_Ratio]] &lt; 0.85, "Underperforming", "Performing")</f>
        <v>Underperforming</v>
      </c>
      <c r="L2460">
        <f>Table4[[#This Row],[energy_kwh]] - Table4[[#This Row],[expected_kwh]]</f>
        <v>-162.58608099719197</v>
      </c>
      <c r="M2460" t="str">
        <f>IF(Table4[[#This Row],[Performance_Deviation]] &lt; 0, "Underperforming", "Outperforming")</f>
        <v>Underperforming</v>
      </c>
      <c r="N2460">
        <f>IF(Table4[[#This Row],[Performance_Ratio]] &lt; 0.85, Table4[[#This Row],[Performance_Deviation]] * 50 / 1000, 0)</f>
        <v>-8.1293040498595985</v>
      </c>
    </row>
    <row r="2461" spans="1:14" x14ac:dyDescent="0.3">
      <c r="A2461" s="6" t="s">
        <v>9</v>
      </c>
      <c r="B2461" s="5">
        <v>45301.458333333336</v>
      </c>
      <c r="C2461" s="6">
        <v>928.70338427507295</v>
      </c>
      <c r="D2461" s="6">
        <v>895.22022763051996</v>
      </c>
      <c r="E2461" s="6">
        <v>895.22022763051996</v>
      </c>
      <c r="F2461" s="6">
        <v>79.722513947574697</v>
      </c>
      <c r="G2461" s="6" t="str">
        <f t="shared" si="76"/>
        <v>OK</v>
      </c>
      <c r="H2461" s="6" t="str">
        <f t="shared" si="77"/>
        <v>NON-ZERO</v>
      </c>
      <c r="I2461">
        <v>927.28879323750505</v>
      </c>
      <c r="J2461">
        <f>IFERROR(Table4[[#This Row],[energy_kwh]]/Table4[[#This Row],[expected_kwh]],0)</f>
        <v>0.9654168519658024</v>
      </c>
      <c r="K2461" t="str">
        <f>IF(Table4[[#This Row],[Performance_Ratio]] &lt; 0.85, "Underperforming", "Performing")</f>
        <v>Performing</v>
      </c>
      <c r="L2461">
        <f>Table4[[#This Row],[energy_kwh]] - Table4[[#This Row],[expected_kwh]]</f>
        <v>-32.068565606985089</v>
      </c>
      <c r="M2461" t="str">
        <f>IF(Table4[[#This Row],[Performance_Deviation]] &lt; 0, "Underperforming", "Outperforming")</f>
        <v>Underperforming</v>
      </c>
      <c r="N2461">
        <f>IF(Table4[[#This Row],[Performance_Ratio]] &lt; 0.85, Table4[[#This Row],[Performance_Deviation]] * 50 / 1000, 0)</f>
        <v>0</v>
      </c>
    </row>
    <row r="2462" spans="1:14" x14ac:dyDescent="0.3">
      <c r="A2462" s="4" t="s">
        <v>9</v>
      </c>
      <c r="B2462" s="3">
        <v>45301.5</v>
      </c>
      <c r="C2462" s="4">
        <v>809.82491445795597</v>
      </c>
      <c r="D2462" s="4">
        <v>780.62776182065397</v>
      </c>
      <c r="E2462" s="4">
        <v>780.62776182065397</v>
      </c>
      <c r="F2462" s="4">
        <v>40.512714937227997</v>
      </c>
      <c r="G2462" s="4" t="str">
        <f t="shared" si="76"/>
        <v>OK</v>
      </c>
      <c r="H2462" s="4" t="str">
        <f t="shared" si="77"/>
        <v>NON-ZERO</v>
      </c>
      <c r="I2462">
        <v>960</v>
      </c>
      <c r="J2462">
        <f>IFERROR(Table4[[#This Row],[energy_kwh]]/Table4[[#This Row],[expected_kwh]],0)</f>
        <v>0.8131539185631812</v>
      </c>
      <c r="K2462" t="str">
        <f>IF(Table4[[#This Row],[Performance_Ratio]] &lt; 0.85, "Underperforming", "Performing")</f>
        <v>Underperforming</v>
      </c>
      <c r="L2462">
        <f>Table4[[#This Row],[energy_kwh]] - Table4[[#This Row],[expected_kwh]]</f>
        <v>-179.37223817934603</v>
      </c>
      <c r="M2462" t="str">
        <f>IF(Table4[[#This Row],[Performance_Deviation]] &lt; 0, "Underperforming", "Outperforming")</f>
        <v>Underperforming</v>
      </c>
      <c r="N2462">
        <f>IF(Table4[[#This Row],[Performance_Ratio]] &lt; 0.85, Table4[[#This Row],[Performance_Deviation]] * 50 / 1000, 0)</f>
        <v>-8.9686119089673006</v>
      </c>
    </row>
    <row r="2463" spans="1:14" x14ac:dyDescent="0.3">
      <c r="A2463" s="6" t="s">
        <v>9</v>
      </c>
      <c r="B2463" s="5">
        <v>45301.541666666664</v>
      </c>
      <c r="C2463" s="6">
        <v>737.578438823797</v>
      </c>
      <c r="D2463" s="6">
        <v>710.98603610087605</v>
      </c>
      <c r="E2463" s="6">
        <v>710.98603610087605</v>
      </c>
      <c r="F2463" s="6">
        <v>44.5233217432054</v>
      </c>
      <c r="G2463" s="6" t="str">
        <f t="shared" si="76"/>
        <v>OK</v>
      </c>
      <c r="H2463" s="6" t="str">
        <f t="shared" si="77"/>
        <v>NON-ZERO</v>
      </c>
      <c r="I2463">
        <v>927.28879323750505</v>
      </c>
      <c r="J2463">
        <f>IFERROR(Table4[[#This Row],[energy_kwh]]/Table4[[#This Row],[expected_kwh]],0)</f>
        <v>0.76673636227023001</v>
      </c>
      <c r="K2463" t="str">
        <f>IF(Table4[[#This Row],[Performance_Ratio]] &lt; 0.85, "Underperforming", "Performing")</f>
        <v>Underperforming</v>
      </c>
      <c r="L2463">
        <f>Table4[[#This Row],[energy_kwh]] - Table4[[#This Row],[expected_kwh]]</f>
        <v>-216.302757136629</v>
      </c>
      <c r="M2463" t="str">
        <f>IF(Table4[[#This Row],[Performance_Deviation]] &lt; 0, "Underperforming", "Outperforming")</f>
        <v>Underperforming</v>
      </c>
      <c r="N2463">
        <f>IF(Table4[[#This Row],[Performance_Ratio]] &lt; 0.85, Table4[[#This Row],[Performance_Deviation]] * 50 / 1000, 0)</f>
        <v>-10.81513785683145</v>
      </c>
    </row>
    <row r="2464" spans="1:14" x14ac:dyDescent="0.3">
      <c r="A2464" s="4" t="s">
        <v>9</v>
      </c>
      <c r="B2464" s="3">
        <v>45301.583333333336</v>
      </c>
      <c r="C2464" s="4">
        <v>906.21524985468602</v>
      </c>
      <c r="D2464" s="4">
        <v>873.54287277677497</v>
      </c>
      <c r="E2464" s="4">
        <v>873.54287277677497</v>
      </c>
      <c r="F2464" s="4">
        <v>60.815000158521997</v>
      </c>
      <c r="G2464" s="4" t="str">
        <f t="shared" si="76"/>
        <v>OK</v>
      </c>
      <c r="H2464" s="4" t="str">
        <f t="shared" si="77"/>
        <v>NON-ZERO</v>
      </c>
      <c r="I2464">
        <v>831.38438763306101</v>
      </c>
      <c r="J2464">
        <f>IFERROR(Table4[[#This Row],[energy_kwh]]/Table4[[#This Row],[expected_kwh]],0)</f>
        <v>1.0507087765548961</v>
      </c>
      <c r="K2464" t="str">
        <f>IF(Table4[[#This Row],[Performance_Ratio]] &lt; 0.85, "Underperforming", "Performing")</f>
        <v>Performing</v>
      </c>
      <c r="L2464">
        <f>Table4[[#This Row],[energy_kwh]] - Table4[[#This Row],[expected_kwh]]</f>
        <v>42.15848514371396</v>
      </c>
      <c r="M2464" t="str">
        <f>IF(Table4[[#This Row],[Performance_Deviation]] &lt; 0, "Underperforming", "Outperforming")</f>
        <v>Outperforming</v>
      </c>
      <c r="N2464">
        <f>IF(Table4[[#This Row],[Performance_Ratio]] &lt; 0.85, Table4[[#This Row],[Performance_Deviation]] * 50 / 1000, 0)</f>
        <v>0</v>
      </c>
    </row>
    <row r="2465" spans="1:14" x14ac:dyDescent="0.3">
      <c r="A2465" s="6" t="s">
        <v>9</v>
      </c>
      <c r="B2465" s="5">
        <v>45301.625</v>
      </c>
      <c r="C2465" s="6">
        <v>607.68666902133702</v>
      </c>
      <c r="D2465" s="6">
        <v>585.77734008577897</v>
      </c>
      <c r="E2465" s="6">
        <v>585.77734008577897</v>
      </c>
      <c r="F2465" s="6">
        <v>60.064241885646403</v>
      </c>
      <c r="G2465" s="6" t="str">
        <f t="shared" si="76"/>
        <v>OK</v>
      </c>
      <c r="H2465" s="6" t="str">
        <f t="shared" si="77"/>
        <v>NON-ZERO</v>
      </c>
      <c r="I2465">
        <v>678.82250993908497</v>
      </c>
      <c r="J2465">
        <f>IFERROR(Table4[[#This Row],[energy_kwh]]/Table4[[#This Row],[expected_kwh]],0)</f>
        <v>0.86293151966681902</v>
      </c>
      <c r="K2465" t="str">
        <f>IF(Table4[[#This Row],[Performance_Ratio]] &lt; 0.85, "Underperforming", "Performing")</f>
        <v>Performing</v>
      </c>
      <c r="L2465">
        <f>Table4[[#This Row],[energy_kwh]] - Table4[[#This Row],[expected_kwh]]</f>
        <v>-93.045169853305993</v>
      </c>
      <c r="M2465" t="str">
        <f>IF(Table4[[#This Row],[Performance_Deviation]] &lt; 0, "Underperforming", "Outperforming")</f>
        <v>Underperforming</v>
      </c>
      <c r="N2465">
        <f>IF(Table4[[#This Row],[Performance_Ratio]] &lt; 0.85, Table4[[#This Row],[Performance_Deviation]] * 50 / 1000, 0)</f>
        <v>0</v>
      </c>
    </row>
    <row r="2466" spans="1:14" x14ac:dyDescent="0.3">
      <c r="A2466" s="4" t="s">
        <v>9</v>
      </c>
      <c r="B2466" s="3">
        <v>45301.666666666664</v>
      </c>
      <c r="C2466" s="4">
        <v>482.29885233702203</v>
      </c>
      <c r="D2466" s="4">
        <v>464.910213191602</v>
      </c>
      <c r="E2466" s="4">
        <v>464.910213191602</v>
      </c>
      <c r="F2466" s="4">
        <v>77.318421563928496</v>
      </c>
      <c r="G2466" s="4" t="str">
        <f t="shared" si="76"/>
        <v>OK</v>
      </c>
      <c r="H2466" s="4" t="str">
        <f t="shared" si="77"/>
        <v>NON-ZERO</v>
      </c>
      <c r="I2466">
        <v>479.99999999999898</v>
      </c>
      <c r="J2466">
        <f>IFERROR(Table4[[#This Row],[energy_kwh]]/Table4[[#This Row],[expected_kwh]],0)</f>
        <v>0.96856294414917288</v>
      </c>
      <c r="K2466" t="str">
        <f>IF(Table4[[#This Row],[Performance_Ratio]] &lt; 0.85, "Underperforming", "Performing")</f>
        <v>Performing</v>
      </c>
      <c r="L2466">
        <f>Table4[[#This Row],[energy_kwh]] - Table4[[#This Row],[expected_kwh]]</f>
        <v>-15.08978680839698</v>
      </c>
      <c r="M2466" t="str">
        <f>IF(Table4[[#This Row],[Performance_Deviation]] &lt; 0, "Underperforming", "Outperforming")</f>
        <v>Underperforming</v>
      </c>
      <c r="N2466">
        <f>IF(Table4[[#This Row],[Performance_Ratio]] &lt; 0.85, Table4[[#This Row],[Performance_Deviation]] * 50 / 1000, 0)</f>
        <v>0</v>
      </c>
    </row>
    <row r="2467" spans="1:14" x14ac:dyDescent="0.3">
      <c r="A2467" s="6" t="s">
        <v>9</v>
      </c>
      <c r="B2467" s="5">
        <v>45301.708333333336</v>
      </c>
      <c r="C2467" s="6">
        <v>242.562566751242</v>
      </c>
      <c r="D2467" s="6">
        <v>233.81729828753799</v>
      </c>
      <c r="E2467" s="6">
        <v>233.81729828753799</v>
      </c>
      <c r="F2467" s="6">
        <v>86.908401176831106</v>
      </c>
      <c r="G2467" s="6" t="str">
        <f t="shared" si="76"/>
        <v>OK</v>
      </c>
      <c r="H2467" s="6" t="str">
        <f t="shared" si="77"/>
        <v>NON-ZERO</v>
      </c>
      <c r="I2467">
        <v>248.46628329842</v>
      </c>
      <c r="J2467">
        <f>IFERROR(Table4[[#This Row],[energy_kwh]]/Table4[[#This Row],[expected_kwh]],0)</f>
        <v>0.94104236270444841</v>
      </c>
      <c r="K2467" t="str">
        <f>IF(Table4[[#This Row],[Performance_Ratio]] &lt; 0.85, "Underperforming", "Performing")</f>
        <v>Performing</v>
      </c>
      <c r="L2467">
        <f>Table4[[#This Row],[energy_kwh]] - Table4[[#This Row],[expected_kwh]]</f>
        <v>-14.648985010882001</v>
      </c>
      <c r="M2467" t="str">
        <f>IF(Table4[[#This Row],[Performance_Deviation]] &lt; 0, "Underperforming", "Outperforming")</f>
        <v>Underperforming</v>
      </c>
      <c r="N2467">
        <f>IF(Table4[[#This Row],[Performance_Ratio]] &lt; 0.85, Table4[[#This Row],[Performance_Deviation]] * 50 / 1000, 0)</f>
        <v>0</v>
      </c>
    </row>
    <row r="2468" spans="1:14" x14ac:dyDescent="0.3">
      <c r="A2468" s="4" t="s">
        <v>9</v>
      </c>
      <c r="B2468" s="3">
        <v>45301.75</v>
      </c>
      <c r="C2468" s="7">
        <v>1.12744892387952E-13</v>
      </c>
      <c r="D2468" s="7">
        <v>1.08680026299792E-13</v>
      </c>
      <c r="E2468" s="7">
        <v>1.08680026299792E-13</v>
      </c>
      <c r="F2468" s="4">
        <v>26.773892022430399</v>
      </c>
      <c r="G2468" s="4" t="str">
        <f t="shared" si="76"/>
        <v>OK</v>
      </c>
      <c r="H2468" s="4" t="str">
        <f t="shared" si="77"/>
        <v>NON-ZERO</v>
      </c>
      <c r="I2468" s="2">
        <v>1.1756609271814501E-13</v>
      </c>
      <c r="J2468">
        <f>IFERROR(Table4[[#This Row],[energy_kwh]]/Table4[[#This Row],[expected_kwh]],0)</f>
        <v>0.92441641792368978</v>
      </c>
      <c r="K2468" t="str">
        <f>IF(Table4[[#This Row],[Performance_Ratio]] &lt; 0.85, "Underperforming", "Performing")</f>
        <v>Performing</v>
      </c>
      <c r="L2468">
        <f>Table4[[#This Row],[energy_kwh]] - Table4[[#This Row],[expected_kwh]]</f>
        <v>-8.8860664183530086E-15</v>
      </c>
      <c r="M2468" t="str">
        <f>IF(Table4[[#This Row],[Performance_Deviation]] &lt; 0, "Underperforming", "Outperforming")</f>
        <v>Underperforming</v>
      </c>
      <c r="N2468">
        <f>IF(Table4[[#This Row],[Performance_Ratio]] &lt; 0.85, Table4[[#This Row],[Performance_Deviation]] * 50 / 1000, 0)</f>
        <v>0</v>
      </c>
    </row>
    <row r="2469" spans="1:14" x14ac:dyDescent="0.3">
      <c r="A2469" s="6" t="s">
        <v>9</v>
      </c>
      <c r="B2469" s="5">
        <v>45301.791666666664</v>
      </c>
      <c r="C2469" s="6">
        <v>0</v>
      </c>
      <c r="D2469" s="6">
        <v>0</v>
      </c>
      <c r="E2469" s="6">
        <v>0</v>
      </c>
      <c r="F2469" s="6">
        <v>27.841584361326799</v>
      </c>
      <c r="G2469" s="6" t="str">
        <f t="shared" si="76"/>
        <v>OK</v>
      </c>
      <c r="H2469" s="6" t="str">
        <f t="shared" si="77"/>
        <v>ZERO</v>
      </c>
      <c r="I2469">
        <v>0</v>
      </c>
      <c r="J2469">
        <f>IFERROR(Table4[[#This Row],[energy_kwh]]/Table4[[#This Row],[expected_kwh]],0)</f>
        <v>0</v>
      </c>
      <c r="K2469" t="str">
        <f>IF(Table4[[#This Row],[Performance_Ratio]] &lt; 0.85, "Underperforming", "Performing")</f>
        <v>Underperforming</v>
      </c>
      <c r="L2469">
        <f>Table4[[#This Row],[energy_kwh]] - Table4[[#This Row],[expected_kwh]]</f>
        <v>0</v>
      </c>
      <c r="M2469" t="str">
        <f>IF(Table4[[#This Row],[Performance_Deviation]] &lt; 0, "Underperforming", "Outperforming")</f>
        <v>Outperforming</v>
      </c>
      <c r="N2469">
        <f>IF(Table4[[#This Row],[Performance_Ratio]] &lt; 0.85, Table4[[#This Row],[Performance_Deviation]] * 50 / 1000, 0)</f>
        <v>0</v>
      </c>
    </row>
    <row r="2470" spans="1:14" x14ac:dyDescent="0.3">
      <c r="A2470" s="4" t="s">
        <v>9</v>
      </c>
      <c r="B2470" s="3">
        <v>45301.833333333336</v>
      </c>
      <c r="C2470" s="4">
        <v>0</v>
      </c>
      <c r="D2470" s="4">
        <v>0</v>
      </c>
      <c r="E2470" s="4">
        <v>0</v>
      </c>
      <c r="F2470" s="4">
        <v>50.710305641658202</v>
      </c>
      <c r="G2470" s="4" t="str">
        <f t="shared" si="76"/>
        <v>OK</v>
      </c>
      <c r="H2470" s="4" t="str">
        <f t="shared" si="77"/>
        <v>ZERO</v>
      </c>
      <c r="I2470">
        <v>0</v>
      </c>
      <c r="J2470">
        <f>IFERROR(Table4[[#This Row],[energy_kwh]]/Table4[[#This Row],[expected_kwh]],0)</f>
        <v>0</v>
      </c>
      <c r="K2470" t="str">
        <f>IF(Table4[[#This Row],[Performance_Ratio]] &lt; 0.85, "Underperforming", "Performing")</f>
        <v>Underperforming</v>
      </c>
      <c r="L2470">
        <f>Table4[[#This Row],[energy_kwh]] - Table4[[#This Row],[expected_kwh]]</f>
        <v>0</v>
      </c>
      <c r="M2470" t="str">
        <f>IF(Table4[[#This Row],[Performance_Deviation]] &lt; 0, "Underperforming", "Outperforming")</f>
        <v>Outperforming</v>
      </c>
      <c r="N2470">
        <f>IF(Table4[[#This Row],[Performance_Ratio]] &lt; 0.85, Table4[[#This Row],[Performance_Deviation]] * 50 / 1000, 0)</f>
        <v>0</v>
      </c>
    </row>
    <row r="2471" spans="1:14" x14ac:dyDescent="0.3">
      <c r="A2471" s="6" t="s">
        <v>9</v>
      </c>
      <c r="B2471" s="5">
        <v>45301.875</v>
      </c>
      <c r="C2471" s="6">
        <v>0</v>
      </c>
      <c r="D2471" s="6">
        <v>0</v>
      </c>
      <c r="E2471" s="6">
        <v>0</v>
      </c>
      <c r="F2471" s="6">
        <v>42.2376178267954</v>
      </c>
      <c r="G2471" s="6" t="str">
        <f t="shared" si="76"/>
        <v>OK</v>
      </c>
      <c r="H2471" s="6" t="str">
        <f t="shared" si="77"/>
        <v>ZERO</v>
      </c>
      <c r="I2471">
        <v>0</v>
      </c>
      <c r="J2471">
        <f>IFERROR(Table4[[#This Row],[energy_kwh]]/Table4[[#This Row],[expected_kwh]],0)</f>
        <v>0</v>
      </c>
      <c r="K2471" t="str">
        <f>IF(Table4[[#This Row],[Performance_Ratio]] &lt; 0.85, "Underperforming", "Performing")</f>
        <v>Underperforming</v>
      </c>
      <c r="L2471">
        <f>Table4[[#This Row],[energy_kwh]] - Table4[[#This Row],[expected_kwh]]</f>
        <v>0</v>
      </c>
      <c r="M2471" t="str">
        <f>IF(Table4[[#This Row],[Performance_Deviation]] &lt; 0, "Underperforming", "Outperforming")</f>
        <v>Outperforming</v>
      </c>
      <c r="N2471">
        <f>IF(Table4[[#This Row],[Performance_Ratio]] &lt; 0.85, Table4[[#This Row],[Performance_Deviation]] * 50 / 1000, 0)</f>
        <v>0</v>
      </c>
    </row>
    <row r="2472" spans="1:14" x14ac:dyDescent="0.3">
      <c r="A2472" s="4" t="s">
        <v>9</v>
      </c>
      <c r="B2472" s="3">
        <v>45301.916666666664</v>
      </c>
      <c r="C2472" s="4">
        <v>0</v>
      </c>
      <c r="D2472" s="4">
        <v>0</v>
      </c>
      <c r="E2472" s="4">
        <v>0</v>
      </c>
      <c r="F2472" s="4">
        <v>63.753967424581099</v>
      </c>
      <c r="G2472" s="4" t="str">
        <f t="shared" si="76"/>
        <v>OK</v>
      </c>
      <c r="H2472" s="4" t="str">
        <f t="shared" si="77"/>
        <v>ZERO</v>
      </c>
      <c r="I2472">
        <v>0</v>
      </c>
      <c r="J2472">
        <f>IFERROR(Table4[[#This Row],[energy_kwh]]/Table4[[#This Row],[expected_kwh]],0)</f>
        <v>0</v>
      </c>
      <c r="K2472" t="str">
        <f>IF(Table4[[#This Row],[Performance_Ratio]] &lt; 0.85, "Underperforming", "Performing")</f>
        <v>Underperforming</v>
      </c>
      <c r="L2472">
        <f>Table4[[#This Row],[energy_kwh]] - Table4[[#This Row],[expected_kwh]]</f>
        <v>0</v>
      </c>
      <c r="M2472" t="str">
        <f>IF(Table4[[#This Row],[Performance_Deviation]] &lt; 0, "Underperforming", "Outperforming")</f>
        <v>Outperforming</v>
      </c>
      <c r="N2472">
        <f>IF(Table4[[#This Row],[Performance_Ratio]] &lt; 0.85, Table4[[#This Row],[Performance_Deviation]] * 50 / 1000, 0)</f>
        <v>0</v>
      </c>
    </row>
    <row r="2473" spans="1:14" x14ac:dyDescent="0.3">
      <c r="A2473" s="6" t="s">
        <v>9</v>
      </c>
      <c r="B2473" s="5">
        <v>45301.958333333336</v>
      </c>
      <c r="C2473" s="6">
        <v>0</v>
      </c>
      <c r="D2473" s="6">
        <v>0</v>
      </c>
      <c r="E2473" s="6">
        <v>0</v>
      </c>
      <c r="F2473" s="6">
        <v>27.861698070557399</v>
      </c>
      <c r="G2473" s="6" t="str">
        <f t="shared" si="76"/>
        <v>OK</v>
      </c>
      <c r="H2473" s="6" t="str">
        <f t="shared" si="77"/>
        <v>ZERO</v>
      </c>
      <c r="I2473">
        <v>0</v>
      </c>
      <c r="J2473">
        <f>IFERROR(Table4[[#This Row],[energy_kwh]]/Table4[[#This Row],[expected_kwh]],0)</f>
        <v>0</v>
      </c>
      <c r="K2473" t="str">
        <f>IF(Table4[[#This Row],[Performance_Ratio]] &lt; 0.85, "Underperforming", "Performing")</f>
        <v>Underperforming</v>
      </c>
      <c r="L2473">
        <f>Table4[[#This Row],[energy_kwh]] - Table4[[#This Row],[expected_kwh]]</f>
        <v>0</v>
      </c>
      <c r="M2473" t="str">
        <f>IF(Table4[[#This Row],[Performance_Deviation]] &lt; 0, "Underperforming", "Outperforming")</f>
        <v>Outperforming</v>
      </c>
      <c r="N2473">
        <f>IF(Table4[[#This Row],[Performance_Ratio]] &lt; 0.85, Table4[[#This Row],[Performance_Deviation]] * 50 / 1000, 0)</f>
        <v>0</v>
      </c>
    </row>
    <row r="2474" spans="1:14" x14ac:dyDescent="0.3">
      <c r="A2474" s="4" t="s">
        <v>9</v>
      </c>
      <c r="B2474" s="3">
        <v>45302</v>
      </c>
      <c r="C2474" s="4">
        <v>0</v>
      </c>
      <c r="D2474" s="4">
        <v>0</v>
      </c>
      <c r="E2474" s="4">
        <v>0</v>
      </c>
      <c r="F2474" s="4">
        <v>91.868837917437702</v>
      </c>
      <c r="G2474" s="4" t="str">
        <f t="shared" si="76"/>
        <v>OK</v>
      </c>
      <c r="H2474" s="4" t="str">
        <f t="shared" si="77"/>
        <v>ZERO</v>
      </c>
      <c r="I2474">
        <v>0</v>
      </c>
      <c r="J2474">
        <f>IFERROR(Table4[[#This Row],[energy_kwh]]/Table4[[#This Row],[expected_kwh]],0)</f>
        <v>0</v>
      </c>
      <c r="K2474" t="str">
        <f>IF(Table4[[#This Row],[Performance_Ratio]] &lt; 0.85, "Underperforming", "Performing")</f>
        <v>Underperforming</v>
      </c>
      <c r="L2474">
        <f>Table4[[#This Row],[energy_kwh]] - Table4[[#This Row],[expected_kwh]]</f>
        <v>0</v>
      </c>
      <c r="M2474" t="str">
        <f>IF(Table4[[#This Row],[Performance_Deviation]] &lt; 0, "Underperforming", "Outperforming")</f>
        <v>Outperforming</v>
      </c>
      <c r="N2474">
        <f>IF(Table4[[#This Row],[Performance_Ratio]] &lt; 0.85, Table4[[#This Row],[Performance_Deviation]] * 50 / 1000, 0)</f>
        <v>0</v>
      </c>
    </row>
    <row r="2475" spans="1:14" x14ac:dyDescent="0.3">
      <c r="A2475" s="6" t="s">
        <v>9</v>
      </c>
      <c r="B2475" s="5">
        <v>45302.041666666664</v>
      </c>
      <c r="C2475" s="6">
        <v>0</v>
      </c>
      <c r="D2475" s="6">
        <v>0</v>
      </c>
      <c r="E2475" s="6">
        <v>0</v>
      </c>
      <c r="F2475" s="6">
        <v>23.493495656490602</v>
      </c>
      <c r="G2475" s="6" t="str">
        <f t="shared" si="76"/>
        <v>OK</v>
      </c>
      <c r="H2475" s="6" t="str">
        <f t="shared" si="77"/>
        <v>ZERO</v>
      </c>
      <c r="I2475">
        <v>0</v>
      </c>
      <c r="J2475">
        <f>IFERROR(Table4[[#This Row],[energy_kwh]]/Table4[[#This Row],[expected_kwh]],0)</f>
        <v>0</v>
      </c>
      <c r="K2475" t="str">
        <f>IF(Table4[[#This Row],[Performance_Ratio]] &lt; 0.85, "Underperforming", "Performing")</f>
        <v>Underperforming</v>
      </c>
      <c r="L2475">
        <f>Table4[[#This Row],[energy_kwh]] - Table4[[#This Row],[expected_kwh]]</f>
        <v>0</v>
      </c>
      <c r="M2475" t="str">
        <f>IF(Table4[[#This Row],[Performance_Deviation]] &lt; 0, "Underperforming", "Outperforming")</f>
        <v>Outperforming</v>
      </c>
      <c r="N2475">
        <f>IF(Table4[[#This Row],[Performance_Ratio]] &lt; 0.85, Table4[[#This Row],[Performance_Deviation]] * 50 / 1000, 0)</f>
        <v>0</v>
      </c>
    </row>
    <row r="2476" spans="1:14" x14ac:dyDescent="0.3">
      <c r="A2476" s="4" t="s">
        <v>9</v>
      </c>
      <c r="B2476" s="3">
        <v>45302.083333333336</v>
      </c>
      <c r="C2476" s="4">
        <v>0</v>
      </c>
      <c r="D2476" s="4">
        <v>0</v>
      </c>
      <c r="E2476" s="4">
        <v>0</v>
      </c>
      <c r="F2476" s="4">
        <v>64.272430381669906</v>
      </c>
      <c r="G2476" s="4" t="str">
        <f t="shared" si="76"/>
        <v>OK</v>
      </c>
      <c r="H2476" s="4" t="str">
        <f t="shared" si="77"/>
        <v>ZERO</v>
      </c>
      <c r="I2476">
        <v>0</v>
      </c>
      <c r="J2476">
        <f>IFERROR(Table4[[#This Row],[energy_kwh]]/Table4[[#This Row],[expected_kwh]],0)</f>
        <v>0</v>
      </c>
      <c r="K2476" t="str">
        <f>IF(Table4[[#This Row],[Performance_Ratio]] &lt; 0.85, "Underperforming", "Performing")</f>
        <v>Underperforming</v>
      </c>
      <c r="L2476">
        <f>Table4[[#This Row],[energy_kwh]] - Table4[[#This Row],[expected_kwh]]</f>
        <v>0</v>
      </c>
      <c r="M2476" t="str">
        <f>IF(Table4[[#This Row],[Performance_Deviation]] &lt; 0, "Underperforming", "Outperforming")</f>
        <v>Outperforming</v>
      </c>
      <c r="N2476">
        <f>IF(Table4[[#This Row],[Performance_Ratio]] &lt; 0.85, Table4[[#This Row],[Performance_Deviation]] * 50 / 1000, 0)</f>
        <v>0</v>
      </c>
    </row>
    <row r="2477" spans="1:14" x14ac:dyDescent="0.3">
      <c r="A2477" s="6" t="s">
        <v>9</v>
      </c>
      <c r="B2477" s="5">
        <v>45302.125</v>
      </c>
      <c r="C2477" s="6">
        <v>0</v>
      </c>
      <c r="D2477" s="6">
        <v>0</v>
      </c>
      <c r="E2477" s="6">
        <v>0</v>
      </c>
      <c r="F2477" s="6">
        <v>42.2600153788879</v>
      </c>
      <c r="G2477" s="6" t="str">
        <f t="shared" si="76"/>
        <v>OK</v>
      </c>
      <c r="H2477" s="6" t="str">
        <f t="shared" si="77"/>
        <v>ZERO</v>
      </c>
      <c r="I2477">
        <v>0</v>
      </c>
      <c r="J2477">
        <f>IFERROR(Table4[[#This Row],[energy_kwh]]/Table4[[#This Row],[expected_kwh]],0)</f>
        <v>0</v>
      </c>
      <c r="K2477" t="str">
        <f>IF(Table4[[#This Row],[Performance_Ratio]] &lt; 0.85, "Underperforming", "Performing")</f>
        <v>Underperforming</v>
      </c>
      <c r="L2477">
        <f>Table4[[#This Row],[energy_kwh]] - Table4[[#This Row],[expected_kwh]]</f>
        <v>0</v>
      </c>
      <c r="M2477" t="str">
        <f>IF(Table4[[#This Row],[Performance_Deviation]] &lt; 0, "Underperforming", "Outperforming")</f>
        <v>Outperforming</v>
      </c>
      <c r="N2477">
        <f>IF(Table4[[#This Row],[Performance_Ratio]] &lt; 0.85, Table4[[#This Row],[Performance_Deviation]] * 50 / 1000, 0)</f>
        <v>0</v>
      </c>
    </row>
    <row r="2478" spans="1:14" x14ac:dyDescent="0.3">
      <c r="A2478" s="4" t="s">
        <v>9</v>
      </c>
      <c r="B2478" s="3">
        <v>45302.166666666664</v>
      </c>
      <c r="C2478" s="4">
        <v>0</v>
      </c>
      <c r="D2478" s="4">
        <v>0</v>
      </c>
      <c r="E2478" s="4">
        <v>0</v>
      </c>
      <c r="F2478" s="4">
        <v>87.637873733125303</v>
      </c>
      <c r="G2478" s="4" t="str">
        <f t="shared" si="76"/>
        <v>OK</v>
      </c>
      <c r="H2478" s="4" t="str">
        <f t="shared" si="77"/>
        <v>ZERO</v>
      </c>
      <c r="I2478">
        <v>0</v>
      </c>
      <c r="J2478">
        <f>IFERROR(Table4[[#This Row],[energy_kwh]]/Table4[[#This Row],[expected_kwh]],0)</f>
        <v>0</v>
      </c>
      <c r="K2478" t="str">
        <f>IF(Table4[[#This Row],[Performance_Ratio]] &lt; 0.85, "Underperforming", "Performing")</f>
        <v>Underperforming</v>
      </c>
      <c r="L2478">
        <f>Table4[[#This Row],[energy_kwh]] - Table4[[#This Row],[expected_kwh]]</f>
        <v>0</v>
      </c>
      <c r="M2478" t="str">
        <f>IF(Table4[[#This Row],[Performance_Deviation]] &lt; 0, "Underperforming", "Outperforming")</f>
        <v>Outperforming</v>
      </c>
      <c r="N2478">
        <f>IF(Table4[[#This Row],[Performance_Ratio]] &lt; 0.85, Table4[[#This Row],[Performance_Deviation]] * 50 / 1000, 0)</f>
        <v>0</v>
      </c>
    </row>
    <row r="2479" spans="1:14" x14ac:dyDescent="0.3">
      <c r="A2479" s="6" t="s">
        <v>9</v>
      </c>
      <c r="B2479" s="5">
        <v>45302.208333333336</v>
      </c>
      <c r="C2479" s="6">
        <v>0</v>
      </c>
      <c r="D2479" s="6">
        <v>0</v>
      </c>
      <c r="E2479" s="6">
        <v>0</v>
      </c>
      <c r="F2479" s="6">
        <v>50.737885858219499</v>
      </c>
      <c r="G2479" s="6" t="str">
        <f t="shared" si="76"/>
        <v>OK</v>
      </c>
      <c r="H2479" s="6" t="str">
        <f t="shared" si="77"/>
        <v>ZERO</v>
      </c>
      <c r="I2479">
        <v>0</v>
      </c>
      <c r="J2479">
        <f>IFERROR(Table4[[#This Row],[energy_kwh]]/Table4[[#This Row],[expected_kwh]],0)</f>
        <v>0</v>
      </c>
      <c r="K2479" t="str">
        <f>IF(Table4[[#This Row],[Performance_Ratio]] &lt; 0.85, "Underperforming", "Performing")</f>
        <v>Underperforming</v>
      </c>
      <c r="L2479">
        <f>Table4[[#This Row],[energy_kwh]] - Table4[[#This Row],[expected_kwh]]</f>
        <v>0</v>
      </c>
      <c r="M2479" t="str">
        <f>IF(Table4[[#This Row],[Performance_Deviation]] &lt; 0, "Underperforming", "Outperforming")</f>
        <v>Outperforming</v>
      </c>
      <c r="N2479">
        <f>IF(Table4[[#This Row],[Performance_Ratio]] &lt; 0.85, Table4[[#This Row],[Performance_Deviation]] * 50 / 1000, 0)</f>
        <v>0</v>
      </c>
    </row>
    <row r="2480" spans="1:14" x14ac:dyDescent="0.3">
      <c r="A2480" s="4" t="s">
        <v>9</v>
      </c>
      <c r="B2480" s="3">
        <v>45302.25</v>
      </c>
      <c r="C2480" s="4">
        <v>0</v>
      </c>
      <c r="D2480" s="4">
        <v>0</v>
      </c>
      <c r="E2480" s="4">
        <v>0</v>
      </c>
      <c r="F2480" s="4">
        <v>44.130277239370798</v>
      </c>
      <c r="G2480" s="4" t="str">
        <f t="shared" si="76"/>
        <v>OK</v>
      </c>
      <c r="H2480" s="4" t="str">
        <f t="shared" si="77"/>
        <v>ZERO</v>
      </c>
      <c r="I2480">
        <v>0</v>
      </c>
      <c r="J2480">
        <f>IFERROR(Table4[[#This Row],[energy_kwh]]/Table4[[#This Row],[expected_kwh]],0)</f>
        <v>0</v>
      </c>
      <c r="K2480" t="str">
        <f>IF(Table4[[#This Row],[Performance_Ratio]] &lt; 0.85, "Underperforming", "Performing")</f>
        <v>Underperforming</v>
      </c>
      <c r="L2480">
        <f>Table4[[#This Row],[energy_kwh]] - Table4[[#This Row],[expected_kwh]]</f>
        <v>0</v>
      </c>
      <c r="M2480" t="str">
        <f>IF(Table4[[#This Row],[Performance_Deviation]] &lt; 0, "Underperforming", "Outperforming")</f>
        <v>Outperforming</v>
      </c>
      <c r="N2480">
        <f>IF(Table4[[#This Row],[Performance_Ratio]] &lt; 0.85, Table4[[#This Row],[Performance_Deviation]] * 50 / 1000, 0)</f>
        <v>0</v>
      </c>
    </row>
    <row r="2481" spans="1:14" x14ac:dyDescent="0.3">
      <c r="A2481" s="6" t="s">
        <v>9</v>
      </c>
      <c r="B2481" s="5">
        <v>45302.291666666664</v>
      </c>
      <c r="C2481" s="6">
        <v>240.56804511624199</v>
      </c>
      <c r="D2481" s="6">
        <v>231.89468645868899</v>
      </c>
      <c r="E2481" s="6">
        <v>231.89468645868899</v>
      </c>
      <c r="F2481" s="6">
        <v>80.200685939471498</v>
      </c>
      <c r="G2481" s="6" t="str">
        <f t="shared" si="76"/>
        <v>OK</v>
      </c>
      <c r="H2481" s="6" t="str">
        <f t="shared" si="77"/>
        <v>NON-ZERO</v>
      </c>
      <c r="I2481">
        <v>248.466283298419</v>
      </c>
      <c r="J2481">
        <f>IFERROR(Table4[[#This Row],[energy_kwh]]/Table4[[#This Row],[expected_kwh]],0)</f>
        <v>0.93330444429022674</v>
      </c>
      <c r="K2481" t="str">
        <f>IF(Table4[[#This Row],[Performance_Ratio]] &lt; 0.85, "Underperforming", "Performing")</f>
        <v>Performing</v>
      </c>
      <c r="L2481">
        <f>Table4[[#This Row],[energy_kwh]] - Table4[[#This Row],[expected_kwh]]</f>
        <v>-16.571596839730006</v>
      </c>
      <c r="M2481" t="str">
        <f>IF(Table4[[#This Row],[Performance_Deviation]] &lt; 0, "Underperforming", "Outperforming")</f>
        <v>Underperforming</v>
      </c>
      <c r="N2481">
        <f>IF(Table4[[#This Row],[Performance_Ratio]] &lt; 0.85, Table4[[#This Row],[Performance_Deviation]] * 50 / 1000, 0)</f>
        <v>0</v>
      </c>
    </row>
    <row r="2482" spans="1:14" x14ac:dyDescent="0.3">
      <c r="A2482" s="4" t="s">
        <v>9</v>
      </c>
      <c r="B2482" s="3">
        <v>45302.333333333336</v>
      </c>
      <c r="C2482" s="4">
        <v>468.645524257359</v>
      </c>
      <c r="D2482" s="4">
        <v>451.74913756902299</v>
      </c>
      <c r="E2482" s="4">
        <v>451.74913756902299</v>
      </c>
      <c r="F2482" s="4">
        <v>39.051586182167199</v>
      </c>
      <c r="G2482" s="4" t="str">
        <f t="shared" si="76"/>
        <v>OK</v>
      </c>
      <c r="H2482" s="4" t="str">
        <f t="shared" si="77"/>
        <v>NON-ZERO</v>
      </c>
      <c r="I2482">
        <v>479.99999999999898</v>
      </c>
      <c r="J2482">
        <f>IFERROR(Table4[[#This Row],[energy_kwh]]/Table4[[#This Row],[expected_kwh]],0)</f>
        <v>0.94114403660213319</v>
      </c>
      <c r="K2482" t="str">
        <f>IF(Table4[[#This Row],[Performance_Ratio]] &lt; 0.85, "Underperforming", "Performing")</f>
        <v>Performing</v>
      </c>
      <c r="L2482">
        <f>Table4[[#This Row],[energy_kwh]] - Table4[[#This Row],[expected_kwh]]</f>
        <v>-28.250862430975985</v>
      </c>
      <c r="M2482" t="str">
        <f>IF(Table4[[#This Row],[Performance_Deviation]] &lt; 0, "Underperforming", "Outperforming")</f>
        <v>Underperforming</v>
      </c>
      <c r="N2482">
        <f>IF(Table4[[#This Row],[Performance_Ratio]] &lt; 0.85, Table4[[#This Row],[Performance_Deviation]] * 50 / 1000, 0)</f>
        <v>0</v>
      </c>
    </row>
    <row r="2483" spans="1:14" x14ac:dyDescent="0.3">
      <c r="A2483" s="6" t="s">
        <v>9</v>
      </c>
      <c r="B2483" s="5">
        <v>45302.375</v>
      </c>
      <c r="C2483" s="6">
        <v>621.58929007730796</v>
      </c>
      <c r="D2483" s="6">
        <v>599.17872076030096</v>
      </c>
      <c r="E2483" s="6">
        <v>599.17872076030096</v>
      </c>
      <c r="F2483" s="6">
        <v>61.080493210185203</v>
      </c>
      <c r="G2483" s="6" t="str">
        <f t="shared" si="76"/>
        <v>OK</v>
      </c>
      <c r="H2483" s="6" t="str">
        <f t="shared" si="77"/>
        <v>NON-ZERO</v>
      </c>
      <c r="I2483">
        <v>678.82250993908497</v>
      </c>
      <c r="J2483">
        <f>IFERROR(Table4[[#This Row],[energy_kwh]]/Table4[[#This Row],[expected_kwh]],0)</f>
        <v>0.88267361790060417</v>
      </c>
      <c r="K2483" t="str">
        <f>IF(Table4[[#This Row],[Performance_Ratio]] &lt; 0.85, "Underperforming", "Performing")</f>
        <v>Performing</v>
      </c>
      <c r="L2483">
        <f>Table4[[#This Row],[energy_kwh]] - Table4[[#This Row],[expected_kwh]]</f>
        <v>-79.643789178784004</v>
      </c>
      <c r="M2483" t="str">
        <f>IF(Table4[[#This Row],[Performance_Deviation]] &lt; 0, "Underperforming", "Outperforming")</f>
        <v>Underperforming</v>
      </c>
      <c r="N2483">
        <f>IF(Table4[[#This Row],[Performance_Ratio]] &lt; 0.85, Table4[[#This Row],[Performance_Deviation]] * 50 / 1000, 0)</f>
        <v>0</v>
      </c>
    </row>
    <row r="2484" spans="1:14" x14ac:dyDescent="0.3">
      <c r="A2484" s="4" t="s">
        <v>9</v>
      </c>
      <c r="B2484" s="3">
        <v>45302.416666666664</v>
      </c>
      <c r="C2484" s="4">
        <v>743.95474728368902</v>
      </c>
      <c r="D2484" s="4">
        <v>717.13245529946903</v>
      </c>
      <c r="E2484" s="4">
        <v>717.13245529946903</v>
      </c>
      <c r="F2484" s="4">
        <v>35.628775925661898</v>
      </c>
      <c r="G2484" s="4" t="str">
        <f t="shared" si="76"/>
        <v>OK</v>
      </c>
      <c r="H2484" s="4" t="str">
        <f t="shared" si="77"/>
        <v>NON-ZERO</v>
      </c>
      <c r="I2484">
        <v>831.38438763306101</v>
      </c>
      <c r="J2484">
        <f>IFERROR(Table4[[#This Row],[energy_kwh]]/Table4[[#This Row],[expected_kwh]],0)</f>
        <v>0.86257628356617866</v>
      </c>
      <c r="K2484" t="str">
        <f>IF(Table4[[#This Row],[Performance_Ratio]] &lt; 0.85, "Underperforming", "Performing")</f>
        <v>Performing</v>
      </c>
      <c r="L2484">
        <f>Table4[[#This Row],[energy_kwh]] - Table4[[#This Row],[expected_kwh]]</f>
        <v>-114.25193233359198</v>
      </c>
      <c r="M2484" t="str">
        <f>IF(Table4[[#This Row],[Performance_Deviation]] &lt; 0, "Underperforming", "Outperforming")</f>
        <v>Underperforming</v>
      </c>
      <c r="N2484">
        <f>IF(Table4[[#This Row],[Performance_Ratio]] &lt; 0.85, Table4[[#This Row],[Performance_Deviation]] * 50 / 1000, 0)</f>
        <v>0</v>
      </c>
    </row>
    <row r="2485" spans="1:14" x14ac:dyDescent="0.3">
      <c r="A2485" s="6" t="s">
        <v>9</v>
      </c>
      <c r="B2485" s="5">
        <v>45302.458333333336</v>
      </c>
      <c r="C2485" s="6">
        <v>894.62951031279295</v>
      </c>
      <c r="D2485" s="6">
        <v>862.37484155649702</v>
      </c>
      <c r="E2485" s="6">
        <v>862.37484155649702</v>
      </c>
      <c r="F2485" s="6">
        <v>50.281745785875898</v>
      </c>
      <c r="G2485" s="6" t="str">
        <f t="shared" si="76"/>
        <v>OK</v>
      </c>
      <c r="H2485" s="6" t="str">
        <f t="shared" si="77"/>
        <v>NON-ZERO</v>
      </c>
      <c r="I2485">
        <v>927.28879323750505</v>
      </c>
      <c r="J2485">
        <f>IFERROR(Table4[[#This Row],[energy_kwh]]/Table4[[#This Row],[expected_kwh]],0)</f>
        <v>0.92999597088370967</v>
      </c>
      <c r="K2485" t="str">
        <f>IF(Table4[[#This Row],[Performance_Ratio]] &lt; 0.85, "Underperforming", "Performing")</f>
        <v>Performing</v>
      </c>
      <c r="L2485">
        <f>Table4[[#This Row],[energy_kwh]] - Table4[[#This Row],[expected_kwh]]</f>
        <v>-64.913951681008029</v>
      </c>
      <c r="M2485" t="str">
        <f>IF(Table4[[#This Row],[Performance_Deviation]] &lt; 0, "Underperforming", "Outperforming")</f>
        <v>Underperforming</v>
      </c>
      <c r="N2485">
        <f>IF(Table4[[#This Row],[Performance_Ratio]] &lt; 0.85, Table4[[#This Row],[Performance_Deviation]] * 50 / 1000, 0)</f>
        <v>0</v>
      </c>
    </row>
    <row r="2486" spans="1:14" x14ac:dyDescent="0.3">
      <c r="A2486" s="4" t="s">
        <v>9</v>
      </c>
      <c r="B2486" s="3">
        <v>45302.5</v>
      </c>
      <c r="C2486" s="4">
        <v>951.59424888602996</v>
      </c>
      <c r="D2486" s="4">
        <v>917.28579277721701</v>
      </c>
      <c r="E2486" s="4">
        <v>917.28579277721701</v>
      </c>
      <c r="F2486" s="4">
        <v>85.156792290243999</v>
      </c>
      <c r="G2486" s="4" t="str">
        <f t="shared" si="76"/>
        <v>OK</v>
      </c>
      <c r="H2486" s="4" t="str">
        <f t="shared" si="77"/>
        <v>NON-ZERO</v>
      </c>
      <c r="I2486">
        <v>960</v>
      </c>
      <c r="J2486">
        <f>IFERROR(Table4[[#This Row],[energy_kwh]]/Table4[[#This Row],[expected_kwh]],0)</f>
        <v>0.95550603414293434</v>
      </c>
      <c r="K2486" t="str">
        <f>IF(Table4[[#This Row],[Performance_Ratio]] &lt; 0.85, "Underperforming", "Performing")</f>
        <v>Performing</v>
      </c>
      <c r="L2486">
        <f>Table4[[#This Row],[energy_kwh]] - Table4[[#This Row],[expected_kwh]]</f>
        <v>-42.714207222782989</v>
      </c>
      <c r="M2486" t="str">
        <f>IF(Table4[[#This Row],[Performance_Deviation]] &lt; 0, "Underperforming", "Outperforming")</f>
        <v>Underperforming</v>
      </c>
      <c r="N2486">
        <f>IF(Table4[[#This Row],[Performance_Ratio]] &lt; 0.85, Table4[[#This Row],[Performance_Deviation]] * 50 / 1000, 0)</f>
        <v>0</v>
      </c>
    </row>
    <row r="2487" spans="1:14" x14ac:dyDescent="0.3">
      <c r="A2487" s="6" t="s">
        <v>9</v>
      </c>
      <c r="B2487" s="5">
        <v>45302.541666666664</v>
      </c>
      <c r="C2487" s="6">
        <v>805.78223166608802</v>
      </c>
      <c r="D2487" s="6">
        <v>776.73083254220705</v>
      </c>
      <c r="E2487" s="6">
        <v>776.73083254220705</v>
      </c>
      <c r="F2487" s="6">
        <v>30.504841951920199</v>
      </c>
      <c r="G2487" s="6" t="str">
        <f t="shared" si="76"/>
        <v>OK</v>
      </c>
      <c r="H2487" s="6" t="str">
        <f t="shared" si="77"/>
        <v>NON-ZERO</v>
      </c>
      <c r="I2487">
        <v>927.28879323750505</v>
      </c>
      <c r="J2487">
        <f>IFERROR(Table4[[#This Row],[energy_kwh]]/Table4[[#This Row],[expected_kwh]],0)</f>
        <v>0.83763638491775039</v>
      </c>
      <c r="K2487" t="str">
        <f>IF(Table4[[#This Row],[Performance_Ratio]] &lt; 0.85, "Underperforming", "Performing")</f>
        <v>Underperforming</v>
      </c>
      <c r="L2487">
        <f>Table4[[#This Row],[energy_kwh]] - Table4[[#This Row],[expected_kwh]]</f>
        <v>-150.55796069529799</v>
      </c>
      <c r="M2487" t="str">
        <f>IF(Table4[[#This Row],[Performance_Deviation]] &lt; 0, "Underperforming", "Outperforming")</f>
        <v>Underperforming</v>
      </c>
      <c r="N2487">
        <f>IF(Table4[[#This Row],[Performance_Ratio]] &lt; 0.85, Table4[[#This Row],[Performance_Deviation]] * 50 / 1000, 0)</f>
        <v>-7.5278980347648998</v>
      </c>
    </row>
    <row r="2488" spans="1:14" x14ac:dyDescent="0.3">
      <c r="A2488" s="4" t="s">
        <v>9</v>
      </c>
      <c r="B2488" s="3">
        <v>45302.583333333336</v>
      </c>
      <c r="C2488" s="4">
        <v>722.00411535289402</v>
      </c>
      <c r="D2488" s="4">
        <v>695.97322400296798</v>
      </c>
      <c r="E2488" s="4">
        <v>695.97322400296798</v>
      </c>
      <c r="F2488" s="4">
        <v>85.572242016662997</v>
      </c>
      <c r="G2488" s="4" t="str">
        <f t="shared" si="76"/>
        <v>OK</v>
      </c>
      <c r="H2488" s="4" t="str">
        <f t="shared" si="77"/>
        <v>NON-ZERO</v>
      </c>
      <c r="I2488">
        <v>831.38438763306101</v>
      </c>
      <c r="J2488">
        <f>IFERROR(Table4[[#This Row],[energy_kwh]]/Table4[[#This Row],[expected_kwh]],0)</f>
        <v>0.83712568380601105</v>
      </c>
      <c r="K2488" t="str">
        <f>IF(Table4[[#This Row],[Performance_Ratio]] &lt; 0.85, "Underperforming", "Performing")</f>
        <v>Underperforming</v>
      </c>
      <c r="L2488">
        <f>Table4[[#This Row],[energy_kwh]] - Table4[[#This Row],[expected_kwh]]</f>
        <v>-135.41116363009303</v>
      </c>
      <c r="M2488" t="str">
        <f>IF(Table4[[#This Row],[Performance_Deviation]] &lt; 0, "Underperforming", "Outperforming")</f>
        <v>Underperforming</v>
      </c>
      <c r="N2488">
        <f>IF(Table4[[#This Row],[Performance_Ratio]] &lt; 0.85, Table4[[#This Row],[Performance_Deviation]] * 50 / 1000, 0)</f>
        <v>-6.7705581815046516</v>
      </c>
    </row>
    <row r="2489" spans="1:14" x14ac:dyDescent="0.3">
      <c r="A2489" s="6" t="s">
        <v>9</v>
      </c>
      <c r="B2489" s="5">
        <v>45302.625</v>
      </c>
      <c r="C2489" s="6">
        <v>568.82352477811298</v>
      </c>
      <c r="D2489" s="6">
        <v>548.31535445619795</v>
      </c>
      <c r="E2489" s="6">
        <v>548.31535445619795</v>
      </c>
      <c r="F2489" s="6">
        <v>46.823041219168303</v>
      </c>
      <c r="G2489" s="6" t="str">
        <f t="shared" si="76"/>
        <v>OK</v>
      </c>
      <c r="H2489" s="6" t="str">
        <f t="shared" si="77"/>
        <v>NON-ZERO</v>
      </c>
      <c r="I2489">
        <v>678.82250993908497</v>
      </c>
      <c r="J2489">
        <f>IFERROR(Table4[[#This Row],[energy_kwh]]/Table4[[#This Row],[expected_kwh]],0)</f>
        <v>0.80774480284309036</v>
      </c>
      <c r="K2489" t="str">
        <f>IF(Table4[[#This Row],[Performance_Ratio]] &lt; 0.85, "Underperforming", "Performing")</f>
        <v>Underperforming</v>
      </c>
      <c r="L2489">
        <f>Table4[[#This Row],[energy_kwh]] - Table4[[#This Row],[expected_kwh]]</f>
        <v>-130.50715548288701</v>
      </c>
      <c r="M2489" t="str">
        <f>IF(Table4[[#This Row],[Performance_Deviation]] &lt; 0, "Underperforming", "Outperforming")</f>
        <v>Underperforming</v>
      </c>
      <c r="N2489">
        <f>IF(Table4[[#This Row],[Performance_Ratio]] &lt; 0.85, Table4[[#This Row],[Performance_Deviation]] * 50 / 1000, 0)</f>
        <v>-6.5253577741443509</v>
      </c>
    </row>
    <row r="2490" spans="1:14" x14ac:dyDescent="0.3">
      <c r="A2490" s="4" t="s">
        <v>9</v>
      </c>
      <c r="B2490" s="3">
        <v>45302.666666666664</v>
      </c>
      <c r="C2490" s="4">
        <v>483.790640027248</v>
      </c>
      <c r="D2490" s="4">
        <v>466.34821647471</v>
      </c>
      <c r="E2490" s="4">
        <v>466.34821647471</v>
      </c>
      <c r="F2490" s="4">
        <v>69.020221440141995</v>
      </c>
      <c r="G2490" s="4" t="str">
        <f t="shared" si="76"/>
        <v>OK</v>
      </c>
      <c r="H2490" s="4" t="str">
        <f t="shared" si="77"/>
        <v>NON-ZERO</v>
      </c>
      <c r="I2490">
        <v>479.99999999999898</v>
      </c>
      <c r="J2490">
        <f>IFERROR(Table4[[#This Row],[energy_kwh]]/Table4[[#This Row],[expected_kwh]],0)</f>
        <v>0.97155878432231457</v>
      </c>
      <c r="K2490" t="str">
        <f>IF(Table4[[#This Row],[Performance_Ratio]] &lt; 0.85, "Underperforming", "Performing")</f>
        <v>Performing</v>
      </c>
      <c r="L2490">
        <f>Table4[[#This Row],[energy_kwh]] - Table4[[#This Row],[expected_kwh]]</f>
        <v>-13.651783525288977</v>
      </c>
      <c r="M2490" t="str">
        <f>IF(Table4[[#This Row],[Performance_Deviation]] &lt; 0, "Underperforming", "Outperforming")</f>
        <v>Underperforming</v>
      </c>
      <c r="N2490">
        <f>IF(Table4[[#This Row],[Performance_Ratio]] &lt; 0.85, Table4[[#This Row],[Performance_Deviation]] * 50 / 1000, 0)</f>
        <v>0</v>
      </c>
    </row>
    <row r="2491" spans="1:14" x14ac:dyDescent="0.3">
      <c r="A2491" s="6" t="s">
        <v>9</v>
      </c>
      <c r="B2491" s="5">
        <v>45302.708333333336</v>
      </c>
      <c r="C2491" s="6">
        <v>209.81461829049101</v>
      </c>
      <c r="D2491" s="6">
        <v>202.25003324698801</v>
      </c>
      <c r="E2491" s="6">
        <v>202.25003324698801</v>
      </c>
      <c r="F2491" s="6">
        <v>35.624521014502903</v>
      </c>
      <c r="G2491" s="6" t="str">
        <f t="shared" si="76"/>
        <v>OK</v>
      </c>
      <c r="H2491" s="6" t="str">
        <f t="shared" si="77"/>
        <v>NON-ZERO</v>
      </c>
      <c r="I2491">
        <v>248.46628329842</v>
      </c>
      <c r="J2491">
        <f>IFERROR(Table4[[#This Row],[energy_kwh]]/Table4[[#This Row],[expected_kwh]],0)</f>
        <v>0.81399387700453485</v>
      </c>
      <c r="K2491" t="str">
        <f>IF(Table4[[#This Row],[Performance_Ratio]] &lt; 0.85, "Underperforming", "Performing")</f>
        <v>Underperforming</v>
      </c>
      <c r="L2491">
        <f>Table4[[#This Row],[energy_kwh]] - Table4[[#This Row],[expected_kwh]]</f>
        <v>-46.216250051431985</v>
      </c>
      <c r="M2491" t="str">
        <f>IF(Table4[[#This Row],[Performance_Deviation]] &lt; 0, "Underperforming", "Outperforming")</f>
        <v>Underperforming</v>
      </c>
      <c r="N2491">
        <f>IF(Table4[[#This Row],[Performance_Ratio]] &lt; 0.85, Table4[[#This Row],[Performance_Deviation]] * 50 / 1000, 0)</f>
        <v>-2.3108125025715989</v>
      </c>
    </row>
    <row r="2492" spans="1:14" x14ac:dyDescent="0.3">
      <c r="A2492" s="4" t="s">
        <v>9</v>
      </c>
      <c r="B2492" s="3">
        <v>45302.75</v>
      </c>
      <c r="C2492" s="7">
        <v>1.33526952614442E-13</v>
      </c>
      <c r="D2492" s="7">
        <v>1.2871281717963999E-13</v>
      </c>
      <c r="E2492" s="7">
        <v>1.2871281717963999E-13</v>
      </c>
      <c r="F2492" s="4">
        <v>47.623278656504802</v>
      </c>
      <c r="G2492" s="4" t="str">
        <f t="shared" si="76"/>
        <v>OK</v>
      </c>
      <c r="H2492" s="4" t="str">
        <f t="shared" si="77"/>
        <v>NON-ZERO</v>
      </c>
      <c r="I2492" s="2">
        <v>1.1756609271814501E-13</v>
      </c>
      <c r="J2492">
        <f>IFERROR(Table4[[#This Row],[energy_kwh]]/Table4[[#This Row],[expected_kwh]],0)</f>
        <v>1.0948124089504134</v>
      </c>
      <c r="K2492" t="str">
        <f>IF(Table4[[#This Row],[Performance_Ratio]] &lt; 0.85, "Underperforming", "Performing")</f>
        <v>Performing</v>
      </c>
      <c r="L2492">
        <f>Table4[[#This Row],[energy_kwh]] - Table4[[#This Row],[expected_kwh]]</f>
        <v>1.1146724461494981E-14</v>
      </c>
      <c r="M2492" t="str">
        <f>IF(Table4[[#This Row],[Performance_Deviation]] &lt; 0, "Underperforming", "Outperforming")</f>
        <v>Outperforming</v>
      </c>
      <c r="N2492">
        <f>IF(Table4[[#This Row],[Performance_Ratio]] &lt; 0.85, Table4[[#This Row],[Performance_Deviation]] * 50 / 1000, 0)</f>
        <v>0</v>
      </c>
    </row>
    <row r="2493" spans="1:14" x14ac:dyDescent="0.3">
      <c r="A2493" s="6" t="s">
        <v>9</v>
      </c>
      <c r="B2493" s="5">
        <v>45302.791666666664</v>
      </c>
      <c r="C2493" s="6">
        <v>0</v>
      </c>
      <c r="D2493" s="6">
        <v>0</v>
      </c>
      <c r="E2493" s="6">
        <v>0</v>
      </c>
      <c r="F2493" s="6">
        <v>53.2958720245039</v>
      </c>
      <c r="G2493" s="6" t="str">
        <f t="shared" si="76"/>
        <v>OK</v>
      </c>
      <c r="H2493" s="6" t="str">
        <f t="shared" si="77"/>
        <v>ZERO</v>
      </c>
      <c r="I2493">
        <v>0</v>
      </c>
      <c r="J2493">
        <f>IFERROR(Table4[[#This Row],[energy_kwh]]/Table4[[#This Row],[expected_kwh]],0)</f>
        <v>0</v>
      </c>
      <c r="K2493" t="str">
        <f>IF(Table4[[#This Row],[Performance_Ratio]] &lt; 0.85, "Underperforming", "Performing")</f>
        <v>Underperforming</v>
      </c>
      <c r="L2493">
        <f>Table4[[#This Row],[energy_kwh]] - Table4[[#This Row],[expected_kwh]]</f>
        <v>0</v>
      </c>
      <c r="M2493" t="str">
        <f>IF(Table4[[#This Row],[Performance_Deviation]] &lt; 0, "Underperforming", "Outperforming")</f>
        <v>Outperforming</v>
      </c>
      <c r="N2493">
        <f>IF(Table4[[#This Row],[Performance_Ratio]] &lt; 0.85, Table4[[#This Row],[Performance_Deviation]] * 50 / 1000, 0)</f>
        <v>0</v>
      </c>
    </row>
    <row r="2494" spans="1:14" x14ac:dyDescent="0.3">
      <c r="A2494" s="4" t="s">
        <v>9</v>
      </c>
      <c r="B2494" s="3">
        <v>45302.833333333336</v>
      </c>
      <c r="C2494" s="4">
        <v>0</v>
      </c>
      <c r="D2494" s="4">
        <v>0</v>
      </c>
      <c r="E2494" s="4">
        <v>0</v>
      </c>
      <c r="F2494" s="4">
        <v>87.072716998898599</v>
      </c>
      <c r="G2494" s="4" t="str">
        <f t="shared" si="76"/>
        <v>OK</v>
      </c>
      <c r="H2494" s="4" t="str">
        <f t="shared" si="77"/>
        <v>ZERO</v>
      </c>
      <c r="I2494">
        <v>0</v>
      </c>
      <c r="J2494">
        <f>IFERROR(Table4[[#This Row],[energy_kwh]]/Table4[[#This Row],[expected_kwh]],0)</f>
        <v>0</v>
      </c>
      <c r="K2494" t="str">
        <f>IF(Table4[[#This Row],[Performance_Ratio]] &lt; 0.85, "Underperforming", "Performing")</f>
        <v>Underperforming</v>
      </c>
      <c r="L2494">
        <f>Table4[[#This Row],[energy_kwh]] - Table4[[#This Row],[expected_kwh]]</f>
        <v>0</v>
      </c>
      <c r="M2494" t="str">
        <f>IF(Table4[[#This Row],[Performance_Deviation]] &lt; 0, "Underperforming", "Outperforming")</f>
        <v>Outperforming</v>
      </c>
      <c r="N2494">
        <f>IF(Table4[[#This Row],[Performance_Ratio]] &lt; 0.85, Table4[[#This Row],[Performance_Deviation]] * 50 / 1000, 0)</f>
        <v>0</v>
      </c>
    </row>
    <row r="2495" spans="1:14" x14ac:dyDescent="0.3">
      <c r="A2495" s="6" t="s">
        <v>9</v>
      </c>
      <c r="B2495" s="5">
        <v>45302.875</v>
      </c>
      <c r="C2495" s="6">
        <v>0</v>
      </c>
      <c r="D2495" s="6">
        <v>0</v>
      </c>
      <c r="E2495" s="6">
        <v>0</v>
      </c>
      <c r="F2495" s="6">
        <v>36.084367199312098</v>
      </c>
      <c r="G2495" s="6" t="str">
        <f t="shared" si="76"/>
        <v>OK</v>
      </c>
      <c r="H2495" s="6" t="str">
        <f t="shared" si="77"/>
        <v>ZERO</v>
      </c>
      <c r="I2495">
        <v>0</v>
      </c>
      <c r="J2495">
        <f>IFERROR(Table4[[#This Row],[energy_kwh]]/Table4[[#This Row],[expected_kwh]],0)</f>
        <v>0</v>
      </c>
      <c r="K2495" t="str">
        <f>IF(Table4[[#This Row],[Performance_Ratio]] &lt; 0.85, "Underperforming", "Performing")</f>
        <v>Underperforming</v>
      </c>
      <c r="L2495">
        <f>Table4[[#This Row],[energy_kwh]] - Table4[[#This Row],[expected_kwh]]</f>
        <v>0</v>
      </c>
      <c r="M2495" t="str">
        <f>IF(Table4[[#This Row],[Performance_Deviation]] &lt; 0, "Underperforming", "Outperforming")</f>
        <v>Outperforming</v>
      </c>
      <c r="N2495">
        <f>IF(Table4[[#This Row],[Performance_Ratio]] &lt; 0.85, Table4[[#This Row],[Performance_Deviation]] * 50 / 1000, 0)</f>
        <v>0</v>
      </c>
    </row>
    <row r="2496" spans="1:14" x14ac:dyDescent="0.3">
      <c r="A2496" s="4" t="s">
        <v>9</v>
      </c>
      <c r="B2496" s="3">
        <v>45302.916666666664</v>
      </c>
      <c r="C2496" s="4">
        <v>0</v>
      </c>
      <c r="D2496" s="4">
        <v>0</v>
      </c>
      <c r="E2496" s="4">
        <v>0</v>
      </c>
      <c r="F2496" s="4">
        <v>62.685617784070097</v>
      </c>
      <c r="G2496" s="4" t="str">
        <f t="shared" si="76"/>
        <v>OK</v>
      </c>
      <c r="H2496" s="4" t="str">
        <f t="shared" si="77"/>
        <v>ZERO</v>
      </c>
      <c r="I2496">
        <v>0</v>
      </c>
      <c r="J2496">
        <f>IFERROR(Table4[[#This Row],[energy_kwh]]/Table4[[#This Row],[expected_kwh]],0)</f>
        <v>0</v>
      </c>
      <c r="K2496" t="str">
        <f>IF(Table4[[#This Row],[Performance_Ratio]] &lt; 0.85, "Underperforming", "Performing")</f>
        <v>Underperforming</v>
      </c>
      <c r="L2496">
        <f>Table4[[#This Row],[energy_kwh]] - Table4[[#This Row],[expected_kwh]]</f>
        <v>0</v>
      </c>
      <c r="M2496" t="str">
        <f>IF(Table4[[#This Row],[Performance_Deviation]] &lt; 0, "Underperforming", "Outperforming")</f>
        <v>Outperforming</v>
      </c>
      <c r="N2496">
        <f>IF(Table4[[#This Row],[Performance_Ratio]] &lt; 0.85, Table4[[#This Row],[Performance_Deviation]] * 50 / 1000, 0)</f>
        <v>0</v>
      </c>
    </row>
    <row r="2497" spans="1:14" x14ac:dyDescent="0.3">
      <c r="A2497" s="6" t="s">
        <v>9</v>
      </c>
      <c r="B2497" s="5">
        <v>45302.958333333336</v>
      </c>
      <c r="C2497" s="6">
        <v>0</v>
      </c>
      <c r="D2497" s="6">
        <v>0</v>
      </c>
      <c r="E2497" s="6">
        <v>0</v>
      </c>
      <c r="F2497" s="6">
        <v>52.408788171192001</v>
      </c>
      <c r="G2497" s="6" t="str">
        <f t="shared" si="76"/>
        <v>OK</v>
      </c>
      <c r="H2497" s="6" t="str">
        <f t="shared" si="77"/>
        <v>ZERO</v>
      </c>
      <c r="I2497">
        <v>0</v>
      </c>
      <c r="J2497">
        <f>IFERROR(Table4[[#This Row],[energy_kwh]]/Table4[[#This Row],[expected_kwh]],0)</f>
        <v>0</v>
      </c>
      <c r="K2497" t="str">
        <f>IF(Table4[[#This Row],[Performance_Ratio]] &lt; 0.85, "Underperforming", "Performing")</f>
        <v>Underperforming</v>
      </c>
      <c r="L2497">
        <f>Table4[[#This Row],[energy_kwh]] - Table4[[#This Row],[expected_kwh]]</f>
        <v>0</v>
      </c>
      <c r="M2497" t="str">
        <f>IF(Table4[[#This Row],[Performance_Deviation]] &lt; 0, "Underperforming", "Outperforming")</f>
        <v>Outperforming</v>
      </c>
      <c r="N2497">
        <f>IF(Table4[[#This Row],[Performance_Ratio]] &lt; 0.85, Table4[[#This Row],[Performance_Deviation]] * 50 / 1000, 0)</f>
        <v>0</v>
      </c>
    </row>
    <row r="2498" spans="1:14" x14ac:dyDescent="0.3">
      <c r="A2498" s="4" t="s">
        <v>9</v>
      </c>
      <c r="B2498" s="3">
        <v>45303</v>
      </c>
      <c r="C2498" s="4">
        <v>0</v>
      </c>
      <c r="D2498" s="4">
        <v>0</v>
      </c>
      <c r="E2498" s="4">
        <v>0</v>
      </c>
      <c r="F2498" s="4">
        <v>23.597566893460598</v>
      </c>
      <c r="G2498" s="4" t="str">
        <f t="shared" ref="G2498:G2561" si="78">IF(D2498 &gt; C2498, "ERROR", "OK")</f>
        <v>OK</v>
      </c>
      <c r="H2498" s="4" t="str">
        <f t="shared" ref="H2498:H2561" si="79">IF(E2498=0,"ZERO","NON-ZERO")</f>
        <v>ZERO</v>
      </c>
      <c r="I2498">
        <v>0</v>
      </c>
      <c r="J2498">
        <f>IFERROR(Table4[[#This Row],[energy_kwh]]/Table4[[#This Row],[expected_kwh]],0)</f>
        <v>0</v>
      </c>
      <c r="K2498" t="str">
        <f>IF(Table4[[#This Row],[Performance_Ratio]] &lt; 0.85, "Underperforming", "Performing")</f>
        <v>Underperforming</v>
      </c>
      <c r="L2498">
        <f>Table4[[#This Row],[energy_kwh]] - Table4[[#This Row],[expected_kwh]]</f>
        <v>0</v>
      </c>
      <c r="M2498" t="str">
        <f>IF(Table4[[#This Row],[Performance_Deviation]] &lt; 0, "Underperforming", "Outperforming")</f>
        <v>Outperforming</v>
      </c>
      <c r="N2498">
        <f>IF(Table4[[#This Row],[Performance_Ratio]] &lt; 0.85, Table4[[#This Row],[Performance_Deviation]] * 50 / 1000, 0)</f>
        <v>0</v>
      </c>
    </row>
    <row r="2499" spans="1:14" x14ac:dyDescent="0.3">
      <c r="A2499" s="6" t="s">
        <v>9</v>
      </c>
      <c r="B2499" s="5">
        <v>45303.041666666664</v>
      </c>
      <c r="C2499" s="6">
        <v>0</v>
      </c>
      <c r="D2499" s="6">
        <v>0</v>
      </c>
      <c r="E2499" s="6">
        <v>0</v>
      </c>
      <c r="F2499" s="6">
        <v>64.170773638051102</v>
      </c>
      <c r="G2499" s="6" t="str">
        <f t="shared" si="78"/>
        <v>OK</v>
      </c>
      <c r="H2499" s="6" t="str">
        <f t="shared" si="79"/>
        <v>ZERO</v>
      </c>
      <c r="I2499">
        <v>0</v>
      </c>
      <c r="J2499">
        <f>IFERROR(Table4[[#This Row],[energy_kwh]]/Table4[[#This Row],[expected_kwh]],0)</f>
        <v>0</v>
      </c>
      <c r="K2499" t="str">
        <f>IF(Table4[[#This Row],[Performance_Ratio]] &lt; 0.85, "Underperforming", "Performing")</f>
        <v>Underperforming</v>
      </c>
      <c r="L2499">
        <f>Table4[[#This Row],[energy_kwh]] - Table4[[#This Row],[expected_kwh]]</f>
        <v>0</v>
      </c>
      <c r="M2499" t="str">
        <f>IF(Table4[[#This Row],[Performance_Deviation]] &lt; 0, "Underperforming", "Outperforming")</f>
        <v>Outperforming</v>
      </c>
      <c r="N2499">
        <f>IF(Table4[[#This Row],[Performance_Ratio]] &lt; 0.85, Table4[[#This Row],[Performance_Deviation]] * 50 / 1000, 0)</f>
        <v>0</v>
      </c>
    </row>
    <row r="2500" spans="1:14" x14ac:dyDescent="0.3">
      <c r="A2500" s="4" t="s">
        <v>9</v>
      </c>
      <c r="B2500" s="3">
        <v>45303.083333333336</v>
      </c>
      <c r="C2500" s="4">
        <v>0</v>
      </c>
      <c r="D2500" s="4">
        <v>0</v>
      </c>
      <c r="E2500" s="4">
        <v>0</v>
      </c>
      <c r="F2500" s="4">
        <v>36.1266927017138</v>
      </c>
      <c r="G2500" s="4" t="str">
        <f t="shared" si="78"/>
        <v>OK</v>
      </c>
      <c r="H2500" s="4" t="str">
        <f t="shared" si="79"/>
        <v>ZERO</v>
      </c>
      <c r="I2500">
        <v>0</v>
      </c>
      <c r="J2500">
        <f>IFERROR(Table4[[#This Row],[energy_kwh]]/Table4[[#This Row],[expected_kwh]],0)</f>
        <v>0</v>
      </c>
      <c r="K2500" t="str">
        <f>IF(Table4[[#This Row],[Performance_Ratio]] &lt; 0.85, "Underperforming", "Performing")</f>
        <v>Underperforming</v>
      </c>
      <c r="L2500">
        <f>Table4[[#This Row],[energy_kwh]] - Table4[[#This Row],[expected_kwh]]</f>
        <v>0</v>
      </c>
      <c r="M2500" t="str">
        <f>IF(Table4[[#This Row],[Performance_Deviation]] &lt; 0, "Underperforming", "Outperforming")</f>
        <v>Outperforming</v>
      </c>
      <c r="N2500">
        <f>IF(Table4[[#This Row],[Performance_Ratio]] &lt; 0.85, Table4[[#This Row],[Performance_Deviation]] * 50 / 1000, 0)</f>
        <v>0</v>
      </c>
    </row>
    <row r="2501" spans="1:14" x14ac:dyDescent="0.3">
      <c r="A2501" s="6" t="s">
        <v>9</v>
      </c>
      <c r="B2501" s="5">
        <v>45303.125</v>
      </c>
      <c r="C2501" s="6">
        <v>0</v>
      </c>
      <c r="D2501" s="6">
        <v>0</v>
      </c>
      <c r="E2501" s="6">
        <v>0</v>
      </c>
      <c r="F2501" s="6">
        <v>21.0486284728523</v>
      </c>
      <c r="G2501" s="6" t="str">
        <f t="shared" si="78"/>
        <v>OK</v>
      </c>
      <c r="H2501" s="6" t="str">
        <f t="shared" si="79"/>
        <v>ZERO</v>
      </c>
      <c r="I2501">
        <v>0</v>
      </c>
      <c r="J2501">
        <f>IFERROR(Table4[[#This Row],[energy_kwh]]/Table4[[#This Row],[expected_kwh]],0)</f>
        <v>0</v>
      </c>
      <c r="K2501" t="str">
        <f>IF(Table4[[#This Row],[Performance_Ratio]] &lt; 0.85, "Underperforming", "Performing")</f>
        <v>Underperforming</v>
      </c>
      <c r="L2501">
        <f>Table4[[#This Row],[energy_kwh]] - Table4[[#This Row],[expected_kwh]]</f>
        <v>0</v>
      </c>
      <c r="M2501" t="str">
        <f>IF(Table4[[#This Row],[Performance_Deviation]] &lt; 0, "Underperforming", "Outperforming")</f>
        <v>Outperforming</v>
      </c>
      <c r="N2501">
        <f>IF(Table4[[#This Row],[Performance_Ratio]] &lt; 0.85, Table4[[#This Row],[Performance_Deviation]] * 50 / 1000, 0)</f>
        <v>0</v>
      </c>
    </row>
    <row r="2502" spans="1:14" x14ac:dyDescent="0.3">
      <c r="A2502" s="4" t="s">
        <v>9</v>
      </c>
      <c r="B2502" s="3">
        <v>45303.166666666664</v>
      </c>
      <c r="C2502" s="4">
        <v>0</v>
      </c>
      <c r="D2502" s="4">
        <v>0</v>
      </c>
      <c r="E2502" s="4">
        <v>0</v>
      </c>
      <c r="F2502" s="4">
        <v>41.395849770565903</v>
      </c>
      <c r="G2502" s="4" t="str">
        <f t="shared" si="78"/>
        <v>OK</v>
      </c>
      <c r="H2502" s="4" t="str">
        <f t="shared" si="79"/>
        <v>ZERO</v>
      </c>
      <c r="I2502">
        <v>0</v>
      </c>
      <c r="J2502">
        <f>IFERROR(Table4[[#This Row],[energy_kwh]]/Table4[[#This Row],[expected_kwh]],0)</f>
        <v>0</v>
      </c>
      <c r="K2502" t="str">
        <f>IF(Table4[[#This Row],[Performance_Ratio]] &lt; 0.85, "Underperforming", "Performing")</f>
        <v>Underperforming</v>
      </c>
      <c r="L2502">
        <f>Table4[[#This Row],[energy_kwh]] - Table4[[#This Row],[expected_kwh]]</f>
        <v>0</v>
      </c>
      <c r="M2502" t="str">
        <f>IF(Table4[[#This Row],[Performance_Deviation]] &lt; 0, "Underperforming", "Outperforming")</f>
        <v>Outperforming</v>
      </c>
      <c r="N2502">
        <f>IF(Table4[[#This Row],[Performance_Ratio]] &lt; 0.85, Table4[[#This Row],[Performance_Deviation]] * 50 / 1000, 0)</f>
        <v>0</v>
      </c>
    </row>
    <row r="2503" spans="1:14" x14ac:dyDescent="0.3">
      <c r="A2503" s="6" t="s">
        <v>9</v>
      </c>
      <c r="B2503" s="5">
        <v>45303.208333333336</v>
      </c>
      <c r="C2503" s="6">
        <v>0</v>
      </c>
      <c r="D2503" s="6">
        <v>0</v>
      </c>
      <c r="E2503" s="6">
        <v>0</v>
      </c>
      <c r="F2503" s="6">
        <v>38.551352886330697</v>
      </c>
      <c r="G2503" s="6" t="str">
        <f t="shared" si="78"/>
        <v>OK</v>
      </c>
      <c r="H2503" s="6" t="str">
        <f t="shared" si="79"/>
        <v>ZERO</v>
      </c>
      <c r="I2503">
        <v>0</v>
      </c>
      <c r="J2503">
        <f>IFERROR(Table4[[#This Row],[energy_kwh]]/Table4[[#This Row],[expected_kwh]],0)</f>
        <v>0</v>
      </c>
      <c r="K2503" t="str">
        <f>IF(Table4[[#This Row],[Performance_Ratio]] &lt; 0.85, "Underperforming", "Performing")</f>
        <v>Underperforming</v>
      </c>
      <c r="L2503">
        <f>Table4[[#This Row],[energy_kwh]] - Table4[[#This Row],[expected_kwh]]</f>
        <v>0</v>
      </c>
      <c r="M2503" t="str">
        <f>IF(Table4[[#This Row],[Performance_Deviation]] &lt; 0, "Underperforming", "Outperforming")</f>
        <v>Outperforming</v>
      </c>
      <c r="N2503">
        <f>IF(Table4[[#This Row],[Performance_Ratio]] &lt; 0.85, Table4[[#This Row],[Performance_Deviation]] * 50 / 1000, 0)</f>
        <v>0</v>
      </c>
    </row>
    <row r="2504" spans="1:14" x14ac:dyDescent="0.3">
      <c r="A2504" s="4" t="s">
        <v>9</v>
      </c>
      <c r="B2504" s="3">
        <v>45303.25</v>
      </c>
      <c r="C2504" s="4">
        <v>0</v>
      </c>
      <c r="D2504" s="4">
        <v>0</v>
      </c>
      <c r="E2504" s="4">
        <v>0</v>
      </c>
      <c r="F2504" s="4">
        <v>25.340503815592399</v>
      </c>
      <c r="G2504" s="4" t="str">
        <f t="shared" si="78"/>
        <v>OK</v>
      </c>
      <c r="H2504" s="4" t="str">
        <f t="shared" si="79"/>
        <v>ZERO</v>
      </c>
      <c r="I2504">
        <v>0</v>
      </c>
      <c r="J2504">
        <f>IFERROR(Table4[[#This Row],[energy_kwh]]/Table4[[#This Row],[expected_kwh]],0)</f>
        <v>0</v>
      </c>
      <c r="K2504" t="str">
        <f>IF(Table4[[#This Row],[Performance_Ratio]] &lt; 0.85, "Underperforming", "Performing")</f>
        <v>Underperforming</v>
      </c>
      <c r="L2504">
        <f>Table4[[#This Row],[energy_kwh]] - Table4[[#This Row],[expected_kwh]]</f>
        <v>0</v>
      </c>
      <c r="M2504" t="str">
        <f>IF(Table4[[#This Row],[Performance_Deviation]] &lt; 0, "Underperforming", "Outperforming")</f>
        <v>Outperforming</v>
      </c>
      <c r="N2504">
        <f>IF(Table4[[#This Row],[Performance_Ratio]] &lt; 0.85, Table4[[#This Row],[Performance_Deviation]] * 50 / 1000, 0)</f>
        <v>0</v>
      </c>
    </row>
    <row r="2505" spans="1:14" x14ac:dyDescent="0.3">
      <c r="A2505" s="6" t="s">
        <v>9</v>
      </c>
      <c r="B2505" s="5">
        <v>45303.291666666664</v>
      </c>
      <c r="C2505" s="6">
        <v>264.92217536184501</v>
      </c>
      <c r="D2505" s="6">
        <v>255.37076115742701</v>
      </c>
      <c r="E2505" s="6">
        <v>255.37076115742701</v>
      </c>
      <c r="F2505" s="6">
        <v>74.405909239472706</v>
      </c>
      <c r="G2505" s="6" t="str">
        <f t="shared" si="78"/>
        <v>OK</v>
      </c>
      <c r="H2505" s="6" t="str">
        <f t="shared" si="79"/>
        <v>NON-ZERO</v>
      </c>
      <c r="I2505">
        <v>248.466283298419</v>
      </c>
      <c r="J2505">
        <f>IFERROR(Table4[[#This Row],[energy_kwh]]/Table4[[#This Row],[expected_kwh]],0)</f>
        <v>1.0277883895044038</v>
      </c>
      <c r="K2505" t="str">
        <f>IF(Table4[[#This Row],[Performance_Ratio]] &lt; 0.85, "Underperforming", "Performing")</f>
        <v>Performing</v>
      </c>
      <c r="L2505">
        <f>Table4[[#This Row],[energy_kwh]] - Table4[[#This Row],[expected_kwh]]</f>
        <v>6.9044778590080114</v>
      </c>
      <c r="M2505" t="str">
        <f>IF(Table4[[#This Row],[Performance_Deviation]] &lt; 0, "Underperforming", "Outperforming")</f>
        <v>Outperforming</v>
      </c>
      <c r="N2505">
        <f>IF(Table4[[#This Row],[Performance_Ratio]] &lt; 0.85, Table4[[#This Row],[Performance_Deviation]] * 50 / 1000, 0)</f>
        <v>0</v>
      </c>
    </row>
    <row r="2506" spans="1:14" x14ac:dyDescent="0.3">
      <c r="A2506" s="4" t="s">
        <v>9</v>
      </c>
      <c r="B2506" s="3">
        <v>45303.333333333336</v>
      </c>
      <c r="C2506" s="4">
        <v>463.20481206185798</v>
      </c>
      <c r="D2506" s="4">
        <v>446.504582964615</v>
      </c>
      <c r="E2506" s="4">
        <v>446.504582964615</v>
      </c>
      <c r="F2506" s="4">
        <v>55.841799570931201</v>
      </c>
      <c r="G2506" s="4" t="str">
        <f t="shared" si="78"/>
        <v>OK</v>
      </c>
      <c r="H2506" s="4" t="str">
        <f t="shared" si="79"/>
        <v>NON-ZERO</v>
      </c>
      <c r="I2506">
        <v>479.99999999999898</v>
      </c>
      <c r="J2506">
        <f>IFERROR(Table4[[#This Row],[energy_kwh]]/Table4[[#This Row],[expected_kwh]],0)</f>
        <v>0.93021788117628323</v>
      </c>
      <c r="K2506" t="str">
        <f>IF(Table4[[#This Row],[Performance_Ratio]] &lt; 0.85, "Underperforming", "Performing")</f>
        <v>Performing</v>
      </c>
      <c r="L2506">
        <f>Table4[[#This Row],[energy_kwh]] - Table4[[#This Row],[expected_kwh]]</f>
        <v>-33.49541703538398</v>
      </c>
      <c r="M2506" t="str">
        <f>IF(Table4[[#This Row],[Performance_Deviation]] &lt; 0, "Underperforming", "Outperforming")</f>
        <v>Underperforming</v>
      </c>
      <c r="N2506">
        <f>IF(Table4[[#This Row],[Performance_Ratio]] &lt; 0.85, Table4[[#This Row],[Performance_Deviation]] * 50 / 1000, 0)</f>
        <v>0</v>
      </c>
    </row>
    <row r="2507" spans="1:14" x14ac:dyDescent="0.3">
      <c r="A2507" s="6" t="s">
        <v>9</v>
      </c>
      <c r="B2507" s="5">
        <v>45303.375</v>
      </c>
      <c r="C2507" s="6">
        <v>636.70900312792799</v>
      </c>
      <c r="D2507" s="6">
        <v>613.75331280774003</v>
      </c>
      <c r="E2507" s="6">
        <v>613.75331280774003</v>
      </c>
      <c r="F2507" s="6">
        <v>33.827617851477001</v>
      </c>
      <c r="G2507" s="6" t="str">
        <f t="shared" si="78"/>
        <v>OK</v>
      </c>
      <c r="H2507" s="6" t="str">
        <f t="shared" si="79"/>
        <v>NON-ZERO</v>
      </c>
      <c r="I2507">
        <v>678.82250993908497</v>
      </c>
      <c r="J2507">
        <f>IFERROR(Table4[[#This Row],[energy_kwh]]/Table4[[#This Row],[expected_kwh]],0)</f>
        <v>0.90414401971262859</v>
      </c>
      <c r="K2507" t="str">
        <f>IF(Table4[[#This Row],[Performance_Ratio]] &lt; 0.85, "Underperforming", "Performing")</f>
        <v>Performing</v>
      </c>
      <c r="L2507">
        <f>Table4[[#This Row],[energy_kwh]] - Table4[[#This Row],[expected_kwh]]</f>
        <v>-65.069197131344936</v>
      </c>
      <c r="M2507" t="str">
        <f>IF(Table4[[#This Row],[Performance_Deviation]] &lt; 0, "Underperforming", "Outperforming")</f>
        <v>Underperforming</v>
      </c>
      <c r="N2507">
        <f>IF(Table4[[#This Row],[Performance_Ratio]] &lt; 0.85, Table4[[#This Row],[Performance_Deviation]] * 50 / 1000, 0)</f>
        <v>0</v>
      </c>
    </row>
    <row r="2508" spans="1:14" x14ac:dyDescent="0.3">
      <c r="A2508" s="4" t="s">
        <v>9</v>
      </c>
      <c r="B2508" s="3">
        <v>45303.416666666664</v>
      </c>
      <c r="C2508" s="4">
        <v>718.30419681630599</v>
      </c>
      <c r="D2508" s="4">
        <v>692.40670107366395</v>
      </c>
      <c r="E2508" s="4">
        <v>692.40670107366395</v>
      </c>
      <c r="F2508" s="4">
        <v>64.190879258946495</v>
      </c>
      <c r="G2508" s="4" t="str">
        <f t="shared" si="78"/>
        <v>OK</v>
      </c>
      <c r="H2508" s="4" t="str">
        <f t="shared" si="79"/>
        <v>NON-ZERO</v>
      </c>
      <c r="I2508">
        <v>831.38438763306101</v>
      </c>
      <c r="J2508">
        <f>IFERROR(Table4[[#This Row],[energy_kwh]]/Table4[[#This Row],[expected_kwh]],0)</f>
        <v>0.83283582344495977</v>
      </c>
      <c r="K2508" t="str">
        <f>IF(Table4[[#This Row],[Performance_Ratio]] &lt; 0.85, "Underperforming", "Performing")</f>
        <v>Underperforming</v>
      </c>
      <c r="L2508">
        <f>Table4[[#This Row],[energy_kwh]] - Table4[[#This Row],[expected_kwh]]</f>
        <v>-138.97768655939706</v>
      </c>
      <c r="M2508" t="str">
        <f>IF(Table4[[#This Row],[Performance_Deviation]] &lt; 0, "Underperforming", "Outperforming")</f>
        <v>Underperforming</v>
      </c>
      <c r="N2508">
        <f>IF(Table4[[#This Row],[Performance_Ratio]] &lt; 0.85, Table4[[#This Row],[Performance_Deviation]] * 50 / 1000, 0)</f>
        <v>-6.9488843279698527</v>
      </c>
    </row>
    <row r="2509" spans="1:14" x14ac:dyDescent="0.3">
      <c r="A2509" s="6" t="s">
        <v>9</v>
      </c>
      <c r="B2509" s="5">
        <v>45303.458333333336</v>
      </c>
      <c r="C2509" s="6">
        <v>867.34093603937595</v>
      </c>
      <c r="D2509" s="6">
        <v>836.07012027906796</v>
      </c>
      <c r="E2509" s="6">
        <v>836.07012027906796</v>
      </c>
      <c r="F2509" s="6">
        <v>69.663941428387503</v>
      </c>
      <c r="G2509" s="6" t="str">
        <f t="shared" si="78"/>
        <v>OK</v>
      </c>
      <c r="H2509" s="6" t="str">
        <f t="shared" si="79"/>
        <v>NON-ZERO</v>
      </c>
      <c r="I2509">
        <v>927.28879323750505</v>
      </c>
      <c r="J2509">
        <f>IFERROR(Table4[[#This Row],[energy_kwh]]/Table4[[#This Row],[expected_kwh]],0)</f>
        <v>0.90162862570574231</v>
      </c>
      <c r="K2509" t="str">
        <f>IF(Table4[[#This Row],[Performance_Ratio]] &lt; 0.85, "Underperforming", "Performing")</f>
        <v>Performing</v>
      </c>
      <c r="L2509">
        <f>Table4[[#This Row],[energy_kwh]] - Table4[[#This Row],[expected_kwh]]</f>
        <v>-91.218672958437082</v>
      </c>
      <c r="M2509" t="str">
        <f>IF(Table4[[#This Row],[Performance_Deviation]] &lt; 0, "Underperforming", "Outperforming")</f>
        <v>Underperforming</v>
      </c>
      <c r="N2509">
        <f>IF(Table4[[#This Row],[Performance_Ratio]] &lt; 0.85, Table4[[#This Row],[Performance_Deviation]] * 50 / 1000, 0)</f>
        <v>0</v>
      </c>
    </row>
    <row r="2510" spans="1:14" x14ac:dyDescent="0.3">
      <c r="A2510" s="4" t="s">
        <v>9</v>
      </c>
      <c r="B2510" s="3">
        <v>45303.5</v>
      </c>
      <c r="C2510" s="4">
        <v>921.61633395361605</v>
      </c>
      <c r="D2510" s="4">
        <v>888.38869141623502</v>
      </c>
      <c r="E2510" s="4">
        <v>888.38869141623502</v>
      </c>
      <c r="F2510" s="4">
        <v>77.155374007979404</v>
      </c>
      <c r="G2510" s="4" t="str">
        <f t="shared" si="78"/>
        <v>OK</v>
      </c>
      <c r="H2510" s="4" t="str">
        <f t="shared" si="79"/>
        <v>NON-ZERO</v>
      </c>
      <c r="I2510">
        <v>960</v>
      </c>
      <c r="J2510">
        <f>IFERROR(Table4[[#This Row],[energy_kwh]]/Table4[[#This Row],[expected_kwh]],0)</f>
        <v>0.92540488689191147</v>
      </c>
      <c r="K2510" t="str">
        <f>IF(Table4[[#This Row],[Performance_Ratio]] &lt; 0.85, "Underperforming", "Performing")</f>
        <v>Performing</v>
      </c>
      <c r="L2510">
        <f>Table4[[#This Row],[energy_kwh]] - Table4[[#This Row],[expected_kwh]]</f>
        <v>-71.611308583764981</v>
      </c>
      <c r="M2510" t="str">
        <f>IF(Table4[[#This Row],[Performance_Deviation]] &lt; 0, "Underperforming", "Outperforming")</f>
        <v>Underperforming</v>
      </c>
      <c r="N2510">
        <f>IF(Table4[[#This Row],[Performance_Ratio]] &lt; 0.85, Table4[[#This Row],[Performance_Deviation]] * 50 / 1000, 0)</f>
        <v>0</v>
      </c>
    </row>
    <row r="2511" spans="1:14" x14ac:dyDescent="0.3">
      <c r="A2511" s="6" t="s">
        <v>9</v>
      </c>
      <c r="B2511" s="5">
        <v>45303.541666666664</v>
      </c>
      <c r="C2511" s="6">
        <v>816.12493600127505</v>
      </c>
      <c r="D2511" s="6">
        <v>786.70064452527595</v>
      </c>
      <c r="E2511" s="6">
        <v>786.70064452527595</v>
      </c>
      <c r="F2511" s="6">
        <v>41.384988138553098</v>
      </c>
      <c r="G2511" s="6" t="str">
        <f t="shared" si="78"/>
        <v>OK</v>
      </c>
      <c r="H2511" s="6" t="str">
        <f t="shared" si="79"/>
        <v>NON-ZERO</v>
      </c>
      <c r="I2511">
        <v>927.28879323750505</v>
      </c>
      <c r="J2511">
        <f>IFERROR(Table4[[#This Row],[energy_kwh]]/Table4[[#This Row],[expected_kwh]],0)</f>
        <v>0.84838795665654021</v>
      </c>
      <c r="K2511" t="str">
        <f>IF(Table4[[#This Row],[Performance_Ratio]] &lt; 0.85, "Underperforming", "Performing")</f>
        <v>Underperforming</v>
      </c>
      <c r="L2511">
        <f>Table4[[#This Row],[energy_kwh]] - Table4[[#This Row],[expected_kwh]]</f>
        <v>-140.5881487122291</v>
      </c>
      <c r="M2511" t="str">
        <f>IF(Table4[[#This Row],[Performance_Deviation]] &lt; 0, "Underperforming", "Outperforming")</f>
        <v>Underperforming</v>
      </c>
      <c r="N2511">
        <f>IF(Table4[[#This Row],[Performance_Ratio]] &lt; 0.85, Table4[[#This Row],[Performance_Deviation]] * 50 / 1000, 0)</f>
        <v>-7.0294074356114553</v>
      </c>
    </row>
    <row r="2512" spans="1:14" x14ac:dyDescent="0.3">
      <c r="A2512" s="4" t="s">
        <v>9</v>
      </c>
      <c r="B2512" s="3">
        <v>45303.583333333336</v>
      </c>
      <c r="C2512" s="4">
        <v>835.12887268372299</v>
      </c>
      <c r="D2512" s="4">
        <v>805.0194197239</v>
      </c>
      <c r="E2512" s="4">
        <v>805.0194197239</v>
      </c>
      <c r="F2512" s="4">
        <v>86.586358622374902</v>
      </c>
      <c r="G2512" s="4" t="str">
        <f t="shared" si="78"/>
        <v>OK</v>
      </c>
      <c r="H2512" s="4" t="str">
        <f t="shared" si="79"/>
        <v>NON-ZERO</v>
      </c>
      <c r="I2512">
        <v>831.38438763306101</v>
      </c>
      <c r="J2512">
        <f>IFERROR(Table4[[#This Row],[energy_kwh]]/Table4[[#This Row],[expected_kwh]],0)</f>
        <v>0.96828787225097923</v>
      </c>
      <c r="K2512" t="str">
        <f>IF(Table4[[#This Row],[Performance_Ratio]] &lt; 0.85, "Underperforming", "Performing")</f>
        <v>Performing</v>
      </c>
      <c r="L2512">
        <f>Table4[[#This Row],[energy_kwh]] - Table4[[#This Row],[expected_kwh]]</f>
        <v>-26.36496790916101</v>
      </c>
      <c r="M2512" t="str">
        <f>IF(Table4[[#This Row],[Performance_Deviation]] &lt; 0, "Underperforming", "Outperforming")</f>
        <v>Underperforming</v>
      </c>
      <c r="N2512">
        <f>IF(Table4[[#This Row],[Performance_Ratio]] &lt; 0.85, Table4[[#This Row],[Performance_Deviation]] * 50 / 1000, 0)</f>
        <v>0</v>
      </c>
    </row>
    <row r="2513" spans="1:14" x14ac:dyDescent="0.3">
      <c r="A2513" s="6" t="s">
        <v>9</v>
      </c>
      <c r="B2513" s="5">
        <v>45303.625</v>
      </c>
      <c r="C2513" s="6">
        <v>591.55454853742299</v>
      </c>
      <c r="D2513" s="6">
        <v>570.22684159906805</v>
      </c>
      <c r="E2513" s="6">
        <v>570.22684159906805</v>
      </c>
      <c r="F2513" s="6">
        <v>47.935170418408099</v>
      </c>
      <c r="G2513" s="6" t="str">
        <f t="shared" si="78"/>
        <v>OK</v>
      </c>
      <c r="H2513" s="6" t="str">
        <f t="shared" si="79"/>
        <v>NON-ZERO</v>
      </c>
      <c r="I2513">
        <v>678.82250993908497</v>
      </c>
      <c r="J2513">
        <f>IFERROR(Table4[[#This Row],[energy_kwh]]/Table4[[#This Row],[expected_kwh]],0)</f>
        <v>0.84002347189435145</v>
      </c>
      <c r="K2513" t="str">
        <f>IF(Table4[[#This Row],[Performance_Ratio]] &lt; 0.85, "Underperforming", "Performing")</f>
        <v>Underperforming</v>
      </c>
      <c r="L2513">
        <f>Table4[[#This Row],[energy_kwh]] - Table4[[#This Row],[expected_kwh]]</f>
        <v>-108.59566834001691</v>
      </c>
      <c r="M2513" t="str">
        <f>IF(Table4[[#This Row],[Performance_Deviation]] &lt; 0, "Underperforming", "Outperforming")</f>
        <v>Underperforming</v>
      </c>
      <c r="N2513">
        <f>IF(Table4[[#This Row],[Performance_Ratio]] &lt; 0.85, Table4[[#This Row],[Performance_Deviation]] * 50 / 1000, 0)</f>
        <v>-5.4297834170008459</v>
      </c>
    </row>
    <row r="2514" spans="1:14" x14ac:dyDescent="0.3">
      <c r="A2514" s="4" t="s">
        <v>9</v>
      </c>
      <c r="B2514" s="3">
        <v>45303.666666666664</v>
      </c>
      <c r="C2514" s="4">
        <v>412.455071306234</v>
      </c>
      <c r="D2514" s="4">
        <v>397.58455613936297</v>
      </c>
      <c r="E2514" s="4">
        <v>397.58455613936297</v>
      </c>
      <c r="F2514" s="4">
        <v>83.9274011946532</v>
      </c>
      <c r="G2514" s="4" t="str">
        <f t="shared" si="78"/>
        <v>OK</v>
      </c>
      <c r="H2514" s="4" t="str">
        <f t="shared" si="79"/>
        <v>NON-ZERO</v>
      </c>
      <c r="I2514">
        <v>479.99999999999898</v>
      </c>
      <c r="J2514">
        <f>IFERROR(Table4[[#This Row],[energy_kwh]]/Table4[[#This Row],[expected_kwh]],0)</f>
        <v>0.82830115862367459</v>
      </c>
      <c r="K2514" t="str">
        <f>IF(Table4[[#This Row],[Performance_Ratio]] &lt; 0.85, "Underperforming", "Performing")</f>
        <v>Underperforming</v>
      </c>
      <c r="L2514">
        <f>Table4[[#This Row],[energy_kwh]] - Table4[[#This Row],[expected_kwh]]</f>
        <v>-82.415443860636003</v>
      </c>
      <c r="M2514" t="str">
        <f>IF(Table4[[#This Row],[Performance_Deviation]] &lt; 0, "Underperforming", "Outperforming")</f>
        <v>Underperforming</v>
      </c>
      <c r="N2514">
        <f>IF(Table4[[#This Row],[Performance_Ratio]] &lt; 0.85, Table4[[#This Row],[Performance_Deviation]] * 50 / 1000, 0)</f>
        <v>-4.1207721930318</v>
      </c>
    </row>
    <row r="2515" spans="1:14" x14ac:dyDescent="0.3">
      <c r="A2515" s="6" t="s">
        <v>9</v>
      </c>
      <c r="B2515" s="5">
        <v>45303.708333333336</v>
      </c>
      <c r="C2515" s="6">
        <v>232.95360220283899</v>
      </c>
      <c r="D2515" s="6">
        <v>224.55477208598799</v>
      </c>
      <c r="E2515" s="6">
        <v>224.55477208598799</v>
      </c>
      <c r="F2515" s="6">
        <v>47.315166698713703</v>
      </c>
      <c r="G2515" s="6" t="str">
        <f t="shared" si="78"/>
        <v>OK</v>
      </c>
      <c r="H2515" s="6" t="str">
        <f t="shared" si="79"/>
        <v>NON-ZERO</v>
      </c>
      <c r="I2515">
        <v>248.46628329842</v>
      </c>
      <c r="J2515">
        <f>IFERROR(Table4[[#This Row],[energy_kwh]]/Table4[[#This Row],[expected_kwh]],0)</f>
        <v>0.90376355739296377</v>
      </c>
      <c r="K2515" t="str">
        <f>IF(Table4[[#This Row],[Performance_Ratio]] &lt; 0.85, "Underperforming", "Performing")</f>
        <v>Performing</v>
      </c>
      <c r="L2515">
        <f>Table4[[#This Row],[energy_kwh]] - Table4[[#This Row],[expected_kwh]]</f>
        <v>-23.911511212432004</v>
      </c>
      <c r="M2515" t="str">
        <f>IF(Table4[[#This Row],[Performance_Deviation]] &lt; 0, "Underperforming", "Outperforming")</f>
        <v>Underperforming</v>
      </c>
      <c r="N2515">
        <f>IF(Table4[[#This Row],[Performance_Ratio]] &lt; 0.85, Table4[[#This Row],[Performance_Deviation]] * 50 / 1000, 0)</f>
        <v>0</v>
      </c>
    </row>
    <row r="2516" spans="1:14" x14ac:dyDescent="0.3">
      <c r="A2516" s="4" t="s">
        <v>9</v>
      </c>
      <c r="B2516" s="3">
        <v>45303.75</v>
      </c>
      <c r="C2516" s="7">
        <v>1.17033831138803E-13</v>
      </c>
      <c r="D2516" s="7">
        <v>1.12814333108448E-13</v>
      </c>
      <c r="E2516" s="7">
        <v>1.12814333108448E-13</v>
      </c>
      <c r="F2516" s="4">
        <v>34.638096128000399</v>
      </c>
      <c r="G2516" s="4" t="str">
        <f t="shared" si="78"/>
        <v>OK</v>
      </c>
      <c r="H2516" s="4" t="str">
        <f t="shared" si="79"/>
        <v>NON-ZERO</v>
      </c>
      <c r="I2516" s="2">
        <v>1.1756609271814501E-13</v>
      </c>
      <c r="J2516">
        <f>IFERROR(Table4[[#This Row],[energy_kwh]]/Table4[[#This Row],[expected_kwh]],0)</f>
        <v>0.95958222732562048</v>
      </c>
      <c r="K2516" t="str">
        <f>IF(Table4[[#This Row],[Performance_Ratio]] &lt; 0.85, "Underperforming", "Performing")</f>
        <v>Performing</v>
      </c>
      <c r="L2516">
        <f>Table4[[#This Row],[energy_kwh]] - Table4[[#This Row],[expected_kwh]]</f>
        <v>-4.7517596096970102E-15</v>
      </c>
      <c r="M2516" t="str">
        <f>IF(Table4[[#This Row],[Performance_Deviation]] &lt; 0, "Underperforming", "Outperforming")</f>
        <v>Underperforming</v>
      </c>
      <c r="N2516">
        <f>IF(Table4[[#This Row],[Performance_Ratio]] &lt; 0.85, Table4[[#This Row],[Performance_Deviation]] * 50 / 1000, 0)</f>
        <v>0</v>
      </c>
    </row>
    <row r="2517" spans="1:14" x14ac:dyDescent="0.3">
      <c r="A2517" s="6" t="s">
        <v>9</v>
      </c>
      <c r="B2517" s="5">
        <v>45303.791666666664</v>
      </c>
      <c r="C2517" s="6">
        <v>0</v>
      </c>
      <c r="D2517" s="6">
        <v>0</v>
      </c>
      <c r="E2517" s="6">
        <v>0</v>
      </c>
      <c r="F2517" s="6">
        <v>37.174038897523303</v>
      </c>
      <c r="G2517" s="6" t="str">
        <f t="shared" si="78"/>
        <v>OK</v>
      </c>
      <c r="H2517" s="6" t="str">
        <f t="shared" si="79"/>
        <v>ZERO</v>
      </c>
      <c r="I2517">
        <v>0</v>
      </c>
      <c r="J2517">
        <f>IFERROR(Table4[[#This Row],[energy_kwh]]/Table4[[#This Row],[expected_kwh]],0)</f>
        <v>0</v>
      </c>
      <c r="K2517" t="str">
        <f>IF(Table4[[#This Row],[Performance_Ratio]] &lt; 0.85, "Underperforming", "Performing")</f>
        <v>Underperforming</v>
      </c>
      <c r="L2517">
        <f>Table4[[#This Row],[energy_kwh]] - Table4[[#This Row],[expected_kwh]]</f>
        <v>0</v>
      </c>
      <c r="M2517" t="str">
        <f>IF(Table4[[#This Row],[Performance_Deviation]] &lt; 0, "Underperforming", "Outperforming")</f>
        <v>Outperforming</v>
      </c>
      <c r="N2517">
        <f>IF(Table4[[#This Row],[Performance_Ratio]] &lt; 0.85, Table4[[#This Row],[Performance_Deviation]] * 50 / 1000, 0)</f>
        <v>0</v>
      </c>
    </row>
    <row r="2518" spans="1:14" x14ac:dyDescent="0.3">
      <c r="A2518" s="4" t="s">
        <v>9</v>
      </c>
      <c r="B2518" s="3">
        <v>45303.833333333336</v>
      </c>
      <c r="C2518" s="4">
        <v>0</v>
      </c>
      <c r="D2518" s="4">
        <v>0</v>
      </c>
      <c r="E2518" s="4">
        <v>0</v>
      </c>
      <c r="F2518" s="4">
        <v>85.081054256129804</v>
      </c>
      <c r="G2518" s="4" t="str">
        <f t="shared" si="78"/>
        <v>OK</v>
      </c>
      <c r="H2518" s="4" t="str">
        <f t="shared" si="79"/>
        <v>ZERO</v>
      </c>
      <c r="I2518">
        <v>0</v>
      </c>
      <c r="J2518">
        <f>IFERROR(Table4[[#This Row],[energy_kwh]]/Table4[[#This Row],[expected_kwh]],0)</f>
        <v>0</v>
      </c>
      <c r="K2518" t="str">
        <f>IF(Table4[[#This Row],[Performance_Ratio]] &lt; 0.85, "Underperforming", "Performing")</f>
        <v>Underperforming</v>
      </c>
      <c r="L2518">
        <f>Table4[[#This Row],[energy_kwh]] - Table4[[#This Row],[expected_kwh]]</f>
        <v>0</v>
      </c>
      <c r="M2518" t="str">
        <f>IF(Table4[[#This Row],[Performance_Deviation]] &lt; 0, "Underperforming", "Outperforming")</f>
        <v>Outperforming</v>
      </c>
      <c r="N2518">
        <f>IF(Table4[[#This Row],[Performance_Ratio]] &lt; 0.85, Table4[[#This Row],[Performance_Deviation]] * 50 / 1000, 0)</f>
        <v>0</v>
      </c>
    </row>
    <row r="2519" spans="1:14" x14ac:dyDescent="0.3">
      <c r="A2519" s="6" t="s">
        <v>9</v>
      </c>
      <c r="B2519" s="5">
        <v>45303.875</v>
      </c>
      <c r="C2519" s="6">
        <v>0</v>
      </c>
      <c r="D2519" s="6">
        <v>0</v>
      </c>
      <c r="E2519" s="6">
        <v>0</v>
      </c>
      <c r="F2519" s="6">
        <v>51.9832854285727</v>
      </c>
      <c r="G2519" s="6" t="str">
        <f t="shared" si="78"/>
        <v>OK</v>
      </c>
      <c r="H2519" s="6" t="str">
        <f t="shared" si="79"/>
        <v>ZERO</v>
      </c>
      <c r="I2519">
        <v>0</v>
      </c>
      <c r="J2519">
        <f>IFERROR(Table4[[#This Row],[energy_kwh]]/Table4[[#This Row],[expected_kwh]],0)</f>
        <v>0</v>
      </c>
      <c r="K2519" t="str">
        <f>IF(Table4[[#This Row],[Performance_Ratio]] &lt; 0.85, "Underperforming", "Performing")</f>
        <v>Underperforming</v>
      </c>
      <c r="L2519">
        <f>Table4[[#This Row],[energy_kwh]] - Table4[[#This Row],[expected_kwh]]</f>
        <v>0</v>
      </c>
      <c r="M2519" t="str">
        <f>IF(Table4[[#This Row],[Performance_Deviation]] &lt; 0, "Underperforming", "Outperforming")</f>
        <v>Outperforming</v>
      </c>
      <c r="N2519">
        <f>IF(Table4[[#This Row],[Performance_Ratio]] &lt; 0.85, Table4[[#This Row],[Performance_Deviation]] * 50 / 1000, 0)</f>
        <v>0</v>
      </c>
    </row>
    <row r="2520" spans="1:14" x14ac:dyDescent="0.3">
      <c r="A2520" s="4" t="s">
        <v>9</v>
      </c>
      <c r="B2520" s="3">
        <v>45303.916666666664</v>
      </c>
      <c r="C2520" s="4">
        <v>0</v>
      </c>
      <c r="D2520" s="4">
        <v>0</v>
      </c>
      <c r="E2520" s="4">
        <v>0</v>
      </c>
      <c r="F2520" s="4">
        <v>68.490132408554899</v>
      </c>
      <c r="G2520" s="4" t="str">
        <f t="shared" si="78"/>
        <v>OK</v>
      </c>
      <c r="H2520" s="4" t="str">
        <f t="shared" si="79"/>
        <v>ZERO</v>
      </c>
      <c r="I2520">
        <v>0</v>
      </c>
      <c r="J2520">
        <f>IFERROR(Table4[[#This Row],[energy_kwh]]/Table4[[#This Row],[expected_kwh]],0)</f>
        <v>0</v>
      </c>
      <c r="K2520" t="str">
        <f>IF(Table4[[#This Row],[Performance_Ratio]] &lt; 0.85, "Underperforming", "Performing")</f>
        <v>Underperforming</v>
      </c>
      <c r="L2520">
        <f>Table4[[#This Row],[energy_kwh]] - Table4[[#This Row],[expected_kwh]]</f>
        <v>0</v>
      </c>
      <c r="M2520" t="str">
        <f>IF(Table4[[#This Row],[Performance_Deviation]] &lt; 0, "Underperforming", "Outperforming")</f>
        <v>Outperforming</v>
      </c>
      <c r="N2520">
        <f>IF(Table4[[#This Row],[Performance_Ratio]] &lt; 0.85, Table4[[#This Row],[Performance_Deviation]] * 50 / 1000, 0)</f>
        <v>0</v>
      </c>
    </row>
    <row r="2521" spans="1:14" x14ac:dyDescent="0.3">
      <c r="A2521" s="6" t="s">
        <v>9</v>
      </c>
      <c r="B2521" s="5">
        <v>45303.958333333336</v>
      </c>
      <c r="C2521" s="6">
        <v>0</v>
      </c>
      <c r="D2521" s="6">
        <v>0</v>
      </c>
      <c r="E2521" s="6">
        <v>0</v>
      </c>
      <c r="F2521" s="6">
        <v>45.431570994700998</v>
      </c>
      <c r="G2521" s="6" t="str">
        <f t="shared" si="78"/>
        <v>OK</v>
      </c>
      <c r="H2521" s="6" t="str">
        <f t="shared" si="79"/>
        <v>ZERO</v>
      </c>
      <c r="I2521">
        <v>0</v>
      </c>
      <c r="J2521">
        <f>IFERROR(Table4[[#This Row],[energy_kwh]]/Table4[[#This Row],[expected_kwh]],0)</f>
        <v>0</v>
      </c>
      <c r="K2521" t="str">
        <f>IF(Table4[[#This Row],[Performance_Ratio]] &lt; 0.85, "Underperforming", "Performing")</f>
        <v>Underperforming</v>
      </c>
      <c r="L2521">
        <f>Table4[[#This Row],[energy_kwh]] - Table4[[#This Row],[expected_kwh]]</f>
        <v>0</v>
      </c>
      <c r="M2521" t="str">
        <f>IF(Table4[[#This Row],[Performance_Deviation]] &lt; 0, "Underperforming", "Outperforming")</f>
        <v>Outperforming</v>
      </c>
      <c r="N2521">
        <f>IF(Table4[[#This Row],[Performance_Ratio]] &lt; 0.85, Table4[[#This Row],[Performance_Deviation]] * 50 / 1000, 0)</f>
        <v>0</v>
      </c>
    </row>
    <row r="2522" spans="1:14" x14ac:dyDescent="0.3">
      <c r="A2522" s="4" t="s">
        <v>9</v>
      </c>
      <c r="B2522" s="3">
        <v>45304</v>
      </c>
      <c r="C2522" s="4">
        <v>0</v>
      </c>
      <c r="D2522" s="4">
        <v>0</v>
      </c>
      <c r="E2522" s="4">
        <v>0</v>
      </c>
      <c r="F2522" s="4">
        <v>37.015288724862003</v>
      </c>
      <c r="G2522" s="4" t="str">
        <f t="shared" si="78"/>
        <v>OK</v>
      </c>
      <c r="H2522" s="4" t="str">
        <f t="shared" si="79"/>
        <v>ZERO</v>
      </c>
      <c r="I2522">
        <v>0</v>
      </c>
      <c r="J2522">
        <f>IFERROR(Table4[[#This Row],[energy_kwh]]/Table4[[#This Row],[expected_kwh]],0)</f>
        <v>0</v>
      </c>
      <c r="K2522" t="str">
        <f>IF(Table4[[#This Row],[Performance_Ratio]] &lt; 0.85, "Underperforming", "Performing")</f>
        <v>Underperforming</v>
      </c>
      <c r="L2522">
        <f>Table4[[#This Row],[energy_kwh]] - Table4[[#This Row],[expected_kwh]]</f>
        <v>0</v>
      </c>
      <c r="M2522" t="str">
        <f>IF(Table4[[#This Row],[Performance_Deviation]] &lt; 0, "Underperforming", "Outperforming")</f>
        <v>Outperforming</v>
      </c>
      <c r="N2522">
        <f>IF(Table4[[#This Row],[Performance_Ratio]] &lt; 0.85, Table4[[#This Row],[Performance_Deviation]] * 50 / 1000, 0)</f>
        <v>0</v>
      </c>
    </row>
    <row r="2523" spans="1:14" x14ac:dyDescent="0.3">
      <c r="A2523" s="6" t="s">
        <v>9</v>
      </c>
      <c r="B2523" s="5">
        <v>45304.041666666664</v>
      </c>
      <c r="C2523" s="6">
        <v>0</v>
      </c>
      <c r="D2523" s="6">
        <v>0</v>
      </c>
      <c r="E2523" s="6">
        <v>0</v>
      </c>
      <c r="F2523" s="6">
        <v>64.067132911234793</v>
      </c>
      <c r="G2523" s="6" t="str">
        <f t="shared" si="78"/>
        <v>OK</v>
      </c>
      <c r="H2523" s="6" t="str">
        <f t="shared" si="79"/>
        <v>ZERO</v>
      </c>
      <c r="I2523">
        <v>0</v>
      </c>
      <c r="J2523">
        <f>IFERROR(Table4[[#This Row],[energy_kwh]]/Table4[[#This Row],[expected_kwh]],0)</f>
        <v>0</v>
      </c>
      <c r="K2523" t="str">
        <f>IF(Table4[[#This Row],[Performance_Ratio]] &lt; 0.85, "Underperforming", "Performing")</f>
        <v>Underperforming</v>
      </c>
      <c r="L2523">
        <f>Table4[[#This Row],[energy_kwh]] - Table4[[#This Row],[expected_kwh]]</f>
        <v>0</v>
      </c>
      <c r="M2523" t="str">
        <f>IF(Table4[[#This Row],[Performance_Deviation]] &lt; 0, "Underperforming", "Outperforming")</f>
        <v>Outperforming</v>
      </c>
      <c r="N2523">
        <f>IF(Table4[[#This Row],[Performance_Ratio]] &lt; 0.85, Table4[[#This Row],[Performance_Deviation]] * 50 / 1000, 0)</f>
        <v>0</v>
      </c>
    </row>
    <row r="2524" spans="1:14" x14ac:dyDescent="0.3">
      <c r="A2524" s="4" t="s">
        <v>9</v>
      </c>
      <c r="B2524" s="3">
        <v>45304.083333333336</v>
      </c>
      <c r="C2524" s="4">
        <v>0</v>
      </c>
      <c r="D2524" s="4">
        <v>0</v>
      </c>
      <c r="E2524" s="4">
        <v>0</v>
      </c>
      <c r="F2524" s="4">
        <v>72.373499295542004</v>
      </c>
      <c r="G2524" s="4" t="str">
        <f t="shared" si="78"/>
        <v>OK</v>
      </c>
      <c r="H2524" s="4" t="str">
        <f t="shared" si="79"/>
        <v>ZERO</v>
      </c>
      <c r="I2524">
        <v>0</v>
      </c>
      <c r="J2524">
        <f>IFERROR(Table4[[#This Row],[energy_kwh]]/Table4[[#This Row],[expected_kwh]],0)</f>
        <v>0</v>
      </c>
      <c r="K2524" t="str">
        <f>IF(Table4[[#This Row],[Performance_Ratio]] &lt; 0.85, "Underperforming", "Performing")</f>
        <v>Underperforming</v>
      </c>
      <c r="L2524">
        <f>Table4[[#This Row],[energy_kwh]] - Table4[[#This Row],[expected_kwh]]</f>
        <v>0</v>
      </c>
      <c r="M2524" t="str">
        <f>IF(Table4[[#This Row],[Performance_Deviation]] &lt; 0, "Underperforming", "Outperforming")</f>
        <v>Outperforming</v>
      </c>
      <c r="N2524">
        <f>IF(Table4[[#This Row],[Performance_Ratio]] &lt; 0.85, Table4[[#This Row],[Performance_Deviation]] * 50 / 1000, 0)</f>
        <v>0</v>
      </c>
    </row>
    <row r="2525" spans="1:14" x14ac:dyDescent="0.3">
      <c r="A2525" s="6" t="s">
        <v>9</v>
      </c>
      <c r="B2525" s="5">
        <v>45304.125</v>
      </c>
      <c r="C2525" s="6">
        <v>0</v>
      </c>
      <c r="D2525" s="6">
        <v>0</v>
      </c>
      <c r="E2525" s="6">
        <v>0</v>
      </c>
      <c r="F2525" s="6">
        <v>36.045033710078499</v>
      </c>
      <c r="G2525" s="6" t="str">
        <f t="shared" si="78"/>
        <v>OK</v>
      </c>
      <c r="H2525" s="6" t="str">
        <f t="shared" si="79"/>
        <v>ZERO</v>
      </c>
      <c r="I2525">
        <v>0</v>
      </c>
      <c r="J2525">
        <f>IFERROR(Table4[[#This Row],[energy_kwh]]/Table4[[#This Row],[expected_kwh]],0)</f>
        <v>0</v>
      </c>
      <c r="K2525" t="str">
        <f>IF(Table4[[#This Row],[Performance_Ratio]] &lt; 0.85, "Underperforming", "Performing")</f>
        <v>Underperforming</v>
      </c>
      <c r="L2525">
        <f>Table4[[#This Row],[energy_kwh]] - Table4[[#This Row],[expected_kwh]]</f>
        <v>0</v>
      </c>
      <c r="M2525" t="str">
        <f>IF(Table4[[#This Row],[Performance_Deviation]] &lt; 0, "Underperforming", "Outperforming")</f>
        <v>Outperforming</v>
      </c>
      <c r="N2525">
        <f>IF(Table4[[#This Row],[Performance_Ratio]] &lt; 0.85, Table4[[#This Row],[Performance_Deviation]] * 50 / 1000, 0)</f>
        <v>0</v>
      </c>
    </row>
    <row r="2526" spans="1:14" x14ac:dyDescent="0.3">
      <c r="A2526" s="4" t="s">
        <v>9</v>
      </c>
      <c r="B2526" s="3">
        <v>45304.166666666664</v>
      </c>
      <c r="C2526" s="4">
        <v>0</v>
      </c>
      <c r="D2526" s="4">
        <v>0</v>
      </c>
      <c r="E2526" s="4">
        <v>0</v>
      </c>
      <c r="F2526" s="4">
        <v>57.680209511009501</v>
      </c>
      <c r="G2526" s="4" t="str">
        <f t="shared" si="78"/>
        <v>OK</v>
      </c>
      <c r="H2526" s="4" t="str">
        <f t="shared" si="79"/>
        <v>ZERO</v>
      </c>
      <c r="I2526">
        <v>0</v>
      </c>
      <c r="J2526">
        <f>IFERROR(Table4[[#This Row],[energy_kwh]]/Table4[[#This Row],[expected_kwh]],0)</f>
        <v>0</v>
      </c>
      <c r="K2526" t="str">
        <f>IF(Table4[[#This Row],[Performance_Ratio]] &lt; 0.85, "Underperforming", "Performing")</f>
        <v>Underperforming</v>
      </c>
      <c r="L2526">
        <f>Table4[[#This Row],[energy_kwh]] - Table4[[#This Row],[expected_kwh]]</f>
        <v>0</v>
      </c>
      <c r="M2526" t="str">
        <f>IF(Table4[[#This Row],[Performance_Deviation]] &lt; 0, "Underperforming", "Outperforming")</f>
        <v>Outperforming</v>
      </c>
      <c r="N2526">
        <f>IF(Table4[[#This Row],[Performance_Ratio]] &lt; 0.85, Table4[[#This Row],[Performance_Deviation]] * 50 / 1000, 0)</f>
        <v>0</v>
      </c>
    </row>
    <row r="2527" spans="1:14" x14ac:dyDescent="0.3">
      <c r="A2527" s="6" t="s">
        <v>9</v>
      </c>
      <c r="B2527" s="5">
        <v>45304.208333333336</v>
      </c>
      <c r="C2527" s="6">
        <v>0</v>
      </c>
      <c r="D2527" s="6">
        <v>0</v>
      </c>
      <c r="E2527" s="6">
        <v>0</v>
      </c>
      <c r="F2527" s="6">
        <v>74.182506726680899</v>
      </c>
      <c r="G2527" s="6" t="str">
        <f t="shared" si="78"/>
        <v>OK</v>
      </c>
      <c r="H2527" s="6" t="str">
        <f t="shared" si="79"/>
        <v>ZERO</v>
      </c>
      <c r="I2527">
        <v>0</v>
      </c>
      <c r="J2527">
        <f>IFERROR(Table4[[#This Row],[energy_kwh]]/Table4[[#This Row],[expected_kwh]],0)</f>
        <v>0</v>
      </c>
      <c r="K2527" t="str">
        <f>IF(Table4[[#This Row],[Performance_Ratio]] &lt; 0.85, "Underperforming", "Performing")</f>
        <v>Underperforming</v>
      </c>
      <c r="L2527">
        <f>Table4[[#This Row],[energy_kwh]] - Table4[[#This Row],[expected_kwh]]</f>
        <v>0</v>
      </c>
      <c r="M2527" t="str">
        <f>IF(Table4[[#This Row],[Performance_Deviation]] &lt; 0, "Underperforming", "Outperforming")</f>
        <v>Outperforming</v>
      </c>
      <c r="N2527">
        <f>IF(Table4[[#This Row],[Performance_Ratio]] &lt; 0.85, Table4[[#This Row],[Performance_Deviation]] * 50 / 1000, 0)</f>
        <v>0</v>
      </c>
    </row>
    <row r="2528" spans="1:14" x14ac:dyDescent="0.3">
      <c r="A2528" s="4" t="s">
        <v>9</v>
      </c>
      <c r="B2528" s="3">
        <v>45304.25</v>
      </c>
      <c r="C2528" s="4">
        <v>0</v>
      </c>
      <c r="D2528" s="4">
        <v>0</v>
      </c>
      <c r="E2528" s="4">
        <v>0</v>
      </c>
      <c r="F2528" s="4">
        <v>29.802369031123401</v>
      </c>
      <c r="G2528" s="4" t="str">
        <f t="shared" si="78"/>
        <v>OK</v>
      </c>
      <c r="H2528" s="4" t="str">
        <f t="shared" si="79"/>
        <v>ZERO</v>
      </c>
      <c r="I2528">
        <v>0</v>
      </c>
      <c r="J2528">
        <f>IFERROR(Table4[[#This Row],[energy_kwh]]/Table4[[#This Row],[expected_kwh]],0)</f>
        <v>0</v>
      </c>
      <c r="K2528" t="str">
        <f>IF(Table4[[#This Row],[Performance_Ratio]] &lt; 0.85, "Underperforming", "Performing")</f>
        <v>Underperforming</v>
      </c>
      <c r="L2528">
        <f>Table4[[#This Row],[energy_kwh]] - Table4[[#This Row],[expected_kwh]]</f>
        <v>0</v>
      </c>
      <c r="M2528" t="str">
        <f>IF(Table4[[#This Row],[Performance_Deviation]] &lt; 0, "Underperforming", "Outperforming")</f>
        <v>Outperforming</v>
      </c>
      <c r="N2528">
        <f>IF(Table4[[#This Row],[Performance_Ratio]] &lt; 0.85, Table4[[#This Row],[Performance_Deviation]] * 50 / 1000, 0)</f>
        <v>0</v>
      </c>
    </row>
    <row r="2529" spans="1:14" x14ac:dyDescent="0.3">
      <c r="A2529" s="6" t="s">
        <v>9</v>
      </c>
      <c r="B2529" s="5">
        <v>45304.291666666664</v>
      </c>
      <c r="C2529" s="6">
        <v>225.19763107139099</v>
      </c>
      <c r="D2529" s="6">
        <v>217.07843210558599</v>
      </c>
      <c r="E2529" s="6">
        <v>217.07843210558599</v>
      </c>
      <c r="F2529" s="6">
        <v>50.636554166170498</v>
      </c>
      <c r="G2529" s="6" t="str">
        <f t="shared" si="78"/>
        <v>OK</v>
      </c>
      <c r="H2529" s="6" t="str">
        <f t="shared" si="79"/>
        <v>NON-ZERO</v>
      </c>
      <c r="I2529">
        <v>248.466283298419</v>
      </c>
      <c r="J2529">
        <f>IFERROR(Table4[[#This Row],[energy_kwh]]/Table4[[#This Row],[expected_kwh]],0)</f>
        <v>0.87367359958801805</v>
      </c>
      <c r="K2529" t="str">
        <f>IF(Table4[[#This Row],[Performance_Ratio]] &lt; 0.85, "Underperforming", "Performing")</f>
        <v>Performing</v>
      </c>
      <c r="L2529">
        <f>Table4[[#This Row],[energy_kwh]] - Table4[[#This Row],[expected_kwh]]</f>
        <v>-31.387851192833011</v>
      </c>
      <c r="M2529" t="str">
        <f>IF(Table4[[#This Row],[Performance_Deviation]] &lt; 0, "Underperforming", "Outperforming")</f>
        <v>Underperforming</v>
      </c>
      <c r="N2529">
        <f>IF(Table4[[#This Row],[Performance_Ratio]] &lt; 0.85, Table4[[#This Row],[Performance_Deviation]] * 50 / 1000, 0)</f>
        <v>0</v>
      </c>
    </row>
    <row r="2530" spans="1:14" x14ac:dyDescent="0.3">
      <c r="A2530" s="4" t="s">
        <v>9</v>
      </c>
      <c r="B2530" s="3">
        <v>45304.333333333336</v>
      </c>
      <c r="C2530" s="4">
        <v>497.117127828158</v>
      </c>
      <c r="D2530" s="4">
        <v>479.19423560702802</v>
      </c>
      <c r="E2530" s="4">
        <v>479.19423560702802</v>
      </c>
      <c r="F2530" s="4">
        <v>82.792999963659398</v>
      </c>
      <c r="G2530" s="4" t="str">
        <f t="shared" si="78"/>
        <v>OK</v>
      </c>
      <c r="H2530" s="4" t="str">
        <f t="shared" si="79"/>
        <v>NON-ZERO</v>
      </c>
      <c r="I2530">
        <v>479.99999999999898</v>
      </c>
      <c r="J2530">
        <f>IFERROR(Table4[[#This Row],[energy_kwh]]/Table4[[#This Row],[expected_kwh]],0)</f>
        <v>0.99832132418131048</v>
      </c>
      <c r="K2530" t="str">
        <f>IF(Table4[[#This Row],[Performance_Ratio]] &lt; 0.85, "Underperforming", "Performing")</f>
        <v>Performing</v>
      </c>
      <c r="L2530">
        <f>Table4[[#This Row],[energy_kwh]] - Table4[[#This Row],[expected_kwh]]</f>
        <v>-0.80576439297095703</v>
      </c>
      <c r="M2530" t="str">
        <f>IF(Table4[[#This Row],[Performance_Deviation]] &lt; 0, "Underperforming", "Outperforming")</f>
        <v>Underperforming</v>
      </c>
      <c r="N2530">
        <f>IF(Table4[[#This Row],[Performance_Ratio]] &lt; 0.85, Table4[[#This Row],[Performance_Deviation]] * 50 / 1000, 0)</f>
        <v>0</v>
      </c>
    </row>
    <row r="2531" spans="1:14" x14ac:dyDescent="0.3">
      <c r="A2531" s="6" t="s">
        <v>9</v>
      </c>
      <c r="B2531" s="5">
        <v>45304.375</v>
      </c>
      <c r="C2531" s="6">
        <v>611.51218865559395</v>
      </c>
      <c r="D2531" s="6">
        <v>589.46493573340103</v>
      </c>
      <c r="E2531" s="6">
        <v>589.46493573340103</v>
      </c>
      <c r="F2531" s="6">
        <v>93.9737631704009</v>
      </c>
      <c r="G2531" s="6" t="str">
        <f t="shared" si="78"/>
        <v>OK</v>
      </c>
      <c r="H2531" s="6" t="str">
        <f t="shared" si="79"/>
        <v>NON-ZERO</v>
      </c>
      <c r="I2531">
        <v>678.82250993908497</v>
      </c>
      <c r="J2531">
        <f>IFERROR(Table4[[#This Row],[energy_kwh]]/Table4[[#This Row],[expected_kwh]],0)</f>
        <v>0.86836386110162644</v>
      </c>
      <c r="K2531" t="str">
        <f>IF(Table4[[#This Row],[Performance_Ratio]] &lt; 0.85, "Underperforming", "Performing")</f>
        <v>Performing</v>
      </c>
      <c r="L2531">
        <f>Table4[[#This Row],[energy_kwh]] - Table4[[#This Row],[expected_kwh]]</f>
        <v>-89.357574205683932</v>
      </c>
      <c r="M2531" t="str">
        <f>IF(Table4[[#This Row],[Performance_Deviation]] &lt; 0, "Underperforming", "Outperforming")</f>
        <v>Underperforming</v>
      </c>
      <c r="N2531">
        <f>IF(Table4[[#This Row],[Performance_Ratio]] &lt; 0.85, Table4[[#This Row],[Performance_Deviation]] * 50 / 1000, 0)</f>
        <v>0</v>
      </c>
    </row>
    <row r="2532" spans="1:14" x14ac:dyDescent="0.3">
      <c r="A2532" s="4" t="s">
        <v>9</v>
      </c>
      <c r="B2532" s="3">
        <v>45304.416666666664</v>
      </c>
      <c r="C2532" s="4">
        <v>774.87866801334303</v>
      </c>
      <c r="D2532" s="4">
        <v>746.94145548572203</v>
      </c>
      <c r="E2532" s="4">
        <v>746.94145548572203</v>
      </c>
      <c r="F2532" s="4">
        <v>64.694510908755007</v>
      </c>
      <c r="G2532" s="4" t="str">
        <f t="shared" si="78"/>
        <v>OK</v>
      </c>
      <c r="H2532" s="4" t="str">
        <f t="shared" si="79"/>
        <v>NON-ZERO</v>
      </c>
      <c r="I2532">
        <v>831.38438763306101</v>
      </c>
      <c r="J2532">
        <f>IFERROR(Table4[[#This Row],[energy_kwh]]/Table4[[#This Row],[expected_kwh]],0)</f>
        <v>0.89843093831994281</v>
      </c>
      <c r="K2532" t="str">
        <f>IF(Table4[[#This Row],[Performance_Ratio]] &lt; 0.85, "Underperforming", "Performing")</f>
        <v>Performing</v>
      </c>
      <c r="L2532">
        <f>Table4[[#This Row],[energy_kwh]] - Table4[[#This Row],[expected_kwh]]</f>
        <v>-84.442932147338979</v>
      </c>
      <c r="M2532" t="str">
        <f>IF(Table4[[#This Row],[Performance_Deviation]] &lt; 0, "Underperforming", "Outperforming")</f>
        <v>Underperforming</v>
      </c>
      <c r="N2532">
        <f>IF(Table4[[#This Row],[Performance_Ratio]] &lt; 0.85, Table4[[#This Row],[Performance_Deviation]] * 50 / 1000, 0)</f>
        <v>0</v>
      </c>
    </row>
    <row r="2533" spans="1:14" x14ac:dyDescent="0.3">
      <c r="A2533" s="6" t="s">
        <v>9</v>
      </c>
      <c r="B2533" s="5">
        <v>45304.458333333336</v>
      </c>
      <c r="C2533" s="6">
        <v>848.08608467920806</v>
      </c>
      <c r="D2533" s="6">
        <v>817.50947679536102</v>
      </c>
      <c r="E2533" s="6">
        <v>817.50947679536102</v>
      </c>
      <c r="F2533" s="6">
        <v>28.848424957776899</v>
      </c>
      <c r="G2533" s="6" t="str">
        <f t="shared" si="78"/>
        <v>OK</v>
      </c>
      <c r="H2533" s="6" t="str">
        <f t="shared" si="79"/>
        <v>NON-ZERO</v>
      </c>
      <c r="I2533">
        <v>927.28879323750505</v>
      </c>
      <c r="J2533">
        <f>IFERROR(Table4[[#This Row],[energy_kwh]]/Table4[[#This Row],[expected_kwh]],0)</f>
        <v>0.8816125922768201</v>
      </c>
      <c r="K2533" t="str">
        <f>IF(Table4[[#This Row],[Performance_Ratio]] &lt; 0.85, "Underperforming", "Performing")</f>
        <v>Performing</v>
      </c>
      <c r="L2533">
        <f>Table4[[#This Row],[energy_kwh]] - Table4[[#This Row],[expected_kwh]]</f>
        <v>-109.77931644214402</v>
      </c>
      <c r="M2533" t="str">
        <f>IF(Table4[[#This Row],[Performance_Deviation]] &lt; 0, "Underperforming", "Outperforming")</f>
        <v>Underperforming</v>
      </c>
      <c r="N2533">
        <f>IF(Table4[[#This Row],[Performance_Ratio]] &lt; 0.85, Table4[[#This Row],[Performance_Deviation]] * 50 / 1000, 0)</f>
        <v>0</v>
      </c>
    </row>
    <row r="2534" spans="1:14" x14ac:dyDescent="0.3">
      <c r="A2534" s="4" t="s">
        <v>9</v>
      </c>
      <c r="B2534" s="3">
        <v>45304.5</v>
      </c>
      <c r="C2534" s="4">
        <v>946.90007334892698</v>
      </c>
      <c r="D2534" s="4">
        <v>912.76085945187697</v>
      </c>
      <c r="E2534" s="4">
        <v>912.76085945187697</v>
      </c>
      <c r="F2534" s="4">
        <v>72.522976541285502</v>
      </c>
      <c r="G2534" s="4" t="str">
        <f t="shared" si="78"/>
        <v>OK</v>
      </c>
      <c r="H2534" s="4" t="str">
        <f t="shared" si="79"/>
        <v>NON-ZERO</v>
      </c>
      <c r="I2534">
        <v>960</v>
      </c>
      <c r="J2534">
        <f>IFERROR(Table4[[#This Row],[energy_kwh]]/Table4[[#This Row],[expected_kwh]],0)</f>
        <v>0.95079256192903849</v>
      </c>
      <c r="K2534" t="str">
        <f>IF(Table4[[#This Row],[Performance_Ratio]] &lt; 0.85, "Underperforming", "Performing")</f>
        <v>Performing</v>
      </c>
      <c r="L2534">
        <f>Table4[[#This Row],[energy_kwh]] - Table4[[#This Row],[expected_kwh]]</f>
        <v>-47.239140548123032</v>
      </c>
      <c r="M2534" t="str">
        <f>IF(Table4[[#This Row],[Performance_Deviation]] &lt; 0, "Underperforming", "Outperforming")</f>
        <v>Underperforming</v>
      </c>
      <c r="N2534">
        <f>IF(Table4[[#This Row],[Performance_Ratio]] &lt; 0.85, Table4[[#This Row],[Performance_Deviation]] * 50 / 1000, 0)</f>
        <v>0</v>
      </c>
    </row>
    <row r="2535" spans="1:14" x14ac:dyDescent="0.3">
      <c r="A2535" s="6" t="s">
        <v>9</v>
      </c>
      <c r="B2535" s="5">
        <v>45304.541666666664</v>
      </c>
      <c r="C2535" s="6">
        <v>935.55325856034699</v>
      </c>
      <c r="D2535" s="6">
        <v>901.82313887294004</v>
      </c>
      <c r="E2535" s="6">
        <v>901.82313887294004</v>
      </c>
      <c r="F2535" s="6">
        <v>57.053215020179998</v>
      </c>
      <c r="G2535" s="6" t="str">
        <f t="shared" si="78"/>
        <v>OK</v>
      </c>
      <c r="H2535" s="6" t="str">
        <f t="shared" si="79"/>
        <v>NON-ZERO</v>
      </c>
      <c r="I2535">
        <v>927.28879323750505</v>
      </c>
      <c r="J2535">
        <f>IFERROR(Table4[[#This Row],[energy_kwh]]/Table4[[#This Row],[expected_kwh]],0)</f>
        <v>0.97253751522688514</v>
      </c>
      <c r="K2535" t="str">
        <f>IF(Table4[[#This Row],[Performance_Ratio]] &lt; 0.85, "Underperforming", "Performing")</f>
        <v>Performing</v>
      </c>
      <c r="L2535">
        <f>Table4[[#This Row],[energy_kwh]] - Table4[[#This Row],[expected_kwh]]</f>
        <v>-25.465654364565012</v>
      </c>
      <c r="M2535" t="str">
        <f>IF(Table4[[#This Row],[Performance_Deviation]] &lt; 0, "Underperforming", "Outperforming")</f>
        <v>Underperforming</v>
      </c>
      <c r="N2535">
        <f>IF(Table4[[#This Row],[Performance_Ratio]] &lt; 0.85, Table4[[#This Row],[Performance_Deviation]] * 50 / 1000, 0)</f>
        <v>0</v>
      </c>
    </row>
    <row r="2536" spans="1:14" x14ac:dyDescent="0.3">
      <c r="A2536" s="4" t="s">
        <v>9</v>
      </c>
      <c r="B2536" s="3">
        <v>45304.583333333336</v>
      </c>
      <c r="C2536" s="4">
        <v>812.52816853736397</v>
      </c>
      <c r="D2536" s="4">
        <v>783.23355369488104</v>
      </c>
      <c r="E2536" s="4">
        <v>783.23355369488104</v>
      </c>
      <c r="F2536" s="4">
        <v>89.356060689827103</v>
      </c>
      <c r="G2536" s="4" t="str">
        <f t="shared" si="78"/>
        <v>OK</v>
      </c>
      <c r="H2536" s="4" t="str">
        <f t="shared" si="79"/>
        <v>NON-ZERO</v>
      </c>
      <c r="I2536">
        <v>831.38438763306101</v>
      </c>
      <c r="J2536">
        <f>IFERROR(Table4[[#This Row],[energy_kwh]]/Table4[[#This Row],[expected_kwh]],0)</f>
        <v>0.94208354805018091</v>
      </c>
      <c r="K2536" t="str">
        <f>IF(Table4[[#This Row],[Performance_Ratio]] &lt; 0.85, "Underperforming", "Performing")</f>
        <v>Performing</v>
      </c>
      <c r="L2536">
        <f>Table4[[#This Row],[energy_kwh]] - Table4[[#This Row],[expected_kwh]]</f>
        <v>-48.150833938179971</v>
      </c>
      <c r="M2536" t="str">
        <f>IF(Table4[[#This Row],[Performance_Deviation]] &lt; 0, "Underperforming", "Outperforming")</f>
        <v>Underperforming</v>
      </c>
      <c r="N2536">
        <f>IF(Table4[[#This Row],[Performance_Ratio]] &lt; 0.85, Table4[[#This Row],[Performance_Deviation]] * 50 / 1000, 0)</f>
        <v>0</v>
      </c>
    </row>
    <row r="2537" spans="1:14" x14ac:dyDescent="0.3">
      <c r="A2537" s="6" t="s">
        <v>9</v>
      </c>
      <c r="B2537" s="5">
        <v>45304.625</v>
      </c>
      <c r="C2537" s="6">
        <v>609.99825451339302</v>
      </c>
      <c r="D2537" s="6">
        <v>588.00558445898298</v>
      </c>
      <c r="E2537" s="6">
        <v>588.00558445898298</v>
      </c>
      <c r="F2537" s="6">
        <v>37.170675210458398</v>
      </c>
      <c r="G2537" s="6" t="str">
        <f t="shared" si="78"/>
        <v>OK</v>
      </c>
      <c r="H2537" s="6" t="str">
        <f t="shared" si="79"/>
        <v>NON-ZERO</v>
      </c>
      <c r="I2537">
        <v>678.82250993908497</v>
      </c>
      <c r="J2537">
        <f>IFERROR(Table4[[#This Row],[energy_kwh]]/Table4[[#This Row],[expected_kwh]],0)</f>
        <v>0.86621403363855509</v>
      </c>
      <c r="K2537" t="str">
        <f>IF(Table4[[#This Row],[Performance_Ratio]] &lt; 0.85, "Underperforming", "Performing")</f>
        <v>Performing</v>
      </c>
      <c r="L2537">
        <f>Table4[[#This Row],[energy_kwh]] - Table4[[#This Row],[expected_kwh]]</f>
        <v>-90.816925480101986</v>
      </c>
      <c r="M2537" t="str">
        <f>IF(Table4[[#This Row],[Performance_Deviation]] &lt; 0, "Underperforming", "Outperforming")</f>
        <v>Underperforming</v>
      </c>
      <c r="N2537">
        <f>IF(Table4[[#This Row],[Performance_Ratio]] &lt; 0.85, Table4[[#This Row],[Performance_Deviation]] * 50 / 1000, 0)</f>
        <v>0</v>
      </c>
    </row>
    <row r="2538" spans="1:14" x14ac:dyDescent="0.3">
      <c r="A2538" s="4" t="s">
        <v>9</v>
      </c>
      <c r="B2538" s="3">
        <v>45304.666666666664</v>
      </c>
      <c r="C2538" s="4">
        <v>445.35862987238397</v>
      </c>
      <c r="D2538" s="4">
        <v>429.30182097137998</v>
      </c>
      <c r="E2538" s="4">
        <v>429.30182097137998</v>
      </c>
      <c r="F2538" s="4">
        <v>92.480697209257102</v>
      </c>
      <c r="G2538" s="4" t="str">
        <f t="shared" si="78"/>
        <v>OK</v>
      </c>
      <c r="H2538" s="4" t="str">
        <f t="shared" si="79"/>
        <v>NON-ZERO</v>
      </c>
      <c r="I2538">
        <v>479.99999999999898</v>
      </c>
      <c r="J2538">
        <f>IFERROR(Table4[[#This Row],[energy_kwh]]/Table4[[#This Row],[expected_kwh]],0)</f>
        <v>0.89437879369037687</v>
      </c>
      <c r="K2538" t="str">
        <f>IF(Table4[[#This Row],[Performance_Ratio]] &lt; 0.85, "Underperforming", "Performing")</f>
        <v>Performing</v>
      </c>
      <c r="L2538">
        <f>Table4[[#This Row],[energy_kwh]] - Table4[[#This Row],[expected_kwh]]</f>
        <v>-50.698179028618995</v>
      </c>
      <c r="M2538" t="str">
        <f>IF(Table4[[#This Row],[Performance_Deviation]] &lt; 0, "Underperforming", "Outperforming")</f>
        <v>Underperforming</v>
      </c>
      <c r="N2538">
        <f>IF(Table4[[#This Row],[Performance_Ratio]] &lt; 0.85, Table4[[#This Row],[Performance_Deviation]] * 50 / 1000, 0)</f>
        <v>0</v>
      </c>
    </row>
    <row r="2539" spans="1:14" x14ac:dyDescent="0.3">
      <c r="A2539" s="6" t="s">
        <v>9</v>
      </c>
      <c r="B2539" s="5">
        <v>45304.708333333336</v>
      </c>
      <c r="C2539" s="6">
        <v>220.78579786650999</v>
      </c>
      <c r="D2539" s="6">
        <v>212.825661637839</v>
      </c>
      <c r="E2539" s="6">
        <v>212.825661637839</v>
      </c>
      <c r="F2539" s="6">
        <v>68.8159128121832</v>
      </c>
      <c r="G2539" s="6" t="str">
        <f t="shared" si="78"/>
        <v>OK</v>
      </c>
      <c r="H2539" s="6" t="str">
        <f t="shared" si="79"/>
        <v>NON-ZERO</v>
      </c>
      <c r="I2539">
        <v>248.46628329842</v>
      </c>
      <c r="J2539">
        <f>IFERROR(Table4[[#This Row],[energy_kwh]]/Table4[[#This Row],[expected_kwh]],0)</f>
        <v>0.85655751280436354</v>
      </c>
      <c r="K2539" t="str">
        <f>IF(Table4[[#This Row],[Performance_Ratio]] &lt; 0.85, "Underperforming", "Performing")</f>
        <v>Performing</v>
      </c>
      <c r="L2539">
        <f>Table4[[#This Row],[energy_kwh]] - Table4[[#This Row],[expected_kwh]]</f>
        <v>-35.64062166058099</v>
      </c>
      <c r="M2539" t="str">
        <f>IF(Table4[[#This Row],[Performance_Deviation]] &lt; 0, "Underperforming", "Outperforming")</f>
        <v>Underperforming</v>
      </c>
      <c r="N2539">
        <f>IF(Table4[[#This Row],[Performance_Ratio]] &lt; 0.85, Table4[[#This Row],[Performance_Deviation]] * 50 / 1000, 0)</f>
        <v>0</v>
      </c>
    </row>
    <row r="2540" spans="1:14" x14ac:dyDescent="0.3">
      <c r="A2540" s="4" t="s">
        <v>9</v>
      </c>
      <c r="B2540" s="3">
        <v>45304.75</v>
      </c>
      <c r="C2540" s="7">
        <v>1.21278202920189E-13</v>
      </c>
      <c r="D2540" s="7">
        <v>1.1690567975003101E-13</v>
      </c>
      <c r="E2540" s="7">
        <v>1.1690567975003101E-13</v>
      </c>
      <c r="F2540" s="4">
        <v>41.868257718182299</v>
      </c>
      <c r="G2540" s="4" t="str">
        <f t="shared" si="78"/>
        <v>OK</v>
      </c>
      <c r="H2540" s="4" t="str">
        <f t="shared" si="79"/>
        <v>NON-ZERO</v>
      </c>
      <c r="I2540" s="2">
        <v>1.1756609271814501E-13</v>
      </c>
      <c r="J2540">
        <f>IFERROR(Table4[[#This Row],[energy_kwh]]/Table4[[#This Row],[expected_kwh]],0)</f>
        <v>0.99438262382592502</v>
      </c>
      <c r="K2540" t="str">
        <f>IF(Table4[[#This Row],[Performance_Ratio]] &lt; 0.85, "Underperforming", "Performing")</f>
        <v>Performing</v>
      </c>
      <c r="L2540">
        <f>Table4[[#This Row],[energy_kwh]] - Table4[[#This Row],[expected_kwh]]</f>
        <v>-6.6041296811400424E-16</v>
      </c>
      <c r="M2540" t="str">
        <f>IF(Table4[[#This Row],[Performance_Deviation]] &lt; 0, "Underperforming", "Outperforming")</f>
        <v>Underperforming</v>
      </c>
      <c r="N2540">
        <f>IF(Table4[[#This Row],[Performance_Ratio]] &lt; 0.85, Table4[[#This Row],[Performance_Deviation]] * 50 / 1000, 0)</f>
        <v>0</v>
      </c>
    </row>
    <row r="2541" spans="1:14" x14ac:dyDescent="0.3">
      <c r="A2541" s="6" t="s">
        <v>9</v>
      </c>
      <c r="B2541" s="5">
        <v>45304.791666666664</v>
      </c>
      <c r="C2541" s="6">
        <v>0</v>
      </c>
      <c r="D2541" s="6">
        <v>0</v>
      </c>
      <c r="E2541" s="6">
        <v>0</v>
      </c>
      <c r="F2541" s="6">
        <v>64.056137284450003</v>
      </c>
      <c r="G2541" s="6" t="str">
        <f t="shared" si="78"/>
        <v>OK</v>
      </c>
      <c r="H2541" s="6" t="str">
        <f t="shared" si="79"/>
        <v>ZERO</v>
      </c>
      <c r="I2541">
        <v>0</v>
      </c>
      <c r="J2541">
        <f>IFERROR(Table4[[#This Row],[energy_kwh]]/Table4[[#This Row],[expected_kwh]],0)</f>
        <v>0</v>
      </c>
      <c r="K2541" t="str">
        <f>IF(Table4[[#This Row],[Performance_Ratio]] &lt; 0.85, "Underperforming", "Performing")</f>
        <v>Underperforming</v>
      </c>
      <c r="L2541">
        <f>Table4[[#This Row],[energy_kwh]] - Table4[[#This Row],[expected_kwh]]</f>
        <v>0</v>
      </c>
      <c r="M2541" t="str">
        <f>IF(Table4[[#This Row],[Performance_Deviation]] &lt; 0, "Underperforming", "Outperforming")</f>
        <v>Outperforming</v>
      </c>
      <c r="N2541">
        <f>IF(Table4[[#This Row],[Performance_Ratio]] &lt; 0.85, Table4[[#This Row],[Performance_Deviation]] * 50 / 1000, 0)</f>
        <v>0</v>
      </c>
    </row>
    <row r="2542" spans="1:14" x14ac:dyDescent="0.3">
      <c r="A2542" s="4" t="s">
        <v>9</v>
      </c>
      <c r="B2542" s="3">
        <v>45304.833333333336</v>
      </c>
      <c r="C2542" s="4">
        <v>0</v>
      </c>
      <c r="D2542" s="4">
        <v>0</v>
      </c>
      <c r="E2542" s="4">
        <v>0</v>
      </c>
      <c r="F2542" s="4">
        <v>79.5193397901742</v>
      </c>
      <c r="G2542" s="4" t="str">
        <f t="shared" si="78"/>
        <v>OK</v>
      </c>
      <c r="H2542" s="4" t="str">
        <f t="shared" si="79"/>
        <v>ZERO</v>
      </c>
      <c r="I2542">
        <v>0</v>
      </c>
      <c r="J2542">
        <f>IFERROR(Table4[[#This Row],[energy_kwh]]/Table4[[#This Row],[expected_kwh]],0)</f>
        <v>0</v>
      </c>
      <c r="K2542" t="str">
        <f>IF(Table4[[#This Row],[Performance_Ratio]] &lt; 0.85, "Underperforming", "Performing")</f>
        <v>Underperforming</v>
      </c>
      <c r="L2542">
        <f>Table4[[#This Row],[energy_kwh]] - Table4[[#This Row],[expected_kwh]]</f>
        <v>0</v>
      </c>
      <c r="M2542" t="str">
        <f>IF(Table4[[#This Row],[Performance_Deviation]] &lt; 0, "Underperforming", "Outperforming")</f>
        <v>Outperforming</v>
      </c>
      <c r="N2542">
        <f>IF(Table4[[#This Row],[Performance_Ratio]] &lt; 0.85, Table4[[#This Row],[Performance_Deviation]] * 50 / 1000, 0)</f>
        <v>0</v>
      </c>
    </row>
    <row r="2543" spans="1:14" x14ac:dyDescent="0.3">
      <c r="A2543" s="6" t="s">
        <v>9</v>
      </c>
      <c r="B2543" s="5">
        <v>45304.875</v>
      </c>
      <c r="C2543" s="6">
        <v>0</v>
      </c>
      <c r="D2543" s="6">
        <v>0</v>
      </c>
      <c r="E2543" s="6">
        <v>0</v>
      </c>
      <c r="F2543" s="6">
        <v>73.154643492867393</v>
      </c>
      <c r="G2543" s="6" t="str">
        <f t="shared" si="78"/>
        <v>OK</v>
      </c>
      <c r="H2543" s="6" t="str">
        <f t="shared" si="79"/>
        <v>ZERO</v>
      </c>
      <c r="I2543">
        <v>0</v>
      </c>
      <c r="J2543">
        <f>IFERROR(Table4[[#This Row],[energy_kwh]]/Table4[[#This Row],[expected_kwh]],0)</f>
        <v>0</v>
      </c>
      <c r="K2543" t="str">
        <f>IF(Table4[[#This Row],[Performance_Ratio]] &lt; 0.85, "Underperforming", "Performing")</f>
        <v>Underperforming</v>
      </c>
      <c r="L2543">
        <f>Table4[[#This Row],[energy_kwh]] - Table4[[#This Row],[expected_kwh]]</f>
        <v>0</v>
      </c>
      <c r="M2543" t="str">
        <f>IF(Table4[[#This Row],[Performance_Deviation]] &lt; 0, "Underperforming", "Outperforming")</f>
        <v>Outperforming</v>
      </c>
      <c r="N2543">
        <f>IF(Table4[[#This Row],[Performance_Ratio]] &lt; 0.85, Table4[[#This Row],[Performance_Deviation]] * 50 / 1000, 0)</f>
        <v>0</v>
      </c>
    </row>
    <row r="2544" spans="1:14" x14ac:dyDescent="0.3">
      <c r="A2544" s="4" t="s">
        <v>9</v>
      </c>
      <c r="B2544" s="3">
        <v>45304.916666666664</v>
      </c>
      <c r="C2544" s="4">
        <v>0</v>
      </c>
      <c r="D2544" s="4">
        <v>0</v>
      </c>
      <c r="E2544" s="4">
        <v>0</v>
      </c>
      <c r="F2544" s="4">
        <v>45.4646689348019</v>
      </c>
      <c r="G2544" s="4" t="str">
        <f t="shared" si="78"/>
        <v>OK</v>
      </c>
      <c r="H2544" s="4" t="str">
        <f t="shared" si="79"/>
        <v>ZERO</v>
      </c>
      <c r="I2544">
        <v>0</v>
      </c>
      <c r="J2544">
        <f>IFERROR(Table4[[#This Row],[energy_kwh]]/Table4[[#This Row],[expected_kwh]],0)</f>
        <v>0</v>
      </c>
      <c r="K2544" t="str">
        <f>IF(Table4[[#This Row],[Performance_Ratio]] &lt; 0.85, "Underperforming", "Performing")</f>
        <v>Underperforming</v>
      </c>
      <c r="L2544">
        <f>Table4[[#This Row],[energy_kwh]] - Table4[[#This Row],[expected_kwh]]</f>
        <v>0</v>
      </c>
      <c r="M2544" t="str">
        <f>IF(Table4[[#This Row],[Performance_Deviation]] &lt; 0, "Underperforming", "Outperforming")</f>
        <v>Outperforming</v>
      </c>
      <c r="N2544">
        <f>IF(Table4[[#This Row],[Performance_Ratio]] &lt; 0.85, Table4[[#This Row],[Performance_Deviation]] * 50 / 1000, 0)</f>
        <v>0</v>
      </c>
    </row>
    <row r="2545" spans="1:14" x14ac:dyDescent="0.3">
      <c r="A2545" s="6" t="s">
        <v>9</v>
      </c>
      <c r="B2545" s="5">
        <v>45304.958333333336</v>
      </c>
      <c r="C2545" s="6">
        <v>0</v>
      </c>
      <c r="D2545" s="6">
        <v>0</v>
      </c>
      <c r="E2545" s="6">
        <v>0</v>
      </c>
      <c r="F2545" s="6">
        <v>26.4358078782079</v>
      </c>
      <c r="G2545" s="6" t="str">
        <f t="shared" si="78"/>
        <v>OK</v>
      </c>
      <c r="H2545" s="6" t="str">
        <f t="shared" si="79"/>
        <v>ZERO</v>
      </c>
      <c r="I2545">
        <v>0</v>
      </c>
      <c r="J2545">
        <f>IFERROR(Table4[[#This Row],[energy_kwh]]/Table4[[#This Row],[expected_kwh]],0)</f>
        <v>0</v>
      </c>
      <c r="K2545" t="str">
        <f>IF(Table4[[#This Row],[Performance_Ratio]] &lt; 0.85, "Underperforming", "Performing")</f>
        <v>Underperforming</v>
      </c>
      <c r="L2545">
        <f>Table4[[#This Row],[energy_kwh]] - Table4[[#This Row],[expected_kwh]]</f>
        <v>0</v>
      </c>
      <c r="M2545" t="str">
        <f>IF(Table4[[#This Row],[Performance_Deviation]] &lt; 0, "Underperforming", "Outperforming")</f>
        <v>Outperforming</v>
      </c>
      <c r="N2545">
        <f>IF(Table4[[#This Row],[Performance_Ratio]] &lt; 0.85, Table4[[#This Row],[Performance_Deviation]] * 50 / 1000, 0)</f>
        <v>0</v>
      </c>
    </row>
    <row r="2546" spans="1:14" x14ac:dyDescent="0.3">
      <c r="A2546" s="4" t="s">
        <v>9</v>
      </c>
      <c r="B2546" s="3">
        <v>45305</v>
      </c>
      <c r="C2546" s="4">
        <v>0</v>
      </c>
      <c r="D2546" s="4">
        <v>0</v>
      </c>
      <c r="E2546" s="4">
        <v>0</v>
      </c>
      <c r="F2546" s="4">
        <v>66.662519313020496</v>
      </c>
      <c r="G2546" s="4" t="str">
        <f t="shared" si="78"/>
        <v>OK</v>
      </c>
      <c r="H2546" s="4" t="str">
        <f t="shared" si="79"/>
        <v>ZERO</v>
      </c>
      <c r="I2546">
        <v>0</v>
      </c>
      <c r="J2546">
        <f>IFERROR(Table4[[#This Row],[energy_kwh]]/Table4[[#This Row],[expected_kwh]],0)</f>
        <v>0</v>
      </c>
      <c r="K2546" t="str">
        <f>IF(Table4[[#This Row],[Performance_Ratio]] &lt; 0.85, "Underperforming", "Performing")</f>
        <v>Underperforming</v>
      </c>
      <c r="L2546">
        <f>Table4[[#This Row],[energy_kwh]] - Table4[[#This Row],[expected_kwh]]</f>
        <v>0</v>
      </c>
      <c r="M2546" t="str">
        <f>IF(Table4[[#This Row],[Performance_Deviation]] &lt; 0, "Underperforming", "Outperforming")</f>
        <v>Outperforming</v>
      </c>
      <c r="N2546">
        <f>IF(Table4[[#This Row],[Performance_Ratio]] &lt; 0.85, Table4[[#This Row],[Performance_Deviation]] * 50 / 1000, 0)</f>
        <v>0</v>
      </c>
    </row>
    <row r="2547" spans="1:14" x14ac:dyDescent="0.3">
      <c r="A2547" s="6" t="s">
        <v>9</v>
      </c>
      <c r="B2547" s="5">
        <v>45305.041666666664</v>
      </c>
      <c r="C2547" s="6">
        <v>0</v>
      </c>
      <c r="D2547" s="6">
        <v>0</v>
      </c>
      <c r="E2547" s="6">
        <v>0</v>
      </c>
      <c r="F2547" s="6">
        <v>88.266627605773394</v>
      </c>
      <c r="G2547" s="6" t="str">
        <f t="shared" si="78"/>
        <v>OK</v>
      </c>
      <c r="H2547" s="6" t="str">
        <f t="shared" si="79"/>
        <v>ZERO</v>
      </c>
      <c r="I2547">
        <v>0</v>
      </c>
      <c r="J2547">
        <f>IFERROR(Table4[[#This Row],[energy_kwh]]/Table4[[#This Row],[expected_kwh]],0)</f>
        <v>0</v>
      </c>
      <c r="K2547" t="str">
        <f>IF(Table4[[#This Row],[Performance_Ratio]] &lt; 0.85, "Underperforming", "Performing")</f>
        <v>Underperforming</v>
      </c>
      <c r="L2547">
        <f>Table4[[#This Row],[energy_kwh]] - Table4[[#This Row],[expected_kwh]]</f>
        <v>0</v>
      </c>
      <c r="M2547" t="str">
        <f>IF(Table4[[#This Row],[Performance_Deviation]] &lt; 0, "Underperforming", "Outperforming")</f>
        <v>Outperforming</v>
      </c>
      <c r="N2547">
        <f>IF(Table4[[#This Row],[Performance_Ratio]] &lt; 0.85, Table4[[#This Row],[Performance_Deviation]] * 50 / 1000, 0)</f>
        <v>0</v>
      </c>
    </row>
    <row r="2548" spans="1:14" x14ac:dyDescent="0.3">
      <c r="A2548" s="4" t="s">
        <v>9</v>
      </c>
      <c r="B2548" s="3">
        <v>45305.083333333336</v>
      </c>
      <c r="C2548" s="4">
        <v>0</v>
      </c>
      <c r="D2548" s="4">
        <v>0</v>
      </c>
      <c r="E2548" s="4">
        <v>0</v>
      </c>
      <c r="F2548" s="4">
        <v>89.912128941022402</v>
      </c>
      <c r="G2548" s="4" t="str">
        <f t="shared" si="78"/>
        <v>OK</v>
      </c>
      <c r="H2548" s="4" t="str">
        <f t="shared" si="79"/>
        <v>ZERO</v>
      </c>
      <c r="I2548">
        <v>0</v>
      </c>
      <c r="J2548">
        <f>IFERROR(Table4[[#This Row],[energy_kwh]]/Table4[[#This Row],[expected_kwh]],0)</f>
        <v>0</v>
      </c>
      <c r="K2548" t="str">
        <f>IF(Table4[[#This Row],[Performance_Ratio]] &lt; 0.85, "Underperforming", "Performing")</f>
        <v>Underperforming</v>
      </c>
      <c r="L2548">
        <f>Table4[[#This Row],[energy_kwh]] - Table4[[#This Row],[expected_kwh]]</f>
        <v>0</v>
      </c>
      <c r="M2548" t="str">
        <f>IF(Table4[[#This Row],[Performance_Deviation]] &lt; 0, "Underperforming", "Outperforming")</f>
        <v>Outperforming</v>
      </c>
      <c r="N2548">
        <f>IF(Table4[[#This Row],[Performance_Ratio]] &lt; 0.85, Table4[[#This Row],[Performance_Deviation]] * 50 / 1000, 0)</f>
        <v>0</v>
      </c>
    </row>
    <row r="2549" spans="1:14" x14ac:dyDescent="0.3">
      <c r="A2549" s="6" t="s">
        <v>9</v>
      </c>
      <c r="B2549" s="5">
        <v>45305.125</v>
      </c>
      <c r="C2549" s="6">
        <v>0</v>
      </c>
      <c r="D2549" s="6">
        <v>0</v>
      </c>
      <c r="E2549" s="6">
        <v>0</v>
      </c>
      <c r="F2549" s="6">
        <v>49.046838025649699</v>
      </c>
      <c r="G2549" s="6" t="str">
        <f t="shared" si="78"/>
        <v>OK</v>
      </c>
      <c r="H2549" s="6" t="str">
        <f t="shared" si="79"/>
        <v>ZERO</v>
      </c>
      <c r="I2549">
        <v>0</v>
      </c>
      <c r="J2549">
        <f>IFERROR(Table4[[#This Row],[energy_kwh]]/Table4[[#This Row],[expected_kwh]],0)</f>
        <v>0</v>
      </c>
      <c r="K2549" t="str">
        <f>IF(Table4[[#This Row],[Performance_Ratio]] &lt; 0.85, "Underperforming", "Performing")</f>
        <v>Underperforming</v>
      </c>
      <c r="L2549">
        <f>Table4[[#This Row],[energy_kwh]] - Table4[[#This Row],[expected_kwh]]</f>
        <v>0</v>
      </c>
      <c r="M2549" t="str">
        <f>IF(Table4[[#This Row],[Performance_Deviation]] &lt; 0, "Underperforming", "Outperforming")</f>
        <v>Outperforming</v>
      </c>
      <c r="N2549">
        <f>IF(Table4[[#This Row],[Performance_Ratio]] &lt; 0.85, Table4[[#This Row],[Performance_Deviation]] * 50 / 1000, 0)</f>
        <v>0</v>
      </c>
    </row>
    <row r="2550" spans="1:14" x14ac:dyDescent="0.3">
      <c r="A2550" s="4" t="s">
        <v>9</v>
      </c>
      <c r="B2550" s="3">
        <v>45305.166666666664</v>
      </c>
      <c r="C2550" s="4">
        <v>0</v>
      </c>
      <c r="D2550" s="4">
        <v>0</v>
      </c>
      <c r="E2550" s="4">
        <v>0</v>
      </c>
      <c r="F2550" s="4">
        <v>41.340545770404198</v>
      </c>
      <c r="G2550" s="4" t="str">
        <f t="shared" si="78"/>
        <v>OK</v>
      </c>
      <c r="H2550" s="4" t="str">
        <f t="shared" si="79"/>
        <v>ZERO</v>
      </c>
      <c r="I2550">
        <v>0</v>
      </c>
      <c r="J2550">
        <f>IFERROR(Table4[[#This Row],[energy_kwh]]/Table4[[#This Row],[expected_kwh]],0)</f>
        <v>0</v>
      </c>
      <c r="K2550" t="str">
        <f>IF(Table4[[#This Row],[Performance_Ratio]] &lt; 0.85, "Underperforming", "Performing")</f>
        <v>Underperforming</v>
      </c>
      <c r="L2550">
        <f>Table4[[#This Row],[energy_kwh]] - Table4[[#This Row],[expected_kwh]]</f>
        <v>0</v>
      </c>
      <c r="M2550" t="str">
        <f>IF(Table4[[#This Row],[Performance_Deviation]] &lt; 0, "Underperforming", "Outperforming")</f>
        <v>Outperforming</v>
      </c>
      <c r="N2550">
        <f>IF(Table4[[#This Row],[Performance_Ratio]] &lt; 0.85, Table4[[#This Row],[Performance_Deviation]] * 50 / 1000, 0)</f>
        <v>0</v>
      </c>
    </row>
    <row r="2551" spans="1:14" x14ac:dyDescent="0.3">
      <c r="A2551" s="6" t="s">
        <v>9</v>
      </c>
      <c r="B2551" s="5">
        <v>45305.208333333336</v>
      </c>
      <c r="C2551" s="6">
        <v>0</v>
      </c>
      <c r="D2551" s="6">
        <v>0</v>
      </c>
      <c r="E2551" s="6">
        <v>0</v>
      </c>
      <c r="F2551" s="6">
        <v>84.161446602196804</v>
      </c>
      <c r="G2551" s="6" t="str">
        <f t="shared" si="78"/>
        <v>OK</v>
      </c>
      <c r="H2551" s="6" t="str">
        <f t="shared" si="79"/>
        <v>ZERO</v>
      </c>
      <c r="I2551">
        <v>0</v>
      </c>
      <c r="J2551">
        <f>IFERROR(Table4[[#This Row],[energy_kwh]]/Table4[[#This Row],[expected_kwh]],0)</f>
        <v>0</v>
      </c>
      <c r="K2551" t="str">
        <f>IF(Table4[[#This Row],[Performance_Ratio]] &lt; 0.85, "Underperforming", "Performing")</f>
        <v>Underperforming</v>
      </c>
      <c r="L2551">
        <f>Table4[[#This Row],[energy_kwh]] - Table4[[#This Row],[expected_kwh]]</f>
        <v>0</v>
      </c>
      <c r="M2551" t="str">
        <f>IF(Table4[[#This Row],[Performance_Deviation]] &lt; 0, "Underperforming", "Outperforming")</f>
        <v>Outperforming</v>
      </c>
      <c r="N2551">
        <f>IF(Table4[[#This Row],[Performance_Ratio]] &lt; 0.85, Table4[[#This Row],[Performance_Deviation]] * 50 / 1000, 0)</f>
        <v>0</v>
      </c>
    </row>
    <row r="2552" spans="1:14" x14ac:dyDescent="0.3">
      <c r="A2552" s="4" t="s">
        <v>9</v>
      </c>
      <c r="B2552" s="3">
        <v>45305.25</v>
      </c>
      <c r="C2552" s="4">
        <v>0</v>
      </c>
      <c r="D2552" s="4">
        <v>0</v>
      </c>
      <c r="E2552" s="4">
        <v>0</v>
      </c>
      <c r="F2552" s="4">
        <v>36.195365301510101</v>
      </c>
      <c r="G2552" s="4" t="str">
        <f t="shared" si="78"/>
        <v>OK</v>
      </c>
      <c r="H2552" s="4" t="str">
        <f t="shared" si="79"/>
        <v>ZERO</v>
      </c>
      <c r="I2552">
        <v>0</v>
      </c>
      <c r="J2552">
        <f>IFERROR(Table4[[#This Row],[energy_kwh]]/Table4[[#This Row],[expected_kwh]],0)</f>
        <v>0</v>
      </c>
      <c r="K2552" t="str">
        <f>IF(Table4[[#This Row],[Performance_Ratio]] &lt; 0.85, "Underperforming", "Performing")</f>
        <v>Underperforming</v>
      </c>
      <c r="L2552">
        <f>Table4[[#This Row],[energy_kwh]] - Table4[[#This Row],[expected_kwh]]</f>
        <v>0</v>
      </c>
      <c r="M2552" t="str">
        <f>IF(Table4[[#This Row],[Performance_Deviation]] &lt; 0, "Underperforming", "Outperforming")</f>
        <v>Outperforming</v>
      </c>
      <c r="N2552">
        <f>IF(Table4[[#This Row],[Performance_Ratio]] &lt; 0.85, Table4[[#This Row],[Performance_Deviation]] * 50 / 1000, 0)</f>
        <v>0</v>
      </c>
    </row>
    <row r="2553" spans="1:14" x14ac:dyDescent="0.3">
      <c r="A2553" s="6" t="s">
        <v>9</v>
      </c>
      <c r="B2553" s="5">
        <v>45305.291666666664</v>
      </c>
      <c r="C2553" s="6">
        <v>208.57929320229701</v>
      </c>
      <c r="D2553" s="6">
        <v>201.059246150294</v>
      </c>
      <c r="E2553" s="6">
        <v>201.059246150294</v>
      </c>
      <c r="F2553" s="6">
        <v>58.578743488326502</v>
      </c>
      <c r="G2553" s="6" t="str">
        <f t="shared" si="78"/>
        <v>OK</v>
      </c>
      <c r="H2553" s="6" t="str">
        <f t="shared" si="79"/>
        <v>NON-ZERO</v>
      </c>
      <c r="I2553">
        <v>248.466283298419</v>
      </c>
      <c r="J2553">
        <f>IFERROR(Table4[[#This Row],[energy_kwh]]/Table4[[#This Row],[expected_kwh]],0)</f>
        <v>0.80920132696158598</v>
      </c>
      <c r="K2553" t="str">
        <f>IF(Table4[[#This Row],[Performance_Ratio]] &lt; 0.85, "Underperforming", "Performing")</f>
        <v>Underperforming</v>
      </c>
      <c r="L2553">
        <f>Table4[[#This Row],[energy_kwh]] - Table4[[#This Row],[expected_kwh]]</f>
        <v>-47.407037148124999</v>
      </c>
      <c r="M2553" t="str">
        <f>IF(Table4[[#This Row],[Performance_Deviation]] &lt; 0, "Underperforming", "Outperforming")</f>
        <v>Underperforming</v>
      </c>
      <c r="N2553">
        <f>IF(Table4[[#This Row],[Performance_Ratio]] &lt; 0.85, Table4[[#This Row],[Performance_Deviation]] * 50 / 1000, 0)</f>
        <v>-2.3703518574062499</v>
      </c>
    </row>
    <row r="2554" spans="1:14" x14ac:dyDescent="0.3">
      <c r="A2554" s="4" t="s">
        <v>9</v>
      </c>
      <c r="B2554" s="3">
        <v>45305.333333333336</v>
      </c>
      <c r="C2554" s="4">
        <v>501.45206046061202</v>
      </c>
      <c r="D2554" s="4">
        <v>483.37287804948897</v>
      </c>
      <c r="E2554" s="4">
        <v>483.37287804948897</v>
      </c>
      <c r="F2554" s="4">
        <v>50.883652061433096</v>
      </c>
      <c r="G2554" s="4" t="str">
        <f t="shared" si="78"/>
        <v>OK</v>
      </c>
      <c r="H2554" s="4" t="str">
        <f t="shared" si="79"/>
        <v>NON-ZERO</v>
      </c>
      <c r="I2554">
        <v>479.99999999999898</v>
      </c>
      <c r="J2554">
        <f>IFERROR(Table4[[#This Row],[energy_kwh]]/Table4[[#This Row],[expected_kwh]],0)</f>
        <v>1.0070268292697708</v>
      </c>
      <c r="K2554" t="str">
        <f>IF(Table4[[#This Row],[Performance_Ratio]] &lt; 0.85, "Underperforming", "Performing")</f>
        <v>Performing</v>
      </c>
      <c r="L2554">
        <f>Table4[[#This Row],[energy_kwh]] - Table4[[#This Row],[expected_kwh]]</f>
        <v>3.3728780494899979</v>
      </c>
      <c r="M2554" t="str">
        <f>IF(Table4[[#This Row],[Performance_Deviation]] &lt; 0, "Underperforming", "Outperforming")</f>
        <v>Outperforming</v>
      </c>
      <c r="N2554">
        <f>IF(Table4[[#This Row],[Performance_Ratio]] &lt; 0.85, Table4[[#This Row],[Performance_Deviation]] * 50 / 1000, 0)</f>
        <v>0</v>
      </c>
    </row>
    <row r="2555" spans="1:14" x14ac:dyDescent="0.3">
      <c r="A2555" s="6" t="s">
        <v>9</v>
      </c>
      <c r="B2555" s="5">
        <v>45305.375</v>
      </c>
      <c r="C2555" s="6">
        <v>664.56399988953694</v>
      </c>
      <c r="D2555" s="6">
        <v>640.60403496919696</v>
      </c>
      <c r="E2555" s="6">
        <v>640.60403496919696</v>
      </c>
      <c r="F2555" s="6">
        <v>83.162452254603707</v>
      </c>
      <c r="G2555" s="6" t="str">
        <f t="shared" si="78"/>
        <v>OK</v>
      </c>
      <c r="H2555" s="6" t="str">
        <f t="shared" si="79"/>
        <v>NON-ZERO</v>
      </c>
      <c r="I2555">
        <v>678.82250993908497</v>
      </c>
      <c r="J2555">
        <f>IFERROR(Table4[[#This Row],[energy_kwh]]/Table4[[#This Row],[expected_kwh]],0)</f>
        <v>0.9436988691295497</v>
      </c>
      <c r="K2555" t="str">
        <f>IF(Table4[[#This Row],[Performance_Ratio]] &lt; 0.85, "Underperforming", "Performing")</f>
        <v>Performing</v>
      </c>
      <c r="L2555">
        <f>Table4[[#This Row],[energy_kwh]] - Table4[[#This Row],[expected_kwh]]</f>
        <v>-38.218474969888007</v>
      </c>
      <c r="M2555" t="str">
        <f>IF(Table4[[#This Row],[Performance_Deviation]] &lt; 0, "Underperforming", "Outperforming")</f>
        <v>Underperforming</v>
      </c>
      <c r="N2555">
        <f>IF(Table4[[#This Row],[Performance_Ratio]] &lt; 0.85, Table4[[#This Row],[Performance_Deviation]] * 50 / 1000, 0)</f>
        <v>0</v>
      </c>
    </row>
    <row r="2556" spans="1:14" x14ac:dyDescent="0.3">
      <c r="A2556" s="4" t="s">
        <v>9</v>
      </c>
      <c r="B2556" s="3">
        <v>45305.416666666664</v>
      </c>
      <c r="C2556" s="4">
        <v>723.86826652961099</v>
      </c>
      <c r="D2556" s="4">
        <v>697.77016570579201</v>
      </c>
      <c r="E2556" s="4">
        <v>697.77016570579201</v>
      </c>
      <c r="F2556" s="4">
        <v>25.754552894615401</v>
      </c>
      <c r="G2556" s="4" t="str">
        <f t="shared" si="78"/>
        <v>OK</v>
      </c>
      <c r="H2556" s="4" t="str">
        <f t="shared" si="79"/>
        <v>NON-ZERO</v>
      </c>
      <c r="I2556">
        <v>831.38438763306101</v>
      </c>
      <c r="J2556">
        <f>IFERROR(Table4[[#This Row],[energy_kwh]]/Table4[[#This Row],[expected_kwh]],0)</f>
        <v>0.83928706875568504</v>
      </c>
      <c r="K2556" t="str">
        <f>IF(Table4[[#This Row],[Performance_Ratio]] &lt; 0.85, "Underperforming", "Performing")</f>
        <v>Underperforming</v>
      </c>
      <c r="L2556">
        <f>Table4[[#This Row],[energy_kwh]] - Table4[[#This Row],[expected_kwh]]</f>
        <v>-133.614221927269</v>
      </c>
      <c r="M2556" t="str">
        <f>IF(Table4[[#This Row],[Performance_Deviation]] &lt; 0, "Underperforming", "Outperforming")</f>
        <v>Underperforming</v>
      </c>
      <c r="N2556">
        <f>IF(Table4[[#This Row],[Performance_Ratio]] &lt; 0.85, Table4[[#This Row],[Performance_Deviation]] * 50 / 1000, 0)</f>
        <v>-6.6807110963634493</v>
      </c>
    </row>
    <row r="2557" spans="1:14" x14ac:dyDescent="0.3">
      <c r="A2557" s="6" t="s">
        <v>9</v>
      </c>
      <c r="B2557" s="5">
        <v>45305.458333333336</v>
      </c>
      <c r="C2557" s="6">
        <v>918.332088262409</v>
      </c>
      <c r="D2557" s="6">
        <v>885.22285480461096</v>
      </c>
      <c r="E2557" s="6">
        <v>885.22285480461096</v>
      </c>
      <c r="F2557" s="6">
        <v>65.691699707701602</v>
      </c>
      <c r="G2557" s="6" t="str">
        <f t="shared" si="78"/>
        <v>OK</v>
      </c>
      <c r="H2557" s="6" t="str">
        <f t="shared" si="79"/>
        <v>NON-ZERO</v>
      </c>
      <c r="I2557">
        <v>927.28879323750505</v>
      </c>
      <c r="J2557">
        <f>IFERROR(Table4[[#This Row],[energy_kwh]]/Table4[[#This Row],[expected_kwh]],0)</f>
        <v>0.95463555826440383</v>
      </c>
      <c r="K2557" t="str">
        <f>IF(Table4[[#This Row],[Performance_Ratio]] &lt; 0.85, "Underperforming", "Performing")</f>
        <v>Performing</v>
      </c>
      <c r="L2557">
        <f>Table4[[#This Row],[energy_kwh]] - Table4[[#This Row],[expected_kwh]]</f>
        <v>-42.065938432894086</v>
      </c>
      <c r="M2557" t="str">
        <f>IF(Table4[[#This Row],[Performance_Deviation]] &lt; 0, "Underperforming", "Outperforming")</f>
        <v>Underperforming</v>
      </c>
      <c r="N2557">
        <f>IF(Table4[[#This Row],[Performance_Ratio]] &lt; 0.85, Table4[[#This Row],[Performance_Deviation]] * 50 / 1000, 0)</f>
        <v>0</v>
      </c>
    </row>
    <row r="2558" spans="1:14" x14ac:dyDescent="0.3">
      <c r="A2558" s="4" t="s">
        <v>9</v>
      </c>
      <c r="B2558" s="3">
        <v>45305.5</v>
      </c>
      <c r="C2558" s="4">
        <v>975.91501585071501</v>
      </c>
      <c r="D2558" s="4">
        <v>940.72970706344495</v>
      </c>
      <c r="E2558" s="4">
        <v>940.72970706344495</v>
      </c>
      <c r="F2558" s="4">
        <v>21.902861603173601</v>
      </c>
      <c r="G2558" s="4" t="str">
        <f t="shared" si="78"/>
        <v>OK</v>
      </c>
      <c r="H2558" s="4" t="str">
        <f t="shared" si="79"/>
        <v>NON-ZERO</v>
      </c>
      <c r="I2558">
        <v>960</v>
      </c>
      <c r="J2558">
        <f>IFERROR(Table4[[#This Row],[energy_kwh]]/Table4[[#This Row],[expected_kwh]],0)</f>
        <v>0.97992677819108853</v>
      </c>
      <c r="K2558" t="str">
        <f>IF(Table4[[#This Row],[Performance_Ratio]] &lt; 0.85, "Underperforming", "Performing")</f>
        <v>Performing</v>
      </c>
      <c r="L2558">
        <f>Table4[[#This Row],[energy_kwh]] - Table4[[#This Row],[expected_kwh]]</f>
        <v>-19.270292936555052</v>
      </c>
      <c r="M2558" t="str">
        <f>IF(Table4[[#This Row],[Performance_Deviation]] &lt; 0, "Underperforming", "Outperforming")</f>
        <v>Underperforming</v>
      </c>
      <c r="N2558">
        <f>IF(Table4[[#This Row],[Performance_Ratio]] &lt; 0.85, Table4[[#This Row],[Performance_Deviation]] * 50 / 1000, 0)</f>
        <v>0</v>
      </c>
    </row>
    <row r="2559" spans="1:14" x14ac:dyDescent="0.3">
      <c r="A2559" s="6" t="s">
        <v>9</v>
      </c>
      <c r="B2559" s="5">
        <v>45305.541666666664</v>
      </c>
      <c r="C2559" s="6">
        <v>816.825334418382</v>
      </c>
      <c r="D2559" s="6">
        <v>787.37579101554502</v>
      </c>
      <c r="E2559" s="6">
        <v>787.37579101554502</v>
      </c>
      <c r="F2559" s="6">
        <v>82.585530759697093</v>
      </c>
      <c r="G2559" s="6" t="str">
        <f t="shared" si="78"/>
        <v>OK</v>
      </c>
      <c r="H2559" s="6" t="str">
        <f t="shared" si="79"/>
        <v>NON-ZERO</v>
      </c>
      <c r="I2559">
        <v>927.28879323750505</v>
      </c>
      <c r="J2559">
        <f>IFERROR(Table4[[#This Row],[energy_kwh]]/Table4[[#This Row],[expected_kwh]],0)</f>
        <v>0.84911604319785594</v>
      </c>
      <c r="K2559" t="str">
        <f>IF(Table4[[#This Row],[Performance_Ratio]] &lt; 0.85, "Underperforming", "Performing")</f>
        <v>Underperforming</v>
      </c>
      <c r="L2559">
        <f>Table4[[#This Row],[energy_kwh]] - Table4[[#This Row],[expected_kwh]]</f>
        <v>-139.91300222196003</v>
      </c>
      <c r="M2559" t="str">
        <f>IF(Table4[[#This Row],[Performance_Deviation]] &lt; 0, "Underperforming", "Outperforming")</f>
        <v>Underperforming</v>
      </c>
      <c r="N2559">
        <f>IF(Table4[[#This Row],[Performance_Ratio]] &lt; 0.85, Table4[[#This Row],[Performance_Deviation]] * 50 / 1000, 0)</f>
        <v>-6.9956501110980014</v>
      </c>
    </row>
    <row r="2560" spans="1:14" x14ac:dyDescent="0.3">
      <c r="A2560" s="4" t="s">
        <v>9</v>
      </c>
      <c r="B2560" s="3">
        <v>45305.583333333336</v>
      </c>
      <c r="C2560" s="4">
        <v>889.11185487133605</v>
      </c>
      <c r="D2560" s="4">
        <v>857.05611779181095</v>
      </c>
      <c r="E2560" s="4">
        <v>857.05611779181095</v>
      </c>
      <c r="F2560" s="4">
        <v>47.863968143267897</v>
      </c>
      <c r="G2560" s="4" t="str">
        <f t="shared" si="78"/>
        <v>OK</v>
      </c>
      <c r="H2560" s="4" t="str">
        <f t="shared" si="79"/>
        <v>NON-ZERO</v>
      </c>
      <c r="I2560">
        <v>831.38438763306101</v>
      </c>
      <c r="J2560">
        <f>IFERROR(Table4[[#This Row],[energy_kwh]]/Table4[[#This Row],[expected_kwh]],0)</f>
        <v>1.0308782923285786</v>
      </c>
      <c r="K2560" t="str">
        <f>IF(Table4[[#This Row],[Performance_Ratio]] &lt; 0.85, "Underperforming", "Performing")</f>
        <v>Performing</v>
      </c>
      <c r="L2560">
        <f>Table4[[#This Row],[energy_kwh]] - Table4[[#This Row],[expected_kwh]]</f>
        <v>25.671730158749938</v>
      </c>
      <c r="M2560" t="str">
        <f>IF(Table4[[#This Row],[Performance_Deviation]] &lt; 0, "Underperforming", "Outperforming")</f>
        <v>Outperforming</v>
      </c>
      <c r="N2560">
        <f>IF(Table4[[#This Row],[Performance_Ratio]] &lt; 0.85, Table4[[#This Row],[Performance_Deviation]] * 50 / 1000, 0)</f>
        <v>0</v>
      </c>
    </row>
    <row r="2561" spans="1:14" x14ac:dyDescent="0.3">
      <c r="A2561" s="6" t="s">
        <v>9</v>
      </c>
      <c r="B2561" s="5">
        <v>45305.625</v>
      </c>
      <c r="C2561" s="6">
        <v>561.03714626216799</v>
      </c>
      <c r="D2561" s="6">
        <v>540.809703388819</v>
      </c>
      <c r="E2561" s="6">
        <v>540.809703388819</v>
      </c>
      <c r="F2561" s="6">
        <v>52.481015270159801</v>
      </c>
      <c r="G2561" s="6" t="str">
        <f t="shared" si="78"/>
        <v>OK</v>
      </c>
      <c r="H2561" s="6" t="str">
        <f t="shared" si="79"/>
        <v>NON-ZERO</v>
      </c>
      <c r="I2561">
        <v>678.82250993908497</v>
      </c>
      <c r="J2561">
        <f>IFERROR(Table4[[#This Row],[energy_kwh]]/Table4[[#This Row],[expected_kwh]],0)</f>
        <v>0.79668793457858267</v>
      </c>
      <c r="K2561" t="str">
        <f>IF(Table4[[#This Row],[Performance_Ratio]] &lt; 0.85, "Underperforming", "Performing")</f>
        <v>Underperforming</v>
      </c>
      <c r="L2561">
        <f>Table4[[#This Row],[energy_kwh]] - Table4[[#This Row],[expected_kwh]]</f>
        <v>-138.01280655026596</v>
      </c>
      <c r="M2561" t="str">
        <f>IF(Table4[[#This Row],[Performance_Deviation]] &lt; 0, "Underperforming", "Outperforming")</f>
        <v>Underperforming</v>
      </c>
      <c r="N2561">
        <f>IF(Table4[[#This Row],[Performance_Ratio]] &lt; 0.85, Table4[[#This Row],[Performance_Deviation]] * 50 / 1000, 0)</f>
        <v>-6.9006403275132984</v>
      </c>
    </row>
    <row r="2562" spans="1:14" x14ac:dyDescent="0.3">
      <c r="A2562" s="4" t="s">
        <v>9</v>
      </c>
      <c r="B2562" s="3">
        <v>45305.666666666664</v>
      </c>
      <c r="C2562" s="4">
        <v>457.65305071044099</v>
      </c>
      <c r="D2562" s="4">
        <v>441.15298293287299</v>
      </c>
      <c r="E2562" s="4">
        <v>441.15298293287299</v>
      </c>
      <c r="F2562" s="4">
        <v>44.000824193529702</v>
      </c>
      <c r="G2562" s="4" t="str">
        <f t="shared" ref="G2562:G2625" si="80">IF(D2562 &gt; C2562, "ERROR", "OK")</f>
        <v>OK</v>
      </c>
      <c r="H2562" s="4" t="str">
        <f t="shared" ref="H2562:H2625" si="81">IF(E2562=0,"ZERO","NON-ZERO")</f>
        <v>NON-ZERO</v>
      </c>
      <c r="I2562">
        <v>479.99999999999898</v>
      </c>
      <c r="J2562">
        <f>IFERROR(Table4[[#This Row],[energy_kwh]]/Table4[[#This Row],[expected_kwh]],0)</f>
        <v>0.91906871444348737</v>
      </c>
      <c r="K2562" t="str">
        <f>IF(Table4[[#This Row],[Performance_Ratio]] &lt; 0.85, "Underperforming", "Performing")</f>
        <v>Performing</v>
      </c>
      <c r="L2562">
        <f>Table4[[#This Row],[energy_kwh]] - Table4[[#This Row],[expected_kwh]]</f>
        <v>-38.847017067125989</v>
      </c>
      <c r="M2562" t="str">
        <f>IF(Table4[[#This Row],[Performance_Deviation]] &lt; 0, "Underperforming", "Outperforming")</f>
        <v>Underperforming</v>
      </c>
      <c r="N2562">
        <f>IF(Table4[[#This Row],[Performance_Ratio]] &lt; 0.85, Table4[[#This Row],[Performance_Deviation]] * 50 / 1000, 0)</f>
        <v>0</v>
      </c>
    </row>
    <row r="2563" spans="1:14" x14ac:dyDescent="0.3">
      <c r="A2563" s="6" t="s">
        <v>9</v>
      </c>
      <c r="B2563" s="5">
        <v>45305.708333333336</v>
      </c>
      <c r="C2563" s="6">
        <v>232.68698988845699</v>
      </c>
      <c r="D2563" s="6">
        <v>224.29777212150901</v>
      </c>
      <c r="E2563" s="6">
        <v>224.29777212150901</v>
      </c>
      <c r="F2563" s="6">
        <v>24.360034327012102</v>
      </c>
      <c r="G2563" s="6" t="str">
        <f t="shared" si="80"/>
        <v>OK</v>
      </c>
      <c r="H2563" s="6" t="str">
        <f t="shared" si="81"/>
        <v>NON-ZERO</v>
      </c>
      <c r="I2563">
        <v>248.46628329842</v>
      </c>
      <c r="J2563">
        <f>IFERROR(Table4[[#This Row],[energy_kwh]]/Table4[[#This Row],[expected_kwh]],0)</f>
        <v>0.902729211963607</v>
      </c>
      <c r="K2563" t="str">
        <f>IF(Table4[[#This Row],[Performance_Ratio]] &lt; 0.85, "Underperforming", "Performing")</f>
        <v>Performing</v>
      </c>
      <c r="L2563">
        <f>Table4[[#This Row],[energy_kwh]] - Table4[[#This Row],[expected_kwh]]</f>
        <v>-24.168511176910982</v>
      </c>
      <c r="M2563" t="str">
        <f>IF(Table4[[#This Row],[Performance_Deviation]] &lt; 0, "Underperforming", "Outperforming")</f>
        <v>Underperforming</v>
      </c>
      <c r="N2563">
        <f>IF(Table4[[#This Row],[Performance_Ratio]] &lt; 0.85, Table4[[#This Row],[Performance_Deviation]] * 50 / 1000, 0)</f>
        <v>0</v>
      </c>
    </row>
    <row r="2564" spans="1:14" x14ac:dyDescent="0.3">
      <c r="A2564" s="4" t="s">
        <v>9</v>
      </c>
      <c r="B2564" s="3">
        <v>45305.75</v>
      </c>
      <c r="C2564" s="7">
        <v>1.05761283463187E-13</v>
      </c>
      <c r="D2564" s="7">
        <v>1.01948202041188E-13</v>
      </c>
      <c r="E2564" s="7">
        <v>1.01948202041188E-13</v>
      </c>
      <c r="F2564" s="4">
        <v>84.406344439316896</v>
      </c>
      <c r="G2564" s="4" t="str">
        <f t="shared" si="80"/>
        <v>OK</v>
      </c>
      <c r="H2564" s="4" t="str">
        <f t="shared" si="81"/>
        <v>NON-ZERO</v>
      </c>
      <c r="I2564" s="2">
        <v>1.1756609271814501E-13</v>
      </c>
      <c r="J2564">
        <f>IFERROR(Table4[[#This Row],[energy_kwh]]/Table4[[#This Row],[expected_kwh]],0)</f>
        <v>0.86715650477217432</v>
      </c>
      <c r="K2564" t="str">
        <f>IF(Table4[[#This Row],[Performance_Ratio]] &lt; 0.85, "Underperforming", "Performing")</f>
        <v>Performing</v>
      </c>
      <c r="L2564">
        <f>Table4[[#This Row],[energy_kwh]] - Table4[[#This Row],[expected_kwh]]</f>
        <v>-1.5617890676957012E-14</v>
      </c>
      <c r="M2564" t="str">
        <f>IF(Table4[[#This Row],[Performance_Deviation]] &lt; 0, "Underperforming", "Outperforming")</f>
        <v>Underperforming</v>
      </c>
      <c r="N2564">
        <f>IF(Table4[[#This Row],[Performance_Ratio]] &lt; 0.85, Table4[[#This Row],[Performance_Deviation]] * 50 / 1000, 0)</f>
        <v>0</v>
      </c>
    </row>
    <row r="2565" spans="1:14" x14ac:dyDescent="0.3">
      <c r="A2565" s="6" t="s">
        <v>9</v>
      </c>
      <c r="B2565" s="5">
        <v>45305.791666666664</v>
      </c>
      <c r="C2565" s="6">
        <v>0</v>
      </c>
      <c r="D2565" s="6">
        <v>0</v>
      </c>
      <c r="E2565" s="6">
        <v>0</v>
      </c>
      <c r="F2565" s="6">
        <v>61.7799449512937</v>
      </c>
      <c r="G2565" s="6" t="str">
        <f t="shared" si="80"/>
        <v>OK</v>
      </c>
      <c r="H2565" s="6" t="str">
        <f t="shared" si="81"/>
        <v>ZERO</v>
      </c>
      <c r="I2565">
        <v>0</v>
      </c>
      <c r="J2565">
        <f>IFERROR(Table4[[#This Row],[energy_kwh]]/Table4[[#This Row],[expected_kwh]],0)</f>
        <v>0</v>
      </c>
      <c r="K2565" t="str">
        <f>IF(Table4[[#This Row],[Performance_Ratio]] &lt; 0.85, "Underperforming", "Performing")</f>
        <v>Underperforming</v>
      </c>
      <c r="L2565">
        <f>Table4[[#This Row],[energy_kwh]] - Table4[[#This Row],[expected_kwh]]</f>
        <v>0</v>
      </c>
      <c r="M2565" t="str">
        <f>IF(Table4[[#This Row],[Performance_Deviation]] &lt; 0, "Underperforming", "Outperforming")</f>
        <v>Outperforming</v>
      </c>
      <c r="N2565">
        <f>IF(Table4[[#This Row],[Performance_Ratio]] &lt; 0.85, Table4[[#This Row],[Performance_Deviation]] * 50 / 1000, 0)</f>
        <v>0</v>
      </c>
    </row>
    <row r="2566" spans="1:14" x14ac:dyDescent="0.3">
      <c r="A2566" s="4" t="s">
        <v>9</v>
      </c>
      <c r="B2566" s="3">
        <v>45305.833333333336</v>
      </c>
      <c r="C2566" s="4">
        <v>0</v>
      </c>
      <c r="D2566" s="4">
        <v>0</v>
      </c>
      <c r="E2566" s="4">
        <v>0</v>
      </c>
      <c r="F2566" s="4">
        <v>46.542936969264403</v>
      </c>
      <c r="G2566" s="4" t="str">
        <f t="shared" si="80"/>
        <v>OK</v>
      </c>
      <c r="H2566" s="4" t="str">
        <f t="shared" si="81"/>
        <v>ZERO</v>
      </c>
      <c r="I2566">
        <v>0</v>
      </c>
      <c r="J2566">
        <f>IFERROR(Table4[[#This Row],[energy_kwh]]/Table4[[#This Row],[expected_kwh]],0)</f>
        <v>0</v>
      </c>
      <c r="K2566" t="str">
        <f>IF(Table4[[#This Row],[Performance_Ratio]] &lt; 0.85, "Underperforming", "Performing")</f>
        <v>Underperforming</v>
      </c>
      <c r="L2566">
        <f>Table4[[#This Row],[energy_kwh]] - Table4[[#This Row],[expected_kwh]]</f>
        <v>0</v>
      </c>
      <c r="M2566" t="str">
        <f>IF(Table4[[#This Row],[Performance_Deviation]] &lt; 0, "Underperforming", "Outperforming")</f>
        <v>Outperforming</v>
      </c>
      <c r="N2566">
        <f>IF(Table4[[#This Row],[Performance_Ratio]] &lt; 0.85, Table4[[#This Row],[Performance_Deviation]] * 50 / 1000, 0)</f>
        <v>0</v>
      </c>
    </row>
    <row r="2567" spans="1:14" x14ac:dyDescent="0.3">
      <c r="A2567" s="6" t="s">
        <v>9</v>
      </c>
      <c r="B2567" s="5">
        <v>45305.875</v>
      </c>
      <c r="C2567" s="6">
        <v>0</v>
      </c>
      <c r="D2567" s="6">
        <v>0</v>
      </c>
      <c r="E2567" s="6">
        <v>0</v>
      </c>
      <c r="F2567" s="6">
        <v>31.213147964052201</v>
      </c>
      <c r="G2567" s="6" t="str">
        <f t="shared" si="80"/>
        <v>OK</v>
      </c>
      <c r="H2567" s="6" t="str">
        <f t="shared" si="81"/>
        <v>ZERO</v>
      </c>
      <c r="I2567">
        <v>0</v>
      </c>
      <c r="J2567">
        <f>IFERROR(Table4[[#This Row],[energy_kwh]]/Table4[[#This Row],[expected_kwh]],0)</f>
        <v>0</v>
      </c>
      <c r="K2567" t="str">
        <f>IF(Table4[[#This Row],[Performance_Ratio]] &lt; 0.85, "Underperforming", "Performing")</f>
        <v>Underperforming</v>
      </c>
      <c r="L2567">
        <f>Table4[[#This Row],[energy_kwh]] - Table4[[#This Row],[expected_kwh]]</f>
        <v>0</v>
      </c>
      <c r="M2567" t="str">
        <f>IF(Table4[[#This Row],[Performance_Deviation]] &lt; 0, "Underperforming", "Outperforming")</f>
        <v>Outperforming</v>
      </c>
      <c r="N2567">
        <f>IF(Table4[[#This Row],[Performance_Ratio]] &lt; 0.85, Table4[[#This Row],[Performance_Deviation]] * 50 / 1000, 0)</f>
        <v>0</v>
      </c>
    </row>
    <row r="2568" spans="1:14" x14ac:dyDescent="0.3">
      <c r="A2568" s="4" t="s">
        <v>9</v>
      </c>
      <c r="B2568" s="3">
        <v>45305.916666666664</v>
      </c>
      <c r="C2568" s="4">
        <v>0</v>
      </c>
      <c r="D2568" s="4">
        <v>0</v>
      </c>
      <c r="E2568" s="4">
        <v>0</v>
      </c>
      <c r="F2568" s="4">
        <v>90.992288223405694</v>
      </c>
      <c r="G2568" s="4" t="str">
        <f t="shared" si="80"/>
        <v>OK</v>
      </c>
      <c r="H2568" s="4" t="str">
        <f t="shared" si="81"/>
        <v>ZERO</v>
      </c>
      <c r="I2568">
        <v>0</v>
      </c>
      <c r="J2568">
        <f>IFERROR(Table4[[#This Row],[energy_kwh]]/Table4[[#This Row],[expected_kwh]],0)</f>
        <v>0</v>
      </c>
      <c r="K2568" t="str">
        <f>IF(Table4[[#This Row],[Performance_Ratio]] &lt; 0.85, "Underperforming", "Performing")</f>
        <v>Underperforming</v>
      </c>
      <c r="L2568">
        <f>Table4[[#This Row],[energy_kwh]] - Table4[[#This Row],[expected_kwh]]</f>
        <v>0</v>
      </c>
      <c r="M2568" t="str">
        <f>IF(Table4[[#This Row],[Performance_Deviation]] &lt; 0, "Underperforming", "Outperforming")</f>
        <v>Outperforming</v>
      </c>
      <c r="N2568">
        <f>IF(Table4[[#This Row],[Performance_Ratio]] &lt; 0.85, Table4[[#This Row],[Performance_Deviation]] * 50 / 1000, 0)</f>
        <v>0</v>
      </c>
    </row>
    <row r="2569" spans="1:14" x14ac:dyDescent="0.3">
      <c r="A2569" s="6" t="s">
        <v>9</v>
      </c>
      <c r="B2569" s="5">
        <v>45305.958333333336</v>
      </c>
      <c r="C2569" s="6">
        <v>0</v>
      </c>
      <c r="D2569" s="6">
        <v>0</v>
      </c>
      <c r="E2569" s="6">
        <v>0</v>
      </c>
      <c r="F2569" s="6">
        <v>75.511204527319293</v>
      </c>
      <c r="G2569" s="6" t="str">
        <f t="shared" si="80"/>
        <v>OK</v>
      </c>
      <c r="H2569" s="6" t="str">
        <f t="shared" si="81"/>
        <v>ZERO</v>
      </c>
      <c r="I2569">
        <v>0</v>
      </c>
      <c r="J2569">
        <f>IFERROR(Table4[[#This Row],[energy_kwh]]/Table4[[#This Row],[expected_kwh]],0)</f>
        <v>0</v>
      </c>
      <c r="K2569" t="str">
        <f>IF(Table4[[#This Row],[Performance_Ratio]] &lt; 0.85, "Underperforming", "Performing")</f>
        <v>Underperforming</v>
      </c>
      <c r="L2569">
        <f>Table4[[#This Row],[energy_kwh]] - Table4[[#This Row],[expected_kwh]]</f>
        <v>0</v>
      </c>
      <c r="M2569" t="str">
        <f>IF(Table4[[#This Row],[Performance_Deviation]] &lt; 0, "Underperforming", "Outperforming")</f>
        <v>Outperforming</v>
      </c>
      <c r="N2569">
        <f>IF(Table4[[#This Row],[Performance_Ratio]] &lt; 0.85, Table4[[#This Row],[Performance_Deviation]] * 50 / 1000, 0)</f>
        <v>0</v>
      </c>
    </row>
    <row r="2570" spans="1:14" x14ac:dyDescent="0.3">
      <c r="A2570" s="4" t="s">
        <v>9</v>
      </c>
      <c r="B2570" s="3">
        <v>45306</v>
      </c>
      <c r="C2570" s="4">
        <v>0</v>
      </c>
      <c r="D2570" s="4">
        <v>0</v>
      </c>
      <c r="E2570" s="4">
        <v>0</v>
      </c>
      <c r="F2570" s="4">
        <v>62.700140133207</v>
      </c>
      <c r="G2570" s="4" t="str">
        <f t="shared" si="80"/>
        <v>OK</v>
      </c>
      <c r="H2570" s="4" t="str">
        <f t="shared" si="81"/>
        <v>ZERO</v>
      </c>
      <c r="I2570">
        <v>0</v>
      </c>
      <c r="J2570">
        <f>IFERROR(Table4[[#This Row],[energy_kwh]]/Table4[[#This Row],[expected_kwh]],0)</f>
        <v>0</v>
      </c>
      <c r="K2570" t="str">
        <f>IF(Table4[[#This Row],[Performance_Ratio]] &lt; 0.85, "Underperforming", "Performing")</f>
        <v>Underperforming</v>
      </c>
      <c r="L2570">
        <f>Table4[[#This Row],[energy_kwh]] - Table4[[#This Row],[expected_kwh]]</f>
        <v>0</v>
      </c>
      <c r="M2570" t="str">
        <f>IF(Table4[[#This Row],[Performance_Deviation]] &lt; 0, "Underperforming", "Outperforming")</f>
        <v>Outperforming</v>
      </c>
      <c r="N2570">
        <f>IF(Table4[[#This Row],[Performance_Ratio]] &lt; 0.85, Table4[[#This Row],[Performance_Deviation]] * 50 / 1000, 0)</f>
        <v>0</v>
      </c>
    </row>
    <row r="2571" spans="1:14" x14ac:dyDescent="0.3">
      <c r="A2571" s="6" t="s">
        <v>9</v>
      </c>
      <c r="B2571" s="5">
        <v>45306.041666666664</v>
      </c>
      <c r="C2571" s="6">
        <v>0</v>
      </c>
      <c r="D2571" s="6">
        <v>0</v>
      </c>
      <c r="E2571" s="6">
        <v>0</v>
      </c>
      <c r="F2571" s="6">
        <v>85.902318786955604</v>
      </c>
      <c r="G2571" s="6" t="str">
        <f t="shared" si="80"/>
        <v>OK</v>
      </c>
      <c r="H2571" s="6" t="str">
        <f t="shared" si="81"/>
        <v>ZERO</v>
      </c>
      <c r="I2571">
        <v>0</v>
      </c>
      <c r="J2571">
        <f>IFERROR(Table4[[#This Row],[energy_kwh]]/Table4[[#This Row],[expected_kwh]],0)</f>
        <v>0</v>
      </c>
      <c r="K2571" t="str">
        <f>IF(Table4[[#This Row],[Performance_Ratio]] &lt; 0.85, "Underperforming", "Performing")</f>
        <v>Underperforming</v>
      </c>
      <c r="L2571">
        <f>Table4[[#This Row],[energy_kwh]] - Table4[[#This Row],[expected_kwh]]</f>
        <v>0</v>
      </c>
      <c r="M2571" t="str">
        <f>IF(Table4[[#This Row],[Performance_Deviation]] &lt; 0, "Underperforming", "Outperforming")</f>
        <v>Outperforming</v>
      </c>
      <c r="N2571">
        <f>IF(Table4[[#This Row],[Performance_Ratio]] &lt; 0.85, Table4[[#This Row],[Performance_Deviation]] * 50 / 1000, 0)</f>
        <v>0</v>
      </c>
    </row>
    <row r="2572" spans="1:14" x14ac:dyDescent="0.3">
      <c r="A2572" s="4" t="s">
        <v>9</v>
      </c>
      <c r="B2572" s="3">
        <v>45306.083333333336</v>
      </c>
      <c r="C2572" s="4">
        <v>0</v>
      </c>
      <c r="D2572" s="4">
        <v>0</v>
      </c>
      <c r="E2572" s="4">
        <v>0</v>
      </c>
      <c r="F2572" s="4">
        <v>23.226047328504102</v>
      </c>
      <c r="G2572" s="4" t="str">
        <f t="shared" si="80"/>
        <v>OK</v>
      </c>
      <c r="H2572" s="4" t="str">
        <f t="shared" si="81"/>
        <v>ZERO</v>
      </c>
      <c r="I2572">
        <v>0</v>
      </c>
      <c r="J2572">
        <f>IFERROR(Table4[[#This Row],[energy_kwh]]/Table4[[#This Row],[expected_kwh]],0)</f>
        <v>0</v>
      </c>
      <c r="K2572" t="str">
        <f>IF(Table4[[#This Row],[Performance_Ratio]] &lt; 0.85, "Underperforming", "Performing")</f>
        <v>Underperforming</v>
      </c>
      <c r="L2572">
        <f>Table4[[#This Row],[energy_kwh]] - Table4[[#This Row],[expected_kwh]]</f>
        <v>0</v>
      </c>
      <c r="M2572" t="str">
        <f>IF(Table4[[#This Row],[Performance_Deviation]] &lt; 0, "Underperforming", "Outperforming")</f>
        <v>Outperforming</v>
      </c>
      <c r="N2572">
        <f>IF(Table4[[#This Row],[Performance_Ratio]] &lt; 0.85, Table4[[#This Row],[Performance_Deviation]] * 50 / 1000, 0)</f>
        <v>0</v>
      </c>
    </row>
    <row r="2573" spans="1:14" x14ac:dyDescent="0.3">
      <c r="A2573" s="6" t="s">
        <v>9</v>
      </c>
      <c r="B2573" s="5">
        <v>45306.125</v>
      </c>
      <c r="C2573" s="6">
        <v>0</v>
      </c>
      <c r="D2573" s="6">
        <v>0</v>
      </c>
      <c r="E2573" s="6">
        <v>0</v>
      </c>
      <c r="F2573" s="6">
        <v>69.539931157736405</v>
      </c>
      <c r="G2573" s="6" t="str">
        <f t="shared" si="80"/>
        <v>OK</v>
      </c>
      <c r="H2573" s="6" t="str">
        <f t="shared" si="81"/>
        <v>ZERO</v>
      </c>
      <c r="I2573">
        <v>0</v>
      </c>
      <c r="J2573">
        <f>IFERROR(Table4[[#This Row],[energy_kwh]]/Table4[[#This Row],[expected_kwh]],0)</f>
        <v>0</v>
      </c>
      <c r="K2573" t="str">
        <f>IF(Table4[[#This Row],[Performance_Ratio]] &lt; 0.85, "Underperforming", "Performing")</f>
        <v>Underperforming</v>
      </c>
      <c r="L2573">
        <f>Table4[[#This Row],[energy_kwh]] - Table4[[#This Row],[expected_kwh]]</f>
        <v>0</v>
      </c>
      <c r="M2573" t="str">
        <f>IF(Table4[[#This Row],[Performance_Deviation]] &lt; 0, "Underperforming", "Outperforming")</f>
        <v>Outperforming</v>
      </c>
      <c r="N2573">
        <f>IF(Table4[[#This Row],[Performance_Ratio]] &lt; 0.85, Table4[[#This Row],[Performance_Deviation]] * 50 / 1000, 0)</f>
        <v>0</v>
      </c>
    </row>
    <row r="2574" spans="1:14" x14ac:dyDescent="0.3">
      <c r="A2574" s="4" t="s">
        <v>9</v>
      </c>
      <c r="B2574" s="3">
        <v>45306.166666666664</v>
      </c>
      <c r="C2574" s="4">
        <v>0</v>
      </c>
      <c r="D2574" s="4">
        <v>0</v>
      </c>
      <c r="E2574" s="4">
        <v>0</v>
      </c>
      <c r="F2574" s="4">
        <v>46.958376963667902</v>
      </c>
      <c r="G2574" s="4" t="str">
        <f t="shared" si="80"/>
        <v>OK</v>
      </c>
      <c r="H2574" s="4" t="str">
        <f t="shared" si="81"/>
        <v>ZERO</v>
      </c>
      <c r="I2574">
        <v>0</v>
      </c>
      <c r="J2574">
        <f>IFERROR(Table4[[#This Row],[energy_kwh]]/Table4[[#This Row],[expected_kwh]],0)</f>
        <v>0</v>
      </c>
      <c r="K2574" t="str">
        <f>IF(Table4[[#This Row],[Performance_Ratio]] &lt; 0.85, "Underperforming", "Performing")</f>
        <v>Underperforming</v>
      </c>
      <c r="L2574">
        <f>Table4[[#This Row],[energy_kwh]] - Table4[[#This Row],[expected_kwh]]</f>
        <v>0</v>
      </c>
      <c r="M2574" t="str">
        <f>IF(Table4[[#This Row],[Performance_Deviation]] &lt; 0, "Underperforming", "Outperforming")</f>
        <v>Outperforming</v>
      </c>
      <c r="N2574">
        <f>IF(Table4[[#This Row],[Performance_Ratio]] &lt; 0.85, Table4[[#This Row],[Performance_Deviation]] * 50 / 1000, 0)</f>
        <v>0</v>
      </c>
    </row>
    <row r="2575" spans="1:14" x14ac:dyDescent="0.3">
      <c r="A2575" s="6" t="s">
        <v>9</v>
      </c>
      <c r="B2575" s="5">
        <v>45306.208333333336</v>
      </c>
      <c r="C2575" s="6">
        <v>0</v>
      </c>
      <c r="D2575" s="6">
        <v>0</v>
      </c>
      <c r="E2575" s="6">
        <v>0</v>
      </c>
      <c r="F2575" s="6">
        <v>39.288285201831997</v>
      </c>
      <c r="G2575" s="6" t="str">
        <f t="shared" si="80"/>
        <v>OK</v>
      </c>
      <c r="H2575" s="6" t="str">
        <f t="shared" si="81"/>
        <v>ZERO</v>
      </c>
      <c r="I2575">
        <v>0</v>
      </c>
      <c r="J2575">
        <f>IFERROR(Table4[[#This Row],[energy_kwh]]/Table4[[#This Row],[expected_kwh]],0)</f>
        <v>0</v>
      </c>
      <c r="K2575" t="str">
        <f>IF(Table4[[#This Row],[Performance_Ratio]] &lt; 0.85, "Underperforming", "Performing")</f>
        <v>Underperforming</v>
      </c>
      <c r="L2575">
        <f>Table4[[#This Row],[energy_kwh]] - Table4[[#This Row],[expected_kwh]]</f>
        <v>0</v>
      </c>
      <c r="M2575" t="str">
        <f>IF(Table4[[#This Row],[Performance_Deviation]] &lt; 0, "Underperforming", "Outperforming")</f>
        <v>Outperforming</v>
      </c>
      <c r="N2575">
        <f>IF(Table4[[#This Row],[Performance_Ratio]] &lt; 0.85, Table4[[#This Row],[Performance_Deviation]] * 50 / 1000, 0)</f>
        <v>0</v>
      </c>
    </row>
    <row r="2576" spans="1:14" x14ac:dyDescent="0.3">
      <c r="A2576" s="4" t="s">
        <v>9</v>
      </c>
      <c r="B2576" s="3">
        <v>45306.25</v>
      </c>
      <c r="C2576" s="4">
        <v>0</v>
      </c>
      <c r="D2576" s="4">
        <v>0</v>
      </c>
      <c r="E2576" s="4">
        <v>0</v>
      </c>
      <c r="F2576" s="4">
        <v>43.608921778771801</v>
      </c>
      <c r="G2576" s="4" t="str">
        <f t="shared" si="80"/>
        <v>OK</v>
      </c>
      <c r="H2576" s="4" t="str">
        <f t="shared" si="81"/>
        <v>ZERO</v>
      </c>
      <c r="I2576">
        <v>0</v>
      </c>
      <c r="J2576">
        <f>IFERROR(Table4[[#This Row],[energy_kwh]]/Table4[[#This Row],[expected_kwh]],0)</f>
        <v>0</v>
      </c>
      <c r="K2576" t="str">
        <f>IF(Table4[[#This Row],[Performance_Ratio]] &lt; 0.85, "Underperforming", "Performing")</f>
        <v>Underperforming</v>
      </c>
      <c r="L2576">
        <f>Table4[[#This Row],[energy_kwh]] - Table4[[#This Row],[expected_kwh]]</f>
        <v>0</v>
      </c>
      <c r="M2576" t="str">
        <f>IF(Table4[[#This Row],[Performance_Deviation]] &lt; 0, "Underperforming", "Outperforming")</f>
        <v>Outperforming</v>
      </c>
      <c r="N2576">
        <f>IF(Table4[[#This Row],[Performance_Ratio]] &lt; 0.85, Table4[[#This Row],[Performance_Deviation]] * 50 / 1000, 0)</f>
        <v>0</v>
      </c>
    </row>
    <row r="2577" spans="1:14" x14ac:dyDescent="0.3">
      <c r="A2577" s="6" t="s">
        <v>9</v>
      </c>
      <c r="B2577" s="5">
        <v>45306.291666666664</v>
      </c>
      <c r="C2577" s="6">
        <v>279.07164315775299</v>
      </c>
      <c r="D2577" s="6">
        <v>269.01008884329502</v>
      </c>
      <c r="E2577" s="6">
        <v>269.01008884329502</v>
      </c>
      <c r="F2577" s="6">
        <v>68.1117776798215</v>
      </c>
      <c r="G2577" s="6" t="str">
        <f t="shared" si="80"/>
        <v>OK</v>
      </c>
      <c r="H2577" s="6" t="str">
        <f t="shared" si="81"/>
        <v>NON-ZERO</v>
      </c>
      <c r="I2577">
        <v>248.466283298419</v>
      </c>
      <c r="J2577">
        <f>IFERROR(Table4[[#This Row],[energy_kwh]]/Table4[[#This Row],[expected_kwh]],0)</f>
        <v>1.0826824681085683</v>
      </c>
      <c r="K2577" t="str">
        <f>IF(Table4[[#This Row],[Performance_Ratio]] &lt; 0.85, "Underperforming", "Performing")</f>
        <v>Performing</v>
      </c>
      <c r="L2577">
        <f>Table4[[#This Row],[energy_kwh]] - Table4[[#This Row],[expected_kwh]]</f>
        <v>20.543805544876022</v>
      </c>
      <c r="M2577" t="str">
        <f>IF(Table4[[#This Row],[Performance_Deviation]] &lt; 0, "Underperforming", "Outperforming")</f>
        <v>Outperforming</v>
      </c>
      <c r="N2577">
        <f>IF(Table4[[#This Row],[Performance_Ratio]] &lt; 0.85, Table4[[#This Row],[Performance_Deviation]] * 50 / 1000, 0)</f>
        <v>0</v>
      </c>
    </row>
    <row r="2578" spans="1:14" x14ac:dyDescent="0.3">
      <c r="A2578" s="4" t="s">
        <v>9</v>
      </c>
      <c r="B2578" s="3">
        <v>45306.333333333336</v>
      </c>
      <c r="C2578" s="4">
        <v>468.195768224527</v>
      </c>
      <c r="D2578" s="4">
        <v>451.31559688756602</v>
      </c>
      <c r="E2578" s="4">
        <v>451.31559688756602</v>
      </c>
      <c r="F2578" s="4">
        <v>70.681007026038202</v>
      </c>
      <c r="G2578" s="4" t="str">
        <f t="shared" si="80"/>
        <v>OK</v>
      </c>
      <c r="H2578" s="4" t="str">
        <f t="shared" si="81"/>
        <v>NON-ZERO</v>
      </c>
      <c r="I2578">
        <v>479.99999999999898</v>
      </c>
      <c r="J2578">
        <f>IFERROR(Table4[[#This Row],[energy_kwh]]/Table4[[#This Row],[expected_kwh]],0)</f>
        <v>0.94024082684909782</v>
      </c>
      <c r="K2578" t="str">
        <f>IF(Table4[[#This Row],[Performance_Ratio]] &lt; 0.85, "Underperforming", "Performing")</f>
        <v>Performing</v>
      </c>
      <c r="L2578">
        <f>Table4[[#This Row],[energy_kwh]] - Table4[[#This Row],[expected_kwh]]</f>
        <v>-28.68440311243296</v>
      </c>
      <c r="M2578" t="str">
        <f>IF(Table4[[#This Row],[Performance_Deviation]] &lt; 0, "Underperforming", "Outperforming")</f>
        <v>Underperforming</v>
      </c>
      <c r="N2578">
        <f>IF(Table4[[#This Row],[Performance_Ratio]] &lt; 0.85, Table4[[#This Row],[Performance_Deviation]] * 50 / 1000, 0)</f>
        <v>0</v>
      </c>
    </row>
    <row r="2579" spans="1:14" x14ac:dyDescent="0.3">
      <c r="A2579" s="6" t="s">
        <v>9</v>
      </c>
      <c r="B2579" s="5">
        <v>45306.375</v>
      </c>
      <c r="C2579" s="6">
        <v>681.80644948056704</v>
      </c>
      <c r="D2579" s="6">
        <v>657.22483113420503</v>
      </c>
      <c r="E2579" s="6">
        <v>657.22483113420503</v>
      </c>
      <c r="F2579" s="6">
        <v>85.623279396808798</v>
      </c>
      <c r="G2579" s="6" t="str">
        <f t="shared" si="80"/>
        <v>OK</v>
      </c>
      <c r="H2579" s="6" t="str">
        <f t="shared" si="81"/>
        <v>NON-ZERO</v>
      </c>
      <c r="I2579">
        <v>678.82250993908497</v>
      </c>
      <c r="J2579">
        <f>IFERROR(Table4[[#This Row],[energy_kwh]]/Table4[[#This Row],[expected_kwh]],0)</f>
        <v>0.96818361428995925</v>
      </c>
      <c r="K2579" t="str">
        <f>IF(Table4[[#This Row],[Performance_Ratio]] &lt; 0.85, "Underperforming", "Performing")</f>
        <v>Performing</v>
      </c>
      <c r="L2579">
        <f>Table4[[#This Row],[energy_kwh]] - Table4[[#This Row],[expected_kwh]]</f>
        <v>-21.597678804879934</v>
      </c>
      <c r="M2579" t="str">
        <f>IF(Table4[[#This Row],[Performance_Deviation]] &lt; 0, "Underperforming", "Outperforming")</f>
        <v>Underperforming</v>
      </c>
      <c r="N2579">
        <f>IF(Table4[[#This Row],[Performance_Ratio]] &lt; 0.85, Table4[[#This Row],[Performance_Deviation]] * 50 / 1000, 0)</f>
        <v>0</v>
      </c>
    </row>
    <row r="2580" spans="1:14" x14ac:dyDescent="0.3">
      <c r="A2580" s="4" t="s">
        <v>9</v>
      </c>
      <c r="B2580" s="3">
        <v>45306.416666666664</v>
      </c>
      <c r="C2580" s="4">
        <v>802.82367408088999</v>
      </c>
      <c r="D2580" s="4">
        <v>773.87894178814702</v>
      </c>
      <c r="E2580" s="4">
        <v>773.87894178814702</v>
      </c>
      <c r="F2580" s="4">
        <v>91.476213203033197</v>
      </c>
      <c r="G2580" s="4" t="str">
        <f t="shared" si="80"/>
        <v>OK</v>
      </c>
      <c r="H2580" s="4" t="str">
        <f t="shared" si="81"/>
        <v>NON-ZERO</v>
      </c>
      <c r="I2580">
        <v>831.38438763306101</v>
      </c>
      <c r="J2580">
        <f>IFERROR(Table4[[#This Row],[energy_kwh]]/Table4[[#This Row],[expected_kwh]],0)</f>
        <v>0.93083169866993631</v>
      </c>
      <c r="K2580" t="str">
        <f>IF(Table4[[#This Row],[Performance_Ratio]] &lt; 0.85, "Underperforming", "Performing")</f>
        <v>Performing</v>
      </c>
      <c r="L2580">
        <f>Table4[[#This Row],[energy_kwh]] - Table4[[#This Row],[expected_kwh]]</f>
        <v>-57.505445844913993</v>
      </c>
      <c r="M2580" t="str">
        <f>IF(Table4[[#This Row],[Performance_Deviation]] &lt; 0, "Underperforming", "Outperforming")</f>
        <v>Underperforming</v>
      </c>
      <c r="N2580">
        <f>IF(Table4[[#This Row],[Performance_Ratio]] &lt; 0.85, Table4[[#This Row],[Performance_Deviation]] * 50 / 1000, 0)</f>
        <v>0</v>
      </c>
    </row>
    <row r="2581" spans="1:14" x14ac:dyDescent="0.3">
      <c r="A2581" s="6" t="s">
        <v>9</v>
      </c>
      <c r="B2581" s="5">
        <v>45306.458333333336</v>
      </c>
      <c r="C2581" s="6">
        <v>917.03015385313097</v>
      </c>
      <c r="D2581" s="6">
        <v>883.96785989669104</v>
      </c>
      <c r="E2581" s="6">
        <v>883.96785989669104</v>
      </c>
      <c r="F2581" s="6">
        <v>88.015462386428894</v>
      </c>
      <c r="G2581" s="6" t="str">
        <f t="shared" si="80"/>
        <v>OK</v>
      </c>
      <c r="H2581" s="6" t="str">
        <f t="shared" si="81"/>
        <v>NON-ZERO</v>
      </c>
      <c r="I2581">
        <v>927.28879323750505</v>
      </c>
      <c r="J2581">
        <f>IFERROR(Table4[[#This Row],[energy_kwh]]/Table4[[#This Row],[expected_kwh]],0)</f>
        <v>0.95328215583241904</v>
      </c>
      <c r="K2581" t="str">
        <f>IF(Table4[[#This Row],[Performance_Ratio]] &lt; 0.85, "Underperforming", "Performing")</f>
        <v>Performing</v>
      </c>
      <c r="L2581">
        <f>Table4[[#This Row],[energy_kwh]] - Table4[[#This Row],[expected_kwh]]</f>
        <v>-43.320933340814008</v>
      </c>
      <c r="M2581" t="str">
        <f>IF(Table4[[#This Row],[Performance_Deviation]] &lt; 0, "Underperforming", "Outperforming")</f>
        <v>Underperforming</v>
      </c>
      <c r="N2581">
        <f>IF(Table4[[#This Row],[Performance_Ratio]] &lt; 0.85, Table4[[#This Row],[Performance_Deviation]] * 50 / 1000, 0)</f>
        <v>0</v>
      </c>
    </row>
    <row r="2582" spans="1:14" x14ac:dyDescent="0.3">
      <c r="A2582" s="4" t="s">
        <v>9</v>
      </c>
      <c r="B2582" s="3">
        <v>45306.5</v>
      </c>
      <c r="C2582" s="4">
        <v>715.593968703369</v>
      </c>
      <c r="D2582" s="4">
        <v>689.79418660534702</v>
      </c>
      <c r="E2582" s="4">
        <v>689.79418660534702</v>
      </c>
      <c r="F2582" s="4">
        <v>55.1874536425549</v>
      </c>
      <c r="G2582" s="4" t="str">
        <f t="shared" si="80"/>
        <v>OK</v>
      </c>
      <c r="H2582" s="4" t="str">
        <f t="shared" si="81"/>
        <v>NON-ZERO</v>
      </c>
      <c r="I2582">
        <v>960</v>
      </c>
      <c r="J2582">
        <f>IFERROR(Table4[[#This Row],[energy_kwh]]/Table4[[#This Row],[expected_kwh]],0)</f>
        <v>0.71853561104723651</v>
      </c>
      <c r="K2582" t="str">
        <f>IF(Table4[[#This Row],[Performance_Ratio]] &lt; 0.85, "Underperforming", "Performing")</f>
        <v>Underperforming</v>
      </c>
      <c r="L2582">
        <f>Table4[[#This Row],[energy_kwh]] - Table4[[#This Row],[expected_kwh]]</f>
        <v>-270.20581339465298</v>
      </c>
      <c r="M2582" t="str">
        <f>IF(Table4[[#This Row],[Performance_Deviation]] &lt; 0, "Underperforming", "Outperforming")</f>
        <v>Underperforming</v>
      </c>
      <c r="N2582">
        <f>IF(Table4[[#This Row],[Performance_Ratio]] &lt; 0.85, Table4[[#This Row],[Performance_Deviation]] * 50 / 1000, 0)</f>
        <v>-13.510290669732649</v>
      </c>
    </row>
    <row r="2583" spans="1:14" x14ac:dyDescent="0.3">
      <c r="A2583" s="6" t="s">
        <v>9</v>
      </c>
      <c r="B2583" s="5">
        <v>45306.541666666664</v>
      </c>
      <c r="C2583" s="6">
        <v>806.67438337943895</v>
      </c>
      <c r="D2583" s="6">
        <v>777.59081892045299</v>
      </c>
      <c r="E2583" s="6">
        <v>777.59081892045299</v>
      </c>
      <c r="F2583" s="6">
        <v>40.468787024327803</v>
      </c>
      <c r="G2583" s="6" t="str">
        <f t="shared" si="80"/>
        <v>OK</v>
      </c>
      <c r="H2583" s="6" t="str">
        <f t="shared" si="81"/>
        <v>NON-ZERO</v>
      </c>
      <c r="I2583">
        <v>927.28879323750505</v>
      </c>
      <c r="J2583">
        <f>IFERROR(Table4[[#This Row],[energy_kwh]]/Table4[[#This Row],[expected_kwh]],0)</f>
        <v>0.83856380513949536</v>
      </c>
      <c r="K2583" t="str">
        <f>IF(Table4[[#This Row],[Performance_Ratio]] &lt; 0.85, "Underperforming", "Performing")</f>
        <v>Underperforming</v>
      </c>
      <c r="L2583">
        <f>Table4[[#This Row],[energy_kwh]] - Table4[[#This Row],[expected_kwh]]</f>
        <v>-149.69797431705206</v>
      </c>
      <c r="M2583" t="str">
        <f>IF(Table4[[#This Row],[Performance_Deviation]] &lt; 0, "Underperforming", "Outperforming")</f>
        <v>Underperforming</v>
      </c>
      <c r="N2583">
        <f>IF(Table4[[#This Row],[Performance_Ratio]] &lt; 0.85, Table4[[#This Row],[Performance_Deviation]] * 50 / 1000, 0)</f>
        <v>-7.4848987158526032</v>
      </c>
    </row>
    <row r="2584" spans="1:14" x14ac:dyDescent="0.3">
      <c r="A2584" s="4" t="s">
        <v>9</v>
      </c>
      <c r="B2584" s="3">
        <v>45306.583333333336</v>
      </c>
      <c r="C2584" s="4">
        <v>839.18349861462104</v>
      </c>
      <c r="D2584" s="4">
        <v>808.92786154749501</v>
      </c>
      <c r="E2584" s="4">
        <v>808.92786154749501</v>
      </c>
      <c r="F2584" s="4">
        <v>39.097014998967097</v>
      </c>
      <c r="G2584" s="4" t="str">
        <f t="shared" si="80"/>
        <v>OK</v>
      </c>
      <c r="H2584" s="4" t="str">
        <f t="shared" si="81"/>
        <v>NON-ZERO</v>
      </c>
      <c r="I2584">
        <v>831.38438763306101</v>
      </c>
      <c r="J2584">
        <f>IFERROR(Table4[[#This Row],[energy_kwh]]/Table4[[#This Row],[expected_kwh]],0)</f>
        <v>0.97298899712382214</v>
      </c>
      <c r="K2584" t="str">
        <f>IF(Table4[[#This Row],[Performance_Ratio]] &lt; 0.85, "Underperforming", "Performing")</f>
        <v>Performing</v>
      </c>
      <c r="L2584">
        <f>Table4[[#This Row],[energy_kwh]] - Table4[[#This Row],[expected_kwh]]</f>
        <v>-22.456526085565997</v>
      </c>
      <c r="M2584" t="str">
        <f>IF(Table4[[#This Row],[Performance_Deviation]] &lt; 0, "Underperforming", "Outperforming")</f>
        <v>Underperforming</v>
      </c>
      <c r="N2584">
        <f>IF(Table4[[#This Row],[Performance_Ratio]] &lt; 0.85, Table4[[#This Row],[Performance_Deviation]] * 50 / 1000, 0)</f>
        <v>0</v>
      </c>
    </row>
    <row r="2585" spans="1:14" x14ac:dyDescent="0.3">
      <c r="A2585" s="6" t="s">
        <v>9</v>
      </c>
      <c r="B2585" s="5">
        <v>45306.625</v>
      </c>
      <c r="C2585" s="6">
        <v>675.68477910905699</v>
      </c>
      <c r="D2585" s="6">
        <v>651.32386938877096</v>
      </c>
      <c r="E2585" s="6">
        <v>651.32386938877096</v>
      </c>
      <c r="F2585" s="6">
        <v>63.0821362252358</v>
      </c>
      <c r="G2585" s="6" t="str">
        <f t="shared" si="80"/>
        <v>OK</v>
      </c>
      <c r="H2585" s="6" t="str">
        <f t="shared" si="81"/>
        <v>NON-ZERO</v>
      </c>
      <c r="I2585">
        <v>678.82250993908497</v>
      </c>
      <c r="J2585">
        <f>IFERROR(Table4[[#This Row],[energy_kwh]]/Table4[[#This Row],[expected_kwh]],0)</f>
        <v>0.95949067665304499</v>
      </c>
      <c r="K2585" t="str">
        <f>IF(Table4[[#This Row],[Performance_Ratio]] &lt; 0.85, "Underperforming", "Performing")</f>
        <v>Performing</v>
      </c>
      <c r="L2585">
        <f>Table4[[#This Row],[energy_kwh]] - Table4[[#This Row],[expected_kwh]]</f>
        <v>-27.498640550314008</v>
      </c>
      <c r="M2585" t="str">
        <f>IF(Table4[[#This Row],[Performance_Deviation]] &lt; 0, "Underperforming", "Outperforming")</f>
        <v>Underperforming</v>
      </c>
      <c r="N2585">
        <f>IF(Table4[[#This Row],[Performance_Ratio]] &lt; 0.85, Table4[[#This Row],[Performance_Deviation]] * 50 / 1000, 0)</f>
        <v>0</v>
      </c>
    </row>
    <row r="2586" spans="1:14" x14ac:dyDescent="0.3">
      <c r="A2586" s="4" t="s">
        <v>9</v>
      </c>
      <c r="B2586" s="3">
        <v>45306.666666666664</v>
      </c>
      <c r="C2586" s="4">
        <v>471.88436550878299</v>
      </c>
      <c r="D2586" s="4">
        <v>454.87120673712701</v>
      </c>
      <c r="E2586" s="4">
        <v>454.87120673712701</v>
      </c>
      <c r="F2586" s="4">
        <v>73.4771151716822</v>
      </c>
      <c r="G2586" s="4" t="str">
        <f t="shared" si="80"/>
        <v>OK</v>
      </c>
      <c r="H2586" s="4" t="str">
        <f t="shared" si="81"/>
        <v>NON-ZERO</v>
      </c>
      <c r="I2586">
        <v>479.99999999999898</v>
      </c>
      <c r="J2586">
        <f>IFERROR(Table4[[#This Row],[energy_kwh]]/Table4[[#This Row],[expected_kwh]],0)</f>
        <v>0.9476483473690166</v>
      </c>
      <c r="K2586" t="str">
        <f>IF(Table4[[#This Row],[Performance_Ratio]] &lt; 0.85, "Underperforming", "Performing")</f>
        <v>Performing</v>
      </c>
      <c r="L2586">
        <f>Table4[[#This Row],[energy_kwh]] - Table4[[#This Row],[expected_kwh]]</f>
        <v>-25.128793262871966</v>
      </c>
      <c r="M2586" t="str">
        <f>IF(Table4[[#This Row],[Performance_Deviation]] &lt; 0, "Underperforming", "Outperforming")</f>
        <v>Underperforming</v>
      </c>
      <c r="N2586">
        <f>IF(Table4[[#This Row],[Performance_Ratio]] &lt; 0.85, Table4[[#This Row],[Performance_Deviation]] * 50 / 1000, 0)</f>
        <v>0</v>
      </c>
    </row>
    <row r="2587" spans="1:14" x14ac:dyDescent="0.3">
      <c r="A2587" s="6" t="s">
        <v>9</v>
      </c>
      <c r="B2587" s="5">
        <v>45306.708333333336</v>
      </c>
      <c r="C2587" s="6">
        <v>239.83406231786699</v>
      </c>
      <c r="D2587" s="6">
        <v>231.187166427036</v>
      </c>
      <c r="E2587" s="6">
        <v>231.187166427036</v>
      </c>
      <c r="F2587" s="6">
        <v>50.474227388418399</v>
      </c>
      <c r="G2587" s="6" t="str">
        <f t="shared" si="80"/>
        <v>OK</v>
      </c>
      <c r="H2587" s="6" t="str">
        <f t="shared" si="81"/>
        <v>NON-ZERO</v>
      </c>
      <c r="I2587">
        <v>248.46628329842</v>
      </c>
      <c r="J2587">
        <f>IFERROR(Table4[[#This Row],[energy_kwh]]/Table4[[#This Row],[expected_kwh]],0)</f>
        <v>0.93045689482692939</v>
      </c>
      <c r="K2587" t="str">
        <f>IF(Table4[[#This Row],[Performance_Ratio]] &lt; 0.85, "Underperforming", "Performing")</f>
        <v>Performing</v>
      </c>
      <c r="L2587">
        <f>Table4[[#This Row],[energy_kwh]] - Table4[[#This Row],[expected_kwh]]</f>
        <v>-17.279116871383991</v>
      </c>
      <c r="M2587" t="str">
        <f>IF(Table4[[#This Row],[Performance_Deviation]] &lt; 0, "Underperforming", "Outperforming")</f>
        <v>Underperforming</v>
      </c>
      <c r="N2587">
        <f>IF(Table4[[#This Row],[Performance_Ratio]] &lt; 0.85, Table4[[#This Row],[Performance_Deviation]] * 50 / 1000, 0)</f>
        <v>0</v>
      </c>
    </row>
    <row r="2588" spans="1:14" x14ac:dyDescent="0.3">
      <c r="A2588" s="4" t="s">
        <v>9</v>
      </c>
      <c r="B2588" s="3">
        <v>45306.75</v>
      </c>
      <c r="C2588" s="7">
        <v>1.1474477080291001E-13</v>
      </c>
      <c r="D2588" s="7">
        <v>1.10607801777072E-13</v>
      </c>
      <c r="E2588" s="7">
        <v>1.10607801777072E-13</v>
      </c>
      <c r="F2588" s="4">
        <v>45.977262733137003</v>
      </c>
      <c r="G2588" s="4" t="str">
        <f t="shared" si="80"/>
        <v>OK</v>
      </c>
      <c r="H2588" s="4" t="str">
        <f t="shared" si="81"/>
        <v>NON-ZERO</v>
      </c>
      <c r="I2588" s="2">
        <v>1.1756609271814501E-13</v>
      </c>
      <c r="J2588">
        <f>IFERROR(Table4[[#This Row],[energy_kwh]]/Table4[[#This Row],[expected_kwh]],0)</f>
        <v>0.94081379435008583</v>
      </c>
      <c r="K2588" t="str">
        <f>IF(Table4[[#This Row],[Performance_Ratio]] &lt; 0.85, "Underperforming", "Performing")</f>
        <v>Performing</v>
      </c>
      <c r="L2588">
        <f>Table4[[#This Row],[energy_kwh]] - Table4[[#This Row],[expected_kwh]]</f>
        <v>-6.9582909410730129E-15</v>
      </c>
      <c r="M2588" t="str">
        <f>IF(Table4[[#This Row],[Performance_Deviation]] &lt; 0, "Underperforming", "Outperforming")</f>
        <v>Underperforming</v>
      </c>
      <c r="N2588">
        <f>IF(Table4[[#This Row],[Performance_Ratio]] &lt; 0.85, Table4[[#This Row],[Performance_Deviation]] * 50 / 1000, 0)</f>
        <v>0</v>
      </c>
    </row>
    <row r="2589" spans="1:14" x14ac:dyDescent="0.3">
      <c r="A2589" s="6" t="s">
        <v>9</v>
      </c>
      <c r="B2589" s="5">
        <v>45306.791666666664</v>
      </c>
      <c r="C2589" s="6">
        <v>0</v>
      </c>
      <c r="D2589" s="6">
        <v>0</v>
      </c>
      <c r="E2589" s="6">
        <v>0</v>
      </c>
      <c r="F2589" s="6">
        <v>32.5281336003614</v>
      </c>
      <c r="G2589" s="6" t="str">
        <f t="shared" si="80"/>
        <v>OK</v>
      </c>
      <c r="H2589" s="6" t="str">
        <f t="shared" si="81"/>
        <v>ZERO</v>
      </c>
      <c r="I2589">
        <v>0</v>
      </c>
      <c r="J2589">
        <f>IFERROR(Table4[[#This Row],[energy_kwh]]/Table4[[#This Row],[expected_kwh]],0)</f>
        <v>0</v>
      </c>
      <c r="K2589" t="str">
        <f>IF(Table4[[#This Row],[Performance_Ratio]] &lt; 0.85, "Underperforming", "Performing")</f>
        <v>Underperforming</v>
      </c>
      <c r="L2589">
        <f>Table4[[#This Row],[energy_kwh]] - Table4[[#This Row],[expected_kwh]]</f>
        <v>0</v>
      </c>
      <c r="M2589" t="str">
        <f>IF(Table4[[#This Row],[Performance_Deviation]] &lt; 0, "Underperforming", "Outperforming")</f>
        <v>Outperforming</v>
      </c>
      <c r="N2589">
        <f>IF(Table4[[#This Row],[Performance_Ratio]] &lt; 0.85, Table4[[#This Row],[Performance_Deviation]] * 50 / 1000, 0)</f>
        <v>0</v>
      </c>
    </row>
    <row r="2590" spans="1:14" x14ac:dyDescent="0.3">
      <c r="A2590" s="4" t="s">
        <v>9</v>
      </c>
      <c r="B2590" s="3">
        <v>45306.833333333336</v>
      </c>
      <c r="C2590" s="4">
        <v>0</v>
      </c>
      <c r="D2590" s="4">
        <v>0</v>
      </c>
      <c r="E2590" s="4">
        <v>0</v>
      </c>
      <c r="F2590" s="4">
        <v>80.982878533313198</v>
      </c>
      <c r="G2590" s="4" t="str">
        <f t="shared" si="80"/>
        <v>OK</v>
      </c>
      <c r="H2590" s="4" t="str">
        <f t="shared" si="81"/>
        <v>ZERO</v>
      </c>
      <c r="I2590">
        <v>0</v>
      </c>
      <c r="J2590">
        <f>IFERROR(Table4[[#This Row],[energy_kwh]]/Table4[[#This Row],[expected_kwh]],0)</f>
        <v>0</v>
      </c>
      <c r="K2590" t="str">
        <f>IF(Table4[[#This Row],[Performance_Ratio]] &lt; 0.85, "Underperforming", "Performing")</f>
        <v>Underperforming</v>
      </c>
      <c r="L2590">
        <f>Table4[[#This Row],[energy_kwh]] - Table4[[#This Row],[expected_kwh]]</f>
        <v>0</v>
      </c>
      <c r="M2590" t="str">
        <f>IF(Table4[[#This Row],[Performance_Deviation]] &lt; 0, "Underperforming", "Outperforming")</f>
        <v>Outperforming</v>
      </c>
      <c r="N2590">
        <f>IF(Table4[[#This Row],[Performance_Ratio]] &lt; 0.85, Table4[[#This Row],[Performance_Deviation]] * 50 / 1000, 0)</f>
        <v>0</v>
      </c>
    </row>
    <row r="2591" spans="1:14" x14ac:dyDescent="0.3">
      <c r="A2591" s="6" t="s">
        <v>9</v>
      </c>
      <c r="B2591" s="5">
        <v>45306.875</v>
      </c>
      <c r="C2591" s="6">
        <v>0</v>
      </c>
      <c r="D2591" s="6">
        <v>0</v>
      </c>
      <c r="E2591" s="6">
        <v>0</v>
      </c>
      <c r="F2591" s="6">
        <v>23.684517041888899</v>
      </c>
      <c r="G2591" s="6" t="str">
        <f t="shared" si="80"/>
        <v>OK</v>
      </c>
      <c r="H2591" s="6" t="str">
        <f t="shared" si="81"/>
        <v>ZERO</v>
      </c>
      <c r="I2591">
        <v>0</v>
      </c>
      <c r="J2591">
        <f>IFERROR(Table4[[#This Row],[energy_kwh]]/Table4[[#This Row],[expected_kwh]],0)</f>
        <v>0</v>
      </c>
      <c r="K2591" t="str">
        <f>IF(Table4[[#This Row],[Performance_Ratio]] &lt; 0.85, "Underperforming", "Performing")</f>
        <v>Underperforming</v>
      </c>
      <c r="L2591">
        <f>Table4[[#This Row],[energy_kwh]] - Table4[[#This Row],[expected_kwh]]</f>
        <v>0</v>
      </c>
      <c r="M2591" t="str">
        <f>IF(Table4[[#This Row],[Performance_Deviation]] &lt; 0, "Underperforming", "Outperforming")</f>
        <v>Outperforming</v>
      </c>
      <c r="N2591">
        <f>IF(Table4[[#This Row],[Performance_Ratio]] &lt; 0.85, Table4[[#This Row],[Performance_Deviation]] * 50 / 1000, 0)</f>
        <v>0</v>
      </c>
    </row>
    <row r="2592" spans="1:14" x14ac:dyDescent="0.3">
      <c r="A2592" s="4" t="s">
        <v>9</v>
      </c>
      <c r="B2592" s="3">
        <v>45306.916666666664</v>
      </c>
      <c r="C2592" s="4">
        <v>0</v>
      </c>
      <c r="D2592" s="4">
        <v>0</v>
      </c>
      <c r="E2592" s="4">
        <v>0</v>
      </c>
      <c r="F2592" s="4">
        <v>88.369766492020503</v>
      </c>
      <c r="G2592" s="4" t="str">
        <f t="shared" si="80"/>
        <v>OK</v>
      </c>
      <c r="H2592" s="4" t="str">
        <f t="shared" si="81"/>
        <v>ZERO</v>
      </c>
      <c r="I2592">
        <v>0</v>
      </c>
      <c r="J2592">
        <f>IFERROR(Table4[[#This Row],[energy_kwh]]/Table4[[#This Row],[expected_kwh]],0)</f>
        <v>0</v>
      </c>
      <c r="K2592" t="str">
        <f>IF(Table4[[#This Row],[Performance_Ratio]] &lt; 0.85, "Underperforming", "Performing")</f>
        <v>Underperforming</v>
      </c>
      <c r="L2592">
        <f>Table4[[#This Row],[energy_kwh]] - Table4[[#This Row],[expected_kwh]]</f>
        <v>0</v>
      </c>
      <c r="M2592" t="str">
        <f>IF(Table4[[#This Row],[Performance_Deviation]] &lt; 0, "Underperforming", "Outperforming")</f>
        <v>Outperforming</v>
      </c>
      <c r="N2592">
        <f>IF(Table4[[#This Row],[Performance_Ratio]] &lt; 0.85, Table4[[#This Row],[Performance_Deviation]] * 50 / 1000, 0)</f>
        <v>0</v>
      </c>
    </row>
    <row r="2593" spans="1:14" x14ac:dyDescent="0.3">
      <c r="A2593" s="6" t="s">
        <v>9</v>
      </c>
      <c r="B2593" s="5">
        <v>45306.958333333336</v>
      </c>
      <c r="C2593" s="6">
        <v>0</v>
      </c>
      <c r="D2593" s="6">
        <v>0</v>
      </c>
      <c r="E2593" s="6">
        <v>0</v>
      </c>
      <c r="F2593" s="6">
        <v>42.517033365603901</v>
      </c>
      <c r="G2593" s="6" t="str">
        <f t="shared" si="80"/>
        <v>OK</v>
      </c>
      <c r="H2593" s="6" t="str">
        <f t="shared" si="81"/>
        <v>ZERO</v>
      </c>
      <c r="I2593">
        <v>0</v>
      </c>
      <c r="J2593">
        <f>IFERROR(Table4[[#This Row],[energy_kwh]]/Table4[[#This Row],[expected_kwh]],0)</f>
        <v>0</v>
      </c>
      <c r="K2593" t="str">
        <f>IF(Table4[[#This Row],[Performance_Ratio]] &lt; 0.85, "Underperforming", "Performing")</f>
        <v>Underperforming</v>
      </c>
      <c r="L2593">
        <f>Table4[[#This Row],[energy_kwh]] - Table4[[#This Row],[expected_kwh]]</f>
        <v>0</v>
      </c>
      <c r="M2593" t="str">
        <f>IF(Table4[[#This Row],[Performance_Deviation]] &lt; 0, "Underperforming", "Outperforming")</f>
        <v>Outperforming</v>
      </c>
      <c r="N2593">
        <f>IF(Table4[[#This Row],[Performance_Ratio]] &lt; 0.85, Table4[[#This Row],[Performance_Deviation]] * 50 / 1000, 0)</f>
        <v>0</v>
      </c>
    </row>
    <row r="2594" spans="1:14" x14ac:dyDescent="0.3">
      <c r="A2594" s="4" t="s">
        <v>9</v>
      </c>
      <c r="B2594" s="3">
        <v>45307</v>
      </c>
      <c r="C2594" s="4">
        <v>0</v>
      </c>
      <c r="D2594" s="4">
        <v>0</v>
      </c>
      <c r="E2594" s="4">
        <v>0</v>
      </c>
      <c r="F2594" s="4">
        <v>81.437337507217194</v>
      </c>
      <c r="G2594" s="4" t="str">
        <f t="shared" si="80"/>
        <v>OK</v>
      </c>
      <c r="H2594" s="4" t="str">
        <f t="shared" si="81"/>
        <v>ZERO</v>
      </c>
      <c r="I2594">
        <v>0</v>
      </c>
      <c r="J2594">
        <f>IFERROR(Table4[[#This Row],[energy_kwh]]/Table4[[#This Row],[expected_kwh]],0)</f>
        <v>0</v>
      </c>
      <c r="K2594" t="str">
        <f>IF(Table4[[#This Row],[Performance_Ratio]] &lt; 0.85, "Underperforming", "Performing")</f>
        <v>Underperforming</v>
      </c>
      <c r="L2594">
        <f>Table4[[#This Row],[energy_kwh]] - Table4[[#This Row],[expected_kwh]]</f>
        <v>0</v>
      </c>
      <c r="M2594" t="str">
        <f>IF(Table4[[#This Row],[Performance_Deviation]] &lt; 0, "Underperforming", "Outperforming")</f>
        <v>Outperforming</v>
      </c>
      <c r="N2594">
        <f>IF(Table4[[#This Row],[Performance_Ratio]] &lt; 0.85, Table4[[#This Row],[Performance_Deviation]] * 50 / 1000, 0)</f>
        <v>0</v>
      </c>
    </row>
    <row r="2595" spans="1:14" x14ac:dyDescent="0.3">
      <c r="A2595" s="6" t="s">
        <v>9</v>
      </c>
      <c r="B2595" s="5">
        <v>45307.041666666664</v>
      </c>
      <c r="C2595" s="6">
        <v>0</v>
      </c>
      <c r="D2595" s="6">
        <v>0</v>
      </c>
      <c r="E2595" s="6">
        <v>0</v>
      </c>
      <c r="F2595" s="6">
        <v>48.621578313245202</v>
      </c>
      <c r="G2595" s="6" t="str">
        <f t="shared" si="80"/>
        <v>OK</v>
      </c>
      <c r="H2595" s="6" t="str">
        <f t="shared" si="81"/>
        <v>ZERO</v>
      </c>
      <c r="I2595">
        <v>0</v>
      </c>
      <c r="J2595">
        <f>IFERROR(Table4[[#This Row],[energy_kwh]]/Table4[[#This Row],[expected_kwh]],0)</f>
        <v>0</v>
      </c>
      <c r="K2595" t="str">
        <f>IF(Table4[[#This Row],[Performance_Ratio]] &lt; 0.85, "Underperforming", "Performing")</f>
        <v>Underperforming</v>
      </c>
      <c r="L2595">
        <f>Table4[[#This Row],[energy_kwh]] - Table4[[#This Row],[expected_kwh]]</f>
        <v>0</v>
      </c>
      <c r="M2595" t="str">
        <f>IF(Table4[[#This Row],[Performance_Deviation]] &lt; 0, "Underperforming", "Outperforming")</f>
        <v>Outperforming</v>
      </c>
      <c r="N2595">
        <f>IF(Table4[[#This Row],[Performance_Ratio]] &lt; 0.85, Table4[[#This Row],[Performance_Deviation]] * 50 / 1000, 0)</f>
        <v>0</v>
      </c>
    </row>
    <row r="2596" spans="1:14" x14ac:dyDescent="0.3">
      <c r="A2596" s="4" t="s">
        <v>9</v>
      </c>
      <c r="B2596" s="3">
        <v>45307.083333333336</v>
      </c>
      <c r="C2596" s="4">
        <v>0</v>
      </c>
      <c r="D2596" s="4">
        <v>0</v>
      </c>
      <c r="E2596" s="4">
        <v>0</v>
      </c>
      <c r="F2596" s="4">
        <v>62.000299192168796</v>
      </c>
      <c r="G2596" s="4" t="str">
        <f t="shared" si="80"/>
        <v>OK</v>
      </c>
      <c r="H2596" s="4" t="str">
        <f t="shared" si="81"/>
        <v>ZERO</v>
      </c>
      <c r="I2596">
        <v>0</v>
      </c>
      <c r="J2596">
        <f>IFERROR(Table4[[#This Row],[energy_kwh]]/Table4[[#This Row],[expected_kwh]],0)</f>
        <v>0</v>
      </c>
      <c r="K2596" t="str">
        <f>IF(Table4[[#This Row],[Performance_Ratio]] &lt; 0.85, "Underperforming", "Performing")</f>
        <v>Underperforming</v>
      </c>
      <c r="L2596">
        <f>Table4[[#This Row],[energy_kwh]] - Table4[[#This Row],[expected_kwh]]</f>
        <v>0</v>
      </c>
      <c r="M2596" t="str">
        <f>IF(Table4[[#This Row],[Performance_Deviation]] &lt; 0, "Underperforming", "Outperforming")</f>
        <v>Outperforming</v>
      </c>
      <c r="N2596">
        <f>IF(Table4[[#This Row],[Performance_Ratio]] &lt; 0.85, Table4[[#This Row],[Performance_Deviation]] * 50 / 1000, 0)</f>
        <v>0</v>
      </c>
    </row>
    <row r="2597" spans="1:14" x14ac:dyDescent="0.3">
      <c r="A2597" s="6" t="s">
        <v>9</v>
      </c>
      <c r="B2597" s="5">
        <v>45307.125</v>
      </c>
      <c r="C2597" s="6">
        <v>0</v>
      </c>
      <c r="D2597" s="6">
        <v>0</v>
      </c>
      <c r="E2597" s="6">
        <v>0</v>
      </c>
      <c r="F2597" s="6">
        <v>91.460288618687898</v>
      </c>
      <c r="G2597" s="6" t="str">
        <f t="shared" si="80"/>
        <v>OK</v>
      </c>
      <c r="H2597" s="6" t="str">
        <f t="shared" si="81"/>
        <v>ZERO</v>
      </c>
      <c r="I2597">
        <v>0</v>
      </c>
      <c r="J2597">
        <f>IFERROR(Table4[[#This Row],[energy_kwh]]/Table4[[#This Row],[expected_kwh]],0)</f>
        <v>0</v>
      </c>
      <c r="K2597" t="str">
        <f>IF(Table4[[#This Row],[Performance_Ratio]] &lt; 0.85, "Underperforming", "Performing")</f>
        <v>Underperforming</v>
      </c>
      <c r="L2597">
        <f>Table4[[#This Row],[energy_kwh]] - Table4[[#This Row],[expected_kwh]]</f>
        <v>0</v>
      </c>
      <c r="M2597" t="str">
        <f>IF(Table4[[#This Row],[Performance_Deviation]] &lt; 0, "Underperforming", "Outperforming")</f>
        <v>Outperforming</v>
      </c>
      <c r="N2597">
        <f>IF(Table4[[#This Row],[Performance_Ratio]] &lt; 0.85, Table4[[#This Row],[Performance_Deviation]] * 50 / 1000, 0)</f>
        <v>0</v>
      </c>
    </row>
    <row r="2598" spans="1:14" x14ac:dyDescent="0.3">
      <c r="A2598" s="4" t="s">
        <v>9</v>
      </c>
      <c r="B2598" s="3">
        <v>45307.166666666664</v>
      </c>
      <c r="C2598" s="4">
        <v>0</v>
      </c>
      <c r="D2598" s="4">
        <v>0</v>
      </c>
      <c r="E2598" s="4">
        <v>0</v>
      </c>
      <c r="F2598" s="4">
        <v>81.970186239693504</v>
      </c>
      <c r="G2598" s="4" t="str">
        <f t="shared" si="80"/>
        <v>OK</v>
      </c>
      <c r="H2598" s="4" t="str">
        <f t="shared" si="81"/>
        <v>ZERO</v>
      </c>
      <c r="I2598">
        <v>0</v>
      </c>
      <c r="J2598">
        <f>IFERROR(Table4[[#This Row],[energy_kwh]]/Table4[[#This Row],[expected_kwh]],0)</f>
        <v>0</v>
      </c>
      <c r="K2598" t="str">
        <f>IF(Table4[[#This Row],[Performance_Ratio]] &lt; 0.85, "Underperforming", "Performing")</f>
        <v>Underperforming</v>
      </c>
      <c r="L2598">
        <f>Table4[[#This Row],[energy_kwh]] - Table4[[#This Row],[expected_kwh]]</f>
        <v>0</v>
      </c>
      <c r="M2598" t="str">
        <f>IF(Table4[[#This Row],[Performance_Deviation]] &lt; 0, "Underperforming", "Outperforming")</f>
        <v>Outperforming</v>
      </c>
      <c r="N2598">
        <f>IF(Table4[[#This Row],[Performance_Ratio]] &lt; 0.85, Table4[[#This Row],[Performance_Deviation]] * 50 / 1000, 0)</f>
        <v>0</v>
      </c>
    </row>
    <row r="2599" spans="1:14" x14ac:dyDescent="0.3">
      <c r="A2599" s="6" t="s">
        <v>9</v>
      </c>
      <c r="B2599" s="5">
        <v>45307.208333333336</v>
      </c>
      <c r="C2599" s="6">
        <v>0</v>
      </c>
      <c r="D2599" s="6">
        <v>0</v>
      </c>
      <c r="E2599" s="6">
        <v>0</v>
      </c>
      <c r="F2599" s="6">
        <v>40.441073591977101</v>
      </c>
      <c r="G2599" s="6" t="str">
        <f t="shared" si="80"/>
        <v>OK</v>
      </c>
      <c r="H2599" s="6" t="str">
        <f t="shared" si="81"/>
        <v>ZERO</v>
      </c>
      <c r="I2599">
        <v>0</v>
      </c>
      <c r="J2599">
        <f>IFERROR(Table4[[#This Row],[energy_kwh]]/Table4[[#This Row],[expected_kwh]],0)</f>
        <v>0</v>
      </c>
      <c r="K2599" t="str">
        <f>IF(Table4[[#This Row],[Performance_Ratio]] &lt; 0.85, "Underperforming", "Performing")</f>
        <v>Underperforming</v>
      </c>
      <c r="L2599">
        <f>Table4[[#This Row],[energy_kwh]] - Table4[[#This Row],[expected_kwh]]</f>
        <v>0</v>
      </c>
      <c r="M2599" t="str">
        <f>IF(Table4[[#This Row],[Performance_Deviation]] &lt; 0, "Underperforming", "Outperforming")</f>
        <v>Outperforming</v>
      </c>
      <c r="N2599">
        <f>IF(Table4[[#This Row],[Performance_Ratio]] &lt; 0.85, Table4[[#This Row],[Performance_Deviation]] * 50 / 1000, 0)</f>
        <v>0</v>
      </c>
    </row>
    <row r="2600" spans="1:14" x14ac:dyDescent="0.3">
      <c r="A2600" s="4" t="s">
        <v>9</v>
      </c>
      <c r="B2600" s="3">
        <v>45307.25</v>
      </c>
      <c r="C2600" s="4">
        <v>0</v>
      </c>
      <c r="D2600" s="4">
        <v>0</v>
      </c>
      <c r="E2600" s="4">
        <v>0</v>
      </c>
      <c r="F2600" s="4">
        <v>27.805696731368499</v>
      </c>
      <c r="G2600" s="4" t="str">
        <f t="shared" si="80"/>
        <v>OK</v>
      </c>
      <c r="H2600" s="4" t="str">
        <f t="shared" si="81"/>
        <v>ZERO</v>
      </c>
      <c r="I2600">
        <v>0</v>
      </c>
      <c r="J2600">
        <f>IFERROR(Table4[[#This Row],[energy_kwh]]/Table4[[#This Row],[expected_kwh]],0)</f>
        <v>0</v>
      </c>
      <c r="K2600" t="str">
        <f>IF(Table4[[#This Row],[Performance_Ratio]] &lt; 0.85, "Underperforming", "Performing")</f>
        <v>Underperforming</v>
      </c>
      <c r="L2600">
        <f>Table4[[#This Row],[energy_kwh]] - Table4[[#This Row],[expected_kwh]]</f>
        <v>0</v>
      </c>
      <c r="M2600" t="str">
        <f>IF(Table4[[#This Row],[Performance_Deviation]] &lt; 0, "Underperforming", "Outperforming")</f>
        <v>Outperforming</v>
      </c>
      <c r="N2600">
        <f>IF(Table4[[#This Row],[Performance_Ratio]] &lt; 0.85, Table4[[#This Row],[Performance_Deviation]] * 50 / 1000, 0)</f>
        <v>0</v>
      </c>
    </row>
    <row r="2601" spans="1:14" x14ac:dyDescent="0.3">
      <c r="A2601" s="6" t="s">
        <v>9</v>
      </c>
      <c r="B2601" s="5">
        <v>45307.291666666664</v>
      </c>
      <c r="C2601" s="6">
        <v>244.217049650539</v>
      </c>
      <c r="D2601" s="6">
        <v>235.412131021861</v>
      </c>
      <c r="E2601" s="6">
        <v>235.412131021861</v>
      </c>
      <c r="F2601" s="6">
        <v>41.921762953193898</v>
      </c>
      <c r="G2601" s="6" t="str">
        <f t="shared" si="80"/>
        <v>OK</v>
      </c>
      <c r="H2601" s="6" t="str">
        <f t="shared" si="81"/>
        <v>NON-ZERO</v>
      </c>
      <c r="I2601">
        <v>248.466283298419</v>
      </c>
      <c r="J2601">
        <f>IFERROR(Table4[[#This Row],[energy_kwh]]/Table4[[#This Row],[expected_kwh]],0)</f>
        <v>0.94746107156567638</v>
      </c>
      <c r="K2601" t="str">
        <f>IF(Table4[[#This Row],[Performance_Ratio]] &lt; 0.85, "Underperforming", "Performing")</f>
        <v>Performing</v>
      </c>
      <c r="L2601">
        <f>Table4[[#This Row],[energy_kwh]] - Table4[[#This Row],[expected_kwh]]</f>
        <v>-13.054152276558</v>
      </c>
      <c r="M2601" t="str">
        <f>IF(Table4[[#This Row],[Performance_Deviation]] &lt; 0, "Underperforming", "Outperforming")</f>
        <v>Underperforming</v>
      </c>
      <c r="N2601">
        <f>IF(Table4[[#This Row],[Performance_Ratio]] &lt; 0.85, Table4[[#This Row],[Performance_Deviation]] * 50 / 1000, 0)</f>
        <v>0</v>
      </c>
    </row>
    <row r="2602" spans="1:14" x14ac:dyDescent="0.3">
      <c r="A2602" s="4" t="s">
        <v>9</v>
      </c>
      <c r="B2602" s="3">
        <v>45307.333333333336</v>
      </c>
      <c r="C2602" s="4">
        <v>498.042020043229</v>
      </c>
      <c r="D2602" s="4">
        <v>480.085782072055</v>
      </c>
      <c r="E2602" s="4">
        <v>480.085782072055</v>
      </c>
      <c r="F2602" s="4">
        <v>52.521694017625499</v>
      </c>
      <c r="G2602" s="4" t="str">
        <f t="shared" si="80"/>
        <v>OK</v>
      </c>
      <c r="H2602" s="4" t="str">
        <f t="shared" si="81"/>
        <v>NON-ZERO</v>
      </c>
      <c r="I2602">
        <v>479.99999999999898</v>
      </c>
      <c r="J2602">
        <f>IFERROR(Table4[[#This Row],[energy_kwh]]/Table4[[#This Row],[expected_kwh]],0)</f>
        <v>1.0001787126501167</v>
      </c>
      <c r="K2602" t="str">
        <f>IF(Table4[[#This Row],[Performance_Ratio]] &lt; 0.85, "Underperforming", "Performing")</f>
        <v>Performing</v>
      </c>
      <c r="L2602">
        <f>Table4[[#This Row],[energy_kwh]] - Table4[[#This Row],[expected_kwh]]</f>
        <v>8.5782072056019842E-2</v>
      </c>
      <c r="M2602" t="str">
        <f>IF(Table4[[#This Row],[Performance_Deviation]] &lt; 0, "Underperforming", "Outperforming")</f>
        <v>Outperforming</v>
      </c>
      <c r="N2602">
        <f>IF(Table4[[#This Row],[Performance_Ratio]] &lt; 0.85, Table4[[#This Row],[Performance_Deviation]] * 50 / 1000, 0)</f>
        <v>0</v>
      </c>
    </row>
    <row r="2603" spans="1:14" x14ac:dyDescent="0.3">
      <c r="A2603" s="6" t="s">
        <v>9</v>
      </c>
      <c r="B2603" s="5">
        <v>45307.375</v>
      </c>
      <c r="C2603" s="6">
        <v>710.28144700970199</v>
      </c>
      <c r="D2603" s="6">
        <v>684.67320076592398</v>
      </c>
      <c r="E2603" s="6">
        <v>684.67320076592398</v>
      </c>
      <c r="F2603" s="6">
        <v>89.616259673569502</v>
      </c>
      <c r="G2603" s="6" t="str">
        <f t="shared" si="80"/>
        <v>OK</v>
      </c>
      <c r="H2603" s="6" t="str">
        <f t="shared" si="81"/>
        <v>NON-ZERO</v>
      </c>
      <c r="I2603">
        <v>678.82250993908497</v>
      </c>
      <c r="J2603">
        <f>IFERROR(Table4[[#This Row],[energy_kwh]]/Table4[[#This Row],[expected_kwh]],0)</f>
        <v>1.0086188815797579</v>
      </c>
      <c r="K2603" t="str">
        <f>IF(Table4[[#This Row],[Performance_Ratio]] &lt; 0.85, "Underperforming", "Performing")</f>
        <v>Performing</v>
      </c>
      <c r="L2603">
        <f>Table4[[#This Row],[energy_kwh]] - Table4[[#This Row],[expected_kwh]]</f>
        <v>5.8506908268390134</v>
      </c>
      <c r="M2603" t="str">
        <f>IF(Table4[[#This Row],[Performance_Deviation]] &lt; 0, "Underperforming", "Outperforming")</f>
        <v>Outperforming</v>
      </c>
      <c r="N2603">
        <f>IF(Table4[[#This Row],[Performance_Ratio]] &lt; 0.85, Table4[[#This Row],[Performance_Deviation]] * 50 / 1000, 0)</f>
        <v>0</v>
      </c>
    </row>
    <row r="2604" spans="1:14" x14ac:dyDescent="0.3">
      <c r="A2604" s="4" t="s">
        <v>9</v>
      </c>
      <c r="B2604" s="3">
        <v>45307.416666666664</v>
      </c>
      <c r="C2604" s="4">
        <v>884.59626314137404</v>
      </c>
      <c r="D2604" s="4">
        <v>852.70332967363504</v>
      </c>
      <c r="E2604" s="4">
        <v>852.70332967363504</v>
      </c>
      <c r="F2604" s="4">
        <v>35.3601143704375</v>
      </c>
      <c r="G2604" s="4" t="str">
        <f t="shared" si="80"/>
        <v>OK</v>
      </c>
      <c r="H2604" s="4" t="str">
        <f t="shared" si="81"/>
        <v>NON-ZERO</v>
      </c>
      <c r="I2604">
        <v>831.38438763306101</v>
      </c>
      <c r="J2604">
        <f>IFERROR(Table4[[#This Row],[energy_kwh]]/Table4[[#This Row],[expected_kwh]],0)</f>
        <v>1.0256427019290906</v>
      </c>
      <c r="K2604" t="str">
        <f>IF(Table4[[#This Row],[Performance_Ratio]] &lt; 0.85, "Underperforming", "Performing")</f>
        <v>Performing</v>
      </c>
      <c r="L2604">
        <f>Table4[[#This Row],[energy_kwh]] - Table4[[#This Row],[expected_kwh]]</f>
        <v>21.318942040574029</v>
      </c>
      <c r="M2604" t="str">
        <f>IF(Table4[[#This Row],[Performance_Deviation]] &lt; 0, "Underperforming", "Outperforming")</f>
        <v>Outperforming</v>
      </c>
      <c r="N2604">
        <f>IF(Table4[[#This Row],[Performance_Ratio]] &lt; 0.85, Table4[[#This Row],[Performance_Deviation]] * 50 / 1000, 0)</f>
        <v>0</v>
      </c>
    </row>
    <row r="2605" spans="1:14" x14ac:dyDescent="0.3">
      <c r="A2605" s="6" t="s">
        <v>9</v>
      </c>
      <c r="B2605" s="5">
        <v>45307.458333333336</v>
      </c>
      <c r="C2605" s="6">
        <v>892.92234251815296</v>
      </c>
      <c r="D2605" s="6">
        <v>860.72922341016704</v>
      </c>
      <c r="E2605" s="6">
        <v>860.72922341016704</v>
      </c>
      <c r="F2605" s="6">
        <v>21.3618474205309</v>
      </c>
      <c r="G2605" s="6" t="str">
        <f t="shared" si="80"/>
        <v>OK</v>
      </c>
      <c r="H2605" s="6" t="str">
        <f t="shared" si="81"/>
        <v>NON-ZERO</v>
      </c>
      <c r="I2605">
        <v>927.28879323750505</v>
      </c>
      <c r="J2605">
        <f>IFERROR(Table4[[#This Row],[energy_kwh]]/Table4[[#This Row],[expected_kwh]],0)</f>
        <v>0.92822131539522423</v>
      </c>
      <c r="K2605" t="str">
        <f>IF(Table4[[#This Row],[Performance_Ratio]] &lt; 0.85, "Underperforming", "Performing")</f>
        <v>Performing</v>
      </c>
      <c r="L2605">
        <f>Table4[[#This Row],[energy_kwh]] - Table4[[#This Row],[expected_kwh]]</f>
        <v>-66.559569827338009</v>
      </c>
      <c r="M2605" t="str">
        <f>IF(Table4[[#This Row],[Performance_Deviation]] &lt; 0, "Underperforming", "Outperforming")</f>
        <v>Underperforming</v>
      </c>
      <c r="N2605">
        <f>IF(Table4[[#This Row],[Performance_Ratio]] &lt; 0.85, Table4[[#This Row],[Performance_Deviation]] * 50 / 1000, 0)</f>
        <v>0</v>
      </c>
    </row>
    <row r="2606" spans="1:14" x14ac:dyDescent="0.3">
      <c r="A2606" s="4" t="s">
        <v>9</v>
      </c>
      <c r="B2606" s="3">
        <v>45307.5</v>
      </c>
      <c r="C2606" s="4">
        <v>964.145692462493</v>
      </c>
      <c r="D2606" s="4">
        <v>929.38471086653203</v>
      </c>
      <c r="E2606" s="4">
        <v>929.38471086653203</v>
      </c>
      <c r="F2606" s="4">
        <v>83.846165916239798</v>
      </c>
      <c r="G2606" s="4" t="str">
        <f t="shared" si="80"/>
        <v>OK</v>
      </c>
      <c r="H2606" s="4" t="str">
        <f t="shared" si="81"/>
        <v>NON-ZERO</v>
      </c>
      <c r="I2606">
        <v>960</v>
      </c>
      <c r="J2606">
        <f>IFERROR(Table4[[#This Row],[energy_kwh]]/Table4[[#This Row],[expected_kwh]],0)</f>
        <v>0.96810907381930422</v>
      </c>
      <c r="K2606" t="str">
        <f>IF(Table4[[#This Row],[Performance_Ratio]] &lt; 0.85, "Underperforming", "Performing")</f>
        <v>Performing</v>
      </c>
      <c r="L2606">
        <f>Table4[[#This Row],[energy_kwh]] - Table4[[#This Row],[expected_kwh]]</f>
        <v>-30.615289133467968</v>
      </c>
      <c r="M2606" t="str">
        <f>IF(Table4[[#This Row],[Performance_Deviation]] &lt; 0, "Underperforming", "Outperforming")</f>
        <v>Underperforming</v>
      </c>
      <c r="N2606">
        <f>IF(Table4[[#This Row],[Performance_Ratio]] &lt; 0.85, Table4[[#This Row],[Performance_Deviation]] * 50 / 1000, 0)</f>
        <v>0</v>
      </c>
    </row>
    <row r="2607" spans="1:14" x14ac:dyDescent="0.3">
      <c r="A2607" s="6" t="s">
        <v>9</v>
      </c>
      <c r="B2607" s="5">
        <v>45307.541666666664</v>
      </c>
      <c r="C2607" s="6">
        <v>914.31910619713699</v>
      </c>
      <c r="D2607" s="6">
        <v>881.35455543284297</v>
      </c>
      <c r="E2607" s="6">
        <v>881.35455543284297</v>
      </c>
      <c r="F2607" s="6">
        <v>44.298207992115401</v>
      </c>
      <c r="G2607" s="6" t="str">
        <f t="shared" si="80"/>
        <v>OK</v>
      </c>
      <c r="H2607" s="6" t="str">
        <f t="shared" si="81"/>
        <v>NON-ZERO</v>
      </c>
      <c r="I2607">
        <v>927.28879323750505</v>
      </c>
      <c r="J2607">
        <f>IFERROR(Table4[[#This Row],[energy_kwh]]/Table4[[#This Row],[expected_kwh]],0)</f>
        <v>0.95046393514118854</v>
      </c>
      <c r="K2607" t="str">
        <f>IF(Table4[[#This Row],[Performance_Ratio]] &lt; 0.85, "Underperforming", "Performing")</f>
        <v>Performing</v>
      </c>
      <c r="L2607">
        <f>Table4[[#This Row],[energy_kwh]] - Table4[[#This Row],[expected_kwh]]</f>
        <v>-45.934237804662075</v>
      </c>
      <c r="M2607" t="str">
        <f>IF(Table4[[#This Row],[Performance_Deviation]] &lt; 0, "Underperforming", "Outperforming")</f>
        <v>Underperforming</v>
      </c>
      <c r="N2607">
        <f>IF(Table4[[#This Row],[Performance_Ratio]] &lt; 0.85, Table4[[#This Row],[Performance_Deviation]] * 50 / 1000, 0)</f>
        <v>0</v>
      </c>
    </row>
    <row r="2608" spans="1:14" x14ac:dyDescent="0.3">
      <c r="A2608" s="4" t="s">
        <v>9</v>
      </c>
      <c r="B2608" s="3">
        <v>45307.583333333336</v>
      </c>
      <c r="C2608" s="4">
        <v>827.98466776553403</v>
      </c>
      <c r="D2608" s="4">
        <v>798.13278954531802</v>
      </c>
      <c r="E2608" s="4">
        <v>798.13278954531802</v>
      </c>
      <c r="F2608" s="4">
        <v>87.498745765899002</v>
      </c>
      <c r="G2608" s="4" t="str">
        <f t="shared" si="80"/>
        <v>OK</v>
      </c>
      <c r="H2608" s="4" t="str">
        <f t="shared" si="81"/>
        <v>NON-ZERO</v>
      </c>
      <c r="I2608">
        <v>831.38438763306101</v>
      </c>
      <c r="J2608">
        <f>IFERROR(Table4[[#This Row],[energy_kwh]]/Table4[[#This Row],[expected_kwh]],0)</f>
        <v>0.96000454352720066</v>
      </c>
      <c r="K2608" t="str">
        <f>IF(Table4[[#This Row],[Performance_Ratio]] &lt; 0.85, "Underperforming", "Performing")</f>
        <v>Performing</v>
      </c>
      <c r="L2608">
        <f>Table4[[#This Row],[energy_kwh]] - Table4[[#This Row],[expected_kwh]]</f>
        <v>-33.251598087742991</v>
      </c>
      <c r="M2608" t="str">
        <f>IF(Table4[[#This Row],[Performance_Deviation]] &lt; 0, "Underperforming", "Outperforming")</f>
        <v>Underperforming</v>
      </c>
      <c r="N2608">
        <f>IF(Table4[[#This Row],[Performance_Ratio]] &lt; 0.85, Table4[[#This Row],[Performance_Deviation]] * 50 / 1000, 0)</f>
        <v>0</v>
      </c>
    </row>
    <row r="2609" spans="1:14" x14ac:dyDescent="0.3">
      <c r="A2609" s="6" t="s">
        <v>9</v>
      </c>
      <c r="B2609" s="5">
        <v>45307.625</v>
      </c>
      <c r="C2609" s="6">
        <v>733.09271252337101</v>
      </c>
      <c r="D2609" s="6">
        <v>706.66203665417402</v>
      </c>
      <c r="E2609" s="6">
        <v>706.66203665417402</v>
      </c>
      <c r="F2609" s="6">
        <v>77.525939748557704</v>
      </c>
      <c r="G2609" s="6" t="str">
        <f t="shared" si="80"/>
        <v>OK</v>
      </c>
      <c r="H2609" s="6" t="str">
        <f t="shared" si="81"/>
        <v>NON-ZERO</v>
      </c>
      <c r="I2609">
        <v>678.82250993908497</v>
      </c>
      <c r="J2609">
        <f>IFERROR(Table4[[#This Row],[energy_kwh]]/Table4[[#This Row],[expected_kwh]],0)</f>
        <v>1.0410114960942991</v>
      </c>
      <c r="K2609" t="str">
        <f>IF(Table4[[#This Row],[Performance_Ratio]] &lt; 0.85, "Underperforming", "Performing")</f>
        <v>Performing</v>
      </c>
      <c r="L2609">
        <f>Table4[[#This Row],[energy_kwh]] - Table4[[#This Row],[expected_kwh]]</f>
        <v>27.83952671508905</v>
      </c>
      <c r="M2609" t="str">
        <f>IF(Table4[[#This Row],[Performance_Deviation]] &lt; 0, "Underperforming", "Outperforming")</f>
        <v>Outperforming</v>
      </c>
      <c r="N2609">
        <f>IF(Table4[[#This Row],[Performance_Ratio]] &lt; 0.85, Table4[[#This Row],[Performance_Deviation]] * 50 / 1000, 0)</f>
        <v>0</v>
      </c>
    </row>
    <row r="2610" spans="1:14" x14ac:dyDescent="0.3">
      <c r="A2610" s="4" t="s">
        <v>9</v>
      </c>
      <c r="B2610" s="3">
        <v>45307.666666666664</v>
      </c>
      <c r="C2610" s="4">
        <v>443.75985277801402</v>
      </c>
      <c r="D2610" s="4">
        <v>427.76068564379699</v>
      </c>
      <c r="E2610" s="4">
        <v>427.76068564379699</v>
      </c>
      <c r="F2610" s="4">
        <v>84.070076949314796</v>
      </c>
      <c r="G2610" s="4" t="str">
        <f t="shared" si="80"/>
        <v>OK</v>
      </c>
      <c r="H2610" s="4" t="str">
        <f t="shared" si="81"/>
        <v>NON-ZERO</v>
      </c>
      <c r="I2610">
        <v>479.99999999999898</v>
      </c>
      <c r="J2610">
        <f>IFERROR(Table4[[#This Row],[energy_kwh]]/Table4[[#This Row],[expected_kwh]],0)</f>
        <v>0.89116809509124562</v>
      </c>
      <c r="K2610" t="str">
        <f>IF(Table4[[#This Row],[Performance_Ratio]] &lt; 0.85, "Underperforming", "Performing")</f>
        <v>Performing</v>
      </c>
      <c r="L2610">
        <f>Table4[[#This Row],[energy_kwh]] - Table4[[#This Row],[expected_kwh]]</f>
        <v>-52.239314356201987</v>
      </c>
      <c r="M2610" t="str">
        <f>IF(Table4[[#This Row],[Performance_Deviation]] &lt; 0, "Underperforming", "Outperforming")</f>
        <v>Underperforming</v>
      </c>
      <c r="N2610">
        <f>IF(Table4[[#This Row],[Performance_Ratio]] &lt; 0.85, Table4[[#This Row],[Performance_Deviation]] * 50 / 1000, 0)</f>
        <v>0</v>
      </c>
    </row>
    <row r="2611" spans="1:14" x14ac:dyDescent="0.3">
      <c r="A2611" s="6" t="s">
        <v>9</v>
      </c>
      <c r="B2611" s="5">
        <v>45307.708333333336</v>
      </c>
      <c r="C2611" s="6">
        <v>271.26464897341998</v>
      </c>
      <c r="D2611" s="6">
        <v>261.48456537784102</v>
      </c>
      <c r="E2611" s="6">
        <v>261.48456537784102</v>
      </c>
      <c r="F2611" s="6">
        <v>47.587416824071703</v>
      </c>
      <c r="G2611" s="6" t="str">
        <f t="shared" si="80"/>
        <v>OK</v>
      </c>
      <c r="H2611" s="6" t="str">
        <f t="shared" si="81"/>
        <v>NON-ZERO</v>
      </c>
      <c r="I2611">
        <v>248.46628329842</v>
      </c>
      <c r="J2611">
        <f>IFERROR(Table4[[#This Row],[energy_kwh]]/Table4[[#This Row],[expected_kwh]],0)</f>
        <v>1.0523945619767872</v>
      </c>
      <c r="K2611" t="str">
        <f>IF(Table4[[#This Row],[Performance_Ratio]] &lt; 0.85, "Underperforming", "Performing")</f>
        <v>Performing</v>
      </c>
      <c r="L2611">
        <f>Table4[[#This Row],[energy_kwh]] - Table4[[#This Row],[expected_kwh]]</f>
        <v>13.018282079421027</v>
      </c>
      <c r="M2611" t="str">
        <f>IF(Table4[[#This Row],[Performance_Deviation]] &lt; 0, "Underperforming", "Outperforming")</f>
        <v>Outperforming</v>
      </c>
      <c r="N2611">
        <f>IF(Table4[[#This Row],[Performance_Ratio]] &lt; 0.85, Table4[[#This Row],[Performance_Deviation]] * 50 / 1000, 0)</f>
        <v>0</v>
      </c>
    </row>
    <row r="2612" spans="1:14" x14ac:dyDescent="0.3">
      <c r="A2612" s="4" t="s">
        <v>9</v>
      </c>
      <c r="B2612" s="3">
        <v>45307.75</v>
      </c>
      <c r="C2612" s="7">
        <v>1.21496936958374E-13</v>
      </c>
      <c r="D2612" s="7">
        <v>1.1711652762543501E-13</v>
      </c>
      <c r="E2612" s="7">
        <v>1.1711652762543501E-13</v>
      </c>
      <c r="F2612" s="4">
        <v>33.472536977910501</v>
      </c>
      <c r="G2612" s="4" t="str">
        <f t="shared" si="80"/>
        <v>OK</v>
      </c>
      <c r="H2612" s="4" t="str">
        <f t="shared" si="81"/>
        <v>NON-ZERO</v>
      </c>
      <c r="I2612" s="2">
        <v>1.1756609271814501E-13</v>
      </c>
      <c r="J2612">
        <f>IFERROR(Table4[[#This Row],[energy_kwh]]/Table4[[#This Row],[expected_kwh]],0)</f>
        <v>0.99617606503443312</v>
      </c>
      <c r="K2612" t="str">
        <f>IF(Table4[[#This Row],[Performance_Ratio]] &lt; 0.85, "Underperforming", "Performing")</f>
        <v>Performing</v>
      </c>
      <c r="L2612">
        <f>Table4[[#This Row],[energy_kwh]] - Table4[[#This Row],[expected_kwh]]</f>
        <v>-4.4956509270999756E-16</v>
      </c>
      <c r="M2612" t="str">
        <f>IF(Table4[[#This Row],[Performance_Deviation]] &lt; 0, "Underperforming", "Outperforming")</f>
        <v>Underperforming</v>
      </c>
      <c r="N2612">
        <f>IF(Table4[[#This Row],[Performance_Ratio]] &lt; 0.85, Table4[[#This Row],[Performance_Deviation]] * 50 / 1000, 0)</f>
        <v>0</v>
      </c>
    </row>
    <row r="2613" spans="1:14" x14ac:dyDescent="0.3">
      <c r="A2613" s="6" t="s">
        <v>9</v>
      </c>
      <c r="B2613" s="5">
        <v>45307.791666666664</v>
      </c>
      <c r="C2613" s="6">
        <v>0</v>
      </c>
      <c r="D2613" s="6">
        <v>0</v>
      </c>
      <c r="E2613" s="6">
        <v>0</v>
      </c>
      <c r="F2613" s="6">
        <v>38.914637107093803</v>
      </c>
      <c r="G2613" s="6" t="str">
        <f t="shared" si="80"/>
        <v>OK</v>
      </c>
      <c r="H2613" s="6" t="str">
        <f t="shared" si="81"/>
        <v>ZERO</v>
      </c>
      <c r="I2613">
        <v>0</v>
      </c>
      <c r="J2613">
        <f>IFERROR(Table4[[#This Row],[energy_kwh]]/Table4[[#This Row],[expected_kwh]],0)</f>
        <v>0</v>
      </c>
      <c r="K2613" t="str">
        <f>IF(Table4[[#This Row],[Performance_Ratio]] &lt; 0.85, "Underperforming", "Performing")</f>
        <v>Underperforming</v>
      </c>
      <c r="L2613">
        <f>Table4[[#This Row],[energy_kwh]] - Table4[[#This Row],[expected_kwh]]</f>
        <v>0</v>
      </c>
      <c r="M2613" t="str">
        <f>IF(Table4[[#This Row],[Performance_Deviation]] &lt; 0, "Underperforming", "Outperforming")</f>
        <v>Outperforming</v>
      </c>
      <c r="N2613">
        <f>IF(Table4[[#This Row],[Performance_Ratio]] &lt; 0.85, Table4[[#This Row],[Performance_Deviation]] * 50 / 1000, 0)</f>
        <v>0</v>
      </c>
    </row>
    <row r="2614" spans="1:14" x14ac:dyDescent="0.3">
      <c r="A2614" s="4" t="s">
        <v>9</v>
      </c>
      <c r="B2614" s="3">
        <v>45307.833333333336</v>
      </c>
      <c r="C2614" s="4">
        <v>0</v>
      </c>
      <c r="D2614" s="4">
        <v>0</v>
      </c>
      <c r="E2614" s="4">
        <v>0</v>
      </c>
      <c r="F2614" s="4">
        <v>60.046741020120002</v>
      </c>
      <c r="G2614" s="4" t="str">
        <f t="shared" si="80"/>
        <v>OK</v>
      </c>
      <c r="H2614" s="4" t="str">
        <f t="shared" si="81"/>
        <v>ZERO</v>
      </c>
      <c r="I2614">
        <v>0</v>
      </c>
      <c r="J2614">
        <f>IFERROR(Table4[[#This Row],[energy_kwh]]/Table4[[#This Row],[expected_kwh]],0)</f>
        <v>0</v>
      </c>
      <c r="K2614" t="str">
        <f>IF(Table4[[#This Row],[Performance_Ratio]] &lt; 0.85, "Underperforming", "Performing")</f>
        <v>Underperforming</v>
      </c>
      <c r="L2614">
        <f>Table4[[#This Row],[energy_kwh]] - Table4[[#This Row],[expected_kwh]]</f>
        <v>0</v>
      </c>
      <c r="M2614" t="str">
        <f>IF(Table4[[#This Row],[Performance_Deviation]] &lt; 0, "Underperforming", "Outperforming")</f>
        <v>Outperforming</v>
      </c>
      <c r="N2614">
        <f>IF(Table4[[#This Row],[Performance_Ratio]] &lt; 0.85, Table4[[#This Row],[Performance_Deviation]] * 50 / 1000, 0)</f>
        <v>0</v>
      </c>
    </row>
    <row r="2615" spans="1:14" x14ac:dyDescent="0.3">
      <c r="A2615" s="6" t="s">
        <v>9</v>
      </c>
      <c r="B2615" s="5">
        <v>45307.875</v>
      </c>
      <c r="C2615" s="6">
        <v>0</v>
      </c>
      <c r="D2615" s="6">
        <v>0</v>
      </c>
      <c r="E2615" s="6">
        <v>0</v>
      </c>
      <c r="F2615" s="6">
        <v>56.436541914529897</v>
      </c>
      <c r="G2615" s="6" t="str">
        <f t="shared" si="80"/>
        <v>OK</v>
      </c>
      <c r="H2615" s="6" t="str">
        <f t="shared" si="81"/>
        <v>ZERO</v>
      </c>
      <c r="I2615">
        <v>0</v>
      </c>
      <c r="J2615">
        <f>IFERROR(Table4[[#This Row],[energy_kwh]]/Table4[[#This Row],[expected_kwh]],0)</f>
        <v>0</v>
      </c>
      <c r="K2615" t="str">
        <f>IF(Table4[[#This Row],[Performance_Ratio]] &lt; 0.85, "Underperforming", "Performing")</f>
        <v>Underperforming</v>
      </c>
      <c r="L2615">
        <f>Table4[[#This Row],[energy_kwh]] - Table4[[#This Row],[expected_kwh]]</f>
        <v>0</v>
      </c>
      <c r="M2615" t="str">
        <f>IF(Table4[[#This Row],[Performance_Deviation]] &lt; 0, "Underperforming", "Outperforming")</f>
        <v>Outperforming</v>
      </c>
      <c r="N2615">
        <f>IF(Table4[[#This Row],[Performance_Ratio]] &lt; 0.85, Table4[[#This Row],[Performance_Deviation]] * 50 / 1000, 0)</f>
        <v>0</v>
      </c>
    </row>
    <row r="2616" spans="1:14" x14ac:dyDescent="0.3">
      <c r="A2616" s="4" t="s">
        <v>9</v>
      </c>
      <c r="B2616" s="3">
        <v>45307.916666666664</v>
      </c>
      <c r="C2616" s="4">
        <v>0</v>
      </c>
      <c r="D2616" s="4">
        <v>0</v>
      </c>
      <c r="E2616" s="4">
        <v>0</v>
      </c>
      <c r="F2616" s="4">
        <v>61.588441676822299</v>
      </c>
      <c r="G2616" s="4" t="str">
        <f t="shared" si="80"/>
        <v>OK</v>
      </c>
      <c r="H2616" s="4" t="str">
        <f t="shared" si="81"/>
        <v>ZERO</v>
      </c>
      <c r="I2616">
        <v>0</v>
      </c>
      <c r="J2616">
        <f>IFERROR(Table4[[#This Row],[energy_kwh]]/Table4[[#This Row],[expected_kwh]],0)</f>
        <v>0</v>
      </c>
      <c r="K2616" t="str">
        <f>IF(Table4[[#This Row],[Performance_Ratio]] &lt; 0.85, "Underperforming", "Performing")</f>
        <v>Underperforming</v>
      </c>
      <c r="L2616">
        <f>Table4[[#This Row],[energy_kwh]] - Table4[[#This Row],[expected_kwh]]</f>
        <v>0</v>
      </c>
      <c r="M2616" t="str">
        <f>IF(Table4[[#This Row],[Performance_Deviation]] &lt; 0, "Underperforming", "Outperforming")</f>
        <v>Outperforming</v>
      </c>
      <c r="N2616">
        <f>IF(Table4[[#This Row],[Performance_Ratio]] &lt; 0.85, Table4[[#This Row],[Performance_Deviation]] * 50 / 1000, 0)</f>
        <v>0</v>
      </c>
    </row>
    <row r="2617" spans="1:14" x14ac:dyDescent="0.3">
      <c r="A2617" s="6" t="s">
        <v>9</v>
      </c>
      <c r="B2617" s="5">
        <v>45307.958333333336</v>
      </c>
      <c r="C2617" s="6">
        <v>0</v>
      </c>
      <c r="D2617" s="6">
        <v>0</v>
      </c>
      <c r="E2617" s="6">
        <v>0</v>
      </c>
      <c r="F2617" s="6">
        <v>68.159686014819499</v>
      </c>
      <c r="G2617" s="6" t="str">
        <f t="shared" si="80"/>
        <v>OK</v>
      </c>
      <c r="H2617" s="6" t="str">
        <f t="shared" si="81"/>
        <v>ZERO</v>
      </c>
      <c r="I2617">
        <v>0</v>
      </c>
      <c r="J2617">
        <f>IFERROR(Table4[[#This Row],[energy_kwh]]/Table4[[#This Row],[expected_kwh]],0)</f>
        <v>0</v>
      </c>
      <c r="K2617" t="str">
        <f>IF(Table4[[#This Row],[Performance_Ratio]] &lt; 0.85, "Underperforming", "Performing")</f>
        <v>Underperforming</v>
      </c>
      <c r="L2617">
        <f>Table4[[#This Row],[energy_kwh]] - Table4[[#This Row],[expected_kwh]]</f>
        <v>0</v>
      </c>
      <c r="M2617" t="str">
        <f>IF(Table4[[#This Row],[Performance_Deviation]] &lt; 0, "Underperforming", "Outperforming")</f>
        <v>Outperforming</v>
      </c>
      <c r="N2617">
        <f>IF(Table4[[#This Row],[Performance_Ratio]] &lt; 0.85, Table4[[#This Row],[Performance_Deviation]] * 50 / 1000, 0)</f>
        <v>0</v>
      </c>
    </row>
    <row r="2618" spans="1:14" x14ac:dyDescent="0.3">
      <c r="A2618" s="4" t="s">
        <v>9</v>
      </c>
      <c r="B2618" s="3">
        <v>45308</v>
      </c>
      <c r="C2618" s="4">
        <v>0</v>
      </c>
      <c r="D2618" s="4">
        <v>0</v>
      </c>
      <c r="E2618" s="4">
        <v>0</v>
      </c>
      <c r="F2618" s="4">
        <v>70.0433621474929</v>
      </c>
      <c r="G2618" s="4" t="str">
        <f t="shared" si="80"/>
        <v>OK</v>
      </c>
      <c r="H2618" s="4" t="str">
        <f t="shared" si="81"/>
        <v>ZERO</v>
      </c>
      <c r="I2618">
        <v>0</v>
      </c>
      <c r="J2618">
        <f>IFERROR(Table4[[#This Row],[energy_kwh]]/Table4[[#This Row],[expected_kwh]],0)</f>
        <v>0</v>
      </c>
      <c r="K2618" t="str">
        <f>IF(Table4[[#This Row],[Performance_Ratio]] &lt; 0.85, "Underperforming", "Performing")</f>
        <v>Underperforming</v>
      </c>
      <c r="L2618">
        <f>Table4[[#This Row],[energy_kwh]] - Table4[[#This Row],[expected_kwh]]</f>
        <v>0</v>
      </c>
      <c r="M2618" t="str">
        <f>IF(Table4[[#This Row],[Performance_Deviation]] &lt; 0, "Underperforming", "Outperforming")</f>
        <v>Outperforming</v>
      </c>
      <c r="N2618">
        <f>IF(Table4[[#This Row],[Performance_Ratio]] &lt; 0.85, Table4[[#This Row],[Performance_Deviation]] * 50 / 1000, 0)</f>
        <v>0</v>
      </c>
    </row>
    <row r="2619" spans="1:14" x14ac:dyDescent="0.3">
      <c r="A2619" s="6" t="s">
        <v>9</v>
      </c>
      <c r="B2619" s="5">
        <v>45308.041666666664</v>
      </c>
      <c r="C2619" s="6">
        <v>0</v>
      </c>
      <c r="D2619" s="6">
        <v>0</v>
      </c>
      <c r="E2619" s="6">
        <v>0</v>
      </c>
      <c r="F2619" s="6">
        <v>65.571768191295405</v>
      </c>
      <c r="G2619" s="6" t="str">
        <f t="shared" si="80"/>
        <v>OK</v>
      </c>
      <c r="H2619" s="6" t="str">
        <f t="shared" si="81"/>
        <v>ZERO</v>
      </c>
      <c r="I2619">
        <v>0</v>
      </c>
      <c r="J2619">
        <f>IFERROR(Table4[[#This Row],[energy_kwh]]/Table4[[#This Row],[expected_kwh]],0)</f>
        <v>0</v>
      </c>
      <c r="K2619" t="str">
        <f>IF(Table4[[#This Row],[Performance_Ratio]] &lt; 0.85, "Underperforming", "Performing")</f>
        <v>Underperforming</v>
      </c>
      <c r="L2619">
        <f>Table4[[#This Row],[energy_kwh]] - Table4[[#This Row],[expected_kwh]]</f>
        <v>0</v>
      </c>
      <c r="M2619" t="str">
        <f>IF(Table4[[#This Row],[Performance_Deviation]] &lt; 0, "Underperforming", "Outperforming")</f>
        <v>Outperforming</v>
      </c>
      <c r="N2619">
        <f>IF(Table4[[#This Row],[Performance_Ratio]] &lt; 0.85, Table4[[#This Row],[Performance_Deviation]] * 50 / 1000, 0)</f>
        <v>0</v>
      </c>
    </row>
    <row r="2620" spans="1:14" x14ac:dyDescent="0.3">
      <c r="A2620" s="4" t="s">
        <v>9</v>
      </c>
      <c r="B2620" s="3">
        <v>45308.083333333336</v>
      </c>
      <c r="C2620" s="4">
        <v>0</v>
      </c>
      <c r="D2620" s="4">
        <v>0</v>
      </c>
      <c r="E2620" s="4">
        <v>0</v>
      </c>
      <c r="F2620" s="4">
        <v>39.888565634774203</v>
      </c>
      <c r="G2620" s="4" t="str">
        <f t="shared" si="80"/>
        <v>OK</v>
      </c>
      <c r="H2620" s="4" t="str">
        <f t="shared" si="81"/>
        <v>ZERO</v>
      </c>
      <c r="I2620">
        <v>0</v>
      </c>
      <c r="J2620">
        <f>IFERROR(Table4[[#This Row],[energy_kwh]]/Table4[[#This Row],[expected_kwh]],0)</f>
        <v>0</v>
      </c>
      <c r="K2620" t="str">
        <f>IF(Table4[[#This Row],[Performance_Ratio]] &lt; 0.85, "Underperforming", "Performing")</f>
        <v>Underperforming</v>
      </c>
      <c r="L2620">
        <f>Table4[[#This Row],[energy_kwh]] - Table4[[#This Row],[expected_kwh]]</f>
        <v>0</v>
      </c>
      <c r="M2620" t="str">
        <f>IF(Table4[[#This Row],[Performance_Deviation]] &lt; 0, "Underperforming", "Outperforming")</f>
        <v>Outperforming</v>
      </c>
      <c r="N2620">
        <f>IF(Table4[[#This Row],[Performance_Ratio]] &lt; 0.85, Table4[[#This Row],[Performance_Deviation]] * 50 / 1000, 0)</f>
        <v>0</v>
      </c>
    </row>
    <row r="2621" spans="1:14" x14ac:dyDescent="0.3">
      <c r="A2621" s="6" t="s">
        <v>9</v>
      </c>
      <c r="B2621" s="5">
        <v>45308.125</v>
      </c>
      <c r="C2621" s="6">
        <v>0</v>
      </c>
      <c r="D2621" s="6">
        <v>0</v>
      </c>
      <c r="E2621" s="6">
        <v>0</v>
      </c>
      <c r="F2621" s="6">
        <v>56.6045117202247</v>
      </c>
      <c r="G2621" s="6" t="str">
        <f t="shared" si="80"/>
        <v>OK</v>
      </c>
      <c r="H2621" s="6" t="str">
        <f t="shared" si="81"/>
        <v>ZERO</v>
      </c>
      <c r="I2621">
        <v>0</v>
      </c>
      <c r="J2621">
        <f>IFERROR(Table4[[#This Row],[energy_kwh]]/Table4[[#This Row],[expected_kwh]],0)</f>
        <v>0</v>
      </c>
      <c r="K2621" t="str">
        <f>IF(Table4[[#This Row],[Performance_Ratio]] &lt; 0.85, "Underperforming", "Performing")</f>
        <v>Underperforming</v>
      </c>
      <c r="L2621">
        <f>Table4[[#This Row],[energy_kwh]] - Table4[[#This Row],[expected_kwh]]</f>
        <v>0</v>
      </c>
      <c r="M2621" t="str">
        <f>IF(Table4[[#This Row],[Performance_Deviation]] &lt; 0, "Underperforming", "Outperforming")</f>
        <v>Outperforming</v>
      </c>
      <c r="N2621">
        <f>IF(Table4[[#This Row],[Performance_Ratio]] &lt; 0.85, Table4[[#This Row],[Performance_Deviation]] * 50 / 1000, 0)</f>
        <v>0</v>
      </c>
    </row>
    <row r="2622" spans="1:14" x14ac:dyDescent="0.3">
      <c r="A2622" s="4" t="s">
        <v>9</v>
      </c>
      <c r="B2622" s="3">
        <v>45308.166666666664</v>
      </c>
      <c r="C2622" s="4">
        <v>0</v>
      </c>
      <c r="D2622" s="4">
        <v>0</v>
      </c>
      <c r="E2622" s="4">
        <v>0</v>
      </c>
      <c r="F2622" s="4">
        <v>88.660474068013599</v>
      </c>
      <c r="G2622" s="4" t="str">
        <f t="shared" si="80"/>
        <v>OK</v>
      </c>
      <c r="H2622" s="4" t="str">
        <f t="shared" si="81"/>
        <v>ZERO</v>
      </c>
      <c r="I2622">
        <v>0</v>
      </c>
      <c r="J2622">
        <f>IFERROR(Table4[[#This Row],[energy_kwh]]/Table4[[#This Row],[expected_kwh]],0)</f>
        <v>0</v>
      </c>
      <c r="K2622" t="str">
        <f>IF(Table4[[#This Row],[Performance_Ratio]] &lt; 0.85, "Underperforming", "Performing")</f>
        <v>Underperforming</v>
      </c>
      <c r="L2622">
        <f>Table4[[#This Row],[energy_kwh]] - Table4[[#This Row],[expected_kwh]]</f>
        <v>0</v>
      </c>
      <c r="M2622" t="str">
        <f>IF(Table4[[#This Row],[Performance_Deviation]] &lt; 0, "Underperforming", "Outperforming")</f>
        <v>Outperforming</v>
      </c>
      <c r="N2622">
        <f>IF(Table4[[#This Row],[Performance_Ratio]] &lt; 0.85, Table4[[#This Row],[Performance_Deviation]] * 50 / 1000, 0)</f>
        <v>0</v>
      </c>
    </row>
    <row r="2623" spans="1:14" x14ac:dyDescent="0.3">
      <c r="A2623" s="6" t="s">
        <v>9</v>
      </c>
      <c r="B2623" s="5">
        <v>45308.208333333336</v>
      </c>
      <c r="C2623" s="6">
        <v>0</v>
      </c>
      <c r="D2623" s="6">
        <v>0</v>
      </c>
      <c r="E2623" s="6">
        <v>0</v>
      </c>
      <c r="F2623" s="6">
        <v>21.860699753192399</v>
      </c>
      <c r="G2623" s="6" t="str">
        <f t="shared" si="80"/>
        <v>OK</v>
      </c>
      <c r="H2623" s="6" t="str">
        <f t="shared" si="81"/>
        <v>ZERO</v>
      </c>
      <c r="I2623">
        <v>0</v>
      </c>
      <c r="J2623">
        <f>IFERROR(Table4[[#This Row],[energy_kwh]]/Table4[[#This Row],[expected_kwh]],0)</f>
        <v>0</v>
      </c>
      <c r="K2623" t="str">
        <f>IF(Table4[[#This Row],[Performance_Ratio]] &lt; 0.85, "Underperforming", "Performing")</f>
        <v>Underperforming</v>
      </c>
      <c r="L2623">
        <f>Table4[[#This Row],[energy_kwh]] - Table4[[#This Row],[expected_kwh]]</f>
        <v>0</v>
      </c>
      <c r="M2623" t="str">
        <f>IF(Table4[[#This Row],[Performance_Deviation]] &lt; 0, "Underperforming", "Outperforming")</f>
        <v>Outperforming</v>
      </c>
      <c r="N2623">
        <f>IF(Table4[[#This Row],[Performance_Ratio]] &lt; 0.85, Table4[[#This Row],[Performance_Deviation]] * 50 / 1000, 0)</f>
        <v>0</v>
      </c>
    </row>
    <row r="2624" spans="1:14" x14ac:dyDescent="0.3">
      <c r="A2624" s="4" t="s">
        <v>9</v>
      </c>
      <c r="B2624" s="3">
        <v>45308.25</v>
      </c>
      <c r="C2624" s="4">
        <v>0</v>
      </c>
      <c r="D2624" s="4">
        <v>0</v>
      </c>
      <c r="E2624" s="4">
        <v>0</v>
      </c>
      <c r="F2624" s="4">
        <v>23.297873121609101</v>
      </c>
      <c r="G2624" s="4" t="str">
        <f t="shared" si="80"/>
        <v>OK</v>
      </c>
      <c r="H2624" s="4" t="str">
        <f t="shared" si="81"/>
        <v>ZERO</v>
      </c>
      <c r="I2624">
        <v>0</v>
      </c>
      <c r="J2624">
        <f>IFERROR(Table4[[#This Row],[energy_kwh]]/Table4[[#This Row],[expected_kwh]],0)</f>
        <v>0</v>
      </c>
      <c r="K2624" t="str">
        <f>IF(Table4[[#This Row],[Performance_Ratio]] &lt; 0.85, "Underperforming", "Performing")</f>
        <v>Underperforming</v>
      </c>
      <c r="L2624">
        <f>Table4[[#This Row],[energy_kwh]] - Table4[[#This Row],[expected_kwh]]</f>
        <v>0</v>
      </c>
      <c r="M2624" t="str">
        <f>IF(Table4[[#This Row],[Performance_Deviation]] &lt; 0, "Underperforming", "Outperforming")</f>
        <v>Outperforming</v>
      </c>
      <c r="N2624">
        <f>IF(Table4[[#This Row],[Performance_Ratio]] &lt; 0.85, Table4[[#This Row],[Performance_Deviation]] * 50 / 1000, 0)</f>
        <v>0</v>
      </c>
    </row>
    <row r="2625" spans="1:14" x14ac:dyDescent="0.3">
      <c r="A2625" s="6" t="s">
        <v>9</v>
      </c>
      <c r="B2625" s="5">
        <v>45308.291666666664</v>
      </c>
      <c r="C2625" s="6">
        <v>230.33704919589599</v>
      </c>
      <c r="D2625" s="6">
        <v>222.032555393184</v>
      </c>
      <c r="E2625" s="6">
        <v>222.032555393184</v>
      </c>
      <c r="F2625" s="6">
        <v>52.4170306618281</v>
      </c>
      <c r="G2625" s="6" t="str">
        <f t="shared" si="80"/>
        <v>OK</v>
      </c>
      <c r="H2625" s="6" t="str">
        <f t="shared" si="81"/>
        <v>NON-ZERO</v>
      </c>
      <c r="I2625">
        <v>248.466283298419</v>
      </c>
      <c r="J2625">
        <f>IFERROR(Table4[[#This Row],[energy_kwh]]/Table4[[#This Row],[expected_kwh]],0)</f>
        <v>0.89361241471348074</v>
      </c>
      <c r="K2625" t="str">
        <f>IF(Table4[[#This Row],[Performance_Ratio]] &lt; 0.85, "Underperforming", "Performing")</f>
        <v>Performing</v>
      </c>
      <c r="L2625">
        <f>Table4[[#This Row],[energy_kwh]] - Table4[[#This Row],[expected_kwh]]</f>
        <v>-26.433727905235003</v>
      </c>
      <c r="M2625" t="str">
        <f>IF(Table4[[#This Row],[Performance_Deviation]] &lt; 0, "Underperforming", "Outperforming")</f>
        <v>Underperforming</v>
      </c>
      <c r="N2625">
        <f>IF(Table4[[#This Row],[Performance_Ratio]] &lt; 0.85, Table4[[#This Row],[Performance_Deviation]] * 50 / 1000, 0)</f>
        <v>0</v>
      </c>
    </row>
    <row r="2626" spans="1:14" x14ac:dyDescent="0.3">
      <c r="A2626" s="4" t="s">
        <v>9</v>
      </c>
      <c r="B2626" s="3">
        <v>45308.333333333336</v>
      </c>
      <c r="C2626" s="4">
        <v>429.83655859641902</v>
      </c>
      <c r="D2626" s="4">
        <v>414.33937718550601</v>
      </c>
      <c r="E2626" s="4">
        <v>414.33937718550601</v>
      </c>
      <c r="F2626" s="4">
        <v>50.108266194500203</v>
      </c>
      <c r="G2626" s="4" t="str">
        <f t="shared" ref="G2626:G2689" si="82">IF(D2626 &gt; C2626, "ERROR", "OK")</f>
        <v>OK</v>
      </c>
      <c r="H2626" s="4" t="str">
        <f t="shared" ref="H2626:H2689" si="83">IF(E2626=0,"ZERO","NON-ZERO")</f>
        <v>NON-ZERO</v>
      </c>
      <c r="I2626">
        <v>479.99999999999898</v>
      </c>
      <c r="J2626">
        <f>IFERROR(Table4[[#This Row],[energy_kwh]]/Table4[[#This Row],[expected_kwh]],0)</f>
        <v>0.8632070358031394</v>
      </c>
      <c r="K2626" t="str">
        <f>IF(Table4[[#This Row],[Performance_Ratio]] &lt; 0.85, "Underperforming", "Performing")</f>
        <v>Performing</v>
      </c>
      <c r="L2626">
        <f>Table4[[#This Row],[energy_kwh]] - Table4[[#This Row],[expected_kwh]]</f>
        <v>-65.660622814492967</v>
      </c>
      <c r="M2626" t="str">
        <f>IF(Table4[[#This Row],[Performance_Deviation]] &lt; 0, "Underperforming", "Outperforming")</f>
        <v>Underperforming</v>
      </c>
      <c r="N2626">
        <f>IF(Table4[[#This Row],[Performance_Ratio]] &lt; 0.85, Table4[[#This Row],[Performance_Deviation]] * 50 / 1000, 0)</f>
        <v>0</v>
      </c>
    </row>
    <row r="2627" spans="1:14" x14ac:dyDescent="0.3">
      <c r="A2627" s="6" t="s">
        <v>9</v>
      </c>
      <c r="B2627" s="5">
        <v>45308.375</v>
      </c>
      <c r="C2627" s="6">
        <v>732.91705888807303</v>
      </c>
      <c r="D2627" s="6">
        <v>706.49271597543202</v>
      </c>
      <c r="E2627" s="6">
        <v>706.49271597543202</v>
      </c>
      <c r="F2627" s="6">
        <v>51.012285279752803</v>
      </c>
      <c r="G2627" s="6" t="str">
        <f t="shared" si="82"/>
        <v>OK</v>
      </c>
      <c r="H2627" s="6" t="str">
        <f t="shared" si="83"/>
        <v>NON-ZERO</v>
      </c>
      <c r="I2627">
        <v>678.82250993908497</v>
      </c>
      <c r="J2627">
        <f>IFERROR(Table4[[#This Row],[energy_kwh]]/Table4[[#This Row],[expected_kwh]],0)</f>
        <v>1.040762063177354</v>
      </c>
      <c r="K2627" t="str">
        <f>IF(Table4[[#This Row],[Performance_Ratio]] &lt; 0.85, "Underperforming", "Performing")</f>
        <v>Performing</v>
      </c>
      <c r="L2627">
        <f>Table4[[#This Row],[energy_kwh]] - Table4[[#This Row],[expected_kwh]]</f>
        <v>27.670206036347054</v>
      </c>
      <c r="M2627" t="str">
        <f>IF(Table4[[#This Row],[Performance_Deviation]] &lt; 0, "Underperforming", "Outperforming")</f>
        <v>Outperforming</v>
      </c>
      <c r="N2627">
        <f>IF(Table4[[#This Row],[Performance_Ratio]] &lt; 0.85, Table4[[#This Row],[Performance_Deviation]] * 50 / 1000, 0)</f>
        <v>0</v>
      </c>
    </row>
    <row r="2628" spans="1:14" x14ac:dyDescent="0.3">
      <c r="A2628" s="4" t="s">
        <v>9</v>
      </c>
      <c r="B2628" s="3">
        <v>45308.416666666664</v>
      </c>
      <c r="C2628" s="4">
        <v>889.43703355290302</v>
      </c>
      <c r="D2628" s="4">
        <v>857.36957259154894</v>
      </c>
      <c r="E2628" s="4">
        <v>857.36957259154894</v>
      </c>
      <c r="F2628" s="4">
        <v>53.010815490345202</v>
      </c>
      <c r="G2628" s="4" t="str">
        <f t="shared" si="82"/>
        <v>OK</v>
      </c>
      <c r="H2628" s="4" t="str">
        <f t="shared" si="83"/>
        <v>NON-ZERO</v>
      </c>
      <c r="I2628">
        <v>831.38438763306101</v>
      </c>
      <c r="J2628">
        <f>IFERROR(Table4[[#This Row],[energy_kwh]]/Table4[[#This Row],[expected_kwh]],0)</f>
        <v>1.0312553198556775</v>
      </c>
      <c r="K2628" t="str">
        <f>IF(Table4[[#This Row],[Performance_Ratio]] &lt; 0.85, "Underperforming", "Performing")</f>
        <v>Performing</v>
      </c>
      <c r="L2628">
        <f>Table4[[#This Row],[energy_kwh]] - Table4[[#This Row],[expected_kwh]]</f>
        <v>25.985184958487935</v>
      </c>
      <c r="M2628" t="str">
        <f>IF(Table4[[#This Row],[Performance_Deviation]] &lt; 0, "Underperforming", "Outperforming")</f>
        <v>Outperforming</v>
      </c>
      <c r="N2628">
        <f>IF(Table4[[#This Row],[Performance_Ratio]] &lt; 0.85, Table4[[#This Row],[Performance_Deviation]] * 50 / 1000, 0)</f>
        <v>0</v>
      </c>
    </row>
    <row r="2629" spans="1:14" x14ac:dyDescent="0.3">
      <c r="A2629" s="6" t="s">
        <v>9</v>
      </c>
      <c r="B2629" s="5">
        <v>45308.458333333336</v>
      </c>
      <c r="C2629" s="6">
        <v>839.02144290466401</v>
      </c>
      <c r="D2629" s="6">
        <v>808.77164853910904</v>
      </c>
      <c r="E2629" s="6">
        <v>808.77164853910904</v>
      </c>
      <c r="F2629" s="6">
        <v>28.2939757972966</v>
      </c>
      <c r="G2629" s="6" t="str">
        <f t="shared" si="82"/>
        <v>OK</v>
      </c>
      <c r="H2629" s="6" t="str">
        <f t="shared" si="83"/>
        <v>NON-ZERO</v>
      </c>
      <c r="I2629">
        <v>927.28879323750505</v>
      </c>
      <c r="J2629">
        <f>IFERROR(Table4[[#This Row],[energy_kwh]]/Table4[[#This Row],[expected_kwh]],0)</f>
        <v>0.87218960742034934</v>
      </c>
      <c r="K2629" t="str">
        <f>IF(Table4[[#This Row],[Performance_Ratio]] &lt; 0.85, "Underperforming", "Performing")</f>
        <v>Performing</v>
      </c>
      <c r="L2629">
        <f>Table4[[#This Row],[energy_kwh]] - Table4[[#This Row],[expected_kwh]]</f>
        <v>-118.51714469839601</v>
      </c>
      <c r="M2629" t="str">
        <f>IF(Table4[[#This Row],[Performance_Deviation]] &lt; 0, "Underperforming", "Outperforming")</f>
        <v>Underperforming</v>
      </c>
      <c r="N2629">
        <f>IF(Table4[[#This Row],[Performance_Ratio]] &lt; 0.85, Table4[[#This Row],[Performance_Deviation]] * 50 / 1000, 0)</f>
        <v>0</v>
      </c>
    </row>
    <row r="2630" spans="1:14" x14ac:dyDescent="0.3">
      <c r="A2630" s="4" t="s">
        <v>9</v>
      </c>
      <c r="B2630" s="3">
        <v>45308.5</v>
      </c>
      <c r="C2630" s="4">
        <v>834.21142651795003</v>
      </c>
      <c r="D2630" s="4">
        <v>804.13505085083602</v>
      </c>
      <c r="E2630" s="4">
        <v>804.13505085083602</v>
      </c>
      <c r="F2630" s="4">
        <v>85.715252166873796</v>
      </c>
      <c r="G2630" s="4" t="str">
        <f t="shared" si="82"/>
        <v>OK</v>
      </c>
      <c r="H2630" s="4" t="str">
        <f t="shared" si="83"/>
        <v>NON-ZERO</v>
      </c>
      <c r="I2630">
        <v>960</v>
      </c>
      <c r="J2630">
        <f>IFERROR(Table4[[#This Row],[energy_kwh]]/Table4[[#This Row],[expected_kwh]],0)</f>
        <v>0.83764067796962083</v>
      </c>
      <c r="K2630" t="str">
        <f>IF(Table4[[#This Row],[Performance_Ratio]] &lt; 0.85, "Underperforming", "Performing")</f>
        <v>Underperforming</v>
      </c>
      <c r="L2630">
        <f>Table4[[#This Row],[energy_kwh]] - Table4[[#This Row],[expected_kwh]]</f>
        <v>-155.86494914916398</v>
      </c>
      <c r="M2630" t="str">
        <f>IF(Table4[[#This Row],[Performance_Deviation]] &lt; 0, "Underperforming", "Outperforming")</f>
        <v>Underperforming</v>
      </c>
      <c r="N2630">
        <f>IF(Table4[[#This Row],[Performance_Ratio]] &lt; 0.85, Table4[[#This Row],[Performance_Deviation]] * 50 / 1000, 0)</f>
        <v>-7.7932474574581994</v>
      </c>
    </row>
    <row r="2631" spans="1:14" x14ac:dyDescent="0.3">
      <c r="A2631" s="6" t="s">
        <v>9</v>
      </c>
      <c r="B2631" s="5">
        <v>45308.541666666664</v>
      </c>
      <c r="C2631" s="6">
        <v>911.562717322916</v>
      </c>
      <c r="D2631" s="6">
        <v>878.69754446766399</v>
      </c>
      <c r="E2631" s="6">
        <v>878.69754446766399</v>
      </c>
      <c r="F2631" s="6">
        <v>37.322476116202303</v>
      </c>
      <c r="G2631" s="6" t="str">
        <f t="shared" si="82"/>
        <v>OK</v>
      </c>
      <c r="H2631" s="6" t="str">
        <f t="shared" si="83"/>
        <v>NON-ZERO</v>
      </c>
      <c r="I2631">
        <v>927.28879323750505</v>
      </c>
      <c r="J2631">
        <f>IFERROR(Table4[[#This Row],[energy_kwh]]/Table4[[#This Row],[expected_kwh]],0)</f>
        <v>0.94759858080437787</v>
      </c>
      <c r="K2631" t="str">
        <f>IF(Table4[[#This Row],[Performance_Ratio]] &lt; 0.85, "Underperforming", "Performing")</f>
        <v>Performing</v>
      </c>
      <c r="L2631">
        <f>Table4[[#This Row],[energy_kwh]] - Table4[[#This Row],[expected_kwh]]</f>
        <v>-48.591248769841059</v>
      </c>
      <c r="M2631" t="str">
        <f>IF(Table4[[#This Row],[Performance_Deviation]] &lt; 0, "Underperforming", "Outperforming")</f>
        <v>Underperforming</v>
      </c>
      <c r="N2631">
        <f>IF(Table4[[#This Row],[Performance_Ratio]] &lt; 0.85, Table4[[#This Row],[Performance_Deviation]] * 50 / 1000, 0)</f>
        <v>0</v>
      </c>
    </row>
    <row r="2632" spans="1:14" x14ac:dyDescent="0.3">
      <c r="A2632" s="4" t="s">
        <v>9</v>
      </c>
      <c r="B2632" s="3">
        <v>45308.583333333336</v>
      </c>
      <c r="C2632" s="4">
        <v>785.32441699439698</v>
      </c>
      <c r="D2632" s="4">
        <v>757.01059697796495</v>
      </c>
      <c r="E2632" s="4">
        <v>757.01059697796495</v>
      </c>
      <c r="F2632" s="4">
        <v>77.997803008578103</v>
      </c>
      <c r="G2632" s="4" t="str">
        <f t="shared" si="82"/>
        <v>OK</v>
      </c>
      <c r="H2632" s="4" t="str">
        <f t="shared" si="83"/>
        <v>NON-ZERO</v>
      </c>
      <c r="I2632">
        <v>831.38438763306101</v>
      </c>
      <c r="J2632">
        <f>IFERROR(Table4[[#This Row],[energy_kwh]]/Table4[[#This Row],[expected_kwh]],0)</f>
        <v>0.91054223321797378</v>
      </c>
      <c r="K2632" t="str">
        <f>IF(Table4[[#This Row],[Performance_Ratio]] &lt; 0.85, "Underperforming", "Performing")</f>
        <v>Performing</v>
      </c>
      <c r="L2632">
        <f>Table4[[#This Row],[energy_kwh]] - Table4[[#This Row],[expected_kwh]]</f>
        <v>-74.373790655096059</v>
      </c>
      <c r="M2632" t="str">
        <f>IF(Table4[[#This Row],[Performance_Deviation]] &lt; 0, "Underperforming", "Outperforming")</f>
        <v>Underperforming</v>
      </c>
      <c r="N2632">
        <f>IF(Table4[[#This Row],[Performance_Ratio]] &lt; 0.85, Table4[[#This Row],[Performance_Deviation]] * 50 / 1000, 0)</f>
        <v>0</v>
      </c>
    </row>
    <row r="2633" spans="1:14" x14ac:dyDescent="0.3">
      <c r="A2633" s="6" t="s">
        <v>9</v>
      </c>
      <c r="B2633" s="5">
        <v>45308.625</v>
      </c>
      <c r="C2633" s="6">
        <v>649.05253425065803</v>
      </c>
      <c r="D2633" s="6">
        <v>625.65181444836799</v>
      </c>
      <c r="E2633" s="6">
        <v>625.65181444836799</v>
      </c>
      <c r="F2633" s="6">
        <v>47.082473046985001</v>
      </c>
      <c r="G2633" s="6" t="str">
        <f t="shared" si="82"/>
        <v>OK</v>
      </c>
      <c r="H2633" s="6" t="str">
        <f t="shared" si="83"/>
        <v>NON-ZERO</v>
      </c>
      <c r="I2633">
        <v>678.82250993908497</v>
      </c>
      <c r="J2633">
        <f>IFERROR(Table4[[#This Row],[energy_kwh]]/Table4[[#This Row],[expected_kwh]],0)</f>
        <v>0.92167216803772711</v>
      </c>
      <c r="K2633" t="str">
        <f>IF(Table4[[#This Row],[Performance_Ratio]] &lt; 0.85, "Underperforming", "Performing")</f>
        <v>Performing</v>
      </c>
      <c r="L2633">
        <f>Table4[[#This Row],[energy_kwh]] - Table4[[#This Row],[expected_kwh]]</f>
        <v>-53.17069549071698</v>
      </c>
      <c r="M2633" t="str">
        <f>IF(Table4[[#This Row],[Performance_Deviation]] &lt; 0, "Underperforming", "Outperforming")</f>
        <v>Underperforming</v>
      </c>
      <c r="N2633">
        <f>IF(Table4[[#This Row],[Performance_Ratio]] &lt; 0.85, Table4[[#This Row],[Performance_Deviation]] * 50 / 1000, 0)</f>
        <v>0</v>
      </c>
    </row>
    <row r="2634" spans="1:14" x14ac:dyDescent="0.3">
      <c r="A2634" s="4" t="s">
        <v>9</v>
      </c>
      <c r="B2634" s="3">
        <v>45308.666666666664</v>
      </c>
      <c r="C2634" s="4">
        <v>461.90382047151297</v>
      </c>
      <c r="D2634" s="4">
        <v>445.25049688355398</v>
      </c>
      <c r="E2634" s="4">
        <v>445.25049688355398</v>
      </c>
      <c r="F2634" s="4">
        <v>87.630625703048096</v>
      </c>
      <c r="G2634" s="4" t="str">
        <f t="shared" si="82"/>
        <v>OK</v>
      </c>
      <c r="H2634" s="4" t="str">
        <f t="shared" si="83"/>
        <v>NON-ZERO</v>
      </c>
      <c r="I2634">
        <v>479.99999999999898</v>
      </c>
      <c r="J2634">
        <f>IFERROR(Table4[[#This Row],[energy_kwh]]/Table4[[#This Row],[expected_kwh]],0)</f>
        <v>0.92760520184073947</v>
      </c>
      <c r="K2634" t="str">
        <f>IF(Table4[[#This Row],[Performance_Ratio]] &lt; 0.85, "Underperforming", "Performing")</f>
        <v>Performing</v>
      </c>
      <c r="L2634">
        <f>Table4[[#This Row],[energy_kwh]] - Table4[[#This Row],[expected_kwh]]</f>
        <v>-34.749503116444998</v>
      </c>
      <c r="M2634" t="str">
        <f>IF(Table4[[#This Row],[Performance_Deviation]] &lt; 0, "Underperforming", "Outperforming")</f>
        <v>Underperforming</v>
      </c>
      <c r="N2634">
        <f>IF(Table4[[#This Row],[Performance_Ratio]] &lt; 0.85, Table4[[#This Row],[Performance_Deviation]] * 50 / 1000, 0)</f>
        <v>0</v>
      </c>
    </row>
    <row r="2635" spans="1:14" x14ac:dyDescent="0.3">
      <c r="A2635" s="6" t="s">
        <v>9</v>
      </c>
      <c r="B2635" s="5">
        <v>45308.708333333336</v>
      </c>
      <c r="C2635" s="6">
        <v>256.05975137453402</v>
      </c>
      <c r="D2635" s="6">
        <v>246.82785999693201</v>
      </c>
      <c r="E2635" s="6">
        <v>246.82785999693201</v>
      </c>
      <c r="F2635" s="6">
        <v>21.865691151095401</v>
      </c>
      <c r="G2635" s="6" t="str">
        <f t="shared" si="82"/>
        <v>OK</v>
      </c>
      <c r="H2635" s="6" t="str">
        <f t="shared" si="83"/>
        <v>NON-ZERO</v>
      </c>
      <c r="I2635">
        <v>248.46628329842</v>
      </c>
      <c r="J2635">
        <f>IFERROR(Table4[[#This Row],[energy_kwh]]/Table4[[#This Row],[expected_kwh]],0)</f>
        <v>0.99340585257791225</v>
      </c>
      <c r="K2635" t="str">
        <f>IF(Table4[[#This Row],[Performance_Ratio]] &lt; 0.85, "Underperforming", "Performing")</f>
        <v>Performing</v>
      </c>
      <c r="L2635">
        <f>Table4[[#This Row],[energy_kwh]] - Table4[[#This Row],[expected_kwh]]</f>
        <v>-1.6384233014879896</v>
      </c>
      <c r="M2635" t="str">
        <f>IF(Table4[[#This Row],[Performance_Deviation]] &lt; 0, "Underperforming", "Outperforming")</f>
        <v>Underperforming</v>
      </c>
      <c r="N2635">
        <f>IF(Table4[[#This Row],[Performance_Ratio]] &lt; 0.85, Table4[[#This Row],[Performance_Deviation]] * 50 / 1000, 0)</f>
        <v>0</v>
      </c>
    </row>
    <row r="2636" spans="1:14" x14ac:dyDescent="0.3">
      <c r="A2636" s="4" t="s">
        <v>9</v>
      </c>
      <c r="B2636" s="3">
        <v>45308.75</v>
      </c>
      <c r="C2636" s="7">
        <v>1.18492777510161E-13</v>
      </c>
      <c r="D2636" s="7">
        <v>1.1422067912245199E-13</v>
      </c>
      <c r="E2636" s="7">
        <v>1.1422067912245199E-13</v>
      </c>
      <c r="F2636" s="4">
        <v>42.696671381141599</v>
      </c>
      <c r="G2636" s="4" t="str">
        <f t="shared" si="82"/>
        <v>OK</v>
      </c>
      <c r="H2636" s="4" t="str">
        <f t="shared" si="83"/>
        <v>NON-ZERO</v>
      </c>
      <c r="I2636" s="2">
        <v>1.1756609271814501E-13</v>
      </c>
      <c r="J2636">
        <f>IFERROR(Table4[[#This Row],[energy_kwh]]/Table4[[#This Row],[expected_kwh]],0)</f>
        <v>0.97154440095484529</v>
      </c>
      <c r="K2636" t="str">
        <f>IF(Table4[[#This Row],[Performance_Ratio]] &lt; 0.85, "Underperforming", "Performing")</f>
        <v>Performing</v>
      </c>
      <c r="L2636">
        <f>Table4[[#This Row],[energy_kwh]] - Table4[[#This Row],[expected_kwh]]</f>
        <v>-3.34541359569302E-15</v>
      </c>
      <c r="M2636" t="str">
        <f>IF(Table4[[#This Row],[Performance_Deviation]] &lt; 0, "Underperforming", "Outperforming")</f>
        <v>Underperforming</v>
      </c>
      <c r="N2636">
        <f>IF(Table4[[#This Row],[Performance_Ratio]] &lt; 0.85, Table4[[#This Row],[Performance_Deviation]] * 50 / 1000, 0)</f>
        <v>0</v>
      </c>
    </row>
    <row r="2637" spans="1:14" x14ac:dyDescent="0.3">
      <c r="A2637" s="6" t="s">
        <v>9</v>
      </c>
      <c r="B2637" s="5">
        <v>45308.791666666664</v>
      </c>
      <c r="C2637" s="6">
        <v>0</v>
      </c>
      <c r="D2637" s="6">
        <v>0</v>
      </c>
      <c r="E2637" s="6">
        <v>0</v>
      </c>
      <c r="F2637" s="6">
        <v>74.505112726500698</v>
      </c>
      <c r="G2637" s="6" t="str">
        <f t="shared" si="82"/>
        <v>OK</v>
      </c>
      <c r="H2637" s="6" t="str">
        <f t="shared" si="83"/>
        <v>ZERO</v>
      </c>
      <c r="I2637">
        <v>0</v>
      </c>
      <c r="J2637">
        <f>IFERROR(Table4[[#This Row],[energy_kwh]]/Table4[[#This Row],[expected_kwh]],0)</f>
        <v>0</v>
      </c>
      <c r="K2637" t="str">
        <f>IF(Table4[[#This Row],[Performance_Ratio]] &lt; 0.85, "Underperforming", "Performing")</f>
        <v>Underperforming</v>
      </c>
      <c r="L2637">
        <f>Table4[[#This Row],[energy_kwh]] - Table4[[#This Row],[expected_kwh]]</f>
        <v>0</v>
      </c>
      <c r="M2637" t="str">
        <f>IF(Table4[[#This Row],[Performance_Deviation]] &lt; 0, "Underperforming", "Outperforming")</f>
        <v>Outperforming</v>
      </c>
      <c r="N2637">
        <f>IF(Table4[[#This Row],[Performance_Ratio]] &lt; 0.85, Table4[[#This Row],[Performance_Deviation]] * 50 / 1000, 0)</f>
        <v>0</v>
      </c>
    </row>
    <row r="2638" spans="1:14" x14ac:dyDescent="0.3">
      <c r="A2638" s="4" t="s">
        <v>9</v>
      </c>
      <c r="B2638" s="3">
        <v>45308.833333333336</v>
      </c>
      <c r="C2638" s="4">
        <v>0</v>
      </c>
      <c r="D2638" s="4">
        <v>0</v>
      </c>
      <c r="E2638" s="4">
        <v>0</v>
      </c>
      <c r="F2638" s="4">
        <v>39.836965501060803</v>
      </c>
      <c r="G2638" s="4" t="str">
        <f t="shared" si="82"/>
        <v>OK</v>
      </c>
      <c r="H2638" s="4" t="str">
        <f t="shared" si="83"/>
        <v>ZERO</v>
      </c>
      <c r="I2638">
        <v>0</v>
      </c>
      <c r="J2638">
        <f>IFERROR(Table4[[#This Row],[energy_kwh]]/Table4[[#This Row],[expected_kwh]],0)</f>
        <v>0</v>
      </c>
      <c r="K2638" t="str">
        <f>IF(Table4[[#This Row],[Performance_Ratio]] &lt; 0.85, "Underperforming", "Performing")</f>
        <v>Underperforming</v>
      </c>
      <c r="L2638">
        <f>Table4[[#This Row],[energy_kwh]] - Table4[[#This Row],[expected_kwh]]</f>
        <v>0</v>
      </c>
      <c r="M2638" t="str">
        <f>IF(Table4[[#This Row],[Performance_Deviation]] &lt; 0, "Underperforming", "Outperforming")</f>
        <v>Outperforming</v>
      </c>
      <c r="N2638">
        <f>IF(Table4[[#This Row],[Performance_Ratio]] &lt; 0.85, Table4[[#This Row],[Performance_Deviation]] * 50 / 1000, 0)</f>
        <v>0</v>
      </c>
    </row>
    <row r="2639" spans="1:14" x14ac:dyDescent="0.3">
      <c r="A2639" s="6" t="s">
        <v>9</v>
      </c>
      <c r="B2639" s="5">
        <v>45308.875</v>
      </c>
      <c r="C2639" s="6">
        <v>0</v>
      </c>
      <c r="D2639" s="6">
        <v>0</v>
      </c>
      <c r="E2639" s="6">
        <v>0</v>
      </c>
      <c r="F2639" s="6">
        <v>62.2537805499624</v>
      </c>
      <c r="G2639" s="6" t="str">
        <f t="shared" si="82"/>
        <v>OK</v>
      </c>
      <c r="H2639" s="6" t="str">
        <f t="shared" si="83"/>
        <v>ZERO</v>
      </c>
      <c r="I2639">
        <v>0</v>
      </c>
      <c r="J2639">
        <f>IFERROR(Table4[[#This Row],[energy_kwh]]/Table4[[#This Row],[expected_kwh]],0)</f>
        <v>0</v>
      </c>
      <c r="K2639" t="str">
        <f>IF(Table4[[#This Row],[Performance_Ratio]] &lt; 0.85, "Underperforming", "Performing")</f>
        <v>Underperforming</v>
      </c>
      <c r="L2639">
        <f>Table4[[#This Row],[energy_kwh]] - Table4[[#This Row],[expected_kwh]]</f>
        <v>0</v>
      </c>
      <c r="M2639" t="str">
        <f>IF(Table4[[#This Row],[Performance_Deviation]] &lt; 0, "Underperforming", "Outperforming")</f>
        <v>Outperforming</v>
      </c>
      <c r="N2639">
        <f>IF(Table4[[#This Row],[Performance_Ratio]] &lt; 0.85, Table4[[#This Row],[Performance_Deviation]] * 50 / 1000, 0)</f>
        <v>0</v>
      </c>
    </row>
    <row r="2640" spans="1:14" x14ac:dyDescent="0.3">
      <c r="A2640" s="4" t="s">
        <v>9</v>
      </c>
      <c r="B2640" s="3">
        <v>45308.916666666664</v>
      </c>
      <c r="C2640" s="4">
        <v>0</v>
      </c>
      <c r="D2640" s="4">
        <v>0</v>
      </c>
      <c r="E2640" s="4">
        <v>0</v>
      </c>
      <c r="F2640" s="4">
        <v>77.101224215216902</v>
      </c>
      <c r="G2640" s="4" t="str">
        <f t="shared" si="82"/>
        <v>OK</v>
      </c>
      <c r="H2640" s="4" t="str">
        <f t="shared" si="83"/>
        <v>ZERO</v>
      </c>
      <c r="I2640">
        <v>0</v>
      </c>
      <c r="J2640">
        <f>IFERROR(Table4[[#This Row],[energy_kwh]]/Table4[[#This Row],[expected_kwh]],0)</f>
        <v>0</v>
      </c>
      <c r="K2640" t="str">
        <f>IF(Table4[[#This Row],[Performance_Ratio]] &lt; 0.85, "Underperforming", "Performing")</f>
        <v>Underperforming</v>
      </c>
      <c r="L2640">
        <f>Table4[[#This Row],[energy_kwh]] - Table4[[#This Row],[expected_kwh]]</f>
        <v>0</v>
      </c>
      <c r="M2640" t="str">
        <f>IF(Table4[[#This Row],[Performance_Deviation]] &lt; 0, "Underperforming", "Outperforming")</f>
        <v>Outperforming</v>
      </c>
      <c r="N2640">
        <f>IF(Table4[[#This Row],[Performance_Ratio]] &lt; 0.85, Table4[[#This Row],[Performance_Deviation]] * 50 / 1000, 0)</f>
        <v>0</v>
      </c>
    </row>
    <row r="2641" spans="1:14" x14ac:dyDescent="0.3">
      <c r="A2641" s="6" t="s">
        <v>9</v>
      </c>
      <c r="B2641" s="5">
        <v>45308.958333333336</v>
      </c>
      <c r="C2641" s="6">
        <v>0</v>
      </c>
      <c r="D2641" s="6">
        <v>0</v>
      </c>
      <c r="E2641" s="6">
        <v>0</v>
      </c>
      <c r="F2641" s="6">
        <v>92.434364758022497</v>
      </c>
      <c r="G2641" s="6" t="str">
        <f t="shared" si="82"/>
        <v>OK</v>
      </c>
      <c r="H2641" s="6" t="str">
        <f t="shared" si="83"/>
        <v>ZERO</v>
      </c>
      <c r="I2641">
        <v>0</v>
      </c>
      <c r="J2641">
        <f>IFERROR(Table4[[#This Row],[energy_kwh]]/Table4[[#This Row],[expected_kwh]],0)</f>
        <v>0</v>
      </c>
      <c r="K2641" t="str">
        <f>IF(Table4[[#This Row],[Performance_Ratio]] &lt; 0.85, "Underperforming", "Performing")</f>
        <v>Underperforming</v>
      </c>
      <c r="L2641">
        <f>Table4[[#This Row],[energy_kwh]] - Table4[[#This Row],[expected_kwh]]</f>
        <v>0</v>
      </c>
      <c r="M2641" t="str">
        <f>IF(Table4[[#This Row],[Performance_Deviation]] &lt; 0, "Underperforming", "Outperforming")</f>
        <v>Outperforming</v>
      </c>
      <c r="N2641">
        <f>IF(Table4[[#This Row],[Performance_Ratio]] &lt; 0.85, Table4[[#This Row],[Performance_Deviation]] * 50 / 1000, 0)</f>
        <v>0</v>
      </c>
    </row>
    <row r="2642" spans="1:14" x14ac:dyDescent="0.3">
      <c r="A2642" s="4" t="s">
        <v>9</v>
      </c>
      <c r="B2642" s="3">
        <v>45309</v>
      </c>
      <c r="C2642" s="4">
        <v>0</v>
      </c>
      <c r="D2642" s="4">
        <v>0</v>
      </c>
      <c r="E2642" s="4">
        <v>0</v>
      </c>
      <c r="F2642" s="4">
        <v>43.845449728011701</v>
      </c>
      <c r="G2642" s="4" t="str">
        <f t="shared" si="82"/>
        <v>OK</v>
      </c>
      <c r="H2642" s="4" t="str">
        <f t="shared" si="83"/>
        <v>ZERO</v>
      </c>
      <c r="I2642">
        <v>0</v>
      </c>
      <c r="J2642">
        <f>IFERROR(Table4[[#This Row],[energy_kwh]]/Table4[[#This Row],[expected_kwh]],0)</f>
        <v>0</v>
      </c>
      <c r="K2642" t="str">
        <f>IF(Table4[[#This Row],[Performance_Ratio]] &lt; 0.85, "Underperforming", "Performing")</f>
        <v>Underperforming</v>
      </c>
      <c r="L2642">
        <f>Table4[[#This Row],[energy_kwh]] - Table4[[#This Row],[expected_kwh]]</f>
        <v>0</v>
      </c>
      <c r="M2642" t="str">
        <f>IF(Table4[[#This Row],[Performance_Deviation]] &lt; 0, "Underperforming", "Outperforming")</f>
        <v>Outperforming</v>
      </c>
      <c r="N2642">
        <f>IF(Table4[[#This Row],[Performance_Ratio]] &lt; 0.85, Table4[[#This Row],[Performance_Deviation]] * 50 / 1000, 0)</f>
        <v>0</v>
      </c>
    </row>
    <row r="2643" spans="1:14" x14ac:dyDescent="0.3">
      <c r="A2643" s="6" t="s">
        <v>9</v>
      </c>
      <c r="B2643" s="5">
        <v>45309.041666666664</v>
      </c>
      <c r="C2643" s="6">
        <v>0</v>
      </c>
      <c r="D2643" s="6">
        <v>0</v>
      </c>
      <c r="E2643" s="6">
        <v>0</v>
      </c>
      <c r="F2643" s="6">
        <v>23.175120942686899</v>
      </c>
      <c r="G2643" s="6" t="str">
        <f t="shared" si="82"/>
        <v>OK</v>
      </c>
      <c r="H2643" s="6" t="str">
        <f t="shared" si="83"/>
        <v>ZERO</v>
      </c>
      <c r="I2643">
        <v>0</v>
      </c>
      <c r="J2643">
        <f>IFERROR(Table4[[#This Row],[energy_kwh]]/Table4[[#This Row],[expected_kwh]],0)</f>
        <v>0</v>
      </c>
      <c r="K2643" t="str">
        <f>IF(Table4[[#This Row],[Performance_Ratio]] &lt; 0.85, "Underperforming", "Performing")</f>
        <v>Underperforming</v>
      </c>
      <c r="L2643">
        <f>Table4[[#This Row],[energy_kwh]] - Table4[[#This Row],[expected_kwh]]</f>
        <v>0</v>
      </c>
      <c r="M2643" t="str">
        <f>IF(Table4[[#This Row],[Performance_Deviation]] &lt; 0, "Underperforming", "Outperforming")</f>
        <v>Outperforming</v>
      </c>
      <c r="N2643">
        <f>IF(Table4[[#This Row],[Performance_Ratio]] &lt; 0.85, Table4[[#This Row],[Performance_Deviation]] * 50 / 1000, 0)</f>
        <v>0</v>
      </c>
    </row>
    <row r="2644" spans="1:14" x14ac:dyDescent="0.3">
      <c r="A2644" s="4" t="s">
        <v>9</v>
      </c>
      <c r="B2644" s="3">
        <v>45309.083333333336</v>
      </c>
      <c r="C2644" s="4">
        <v>0</v>
      </c>
      <c r="D2644" s="4">
        <v>0</v>
      </c>
      <c r="E2644" s="4">
        <v>0</v>
      </c>
      <c r="F2644" s="4">
        <v>36.053934217057503</v>
      </c>
      <c r="G2644" s="4" t="str">
        <f t="shared" si="82"/>
        <v>OK</v>
      </c>
      <c r="H2644" s="4" t="str">
        <f t="shared" si="83"/>
        <v>ZERO</v>
      </c>
      <c r="I2644">
        <v>0</v>
      </c>
      <c r="J2644">
        <f>IFERROR(Table4[[#This Row],[energy_kwh]]/Table4[[#This Row],[expected_kwh]],0)</f>
        <v>0</v>
      </c>
      <c r="K2644" t="str">
        <f>IF(Table4[[#This Row],[Performance_Ratio]] &lt; 0.85, "Underperforming", "Performing")</f>
        <v>Underperforming</v>
      </c>
      <c r="L2644">
        <f>Table4[[#This Row],[energy_kwh]] - Table4[[#This Row],[expected_kwh]]</f>
        <v>0</v>
      </c>
      <c r="M2644" t="str">
        <f>IF(Table4[[#This Row],[Performance_Deviation]] &lt; 0, "Underperforming", "Outperforming")</f>
        <v>Outperforming</v>
      </c>
      <c r="N2644">
        <f>IF(Table4[[#This Row],[Performance_Ratio]] &lt; 0.85, Table4[[#This Row],[Performance_Deviation]] * 50 / 1000, 0)</f>
        <v>0</v>
      </c>
    </row>
    <row r="2645" spans="1:14" x14ac:dyDescent="0.3">
      <c r="A2645" s="6" t="s">
        <v>9</v>
      </c>
      <c r="B2645" s="5">
        <v>45309.125</v>
      </c>
      <c r="C2645" s="6">
        <v>0</v>
      </c>
      <c r="D2645" s="6">
        <v>0</v>
      </c>
      <c r="E2645" s="6">
        <v>0</v>
      </c>
      <c r="F2645" s="6">
        <v>61.136268931184297</v>
      </c>
      <c r="G2645" s="6" t="str">
        <f t="shared" si="82"/>
        <v>OK</v>
      </c>
      <c r="H2645" s="6" t="str">
        <f t="shared" si="83"/>
        <v>ZERO</v>
      </c>
      <c r="I2645">
        <v>0</v>
      </c>
      <c r="J2645">
        <f>IFERROR(Table4[[#This Row],[energy_kwh]]/Table4[[#This Row],[expected_kwh]],0)</f>
        <v>0</v>
      </c>
      <c r="K2645" t="str">
        <f>IF(Table4[[#This Row],[Performance_Ratio]] &lt; 0.85, "Underperforming", "Performing")</f>
        <v>Underperforming</v>
      </c>
      <c r="L2645">
        <f>Table4[[#This Row],[energy_kwh]] - Table4[[#This Row],[expected_kwh]]</f>
        <v>0</v>
      </c>
      <c r="M2645" t="str">
        <f>IF(Table4[[#This Row],[Performance_Deviation]] &lt; 0, "Underperforming", "Outperforming")</f>
        <v>Outperforming</v>
      </c>
      <c r="N2645">
        <f>IF(Table4[[#This Row],[Performance_Ratio]] &lt; 0.85, Table4[[#This Row],[Performance_Deviation]] * 50 / 1000, 0)</f>
        <v>0</v>
      </c>
    </row>
    <row r="2646" spans="1:14" x14ac:dyDescent="0.3">
      <c r="A2646" s="4" t="s">
        <v>9</v>
      </c>
      <c r="B2646" s="3">
        <v>45309.166666666664</v>
      </c>
      <c r="C2646" s="4">
        <v>0</v>
      </c>
      <c r="D2646" s="4">
        <v>0</v>
      </c>
      <c r="E2646" s="4">
        <v>0</v>
      </c>
      <c r="F2646" s="4">
        <v>58.165718855700099</v>
      </c>
      <c r="G2646" s="4" t="str">
        <f t="shared" si="82"/>
        <v>OK</v>
      </c>
      <c r="H2646" s="4" t="str">
        <f t="shared" si="83"/>
        <v>ZERO</v>
      </c>
      <c r="I2646">
        <v>0</v>
      </c>
      <c r="J2646">
        <f>IFERROR(Table4[[#This Row],[energy_kwh]]/Table4[[#This Row],[expected_kwh]],0)</f>
        <v>0</v>
      </c>
      <c r="K2646" t="str">
        <f>IF(Table4[[#This Row],[Performance_Ratio]] &lt; 0.85, "Underperforming", "Performing")</f>
        <v>Underperforming</v>
      </c>
      <c r="L2646">
        <f>Table4[[#This Row],[energy_kwh]] - Table4[[#This Row],[expected_kwh]]</f>
        <v>0</v>
      </c>
      <c r="M2646" t="str">
        <f>IF(Table4[[#This Row],[Performance_Deviation]] &lt; 0, "Underperforming", "Outperforming")</f>
        <v>Outperforming</v>
      </c>
      <c r="N2646">
        <f>IF(Table4[[#This Row],[Performance_Ratio]] &lt; 0.85, Table4[[#This Row],[Performance_Deviation]] * 50 / 1000, 0)</f>
        <v>0</v>
      </c>
    </row>
    <row r="2647" spans="1:14" x14ac:dyDescent="0.3">
      <c r="A2647" s="6" t="s">
        <v>9</v>
      </c>
      <c r="B2647" s="5">
        <v>45309.208333333336</v>
      </c>
      <c r="C2647" s="6">
        <v>0</v>
      </c>
      <c r="D2647" s="6">
        <v>0</v>
      </c>
      <c r="E2647" s="6">
        <v>0</v>
      </c>
      <c r="F2647" s="6">
        <v>90.862658976555295</v>
      </c>
      <c r="G2647" s="6" t="str">
        <f t="shared" si="82"/>
        <v>OK</v>
      </c>
      <c r="H2647" s="6" t="str">
        <f t="shared" si="83"/>
        <v>ZERO</v>
      </c>
      <c r="I2647">
        <v>0</v>
      </c>
      <c r="J2647">
        <f>IFERROR(Table4[[#This Row],[energy_kwh]]/Table4[[#This Row],[expected_kwh]],0)</f>
        <v>0</v>
      </c>
      <c r="K2647" t="str">
        <f>IF(Table4[[#This Row],[Performance_Ratio]] &lt; 0.85, "Underperforming", "Performing")</f>
        <v>Underperforming</v>
      </c>
      <c r="L2647">
        <f>Table4[[#This Row],[energy_kwh]] - Table4[[#This Row],[expected_kwh]]</f>
        <v>0</v>
      </c>
      <c r="M2647" t="str">
        <f>IF(Table4[[#This Row],[Performance_Deviation]] &lt; 0, "Underperforming", "Outperforming")</f>
        <v>Outperforming</v>
      </c>
      <c r="N2647">
        <f>IF(Table4[[#This Row],[Performance_Ratio]] &lt; 0.85, Table4[[#This Row],[Performance_Deviation]] * 50 / 1000, 0)</f>
        <v>0</v>
      </c>
    </row>
    <row r="2648" spans="1:14" x14ac:dyDescent="0.3">
      <c r="A2648" s="4" t="s">
        <v>9</v>
      </c>
      <c r="B2648" s="3">
        <v>45309.25</v>
      </c>
      <c r="C2648" s="4">
        <v>0</v>
      </c>
      <c r="D2648" s="4">
        <v>0</v>
      </c>
      <c r="E2648" s="4">
        <v>0</v>
      </c>
      <c r="F2648" s="4">
        <v>91.031566023166604</v>
      </c>
      <c r="G2648" s="4" t="str">
        <f t="shared" si="82"/>
        <v>OK</v>
      </c>
      <c r="H2648" s="4" t="str">
        <f t="shared" si="83"/>
        <v>ZERO</v>
      </c>
      <c r="I2648">
        <v>0</v>
      </c>
      <c r="J2648">
        <f>IFERROR(Table4[[#This Row],[energy_kwh]]/Table4[[#This Row],[expected_kwh]],0)</f>
        <v>0</v>
      </c>
      <c r="K2648" t="str">
        <f>IF(Table4[[#This Row],[Performance_Ratio]] &lt; 0.85, "Underperforming", "Performing")</f>
        <v>Underperforming</v>
      </c>
      <c r="L2648">
        <f>Table4[[#This Row],[energy_kwh]] - Table4[[#This Row],[expected_kwh]]</f>
        <v>0</v>
      </c>
      <c r="M2648" t="str">
        <f>IF(Table4[[#This Row],[Performance_Deviation]] &lt; 0, "Underperforming", "Outperforming")</f>
        <v>Outperforming</v>
      </c>
      <c r="N2648">
        <f>IF(Table4[[#This Row],[Performance_Ratio]] &lt; 0.85, Table4[[#This Row],[Performance_Deviation]] * 50 / 1000, 0)</f>
        <v>0</v>
      </c>
    </row>
    <row r="2649" spans="1:14" x14ac:dyDescent="0.3">
      <c r="A2649" s="6" t="s">
        <v>9</v>
      </c>
      <c r="B2649" s="5">
        <v>45309.291666666664</v>
      </c>
      <c r="C2649" s="6">
        <v>259.57420288243998</v>
      </c>
      <c r="D2649" s="6">
        <v>250.215602662864</v>
      </c>
      <c r="E2649" s="6">
        <v>250.215602662864</v>
      </c>
      <c r="F2649" s="6">
        <v>37.392584132668603</v>
      </c>
      <c r="G2649" s="6" t="str">
        <f t="shared" si="82"/>
        <v>OK</v>
      </c>
      <c r="H2649" s="6" t="str">
        <f t="shared" si="83"/>
        <v>NON-ZERO</v>
      </c>
      <c r="I2649">
        <v>248.466283298419</v>
      </c>
      <c r="J2649">
        <f>IFERROR(Table4[[#This Row],[energy_kwh]]/Table4[[#This Row],[expected_kwh]],0)</f>
        <v>1.0070404698022708</v>
      </c>
      <c r="K2649" t="str">
        <f>IF(Table4[[#This Row],[Performance_Ratio]] &lt; 0.85, "Underperforming", "Performing")</f>
        <v>Performing</v>
      </c>
      <c r="L2649">
        <f>Table4[[#This Row],[energy_kwh]] - Table4[[#This Row],[expected_kwh]]</f>
        <v>1.7493193644450002</v>
      </c>
      <c r="M2649" t="str">
        <f>IF(Table4[[#This Row],[Performance_Deviation]] &lt; 0, "Underperforming", "Outperforming")</f>
        <v>Outperforming</v>
      </c>
      <c r="N2649">
        <f>IF(Table4[[#This Row],[Performance_Ratio]] &lt; 0.85, Table4[[#This Row],[Performance_Deviation]] * 50 / 1000, 0)</f>
        <v>0</v>
      </c>
    </row>
    <row r="2650" spans="1:14" x14ac:dyDescent="0.3">
      <c r="A2650" s="4" t="s">
        <v>9</v>
      </c>
      <c r="B2650" s="3">
        <v>45309.333333333336</v>
      </c>
      <c r="C2650" s="4">
        <v>436.78829587072403</v>
      </c>
      <c r="D2650" s="4">
        <v>421.040478883319</v>
      </c>
      <c r="E2650" s="4">
        <v>421.040478883319</v>
      </c>
      <c r="F2650" s="4">
        <v>22.072387464194701</v>
      </c>
      <c r="G2650" s="4" t="str">
        <f t="shared" si="82"/>
        <v>OK</v>
      </c>
      <c r="H2650" s="4" t="str">
        <f t="shared" si="83"/>
        <v>NON-ZERO</v>
      </c>
      <c r="I2650">
        <v>479.99999999999898</v>
      </c>
      <c r="J2650">
        <f>IFERROR(Table4[[#This Row],[energy_kwh]]/Table4[[#This Row],[expected_kwh]],0)</f>
        <v>0.87716766434024973</v>
      </c>
      <c r="K2650" t="str">
        <f>IF(Table4[[#This Row],[Performance_Ratio]] &lt; 0.85, "Underperforming", "Performing")</f>
        <v>Performing</v>
      </c>
      <c r="L2650">
        <f>Table4[[#This Row],[energy_kwh]] - Table4[[#This Row],[expected_kwh]]</f>
        <v>-58.95952111667998</v>
      </c>
      <c r="M2650" t="str">
        <f>IF(Table4[[#This Row],[Performance_Deviation]] &lt; 0, "Underperforming", "Outperforming")</f>
        <v>Underperforming</v>
      </c>
      <c r="N2650">
        <f>IF(Table4[[#This Row],[Performance_Ratio]] &lt; 0.85, Table4[[#This Row],[Performance_Deviation]] * 50 / 1000, 0)</f>
        <v>0</v>
      </c>
    </row>
    <row r="2651" spans="1:14" x14ac:dyDescent="0.3">
      <c r="A2651" s="6" t="s">
        <v>9</v>
      </c>
      <c r="B2651" s="5">
        <v>45309.375</v>
      </c>
      <c r="C2651" s="6">
        <v>556.73254362835496</v>
      </c>
      <c r="D2651" s="6">
        <v>536.66029743752199</v>
      </c>
      <c r="E2651" s="6">
        <v>536.66029743752199</v>
      </c>
      <c r="F2651" s="6">
        <v>86.492308447336399</v>
      </c>
      <c r="G2651" s="6" t="str">
        <f t="shared" si="82"/>
        <v>OK</v>
      </c>
      <c r="H2651" s="6" t="str">
        <f t="shared" si="83"/>
        <v>NON-ZERO</v>
      </c>
      <c r="I2651">
        <v>678.82250993908497</v>
      </c>
      <c r="J2651">
        <f>IFERROR(Table4[[#This Row],[energy_kwh]]/Table4[[#This Row],[expected_kwh]],0)</f>
        <v>0.79057528231596197</v>
      </c>
      <c r="K2651" t="str">
        <f>IF(Table4[[#This Row],[Performance_Ratio]] &lt; 0.85, "Underperforming", "Performing")</f>
        <v>Underperforming</v>
      </c>
      <c r="L2651">
        <f>Table4[[#This Row],[energy_kwh]] - Table4[[#This Row],[expected_kwh]]</f>
        <v>-142.16221250156298</v>
      </c>
      <c r="M2651" t="str">
        <f>IF(Table4[[#This Row],[Performance_Deviation]] &lt; 0, "Underperforming", "Outperforming")</f>
        <v>Underperforming</v>
      </c>
      <c r="N2651">
        <f>IF(Table4[[#This Row],[Performance_Ratio]] &lt; 0.85, Table4[[#This Row],[Performance_Deviation]] * 50 / 1000, 0)</f>
        <v>-7.1081106250781483</v>
      </c>
    </row>
    <row r="2652" spans="1:14" x14ac:dyDescent="0.3">
      <c r="A2652" s="4" t="s">
        <v>9</v>
      </c>
      <c r="B2652" s="3">
        <v>45309.416666666664</v>
      </c>
      <c r="C2652" s="4">
        <v>746.12785656046697</v>
      </c>
      <c r="D2652" s="4">
        <v>719.22721603186596</v>
      </c>
      <c r="E2652" s="4">
        <v>719.22721603186596</v>
      </c>
      <c r="F2652" s="4">
        <v>33.367482418368702</v>
      </c>
      <c r="G2652" s="4" t="str">
        <f t="shared" si="82"/>
        <v>OK</v>
      </c>
      <c r="H2652" s="4" t="str">
        <f t="shared" si="83"/>
        <v>NON-ZERO</v>
      </c>
      <c r="I2652">
        <v>831.38438763306101</v>
      </c>
      <c r="J2652">
        <f>IFERROR(Table4[[#This Row],[energy_kwh]]/Table4[[#This Row],[expected_kwh]],0)</f>
        <v>0.86509588913438118</v>
      </c>
      <c r="K2652" t="str">
        <f>IF(Table4[[#This Row],[Performance_Ratio]] &lt; 0.85, "Underperforming", "Performing")</f>
        <v>Performing</v>
      </c>
      <c r="L2652">
        <f>Table4[[#This Row],[energy_kwh]] - Table4[[#This Row],[expected_kwh]]</f>
        <v>-112.15717160119505</v>
      </c>
      <c r="M2652" t="str">
        <f>IF(Table4[[#This Row],[Performance_Deviation]] &lt; 0, "Underperforming", "Outperforming")</f>
        <v>Underperforming</v>
      </c>
      <c r="N2652">
        <f>IF(Table4[[#This Row],[Performance_Ratio]] &lt; 0.85, Table4[[#This Row],[Performance_Deviation]] * 50 / 1000, 0)</f>
        <v>0</v>
      </c>
    </row>
    <row r="2653" spans="1:14" x14ac:dyDescent="0.3">
      <c r="A2653" s="6" t="s">
        <v>9</v>
      </c>
      <c r="B2653" s="5">
        <v>45309.458333333336</v>
      </c>
      <c r="C2653" s="6">
        <v>914.31268437520396</v>
      </c>
      <c r="D2653" s="6">
        <v>881.34836514109895</v>
      </c>
      <c r="E2653" s="6">
        <v>881.34836514109895</v>
      </c>
      <c r="F2653" s="6">
        <v>49.890778577403601</v>
      </c>
      <c r="G2653" s="6" t="str">
        <f t="shared" si="82"/>
        <v>OK</v>
      </c>
      <c r="H2653" s="6" t="str">
        <f t="shared" si="83"/>
        <v>NON-ZERO</v>
      </c>
      <c r="I2653">
        <v>927.28879323750505</v>
      </c>
      <c r="J2653">
        <f>IFERROR(Table4[[#This Row],[energy_kwh]]/Table4[[#This Row],[expected_kwh]],0)</f>
        <v>0.95045725945202986</v>
      </c>
      <c r="K2653" t="str">
        <f>IF(Table4[[#This Row],[Performance_Ratio]] &lt; 0.85, "Underperforming", "Performing")</f>
        <v>Performing</v>
      </c>
      <c r="L2653">
        <f>Table4[[#This Row],[energy_kwh]] - Table4[[#This Row],[expected_kwh]]</f>
        <v>-45.940428096406094</v>
      </c>
      <c r="M2653" t="str">
        <f>IF(Table4[[#This Row],[Performance_Deviation]] &lt; 0, "Underperforming", "Outperforming")</f>
        <v>Underperforming</v>
      </c>
      <c r="N2653">
        <f>IF(Table4[[#This Row],[Performance_Ratio]] &lt; 0.85, Table4[[#This Row],[Performance_Deviation]] * 50 / 1000, 0)</f>
        <v>0</v>
      </c>
    </row>
    <row r="2654" spans="1:14" x14ac:dyDescent="0.3">
      <c r="A2654" s="4" t="s">
        <v>9</v>
      </c>
      <c r="B2654" s="3">
        <v>45309.5</v>
      </c>
      <c r="C2654" s="4">
        <v>885.22203344710499</v>
      </c>
      <c r="D2654" s="4">
        <v>853.30653866912905</v>
      </c>
      <c r="E2654" s="4">
        <v>853.30653866912905</v>
      </c>
      <c r="F2654" s="4">
        <v>91.370267187484103</v>
      </c>
      <c r="G2654" s="4" t="str">
        <f t="shared" si="82"/>
        <v>OK</v>
      </c>
      <c r="H2654" s="4" t="str">
        <f t="shared" si="83"/>
        <v>NON-ZERO</v>
      </c>
      <c r="I2654">
        <v>960</v>
      </c>
      <c r="J2654">
        <f>IFERROR(Table4[[#This Row],[energy_kwh]]/Table4[[#This Row],[expected_kwh]],0)</f>
        <v>0.88886097778034279</v>
      </c>
      <c r="K2654" t="str">
        <f>IF(Table4[[#This Row],[Performance_Ratio]] &lt; 0.85, "Underperforming", "Performing")</f>
        <v>Performing</v>
      </c>
      <c r="L2654">
        <f>Table4[[#This Row],[energy_kwh]] - Table4[[#This Row],[expected_kwh]]</f>
        <v>-106.69346133087095</v>
      </c>
      <c r="M2654" t="str">
        <f>IF(Table4[[#This Row],[Performance_Deviation]] &lt; 0, "Underperforming", "Outperforming")</f>
        <v>Underperforming</v>
      </c>
      <c r="N2654">
        <f>IF(Table4[[#This Row],[Performance_Ratio]] &lt; 0.85, Table4[[#This Row],[Performance_Deviation]] * 50 / 1000, 0)</f>
        <v>0</v>
      </c>
    </row>
    <row r="2655" spans="1:14" x14ac:dyDescent="0.3">
      <c r="A2655" s="6" t="s">
        <v>9</v>
      </c>
      <c r="B2655" s="5">
        <v>45309.541666666664</v>
      </c>
      <c r="C2655" s="6">
        <v>807.90425430054904</v>
      </c>
      <c r="D2655" s="6">
        <v>778.77634849275205</v>
      </c>
      <c r="E2655" s="6">
        <v>778.77634849275205</v>
      </c>
      <c r="F2655" s="6">
        <v>33.2983440141983</v>
      </c>
      <c r="G2655" s="6" t="str">
        <f t="shared" si="82"/>
        <v>OK</v>
      </c>
      <c r="H2655" s="6" t="str">
        <f t="shared" si="83"/>
        <v>NON-ZERO</v>
      </c>
      <c r="I2655">
        <v>927.28879323750505</v>
      </c>
      <c r="J2655">
        <f>IFERROR(Table4[[#This Row],[energy_kwh]]/Table4[[#This Row],[expected_kwh]],0)</f>
        <v>0.83984229527217558</v>
      </c>
      <c r="K2655" t="str">
        <f>IF(Table4[[#This Row],[Performance_Ratio]] &lt; 0.85, "Underperforming", "Performing")</f>
        <v>Underperforming</v>
      </c>
      <c r="L2655">
        <f>Table4[[#This Row],[energy_kwh]] - Table4[[#This Row],[expected_kwh]]</f>
        <v>-148.512444744753</v>
      </c>
      <c r="M2655" t="str">
        <f>IF(Table4[[#This Row],[Performance_Deviation]] &lt; 0, "Underperforming", "Outperforming")</f>
        <v>Underperforming</v>
      </c>
      <c r="N2655">
        <f>IF(Table4[[#This Row],[Performance_Ratio]] &lt; 0.85, Table4[[#This Row],[Performance_Deviation]] * 50 / 1000, 0)</f>
        <v>-7.4256222372376497</v>
      </c>
    </row>
    <row r="2656" spans="1:14" x14ac:dyDescent="0.3">
      <c r="A2656" s="4" t="s">
        <v>9</v>
      </c>
      <c r="B2656" s="3">
        <v>45309.583333333336</v>
      </c>
      <c r="C2656" s="4">
        <v>0</v>
      </c>
      <c r="D2656" s="4">
        <v>0</v>
      </c>
      <c r="E2656" s="4">
        <v>0</v>
      </c>
      <c r="F2656" s="4">
        <v>64.822174489666907</v>
      </c>
      <c r="G2656" s="4" t="str">
        <f t="shared" si="82"/>
        <v>OK</v>
      </c>
      <c r="H2656" s="4" t="str">
        <f t="shared" si="83"/>
        <v>ZERO</v>
      </c>
      <c r="I2656">
        <v>831.38438763306101</v>
      </c>
      <c r="J2656">
        <f>IFERROR(Table4[[#This Row],[energy_kwh]]/Table4[[#This Row],[expected_kwh]],0)</f>
        <v>0</v>
      </c>
      <c r="K2656" t="str">
        <f>IF(Table4[[#This Row],[Performance_Ratio]] &lt; 0.85, "Underperforming", "Performing")</f>
        <v>Underperforming</v>
      </c>
      <c r="L2656">
        <f>Table4[[#This Row],[energy_kwh]] - Table4[[#This Row],[expected_kwh]]</f>
        <v>-831.38438763306101</v>
      </c>
      <c r="M2656" t="str">
        <f>IF(Table4[[#This Row],[Performance_Deviation]] &lt; 0, "Underperforming", "Outperforming")</f>
        <v>Underperforming</v>
      </c>
      <c r="N2656">
        <f>IF(Table4[[#This Row],[Performance_Ratio]] &lt; 0.85, Table4[[#This Row],[Performance_Deviation]] * 50 / 1000, 0)</f>
        <v>-41.569219381653049</v>
      </c>
    </row>
    <row r="2657" spans="1:14" x14ac:dyDescent="0.3">
      <c r="A2657" s="6" t="s">
        <v>9</v>
      </c>
      <c r="B2657" s="5">
        <v>45309.625</v>
      </c>
      <c r="C2657" s="6">
        <v>693.03578740696696</v>
      </c>
      <c r="D2657" s="6">
        <v>668.04931032188301</v>
      </c>
      <c r="E2657" s="6">
        <v>668.04931032188301</v>
      </c>
      <c r="F2657" s="6">
        <v>28.290602331255101</v>
      </c>
      <c r="G2657" s="6" t="str">
        <f t="shared" si="82"/>
        <v>OK</v>
      </c>
      <c r="H2657" s="6" t="str">
        <f t="shared" si="83"/>
        <v>NON-ZERO</v>
      </c>
      <c r="I2657">
        <v>678.82250993908497</v>
      </c>
      <c r="J2657">
        <f>IFERROR(Table4[[#This Row],[energy_kwh]]/Table4[[#This Row],[expected_kwh]],0)</f>
        <v>0.98412957811583368</v>
      </c>
      <c r="K2657" t="str">
        <f>IF(Table4[[#This Row],[Performance_Ratio]] &lt; 0.85, "Underperforming", "Performing")</f>
        <v>Performing</v>
      </c>
      <c r="L2657">
        <f>Table4[[#This Row],[energy_kwh]] - Table4[[#This Row],[expected_kwh]]</f>
        <v>-10.773199617201954</v>
      </c>
      <c r="M2657" t="str">
        <f>IF(Table4[[#This Row],[Performance_Deviation]] &lt; 0, "Underperforming", "Outperforming")</f>
        <v>Underperforming</v>
      </c>
      <c r="N2657">
        <f>IF(Table4[[#This Row],[Performance_Ratio]] &lt; 0.85, Table4[[#This Row],[Performance_Deviation]] * 50 / 1000, 0)</f>
        <v>0</v>
      </c>
    </row>
    <row r="2658" spans="1:14" x14ac:dyDescent="0.3">
      <c r="A2658" s="4" t="s">
        <v>9</v>
      </c>
      <c r="B2658" s="3">
        <v>45309.666666666664</v>
      </c>
      <c r="C2658" s="4">
        <v>460.58947498458502</v>
      </c>
      <c r="D2658" s="4">
        <v>443.98353836276601</v>
      </c>
      <c r="E2658" s="4">
        <v>443.98353836276601</v>
      </c>
      <c r="F2658" s="4">
        <v>52.164077097997797</v>
      </c>
      <c r="G2658" s="4" t="str">
        <f t="shared" si="82"/>
        <v>OK</v>
      </c>
      <c r="H2658" s="4" t="str">
        <f t="shared" si="83"/>
        <v>NON-ZERO</v>
      </c>
      <c r="I2658">
        <v>479.99999999999898</v>
      </c>
      <c r="J2658">
        <f>IFERROR(Table4[[#This Row],[energy_kwh]]/Table4[[#This Row],[expected_kwh]],0)</f>
        <v>0.92496570492243113</v>
      </c>
      <c r="K2658" t="str">
        <f>IF(Table4[[#This Row],[Performance_Ratio]] &lt; 0.85, "Underperforming", "Performing")</f>
        <v>Performing</v>
      </c>
      <c r="L2658">
        <f>Table4[[#This Row],[energy_kwh]] - Table4[[#This Row],[expected_kwh]]</f>
        <v>-36.016461637232965</v>
      </c>
      <c r="M2658" t="str">
        <f>IF(Table4[[#This Row],[Performance_Deviation]] &lt; 0, "Underperforming", "Outperforming")</f>
        <v>Underperforming</v>
      </c>
      <c r="N2658">
        <f>IF(Table4[[#This Row],[Performance_Ratio]] &lt; 0.85, Table4[[#This Row],[Performance_Deviation]] * 50 / 1000, 0)</f>
        <v>0</v>
      </c>
    </row>
    <row r="2659" spans="1:14" x14ac:dyDescent="0.3">
      <c r="A2659" s="6" t="s">
        <v>9</v>
      </c>
      <c r="B2659" s="5">
        <v>45309.708333333336</v>
      </c>
      <c r="C2659" s="6">
        <v>240.035669012326</v>
      </c>
      <c r="D2659" s="6">
        <v>231.38150446215201</v>
      </c>
      <c r="E2659" s="6">
        <v>231.38150446215201</v>
      </c>
      <c r="F2659" s="6">
        <v>38.307092936945097</v>
      </c>
      <c r="G2659" s="6" t="str">
        <f t="shared" si="82"/>
        <v>OK</v>
      </c>
      <c r="H2659" s="6" t="str">
        <f t="shared" si="83"/>
        <v>NON-ZERO</v>
      </c>
      <c r="I2659">
        <v>248.46628329842</v>
      </c>
      <c r="J2659">
        <f>IFERROR(Table4[[#This Row],[energy_kwh]]/Table4[[#This Row],[expected_kwh]],0)</f>
        <v>0.93123904535671609</v>
      </c>
      <c r="K2659" t="str">
        <f>IF(Table4[[#This Row],[Performance_Ratio]] &lt; 0.85, "Underperforming", "Performing")</f>
        <v>Performing</v>
      </c>
      <c r="L2659">
        <f>Table4[[#This Row],[energy_kwh]] - Table4[[#This Row],[expected_kwh]]</f>
        <v>-17.084778836267986</v>
      </c>
      <c r="M2659" t="str">
        <f>IF(Table4[[#This Row],[Performance_Deviation]] &lt; 0, "Underperforming", "Outperforming")</f>
        <v>Underperforming</v>
      </c>
      <c r="N2659">
        <f>IF(Table4[[#This Row],[Performance_Ratio]] &lt; 0.85, Table4[[#This Row],[Performance_Deviation]] * 50 / 1000, 0)</f>
        <v>0</v>
      </c>
    </row>
    <row r="2660" spans="1:14" x14ac:dyDescent="0.3">
      <c r="A2660" s="4" t="s">
        <v>9</v>
      </c>
      <c r="B2660" s="3">
        <v>45309.75</v>
      </c>
      <c r="C2660" s="7">
        <v>1.07056179552278E-13</v>
      </c>
      <c r="D2660" s="7">
        <v>1.03196412386129E-13</v>
      </c>
      <c r="E2660" s="7">
        <v>1.03196412386129E-13</v>
      </c>
      <c r="F2660" s="4">
        <v>89.129556539829906</v>
      </c>
      <c r="G2660" s="4" t="str">
        <f t="shared" si="82"/>
        <v>OK</v>
      </c>
      <c r="H2660" s="4" t="str">
        <f t="shared" si="83"/>
        <v>NON-ZERO</v>
      </c>
      <c r="I2660" s="2">
        <v>1.1756609271814501E-13</v>
      </c>
      <c r="J2660">
        <f>IFERROR(Table4[[#This Row],[energy_kwh]]/Table4[[#This Row],[expected_kwh]],0)</f>
        <v>0.87777359951507339</v>
      </c>
      <c r="K2660" t="str">
        <f>IF(Table4[[#This Row],[Performance_Ratio]] &lt; 0.85, "Underperforming", "Performing")</f>
        <v>Performing</v>
      </c>
      <c r="L2660">
        <f>Table4[[#This Row],[energy_kwh]] - Table4[[#This Row],[expected_kwh]]</f>
        <v>-1.4369680332016005E-14</v>
      </c>
      <c r="M2660" t="str">
        <f>IF(Table4[[#This Row],[Performance_Deviation]] &lt; 0, "Underperforming", "Outperforming")</f>
        <v>Underperforming</v>
      </c>
      <c r="N2660">
        <f>IF(Table4[[#This Row],[Performance_Ratio]] &lt; 0.85, Table4[[#This Row],[Performance_Deviation]] * 50 / 1000, 0)</f>
        <v>0</v>
      </c>
    </row>
    <row r="2661" spans="1:14" x14ac:dyDescent="0.3">
      <c r="A2661" s="6" t="s">
        <v>9</v>
      </c>
      <c r="B2661" s="5">
        <v>45309.791666666664</v>
      </c>
      <c r="C2661" s="6">
        <v>0</v>
      </c>
      <c r="D2661" s="6">
        <v>0</v>
      </c>
      <c r="E2661" s="6">
        <v>0</v>
      </c>
      <c r="F2661" s="6">
        <v>79.866588619100995</v>
      </c>
      <c r="G2661" s="6" t="str">
        <f t="shared" si="82"/>
        <v>OK</v>
      </c>
      <c r="H2661" s="6" t="str">
        <f t="shared" si="83"/>
        <v>ZERO</v>
      </c>
      <c r="I2661">
        <v>0</v>
      </c>
      <c r="J2661">
        <f>IFERROR(Table4[[#This Row],[energy_kwh]]/Table4[[#This Row],[expected_kwh]],0)</f>
        <v>0</v>
      </c>
      <c r="K2661" t="str">
        <f>IF(Table4[[#This Row],[Performance_Ratio]] &lt; 0.85, "Underperforming", "Performing")</f>
        <v>Underperforming</v>
      </c>
      <c r="L2661">
        <f>Table4[[#This Row],[energy_kwh]] - Table4[[#This Row],[expected_kwh]]</f>
        <v>0</v>
      </c>
      <c r="M2661" t="str">
        <f>IF(Table4[[#This Row],[Performance_Deviation]] &lt; 0, "Underperforming", "Outperforming")</f>
        <v>Outperforming</v>
      </c>
      <c r="N2661">
        <f>IF(Table4[[#This Row],[Performance_Ratio]] &lt; 0.85, Table4[[#This Row],[Performance_Deviation]] * 50 / 1000, 0)</f>
        <v>0</v>
      </c>
    </row>
    <row r="2662" spans="1:14" x14ac:dyDescent="0.3">
      <c r="A2662" s="4" t="s">
        <v>9</v>
      </c>
      <c r="B2662" s="3">
        <v>45309.833333333336</v>
      </c>
      <c r="C2662" s="4">
        <v>0</v>
      </c>
      <c r="D2662" s="4">
        <v>0</v>
      </c>
      <c r="E2662" s="4">
        <v>0</v>
      </c>
      <c r="F2662" s="4">
        <v>55.0225556872848</v>
      </c>
      <c r="G2662" s="4" t="str">
        <f t="shared" si="82"/>
        <v>OK</v>
      </c>
      <c r="H2662" s="4" t="str">
        <f t="shared" si="83"/>
        <v>ZERO</v>
      </c>
      <c r="I2662">
        <v>0</v>
      </c>
      <c r="J2662">
        <f>IFERROR(Table4[[#This Row],[energy_kwh]]/Table4[[#This Row],[expected_kwh]],0)</f>
        <v>0</v>
      </c>
      <c r="K2662" t="str">
        <f>IF(Table4[[#This Row],[Performance_Ratio]] &lt; 0.85, "Underperforming", "Performing")</f>
        <v>Underperforming</v>
      </c>
      <c r="L2662">
        <f>Table4[[#This Row],[energy_kwh]] - Table4[[#This Row],[expected_kwh]]</f>
        <v>0</v>
      </c>
      <c r="M2662" t="str">
        <f>IF(Table4[[#This Row],[Performance_Deviation]] &lt; 0, "Underperforming", "Outperforming")</f>
        <v>Outperforming</v>
      </c>
      <c r="N2662">
        <f>IF(Table4[[#This Row],[Performance_Ratio]] &lt; 0.85, Table4[[#This Row],[Performance_Deviation]] * 50 / 1000, 0)</f>
        <v>0</v>
      </c>
    </row>
    <row r="2663" spans="1:14" x14ac:dyDescent="0.3">
      <c r="A2663" s="6" t="s">
        <v>9</v>
      </c>
      <c r="B2663" s="5">
        <v>45309.875</v>
      </c>
      <c r="C2663" s="6">
        <v>0</v>
      </c>
      <c r="D2663" s="6">
        <v>0</v>
      </c>
      <c r="E2663" s="6">
        <v>0</v>
      </c>
      <c r="F2663" s="6">
        <v>51.907339569225897</v>
      </c>
      <c r="G2663" s="6" t="str">
        <f t="shared" si="82"/>
        <v>OK</v>
      </c>
      <c r="H2663" s="6" t="str">
        <f t="shared" si="83"/>
        <v>ZERO</v>
      </c>
      <c r="I2663">
        <v>0</v>
      </c>
      <c r="J2663">
        <f>IFERROR(Table4[[#This Row],[energy_kwh]]/Table4[[#This Row],[expected_kwh]],0)</f>
        <v>0</v>
      </c>
      <c r="K2663" t="str">
        <f>IF(Table4[[#This Row],[Performance_Ratio]] &lt; 0.85, "Underperforming", "Performing")</f>
        <v>Underperforming</v>
      </c>
      <c r="L2663">
        <f>Table4[[#This Row],[energy_kwh]] - Table4[[#This Row],[expected_kwh]]</f>
        <v>0</v>
      </c>
      <c r="M2663" t="str">
        <f>IF(Table4[[#This Row],[Performance_Deviation]] &lt; 0, "Underperforming", "Outperforming")</f>
        <v>Outperforming</v>
      </c>
      <c r="N2663">
        <f>IF(Table4[[#This Row],[Performance_Ratio]] &lt; 0.85, Table4[[#This Row],[Performance_Deviation]] * 50 / 1000, 0)</f>
        <v>0</v>
      </c>
    </row>
    <row r="2664" spans="1:14" x14ac:dyDescent="0.3">
      <c r="A2664" s="4" t="s">
        <v>9</v>
      </c>
      <c r="B2664" s="3">
        <v>45309.916666666664</v>
      </c>
      <c r="C2664" s="4">
        <v>0</v>
      </c>
      <c r="D2664" s="4">
        <v>0</v>
      </c>
      <c r="E2664" s="4">
        <v>0</v>
      </c>
      <c r="F2664" s="4">
        <v>56.107650946820399</v>
      </c>
      <c r="G2664" s="4" t="str">
        <f t="shared" si="82"/>
        <v>OK</v>
      </c>
      <c r="H2664" s="4" t="str">
        <f t="shared" si="83"/>
        <v>ZERO</v>
      </c>
      <c r="I2664">
        <v>0</v>
      </c>
      <c r="J2664">
        <f>IFERROR(Table4[[#This Row],[energy_kwh]]/Table4[[#This Row],[expected_kwh]],0)</f>
        <v>0</v>
      </c>
      <c r="K2664" t="str">
        <f>IF(Table4[[#This Row],[Performance_Ratio]] &lt; 0.85, "Underperforming", "Performing")</f>
        <v>Underperforming</v>
      </c>
      <c r="L2664">
        <f>Table4[[#This Row],[energy_kwh]] - Table4[[#This Row],[expected_kwh]]</f>
        <v>0</v>
      </c>
      <c r="M2664" t="str">
        <f>IF(Table4[[#This Row],[Performance_Deviation]] &lt; 0, "Underperforming", "Outperforming")</f>
        <v>Outperforming</v>
      </c>
      <c r="N2664">
        <f>IF(Table4[[#This Row],[Performance_Ratio]] &lt; 0.85, Table4[[#This Row],[Performance_Deviation]] * 50 / 1000, 0)</f>
        <v>0</v>
      </c>
    </row>
    <row r="2665" spans="1:14" x14ac:dyDescent="0.3">
      <c r="A2665" s="6" t="s">
        <v>9</v>
      </c>
      <c r="B2665" s="5">
        <v>45309.958333333336</v>
      </c>
      <c r="C2665" s="6">
        <v>0</v>
      </c>
      <c r="D2665" s="6">
        <v>0</v>
      </c>
      <c r="E2665" s="6">
        <v>0</v>
      </c>
      <c r="F2665" s="6">
        <v>94.241912167990506</v>
      </c>
      <c r="G2665" s="6" t="str">
        <f t="shared" si="82"/>
        <v>OK</v>
      </c>
      <c r="H2665" s="6" t="str">
        <f t="shared" si="83"/>
        <v>ZERO</v>
      </c>
      <c r="I2665">
        <v>0</v>
      </c>
      <c r="J2665">
        <f>IFERROR(Table4[[#This Row],[energy_kwh]]/Table4[[#This Row],[expected_kwh]],0)</f>
        <v>0</v>
      </c>
      <c r="K2665" t="str">
        <f>IF(Table4[[#This Row],[Performance_Ratio]] &lt; 0.85, "Underperforming", "Performing")</f>
        <v>Underperforming</v>
      </c>
      <c r="L2665">
        <f>Table4[[#This Row],[energy_kwh]] - Table4[[#This Row],[expected_kwh]]</f>
        <v>0</v>
      </c>
      <c r="M2665" t="str">
        <f>IF(Table4[[#This Row],[Performance_Deviation]] &lt; 0, "Underperforming", "Outperforming")</f>
        <v>Outperforming</v>
      </c>
      <c r="N2665">
        <f>IF(Table4[[#This Row],[Performance_Ratio]] &lt; 0.85, Table4[[#This Row],[Performance_Deviation]] * 50 / 1000, 0)</f>
        <v>0</v>
      </c>
    </row>
    <row r="2666" spans="1:14" x14ac:dyDescent="0.3">
      <c r="A2666" s="4" t="s">
        <v>9</v>
      </c>
      <c r="B2666" s="3">
        <v>45310</v>
      </c>
      <c r="C2666" s="4">
        <v>0</v>
      </c>
      <c r="D2666" s="4">
        <v>0</v>
      </c>
      <c r="E2666" s="4">
        <v>0</v>
      </c>
      <c r="F2666" s="4">
        <v>65.905948865289403</v>
      </c>
      <c r="G2666" s="4" t="str">
        <f t="shared" si="82"/>
        <v>OK</v>
      </c>
      <c r="H2666" s="4" t="str">
        <f t="shared" si="83"/>
        <v>ZERO</v>
      </c>
      <c r="I2666">
        <v>0</v>
      </c>
      <c r="J2666">
        <f>IFERROR(Table4[[#This Row],[energy_kwh]]/Table4[[#This Row],[expected_kwh]],0)</f>
        <v>0</v>
      </c>
      <c r="K2666" t="str">
        <f>IF(Table4[[#This Row],[Performance_Ratio]] &lt; 0.85, "Underperforming", "Performing")</f>
        <v>Underperforming</v>
      </c>
      <c r="L2666">
        <f>Table4[[#This Row],[energy_kwh]] - Table4[[#This Row],[expected_kwh]]</f>
        <v>0</v>
      </c>
      <c r="M2666" t="str">
        <f>IF(Table4[[#This Row],[Performance_Deviation]] &lt; 0, "Underperforming", "Outperforming")</f>
        <v>Outperforming</v>
      </c>
      <c r="N2666">
        <f>IF(Table4[[#This Row],[Performance_Ratio]] &lt; 0.85, Table4[[#This Row],[Performance_Deviation]] * 50 / 1000, 0)</f>
        <v>0</v>
      </c>
    </row>
    <row r="2667" spans="1:14" x14ac:dyDescent="0.3">
      <c r="A2667" s="6" t="s">
        <v>9</v>
      </c>
      <c r="B2667" s="5">
        <v>45310.041666666664</v>
      </c>
      <c r="C2667" s="6">
        <v>0</v>
      </c>
      <c r="D2667" s="6">
        <v>0</v>
      </c>
      <c r="E2667" s="6">
        <v>0</v>
      </c>
      <c r="F2667" s="6">
        <v>77.272393666035001</v>
      </c>
      <c r="G2667" s="6" t="str">
        <f t="shared" si="82"/>
        <v>OK</v>
      </c>
      <c r="H2667" s="6" t="str">
        <f t="shared" si="83"/>
        <v>ZERO</v>
      </c>
      <c r="I2667">
        <v>0</v>
      </c>
      <c r="J2667">
        <f>IFERROR(Table4[[#This Row],[energy_kwh]]/Table4[[#This Row],[expected_kwh]],0)</f>
        <v>0</v>
      </c>
      <c r="K2667" t="str">
        <f>IF(Table4[[#This Row],[Performance_Ratio]] &lt; 0.85, "Underperforming", "Performing")</f>
        <v>Underperforming</v>
      </c>
      <c r="L2667">
        <f>Table4[[#This Row],[energy_kwh]] - Table4[[#This Row],[expected_kwh]]</f>
        <v>0</v>
      </c>
      <c r="M2667" t="str">
        <f>IF(Table4[[#This Row],[Performance_Deviation]] &lt; 0, "Underperforming", "Outperforming")</f>
        <v>Outperforming</v>
      </c>
      <c r="N2667">
        <f>IF(Table4[[#This Row],[Performance_Ratio]] &lt; 0.85, Table4[[#This Row],[Performance_Deviation]] * 50 / 1000, 0)</f>
        <v>0</v>
      </c>
    </row>
    <row r="2668" spans="1:14" x14ac:dyDescent="0.3">
      <c r="A2668" s="4" t="s">
        <v>9</v>
      </c>
      <c r="B2668" s="3">
        <v>45310.083333333336</v>
      </c>
      <c r="C2668" s="4">
        <v>0</v>
      </c>
      <c r="D2668" s="4">
        <v>0</v>
      </c>
      <c r="E2668" s="4">
        <v>0</v>
      </c>
      <c r="F2668" s="4">
        <v>53.942337757668597</v>
      </c>
      <c r="G2668" s="4" t="str">
        <f t="shared" si="82"/>
        <v>OK</v>
      </c>
      <c r="H2668" s="4" t="str">
        <f t="shared" si="83"/>
        <v>ZERO</v>
      </c>
      <c r="I2668">
        <v>0</v>
      </c>
      <c r="J2668">
        <f>IFERROR(Table4[[#This Row],[energy_kwh]]/Table4[[#This Row],[expected_kwh]],0)</f>
        <v>0</v>
      </c>
      <c r="K2668" t="str">
        <f>IF(Table4[[#This Row],[Performance_Ratio]] &lt; 0.85, "Underperforming", "Performing")</f>
        <v>Underperforming</v>
      </c>
      <c r="L2668">
        <f>Table4[[#This Row],[energy_kwh]] - Table4[[#This Row],[expected_kwh]]</f>
        <v>0</v>
      </c>
      <c r="M2668" t="str">
        <f>IF(Table4[[#This Row],[Performance_Deviation]] &lt; 0, "Underperforming", "Outperforming")</f>
        <v>Outperforming</v>
      </c>
      <c r="N2668">
        <f>IF(Table4[[#This Row],[Performance_Ratio]] &lt; 0.85, Table4[[#This Row],[Performance_Deviation]] * 50 / 1000, 0)</f>
        <v>0</v>
      </c>
    </row>
    <row r="2669" spans="1:14" x14ac:dyDescent="0.3">
      <c r="A2669" s="6" t="s">
        <v>9</v>
      </c>
      <c r="B2669" s="5">
        <v>45310.125</v>
      </c>
      <c r="C2669" s="6">
        <v>0</v>
      </c>
      <c r="D2669" s="6">
        <v>0</v>
      </c>
      <c r="E2669" s="6">
        <v>0</v>
      </c>
      <c r="F2669" s="6">
        <v>82.967502985656594</v>
      </c>
      <c r="G2669" s="6" t="str">
        <f t="shared" si="82"/>
        <v>OK</v>
      </c>
      <c r="H2669" s="6" t="str">
        <f t="shared" si="83"/>
        <v>ZERO</v>
      </c>
      <c r="I2669">
        <v>0</v>
      </c>
      <c r="J2669">
        <f>IFERROR(Table4[[#This Row],[energy_kwh]]/Table4[[#This Row],[expected_kwh]],0)</f>
        <v>0</v>
      </c>
      <c r="K2669" t="str">
        <f>IF(Table4[[#This Row],[Performance_Ratio]] &lt; 0.85, "Underperforming", "Performing")</f>
        <v>Underperforming</v>
      </c>
      <c r="L2669">
        <f>Table4[[#This Row],[energy_kwh]] - Table4[[#This Row],[expected_kwh]]</f>
        <v>0</v>
      </c>
      <c r="M2669" t="str">
        <f>IF(Table4[[#This Row],[Performance_Deviation]] &lt; 0, "Underperforming", "Outperforming")</f>
        <v>Outperforming</v>
      </c>
      <c r="N2669">
        <f>IF(Table4[[#This Row],[Performance_Ratio]] &lt; 0.85, Table4[[#This Row],[Performance_Deviation]] * 50 / 1000, 0)</f>
        <v>0</v>
      </c>
    </row>
    <row r="2670" spans="1:14" x14ac:dyDescent="0.3">
      <c r="A2670" s="4" t="s">
        <v>9</v>
      </c>
      <c r="B2670" s="3">
        <v>45310.166666666664</v>
      </c>
      <c r="C2670" s="4">
        <v>0</v>
      </c>
      <c r="D2670" s="4">
        <v>0</v>
      </c>
      <c r="E2670" s="4">
        <v>0</v>
      </c>
      <c r="F2670" s="4">
        <v>49.898100139728797</v>
      </c>
      <c r="G2670" s="4" t="str">
        <f t="shared" si="82"/>
        <v>OK</v>
      </c>
      <c r="H2670" s="4" t="str">
        <f t="shared" si="83"/>
        <v>ZERO</v>
      </c>
      <c r="I2670">
        <v>0</v>
      </c>
      <c r="J2670">
        <f>IFERROR(Table4[[#This Row],[energy_kwh]]/Table4[[#This Row],[expected_kwh]],0)</f>
        <v>0</v>
      </c>
      <c r="K2670" t="str">
        <f>IF(Table4[[#This Row],[Performance_Ratio]] &lt; 0.85, "Underperforming", "Performing")</f>
        <v>Underperforming</v>
      </c>
      <c r="L2670">
        <f>Table4[[#This Row],[energy_kwh]] - Table4[[#This Row],[expected_kwh]]</f>
        <v>0</v>
      </c>
      <c r="M2670" t="str">
        <f>IF(Table4[[#This Row],[Performance_Deviation]] &lt; 0, "Underperforming", "Outperforming")</f>
        <v>Outperforming</v>
      </c>
      <c r="N2670">
        <f>IF(Table4[[#This Row],[Performance_Ratio]] &lt; 0.85, Table4[[#This Row],[Performance_Deviation]] * 50 / 1000, 0)</f>
        <v>0</v>
      </c>
    </row>
    <row r="2671" spans="1:14" x14ac:dyDescent="0.3">
      <c r="A2671" s="6" t="s">
        <v>9</v>
      </c>
      <c r="B2671" s="5">
        <v>45310.208333333336</v>
      </c>
      <c r="C2671" s="6">
        <v>0</v>
      </c>
      <c r="D2671" s="6">
        <v>0</v>
      </c>
      <c r="E2671" s="6">
        <v>0</v>
      </c>
      <c r="F2671" s="6">
        <v>25.457178217972</v>
      </c>
      <c r="G2671" s="6" t="str">
        <f t="shared" si="82"/>
        <v>OK</v>
      </c>
      <c r="H2671" s="6" t="str">
        <f t="shared" si="83"/>
        <v>ZERO</v>
      </c>
      <c r="I2671">
        <v>0</v>
      </c>
      <c r="J2671">
        <f>IFERROR(Table4[[#This Row],[energy_kwh]]/Table4[[#This Row],[expected_kwh]],0)</f>
        <v>0</v>
      </c>
      <c r="K2671" t="str">
        <f>IF(Table4[[#This Row],[Performance_Ratio]] &lt; 0.85, "Underperforming", "Performing")</f>
        <v>Underperforming</v>
      </c>
      <c r="L2671">
        <f>Table4[[#This Row],[energy_kwh]] - Table4[[#This Row],[expected_kwh]]</f>
        <v>0</v>
      </c>
      <c r="M2671" t="str">
        <f>IF(Table4[[#This Row],[Performance_Deviation]] &lt; 0, "Underperforming", "Outperforming")</f>
        <v>Outperforming</v>
      </c>
      <c r="N2671">
        <f>IF(Table4[[#This Row],[Performance_Ratio]] &lt; 0.85, Table4[[#This Row],[Performance_Deviation]] * 50 / 1000, 0)</f>
        <v>0</v>
      </c>
    </row>
    <row r="2672" spans="1:14" x14ac:dyDescent="0.3">
      <c r="A2672" s="4" t="s">
        <v>9</v>
      </c>
      <c r="B2672" s="3">
        <v>45310.25</v>
      </c>
      <c r="C2672" s="4">
        <v>0</v>
      </c>
      <c r="D2672" s="4">
        <v>0</v>
      </c>
      <c r="E2672" s="4">
        <v>0</v>
      </c>
      <c r="F2672" s="4">
        <v>48.177935403520202</v>
      </c>
      <c r="G2672" s="4" t="str">
        <f t="shared" si="82"/>
        <v>OK</v>
      </c>
      <c r="H2672" s="4" t="str">
        <f t="shared" si="83"/>
        <v>ZERO</v>
      </c>
      <c r="I2672">
        <v>0</v>
      </c>
      <c r="J2672">
        <f>IFERROR(Table4[[#This Row],[energy_kwh]]/Table4[[#This Row],[expected_kwh]],0)</f>
        <v>0</v>
      </c>
      <c r="K2672" t="str">
        <f>IF(Table4[[#This Row],[Performance_Ratio]] &lt; 0.85, "Underperforming", "Performing")</f>
        <v>Underperforming</v>
      </c>
      <c r="L2672">
        <f>Table4[[#This Row],[energy_kwh]] - Table4[[#This Row],[expected_kwh]]</f>
        <v>0</v>
      </c>
      <c r="M2672" t="str">
        <f>IF(Table4[[#This Row],[Performance_Deviation]] &lt; 0, "Underperforming", "Outperforming")</f>
        <v>Outperforming</v>
      </c>
      <c r="N2672">
        <f>IF(Table4[[#This Row],[Performance_Ratio]] &lt; 0.85, Table4[[#This Row],[Performance_Deviation]] * 50 / 1000, 0)</f>
        <v>0</v>
      </c>
    </row>
    <row r="2673" spans="1:14" x14ac:dyDescent="0.3">
      <c r="A2673" s="6" t="s">
        <v>9</v>
      </c>
      <c r="B2673" s="5">
        <v>45310.291666666664</v>
      </c>
      <c r="C2673" s="6">
        <v>220.87137250385101</v>
      </c>
      <c r="D2673" s="6">
        <v>212.908150996247</v>
      </c>
      <c r="E2673" s="6">
        <v>212.908150996247</v>
      </c>
      <c r="F2673" s="6">
        <v>72.806425148175094</v>
      </c>
      <c r="G2673" s="6" t="str">
        <f t="shared" si="82"/>
        <v>OK</v>
      </c>
      <c r="H2673" s="6" t="str">
        <f t="shared" si="83"/>
        <v>NON-ZERO</v>
      </c>
      <c r="I2673">
        <v>248.466283298419</v>
      </c>
      <c r="J2673">
        <f>IFERROR(Table4[[#This Row],[energy_kwh]]/Table4[[#This Row],[expected_kwh]],0)</f>
        <v>0.8568895069780349</v>
      </c>
      <c r="K2673" t="str">
        <f>IF(Table4[[#This Row],[Performance_Ratio]] &lt; 0.85, "Underperforming", "Performing")</f>
        <v>Performing</v>
      </c>
      <c r="L2673">
        <f>Table4[[#This Row],[energy_kwh]] - Table4[[#This Row],[expected_kwh]]</f>
        <v>-35.558132302171998</v>
      </c>
      <c r="M2673" t="str">
        <f>IF(Table4[[#This Row],[Performance_Deviation]] &lt; 0, "Underperforming", "Outperforming")</f>
        <v>Underperforming</v>
      </c>
      <c r="N2673">
        <f>IF(Table4[[#This Row],[Performance_Ratio]] &lt; 0.85, Table4[[#This Row],[Performance_Deviation]] * 50 / 1000, 0)</f>
        <v>0</v>
      </c>
    </row>
    <row r="2674" spans="1:14" x14ac:dyDescent="0.3">
      <c r="A2674" s="4" t="s">
        <v>9</v>
      </c>
      <c r="B2674" s="3">
        <v>45310.333333333336</v>
      </c>
      <c r="C2674" s="4">
        <v>498.71680357005903</v>
      </c>
      <c r="D2674" s="4">
        <v>480.73623718260899</v>
      </c>
      <c r="E2674" s="4">
        <v>480.73623718260899</v>
      </c>
      <c r="F2674" s="4">
        <v>70.528373579063597</v>
      </c>
      <c r="G2674" s="4" t="str">
        <f t="shared" si="82"/>
        <v>OK</v>
      </c>
      <c r="H2674" s="4" t="str">
        <f t="shared" si="83"/>
        <v>NON-ZERO</v>
      </c>
      <c r="I2674">
        <v>479.99999999999898</v>
      </c>
      <c r="J2674">
        <f>IFERROR(Table4[[#This Row],[energy_kwh]]/Table4[[#This Row],[expected_kwh]],0)</f>
        <v>1.0015338274637708</v>
      </c>
      <c r="K2674" t="str">
        <f>IF(Table4[[#This Row],[Performance_Ratio]] &lt; 0.85, "Underperforming", "Performing")</f>
        <v>Performing</v>
      </c>
      <c r="L2674">
        <f>Table4[[#This Row],[energy_kwh]] - Table4[[#This Row],[expected_kwh]]</f>
        <v>0.73623718261001159</v>
      </c>
      <c r="M2674" t="str">
        <f>IF(Table4[[#This Row],[Performance_Deviation]] &lt; 0, "Underperforming", "Outperforming")</f>
        <v>Outperforming</v>
      </c>
      <c r="N2674">
        <f>IF(Table4[[#This Row],[Performance_Ratio]] &lt; 0.85, Table4[[#This Row],[Performance_Deviation]] * 50 / 1000, 0)</f>
        <v>0</v>
      </c>
    </row>
    <row r="2675" spans="1:14" x14ac:dyDescent="0.3">
      <c r="A2675" s="6" t="s">
        <v>9</v>
      </c>
      <c r="B2675" s="5">
        <v>45310.375</v>
      </c>
      <c r="C2675" s="6">
        <v>0</v>
      </c>
      <c r="D2675" s="6">
        <v>0</v>
      </c>
      <c r="E2675" s="6">
        <v>0</v>
      </c>
      <c r="F2675" s="6">
        <v>34.460142699984402</v>
      </c>
      <c r="G2675" s="6" t="str">
        <f t="shared" si="82"/>
        <v>OK</v>
      </c>
      <c r="H2675" s="6" t="str">
        <f t="shared" si="83"/>
        <v>ZERO</v>
      </c>
      <c r="I2675">
        <v>678.82250993908497</v>
      </c>
      <c r="J2675">
        <f>IFERROR(Table4[[#This Row],[energy_kwh]]/Table4[[#This Row],[expected_kwh]],0)</f>
        <v>0</v>
      </c>
      <c r="K2675" t="str">
        <f>IF(Table4[[#This Row],[Performance_Ratio]] &lt; 0.85, "Underperforming", "Performing")</f>
        <v>Underperforming</v>
      </c>
      <c r="L2675">
        <f>Table4[[#This Row],[energy_kwh]] - Table4[[#This Row],[expected_kwh]]</f>
        <v>-678.82250993908497</v>
      </c>
      <c r="M2675" t="str">
        <f>IF(Table4[[#This Row],[Performance_Deviation]] &lt; 0, "Underperforming", "Outperforming")</f>
        <v>Underperforming</v>
      </c>
      <c r="N2675">
        <f>IF(Table4[[#This Row],[Performance_Ratio]] &lt; 0.85, Table4[[#This Row],[Performance_Deviation]] * 50 / 1000, 0)</f>
        <v>-33.94112549695425</v>
      </c>
    </row>
    <row r="2676" spans="1:14" x14ac:dyDescent="0.3">
      <c r="A2676" s="4" t="s">
        <v>9</v>
      </c>
      <c r="B2676" s="3">
        <v>45310.416666666664</v>
      </c>
      <c r="C2676" s="4">
        <v>799.83044138212904</v>
      </c>
      <c r="D2676" s="4">
        <v>770.99362608529998</v>
      </c>
      <c r="E2676" s="4">
        <v>770.99362608529998</v>
      </c>
      <c r="F2676" s="4">
        <v>58.083814021334</v>
      </c>
      <c r="G2676" s="4" t="str">
        <f t="shared" si="82"/>
        <v>OK</v>
      </c>
      <c r="H2676" s="4" t="str">
        <f t="shared" si="83"/>
        <v>NON-ZERO</v>
      </c>
      <c r="I2676">
        <v>831.38438763306101</v>
      </c>
      <c r="J2676">
        <f>IFERROR(Table4[[#This Row],[energy_kwh]]/Table4[[#This Row],[expected_kwh]],0)</f>
        <v>0.92736120325798677</v>
      </c>
      <c r="K2676" t="str">
        <f>IF(Table4[[#This Row],[Performance_Ratio]] &lt; 0.85, "Underperforming", "Performing")</f>
        <v>Performing</v>
      </c>
      <c r="L2676">
        <f>Table4[[#This Row],[energy_kwh]] - Table4[[#This Row],[expected_kwh]]</f>
        <v>-60.390761547761031</v>
      </c>
      <c r="M2676" t="str">
        <f>IF(Table4[[#This Row],[Performance_Deviation]] &lt; 0, "Underperforming", "Outperforming")</f>
        <v>Underperforming</v>
      </c>
      <c r="N2676">
        <f>IF(Table4[[#This Row],[Performance_Ratio]] &lt; 0.85, Table4[[#This Row],[Performance_Deviation]] * 50 / 1000, 0)</f>
        <v>0</v>
      </c>
    </row>
    <row r="2677" spans="1:14" x14ac:dyDescent="0.3">
      <c r="A2677" s="6" t="s">
        <v>9</v>
      </c>
      <c r="B2677" s="5">
        <v>45310.458333333336</v>
      </c>
      <c r="C2677" s="6">
        <v>883.89223009805198</v>
      </c>
      <c r="D2677" s="6">
        <v>852.02467959873002</v>
      </c>
      <c r="E2677" s="6">
        <v>852.02467959873002</v>
      </c>
      <c r="F2677" s="6">
        <v>86.747440156001105</v>
      </c>
      <c r="G2677" s="6" t="str">
        <f t="shared" si="82"/>
        <v>OK</v>
      </c>
      <c r="H2677" s="6" t="str">
        <f t="shared" si="83"/>
        <v>NON-ZERO</v>
      </c>
      <c r="I2677">
        <v>927.28879323750505</v>
      </c>
      <c r="J2677">
        <f>IFERROR(Table4[[#This Row],[energy_kwh]]/Table4[[#This Row],[expected_kwh]],0)</f>
        <v>0.91883422490635258</v>
      </c>
      <c r="K2677" t="str">
        <f>IF(Table4[[#This Row],[Performance_Ratio]] &lt; 0.85, "Underperforming", "Performing")</f>
        <v>Performing</v>
      </c>
      <c r="L2677">
        <f>Table4[[#This Row],[energy_kwh]] - Table4[[#This Row],[expected_kwh]]</f>
        <v>-75.264113638775029</v>
      </c>
      <c r="M2677" t="str">
        <f>IF(Table4[[#This Row],[Performance_Deviation]] &lt; 0, "Underperforming", "Outperforming")</f>
        <v>Underperforming</v>
      </c>
      <c r="N2677">
        <f>IF(Table4[[#This Row],[Performance_Ratio]] &lt; 0.85, Table4[[#This Row],[Performance_Deviation]] * 50 / 1000, 0)</f>
        <v>0</v>
      </c>
    </row>
    <row r="2678" spans="1:14" x14ac:dyDescent="0.3">
      <c r="A2678" s="4" t="s">
        <v>9</v>
      </c>
      <c r="B2678" s="3">
        <v>45310.5</v>
      </c>
      <c r="C2678" s="4">
        <v>865.59110601231998</v>
      </c>
      <c r="D2678" s="4">
        <v>834.38337802997205</v>
      </c>
      <c r="E2678" s="4">
        <v>834.38337802997205</v>
      </c>
      <c r="F2678" s="4">
        <v>53.293752353490397</v>
      </c>
      <c r="G2678" s="4" t="str">
        <f t="shared" si="82"/>
        <v>OK</v>
      </c>
      <c r="H2678" s="4" t="str">
        <f t="shared" si="83"/>
        <v>NON-ZERO</v>
      </c>
      <c r="I2678">
        <v>960</v>
      </c>
      <c r="J2678">
        <f>IFERROR(Table4[[#This Row],[energy_kwh]]/Table4[[#This Row],[expected_kwh]],0)</f>
        <v>0.86914935211455424</v>
      </c>
      <c r="K2678" t="str">
        <f>IF(Table4[[#This Row],[Performance_Ratio]] &lt; 0.85, "Underperforming", "Performing")</f>
        <v>Performing</v>
      </c>
      <c r="L2678">
        <f>Table4[[#This Row],[energy_kwh]] - Table4[[#This Row],[expected_kwh]]</f>
        <v>-125.61662197002795</v>
      </c>
      <c r="M2678" t="str">
        <f>IF(Table4[[#This Row],[Performance_Deviation]] &lt; 0, "Underperforming", "Outperforming")</f>
        <v>Underperforming</v>
      </c>
      <c r="N2678">
        <f>IF(Table4[[#This Row],[Performance_Ratio]] &lt; 0.85, Table4[[#This Row],[Performance_Deviation]] * 50 / 1000, 0)</f>
        <v>0</v>
      </c>
    </row>
    <row r="2679" spans="1:14" x14ac:dyDescent="0.3">
      <c r="A2679" s="6" t="s">
        <v>9</v>
      </c>
      <c r="B2679" s="5">
        <v>45310.541666666664</v>
      </c>
      <c r="C2679" s="6">
        <v>943.80580737763398</v>
      </c>
      <c r="D2679" s="6">
        <v>909.77815309581797</v>
      </c>
      <c r="E2679" s="6">
        <v>909.77815309581797</v>
      </c>
      <c r="F2679" s="6">
        <v>87.202127399374405</v>
      </c>
      <c r="G2679" s="6" t="str">
        <f t="shared" si="82"/>
        <v>OK</v>
      </c>
      <c r="H2679" s="6" t="str">
        <f t="shared" si="83"/>
        <v>NON-ZERO</v>
      </c>
      <c r="I2679">
        <v>927.28879323750505</v>
      </c>
      <c r="J2679">
        <f>IFERROR(Table4[[#This Row],[energy_kwh]]/Table4[[#This Row],[expected_kwh]],0)</f>
        <v>0.9811163034974778</v>
      </c>
      <c r="K2679" t="str">
        <f>IF(Table4[[#This Row],[Performance_Ratio]] &lt; 0.85, "Underperforming", "Performing")</f>
        <v>Performing</v>
      </c>
      <c r="L2679">
        <f>Table4[[#This Row],[energy_kwh]] - Table4[[#This Row],[expected_kwh]]</f>
        <v>-17.510640141687077</v>
      </c>
      <c r="M2679" t="str">
        <f>IF(Table4[[#This Row],[Performance_Deviation]] &lt; 0, "Underperforming", "Outperforming")</f>
        <v>Underperforming</v>
      </c>
      <c r="N2679">
        <f>IF(Table4[[#This Row],[Performance_Ratio]] &lt; 0.85, Table4[[#This Row],[Performance_Deviation]] * 50 / 1000, 0)</f>
        <v>0</v>
      </c>
    </row>
    <row r="2680" spans="1:14" x14ac:dyDescent="0.3">
      <c r="A2680" s="4" t="s">
        <v>9</v>
      </c>
      <c r="B2680" s="3">
        <v>45310.583333333336</v>
      </c>
      <c r="C2680" s="4">
        <v>773.35650123326104</v>
      </c>
      <c r="D2680" s="4">
        <v>745.47416839015398</v>
      </c>
      <c r="E2680" s="4">
        <v>745.47416839015398</v>
      </c>
      <c r="F2680" s="4">
        <v>66.641147291779504</v>
      </c>
      <c r="G2680" s="4" t="str">
        <f t="shared" si="82"/>
        <v>OK</v>
      </c>
      <c r="H2680" s="4" t="str">
        <f t="shared" si="83"/>
        <v>NON-ZERO</v>
      </c>
      <c r="I2680">
        <v>831.38438763306101</v>
      </c>
      <c r="J2680">
        <f>IFERROR(Table4[[#This Row],[energy_kwh]]/Table4[[#This Row],[expected_kwh]],0)</f>
        <v>0.89666606623743306</v>
      </c>
      <c r="K2680" t="str">
        <f>IF(Table4[[#This Row],[Performance_Ratio]] &lt; 0.85, "Underperforming", "Performing")</f>
        <v>Performing</v>
      </c>
      <c r="L2680">
        <f>Table4[[#This Row],[energy_kwh]] - Table4[[#This Row],[expected_kwh]]</f>
        <v>-85.910219242907033</v>
      </c>
      <c r="M2680" t="str">
        <f>IF(Table4[[#This Row],[Performance_Deviation]] &lt; 0, "Underperforming", "Outperforming")</f>
        <v>Underperforming</v>
      </c>
      <c r="N2680">
        <f>IF(Table4[[#This Row],[Performance_Ratio]] &lt; 0.85, Table4[[#This Row],[Performance_Deviation]] * 50 / 1000, 0)</f>
        <v>0</v>
      </c>
    </row>
    <row r="2681" spans="1:14" x14ac:dyDescent="0.3">
      <c r="A2681" s="6" t="s">
        <v>9</v>
      </c>
      <c r="B2681" s="5">
        <v>45310.625</v>
      </c>
      <c r="C2681" s="6">
        <v>642.50239999267899</v>
      </c>
      <c r="D2681" s="6">
        <v>619.33783650802104</v>
      </c>
      <c r="E2681" s="6">
        <v>619.33783650802104</v>
      </c>
      <c r="F2681" s="6">
        <v>93.947022658651207</v>
      </c>
      <c r="G2681" s="6" t="str">
        <f t="shared" si="82"/>
        <v>OK</v>
      </c>
      <c r="H2681" s="6" t="str">
        <f t="shared" si="83"/>
        <v>NON-ZERO</v>
      </c>
      <c r="I2681">
        <v>678.82250993908497</v>
      </c>
      <c r="J2681">
        <f>IFERROR(Table4[[#This Row],[energy_kwh]]/Table4[[#This Row],[expected_kwh]],0)</f>
        <v>0.91237080008380711</v>
      </c>
      <c r="K2681" t="str">
        <f>IF(Table4[[#This Row],[Performance_Ratio]] &lt; 0.85, "Underperforming", "Performing")</f>
        <v>Performing</v>
      </c>
      <c r="L2681">
        <f>Table4[[#This Row],[energy_kwh]] - Table4[[#This Row],[expected_kwh]]</f>
        <v>-59.484673431063925</v>
      </c>
      <c r="M2681" t="str">
        <f>IF(Table4[[#This Row],[Performance_Deviation]] &lt; 0, "Underperforming", "Outperforming")</f>
        <v>Underperforming</v>
      </c>
      <c r="N2681">
        <f>IF(Table4[[#This Row],[Performance_Ratio]] &lt; 0.85, Table4[[#This Row],[Performance_Deviation]] * 50 / 1000, 0)</f>
        <v>0</v>
      </c>
    </row>
    <row r="2682" spans="1:14" x14ac:dyDescent="0.3">
      <c r="A2682" s="4" t="s">
        <v>9</v>
      </c>
      <c r="B2682" s="3">
        <v>45310.666666666664</v>
      </c>
      <c r="C2682" s="4">
        <v>450.26193203801</v>
      </c>
      <c r="D2682" s="4">
        <v>434.02834114474899</v>
      </c>
      <c r="E2682" s="4">
        <v>434.02834114474899</v>
      </c>
      <c r="F2682" s="4">
        <v>85.200508093051596</v>
      </c>
      <c r="G2682" s="4" t="str">
        <f t="shared" si="82"/>
        <v>OK</v>
      </c>
      <c r="H2682" s="4" t="str">
        <f t="shared" si="83"/>
        <v>NON-ZERO</v>
      </c>
      <c r="I2682">
        <v>479.99999999999898</v>
      </c>
      <c r="J2682">
        <f>IFERROR(Table4[[#This Row],[energy_kwh]]/Table4[[#This Row],[expected_kwh]],0)</f>
        <v>0.90422571071822899</v>
      </c>
      <c r="K2682" t="str">
        <f>IF(Table4[[#This Row],[Performance_Ratio]] &lt; 0.85, "Underperforming", "Performing")</f>
        <v>Performing</v>
      </c>
      <c r="L2682">
        <f>Table4[[#This Row],[energy_kwh]] - Table4[[#This Row],[expected_kwh]]</f>
        <v>-45.971658855249984</v>
      </c>
      <c r="M2682" t="str">
        <f>IF(Table4[[#This Row],[Performance_Deviation]] &lt; 0, "Underperforming", "Outperforming")</f>
        <v>Underperforming</v>
      </c>
      <c r="N2682">
        <f>IF(Table4[[#This Row],[Performance_Ratio]] &lt; 0.85, Table4[[#This Row],[Performance_Deviation]] * 50 / 1000, 0)</f>
        <v>0</v>
      </c>
    </row>
    <row r="2683" spans="1:14" x14ac:dyDescent="0.3">
      <c r="A2683" s="6" t="s">
        <v>9</v>
      </c>
      <c r="B2683" s="5">
        <v>45310.708333333336</v>
      </c>
      <c r="C2683" s="6">
        <v>220.49997549531699</v>
      </c>
      <c r="D2683" s="6">
        <v>212.55014420941899</v>
      </c>
      <c r="E2683" s="6">
        <v>212.55014420941899</v>
      </c>
      <c r="F2683" s="6">
        <v>67.035379554583798</v>
      </c>
      <c r="G2683" s="6" t="str">
        <f t="shared" si="82"/>
        <v>OK</v>
      </c>
      <c r="H2683" s="6" t="str">
        <f t="shared" si="83"/>
        <v>NON-ZERO</v>
      </c>
      <c r="I2683">
        <v>248.46628329842</v>
      </c>
      <c r="J2683">
        <f>IFERROR(Table4[[#This Row],[energy_kwh]]/Table4[[#This Row],[expected_kwh]],0)</f>
        <v>0.85544864030559842</v>
      </c>
      <c r="K2683" t="str">
        <f>IF(Table4[[#This Row],[Performance_Ratio]] &lt; 0.85, "Underperforming", "Performing")</f>
        <v>Performing</v>
      </c>
      <c r="L2683">
        <f>Table4[[#This Row],[energy_kwh]] - Table4[[#This Row],[expected_kwh]]</f>
        <v>-35.916139089001007</v>
      </c>
      <c r="M2683" t="str">
        <f>IF(Table4[[#This Row],[Performance_Deviation]] &lt; 0, "Underperforming", "Outperforming")</f>
        <v>Underperforming</v>
      </c>
      <c r="N2683">
        <f>IF(Table4[[#This Row],[Performance_Ratio]] &lt; 0.85, Table4[[#This Row],[Performance_Deviation]] * 50 / 1000, 0)</f>
        <v>0</v>
      </c>
    </row>
    <row r="2684" spans="1:14" x14ac:dyDescent="0.3">
      <c r="A2684" s="4" t="s">
        <v>9</v>
      </c>
      <c r="B2684" s="3">
        <v>45310.75</v>
      </c>
      <c r="C2684" s="7">
        <v>1.21980241580448E-13</v>
      </c>
      <c r="D2684" s="7">
        <v>1.17582407346683E-13</v>
      </c>
      <c r="E2684" s="7">
        <v>1.17582407346683E-13</v>
      </c>
      <c r="F2684" s="4">
        <v>71.477917457948195</v>
      </c>
      <c r="G2684" s="4" t="str">
        <f t="shared" si="82"/>
        <v>OK</v>
      </c>
      <c r="H2684" s="4" t="str">
        <f t="shared" si="83"/>
        <v>NON-ZERO</v>
      </c>
      <c r="I2684" s="2">
        <v>1.1756609271814501E-13</v>
      </c>
      <c r="J2684">
        <f>IFERROR(Table4[[#This Row],[energy_kwh]]/Table4[[#This Row],[expected_kwh]],0)</f>
        <v>1.0001387698456314</v>
      </c>
      <c r="K2684" t="str">
        <f>IF(Table4[[#This Row],[Performance_Ratio]] &lt; 0.85, "Underperforming", "Performing")</f>
        <v>Performing</v>
      </c>
      <c r="L2684">
        <f>Table4[[#This Row],[energy_kwh]] - Table4[[#This Row],[expected_kwh]]</f>
        <v>1.6314628537993452E-17</v>
      </c>
      <c r="M2684" t="str">
        <f>IF(Table4[[#This Row],[Performance_Deviation]] &lt; 0, "Underperforming", "Outperforming")</f>
        <v>Outperforming</v>
      </c>
      <c r="N2684">
        <f>IF(Table4[[#This Row],[Performance_Ratio]] &lt; 0.85, Table4[[#This Row],[Performance_Deviation]] * 50 / 1000, 0)</f>
        <v>0</v>
      </c>
    </row>
    <row r="2685" spans="1:14" x14ac:dyDescent="0.3">
      <c r="A2685" s="6" t="s">
        <v>9</v>
      </c>
      <c r="B2685" s="5">
        <v>45310.791666666664</v>
      </c>
      <c r="C2685" s="6">
        <v>0</v>
      </c>
      <c r="D2685" s="6">
        <v>0</v>
      </c>
      <c r="E2685" s="6">
        <v>0</v>
      </c>
      <c r="F2685" s="6">
        <v>24.394316578260099</v>
      </c>
      <c r="G2685" s="6" t="str">
        <f t="shared" si="82"/>
        <v>OK</v>
      </c>
      <c r="H2685" s="6" t="str">
        <f t="shared" si="83"/>
        <v>ZERO</v>
      </c>
      <c r="I2685">
        <v>0</v>
      </c>
      <c r="J2685">
        <f>IFERROR(Table4[[#This Row],[energy_kwh]]/Table4[[#This Row],[expected_kwh]],0)</f>
        <v>0</v>
      </c>
      <c r="K2685" t="str">
        <f>IF(Table4[[#This Row],[Performance_Ratio]] &lt; 0.85, "Underperforming", "Performing")</f>
        <v>Underperforming</v>
      </c>
      <c r="L2685">
        <f>Table4[[#This Row],[energy_kwh]] - Table4[[#This Row],[expected_kwh]]</f>
        <v>0</v>
      </c>
      <c r="M2685" t="str">
        <f>IF(Table4[[#This Row],[Performance_Deviation]] &lt; 0, "Underperforming", "Outperforming")</f>
        <v>Outperforming</v>
      </c>
      <c r="N2685">
        <f>IF(Table4[[#This Row],[Performance_Ratio]] &lt; 0.85, Table4[[#This Row],[Performance_Deviation]] * 50 / 1000, 0)</f>
        <v>0</v>
      </c>
    </row>
    <row r="2686" spans="1:14" x14ac:dyDescent="0.3">
      <c r="A2686" s="4" t="s">
        <v>9</v>
      </c>
      <c r="B2686" s="3">
        <v>45310.833333333336</v>
      </c>
      <c r="C2686" s="4">
        <v>0</v>
      </c>
      <c r="D2686" s="4">
        <v>0</v>
      </c>
      <c r="E2686" s="4">
        <v>0</v>
      </c>
      <c r="F2686" s="4">
        <v>74.457955127706299</v>
      </c>
      <c r="G2686" s="4" t="str">
        <f t="shared" si="82"/>
        <v>OK</v>
      </c>
      <c r="H2686" s="4" t="str">
        <f t="shared" si="83"/>
        <v>ZERO</v>
      </c>
      <c r="I2686">
        <v>0</v>
      </c>
      <c r="J2686">
        <f>IFERROR(Table4[[#This Row],[energy_kwh]]/Table4[[#This Row],[expected_kwh]],0)</f>
        <v>0</v>
      </c>
      <c r="K2686" t="str">
        <f>IF(Table4[[#This Row],[Performance_Ratio]] &lt; 0.85, "Underperforming", "Performing")</f>
        <v>Underperforming</v>
      </c>
      <c r="L2686">
        <f>Table4[[#This Row],[energy_kwh]] - Table4[[#This Row],[expected_kwh]]</f>
        <v>0</v>
      </c>
      <c r="M2686" t="str">
        <f>IF(Table4[[#This Row],[Performance_Deviation]] &lt; 0, "Underperforming", "Outperforming")</f>
        <v>Outperforming</v>
      </c>
      <c r="N2686">
        <f>IF(Table4[[#This Row],[Performance_Ratio]] &lt; 0.85, Table4[[#This Row],[Performance_Deviation]] * 50 / 1000, 0)</f>
        <v>0</v>
      </c>
    </row>
    <row r="2687" spans="1:14" x14ac:dyDescent="0.3">
      <c r="A2687" s="6" t="s">
        <v>9</v>
      </c>
      <c r="B2687" s="5">
        <v>45310.875</v>
      </c>
      <c r="C2687" s="6">
        <v>0</v>
      </c>
      <c r="D2687" s="6">
        <v>0</v>
      </c>
      <c r="E2687" s="6">
        <v>0</v>
      </c>
      <c r="F2687" s="6">
        <v>65.256318385421196</v>
      </c>
      <c r="G2687" s="6" t="str">
        <f t="shared" si="82"/>
        <v>OK</v>
      </c>
      <c r="H2687" s="6" t="str">
        <f t="shared" si="83"/>
        <v>ZERO</v>
      </c>
      <c r="I2687">
        <v>0</v>
      </c>
      <c r="J2687">
        <f>IFERROR(Table4[[#This Row],[energy_kwh]]/Table4[[#This Row],[expected_kwh]],0)</f>
        <v>0</v>
      </c>
      <c r="K2687" t="str">
        <f>IF(Table4[[#This Row],[Performance_Ratio]] &lt; 0.85, "Underperforming", "Performing")</f>
        <v>Underperforming</v>
      </c>
      <c r="L2687">
        <f>Table4[[#This Row],[energy_kwh]] - Table4[[#This Row],[expected_kwh]]</f>
        <v>0</v>
      </c>
      <c r="M2687" t="str">
        <f>IF(Table4[[#This Row],[Performance_Deviation]] &lt; 0, "Underperforming", "Outperforming")</f>
        <v>Outperforming</v>
      </c>
      <c r="N2687">
        <f>IF(Table4[[#This Row],[Performance_Ratio]] &lt; 0.85, Table4[[#This Row],[Performance_Deviation]] * 50 / 1000, 0)</f>
        <v>0</v>
      </c>
    </row>
    <row r="2688" spans="1:14" x14ac:dyDescent="0.3">
      <c r="A2688" s="4" t="s">
        <v>9</v>
      </c>
      <c r="B2688" s="3">
        <v>45310.916666666664</v>
      </c>
      <c r="C2688" s="4">
        <v>0</v>
      </c>
      <c r="D2688" s="4">
        <v>0</v>
      </c>
      <c r="E2688" s="4">
        <v>0</v>
      </c>
      <c r="F2688" s="4">
        <v>50.204927740022399</v>
      </c>
      <c r="G2688" s="4" t="str">
        <f t="shared" si="82"/>
        <v>OK</v>
      </c>
      <c r="H2688" s="4" t="str">
        <f t="shared" si="83"/>
        <v>ZERO</v>
      </c>
      <c r="I2688">
        <v>0</v>
      </c>
      <c r="J2688">
        <f>IFERROR(Table4[[#This Row],[energy_kwh]]/Table4[[#This Row],[expected_kwh]],0)</f>
        <v>0</v>
      </c>
      <c r="K2688" t="str">
        <f>IF(Table4[[#This Row],[Performance_Ratio]] &lt; 0.85, "Underperforming", "Performing")</f>
        <v>Underperforming</v>
      </c>
      <c r="L2688">
        <f>Table4[[#This Row],[energy_kwh]] - Table4[[#This Row],[expected_kwh]]</f>
        <v>0</v>
      </c>
      <c r="M2688" t="str">
        <f>IF(Table4[[#This Row],[Performance_Deviation]] &lt; 0, "Underperforming", "Outperforming")</f>
        <v>Outperforming</v>
      </c>
      <c r="N2688">
        <f>IF(Table4[[#This Row],[Performance_Ratio]] &lt; 0.85, Table4[[#This Row],[Performance_Deviation]] * 50 / 1000, 0)</f>
        <v>0</v>
      </c>
    </row>
    <row r="2689" spans="1:14" x14ac:dyDescent="0.3">
      <c r="A2689" s="6" t="s">
        <v>9</v>
      </c>
      <c r="B2689" s="5">
        <v>45310.958333333336</v>
      </c>
      <c r="C2689" s="6">
        <v>0</v>
      </c>
      <c r="D2689" s="6">
        <v>0</v>
      </c>
      <c r="E2689" s="6">
        <v>0</v>
      </c>
      <c r="F2689" s="6">
        <v>77.083294136394301</v>
      </c>
      <c r="G2689" s="6" t="str">
        <f t="shared" si="82"/>
        <v>OK</v>
      </c>
      <c r="H2689" s="6" t="str">
        <f t="shared" si="83"/>
        <v>ZERO</v>
      </c>
      <c r="I2689">
        <v>0</v>
      </c>
      <c r="J2689">
        <f>IFERROR(Table4[[#This Row],[energy_kwh]]/Table4[[#This Row],[expected_kwh]],0)</f>
        <v>0</v>
      </c>
      <c r="K2689" t="str">
        <f>IF(Table4[[#This Row],[Performance_Ratio]] &lt; 0.85, "Underperforming", "Performing")</f>
        <v>Underperforming</v>
      </c>
      <c r="L2689">
        <f>Table4[[#This Row],[energy_kwh]] - Table4[[#This Row],[expected_kwh]]</f>
        <v>0</v>
      </c>
      <c r="M2689" t="str">
        <f>IF(Table4[[#This Row],[Performance_Deviation]] &lt; 0, "Underperforming", "Outperforming")</f>
        <v>Outperforming</v>
      </c>
      <c r="N2689">
        <f>IF(Table4[[#This Row],[Performance_Ratio]] &lt; 0.85, Table4[[#This Row],[Performance_Deviation]] * 50 / 1000, 0)</f>
        <v>0</v>
      </c>
    </row>
    <row r="2690" spans="1:14" x14ac:dyDescent="0.3">
      <c r="A2690" s="4" t="s">
        <v>9</v>
      </c>
      <c r="B2690" s="3">
        <v>45311</v>
      </c>
      <c r="C2690" s="4">
        <v>0</v>
      </c>
      <c r="D2690" s="4">
        <v>0</v>
      </c>
      <c r="E2690" s="4">
        <v>0</v>
      </c>
      <c r="F2690" s="4">
        <v>79.021760785928095</v>
      </c>
      <c r="G2690" s="4" t="str">
        <f t="shared" ref="G2690:G2753" si="84">IF(D2690 &gt; C2690, "ERROR", "OK")</f>
        <v>OK</v>
      </c>
      <c r="H2690" s="4" t="str">
        <f t="shared" ref="H2690:H2753" si="85">IF(E2690=0,"ZERO","NON-ZERO")</f>
        <v>ZERO</v>
      </c>
      <c r="I2690">
        <v>0</v>
      </c>
      <c r="J2690">
        <f>IFERROR(Table4[[#This Row],[energy_kwh]]/Table4[[#This Row],[expected_kwh]],0)</f>
        <v>0</v>
      </c>
      <c r="K2690" t="str">
        <f>IF(Table4[[#This Row],[Performance_Ratio]] &lt; 0.85, "Underperforming", "Performing")</f>
        <v>Underperforming</v>
      </c>
      <c r="L2690">
        <f>Table4[[#This Row],[energy_kwh]] - Table4[[#This Row],[expected_kwh]]</f>
        <v>0</v>
      </c>
      <c r="M2690" t="str">
        <f>IF(Table4[[#This Row],[Performance_Deviation]] &lt; 0, "Underperforming", "Outperforming")</f>
        <v>Outperforming</v>
      </c>
      <c r="N2690">
        <f>IF(Table4[[#This Row],[Performance_Ratio]] &lt; 0.85, Table4[[#This Row],[Performance_Deviation]] * 50 / 1000, 0)</f>
        <v>0</v>
      </c>
    </row>
    <row r="2691" spans="1:14" x14ac:dyDescent="0.3">
      <c r="A2691" s="6" t="s">
        <v>9</v>
      </c>
      <c r="B2691" s="5">
        <v>45311.041666666664</v>
      </c>
      <c r="C2691" s="6">
        <v>0</v>
      </c>
      <c r="D2691" s="6">
        <v>0</v>
      </c>
      <c r="E2691" s="6">
        <v>0</v>
      </c>
      <c r="F2691" s="6">
        <v>24.0005122253887</v>
      </c>
      <c r="G2691" s="6" t="str">
        <f t="shared" si="84"/>
        <v>OK</v>
      </c>
      <c r="H2691" s="6" t="str">
        <f t="shared" si="85"/>
        <v>ZERO</v>
      </c>
      <c r="I2691">
        <v>0</v>
      </c>
      <c r="J2691">
        <f>IFERROR(Table4[[#This Row],[energy_kwh]]/Table4[[#This Row],[expected_kwh]],0)</f>
        <v>0</v>
      </c>
      <c r="K2691" t="str">
        <f>IF(Table4[[#This Row],[Performance_Ratio]] &lt; 0.85, "Underperforming", "Performing")</f>
        <v>Underperforming</v>
      </c>
      <c r="L2691">
        <f>Table4[[#This Row],[energy_kwh]] - Table4[[#This Row],[expected_kwh]]</f>
        <v>0</v>
      </c>
      <c r="M2691" t="str">
        <f>IF(Table4[[#This Row],[Performance_Deviation]] &lt; 0, "Underperforming", "Outperforming")</f>
        <v>Outperforming</v>
      </c>
      <c r="N2691">
        <f>IF(Table4[[#This Row],[Performance_Ratio]] &lt; 0.85, Table4[[#This Row],[Performance_Deviation]] * 50 / 1000, 0)</f>
        <v>0</v>
      </c>
    </row>
    <row r="2692" spans="1:14" x14ac:dyDescent="0.3">
      <c r="A2692" s="4" t="s">
        <v>9</v>
      </c>
      <c r="B2692" s="3">
        <v>45311.083333333336</v>
      </c>
      <c r="C2692" s="4">
        <v>0</v>
      </c>
      <c r="D2692" s="4">
        <v>0</v>
      </c>
      <c r="E2692" s="4">
        <v>0</v>
      </c>
      <c r="F2692" s="4">
        <v>86.337240109539707</v>
      </c>
      <c r="G2692" s="4" t="str">
        <f t="shared" si="84"/>
        <v>OK</v>
      </c>
      <c r="H2692" s="4" t="str">
        <f t="shared" si="85"/>
        <v>ZERO</v>
      </c>
      <c r="I2692">
        <v>0</v>
      </c>
      <c r="J2692">
        <f>IFERROR(Table4[[#This Row],[energy_kwh]]/Table4[[#This Row],[expected_kwh]],0)</f>
        <v>0</v>
      </c>
      <c r="K2692" t="str">
        <f>IF(Table4[[#This Row],[Performance_Ratio]] &lt; 0.85, "Underperforming", "Performing")</f>
        <v>Underperforming</v>
      </c>
      <c r="L2692">
        <f>Table4[[#This Row],[energy_kwh]] - Table4[[#This Row],[expected_kwh]]</f>
        <v>0</v>
      </c>
      <c r="M2692" t="str">
        <f>IF(Table4[[#This Row],[Performance_Deviation]] &lt; 0, "Underperforming", "Outperforming")</f>
        <v>Outperforming</v>
      </c>
      <c r="N2692">
        <f>IF(Table4[[#This Row],[Performance_Ratio]] &lt; 0.85, Table4[[#This Row],[Performance_Deviation]] * 50 / 1000, 0)</f>
        <v>0</v>
      </c>
    </row>
    <row r="2693" spans="1:14" x14ac:dyDescent="0.3">
      <c r="A2693" s="6" t="s">
        <v>9</v>
      </c>
      <c r="B2693" s="5">
        <v>45311.125</v>
      </c>
      <c r="C2693" s="6">
        <v>0</v>
      </c>
      <c r="D2693" s="6">
        <v>0</v>
      </c>
      <c r="E2693" s="6">
        <v>0</v>
      </c>
      <c r="F2693" s="6">
        <v>60.765078378059201</v>
      </c>
      <c r="G2693" s="6" t="str">
        <f t="shared" si="84"/>
        <v>OK</v>
      </c>
      <c r="H2693" s="6" t="str">
        <f t="shared" si="85"/>
        <v>ZERO</v>
      </c>
      <c r="I2693">
        <v>0</v>
      </c>
      <c r="J2693">
        <f>IFERROR(Table4[[#This Row],[energy_kwh]]/Table4[[#This Row],[expected_kwh]],0)</f>
        <v>0</v>
      </c>
      <c r="K2693" t="str">
        <f>IF(Table4[[#This Row],[Performance_Ratio]] &lt; 0.85, "Underperforming", "Performing")</f>
        <v>Underperforming</v>
      </c>
      <c r="L2693">
        <f>Table4[[#This Row],[energy_kwh]] - Table4[[#This Row],[expected_kwh]]</f>
        <v>0</v>
      </c>
      <c r="M2693" t="str">
        <f>IF(Table4[[#This Row],[Performance_Deviation]] &lt; 0, "Underperforming", "Outperforming")</f>
        <v>Outperforming</v>
      </c>
      <c r="N2693">
        <f>IF(Table4[[#This Row],[Performance_Ratio]] &lt; 0.85, Table4[[#This Row],[Performance_Deviation]] * 50 / 1000, 0)</f>
        <v>0</v>
      </c>
    </row>
    <row r="2694" spans="1:14" x14ac:dyDescent="0.3">
      <c r="A2694" s="4" t="s">
        <v>9</v>
      </c>
      <c r="B2694" s="3">
        <v>45311.166666666664</v>
      </c>
      <c r="C2694" s="4">
        <v>0</v>
      </c>
      <c r="D2694" s="4">
        <v>0</v>
      </c>
      <c r="E2694" s="4">
        <v>0</v>
      </c>
      <c r="F2694" s="4">
        <v>64.867831988892206</v>
      </c>
      <c r="G2694" s="4" t="str">
        <f t="shared" si="84"/>
        <v>OK</v>
      </c>
      <c r="H2694" s="4" t="str">
        <f t="shared" si="85"/>
        <v>ZERO</v>
      </c>
      <c r="I2694">
        <v>0</v>
      </c>
      <c r="J2694">
        <f>IFERROR(Table4[[#This Row],[energy_kwh]]/Table4[[#This Row],[expected_kwh]],0)</f>
        <v>0</v>
      </c>
      <c r="K2694" t="str">
        <f>IF(Table4[[#This Row],[Performance_Ratio]] &lt; 0.85, "Underperforming", "Performing")</f>
        <v>Underperforming</v>
      </c>
      <c r="L2694">
        <f>Table4[[#This Row],[energy_kwh]] - Table4[[#This Row],[expected_kwh]]</f>
        <v>0</v>
      </c>
      <c r="M2694" t="str">
        <f>IF(Table4[[#This Row],[Performance_Deviation]] &lt; 0, "Underperforming", "Outperforming")</f>
        <v>Outperforming</v>
      </c>
      <c r="N2694">
        <f>IF(Table4[[#This Row],[Performance_Ratio]] &lt; 0.85, Table4[[#This Row],[Performance_Deviation]] * 50 / 1000, 0)</f>
        <v>0</v>
      </c>
    </row>
    <row r="2695" spans="1:14" x14ac:dyDescent="0.3">
      <c r="A2695" s="6" t="s">
        <v>9</v>
      </c>
      <c r="B2695" s="5">
        <v>45311.208333333336</v>
      </c>
      <c r="C2695" s="6">
        <v>0</v>
      </c>
      <c r="D2695" s="6">
        <v>0</v>
      </c>
      <c r="E2695" s="6">
        <v>0</v>
      </c>
      <c r="F2695" s="6">
        <v>75.502695873813195</v>
      </c>
      <c r="G2695" s="6" t="str">
        <f t="shared" si="84"/>
        <v>OK</v>
      </c>
      <c r="H2695" s="6" t="str">
        <f t="shared" si="85"/>
        <v>ZERO</v>
      </c>
      <c r="I2695">
        <v>0</v>
      </c>
      <c r="J2695">
        <f>IFERROR(Table4[[#This Row],[energy_kwh]]/Table4[[#This Row],[expected_kwh]],0)</f>
        <v>0</v>
      </c>
      <c r="K2695" t="str">
        <f>IF(Table4[[#This Row],[Performance_Ratio]] &lt; 0.85, "Underperforming", "Performing")</f>
        <v>Underperforming</v>
      </c>
      <c r="L2695">
        <f>Table4[[#This Row],[energy_kwh]] - Table4[[#This Row],[expected_kwh]]</f>
        <v>0</v>
      </c>
      <c r="M2695" t="str">
        <f>IF(Table4[[#This Row],[Performance_Deviation]] &lt; 0, "Underperforming", "Outperforming")</f>
        <v>Outperforming</v>
      </c>
      <c r="N2695">
        <f>IF(Table4[[#This Row],[Performance_Ratio]] &lt; 0.85, Table4[[#This Row],[Performance_Deviation]] * 50 / 1000, 0)</f>
        <v>0</v>
      </c>
    </row>
    <row r="2696" spans="1:14" x14ac:dyDescent="0.3">
      <c r="A2696" s="4" t="s">
        <v>9</v>
      </c>
      <c r="B2696" s="3">
        <v>45311.25</v>
      </c>
      <c r="C2696" s="4">
        <v>0</v>
      </c>
      <c r="D2696" s="4">
        <v>0</v>
      </c>
      <c r="E2696" s="4">
        <v>0</v>
      </c>
      <c r="F2696" s="4">
        <v>84.092387670592998</v>
      </c>
      <c r="G2696" s="4" t="str">
        <f t="shared" si="84"/>
        <v>OK</v>
      </c>
      <c r="H2696" s="4" t="str">
        <f t="shared" si="85"/>
        <v>ZERO</v>
      </c>
      <c r="I2696">
        <v>0</v>
      </c>
      <c r="J2696">
        <f>IFERROR(Table4[[#This Row],[energy_kwh]]/Table4[[#This Row],[expected_kwh]],0)</f>
        <v>0</v>
      </c>
      <c r="K2696" t="str">
        <f>IF(Table4[[#This Row],[Performance_Ratio]] &lt; 0.85, "Underperforming", "Performing")</f>
        <v>Underperforming</v>
      </c>
      <c r="L2696">
        <f>Table4[[#This Row],[energy_kwh]] - Table4[[#This Row],[expected_kwh]]</f>
        <v>0</v>
      </c>
      <c r="M2696" t="str">
        <f>IF(Table4[[#This Row],[Performance_Deviation]] &lt; 0, "Underperforming", "Outperforming")</f>
        <v>Outperforming</v>
      </c>
      <c r="N2696">
        <f>IF(Table4[[#This Row],[Performance_Ratio]] &lt; 0.85, Table4[[#This Row],[Performance_Deviation]] * 50 / 1000, 0)</f>
        <v>0</v>
      </c>
    </row>
    <row r="2697" spans="1:14" x14ac:dyDescent="0.3">
      <c r="A2697" s="6" t="s">
        <v>9</v>
      </c>
      <c r="B2697" s="5">
        <v>45311.291666666664</v>
      </c>
      <c r="C2697" s="6">
        <v>261.35348025184101</v>
      </c>
      <c r="D2697" s="6">
        <v>251.930730569818</v>
      </c>
      <c r="E2697" s="6">
        <v>251.930730569818</v>
      </c>
      <c r="F2697" s="6">
        <v>36.217467079324301</v>
      </c>
      <c r="G2697" s="6" t="str">
        <f t="shared" si="84"/>
        <v>OK</v>
      </c>
      <c r="H2697" s="6" t="str">
        <f t="shared" si="85"/>
        <v>NON-ZERO</v>
      </c>
      <c r="I2697">
        <v>248.466283298419</v>
      </c>
      <c r="J2697">
        <f>IFERROR(Table4[[#This Row],[energy_kwh]]/Table4[[#This Row],[expected_kwh]],0)</f>
        <v>1.0139433295552542</v>
      </c>
      <c r="K2697" t="str">
        <f>IF(Table4[[#This Row],[Performance_Ratio]] &lt; 0.85, "Underperforming", "Performing")</f>
        <v>Performing</v>
      </c>
      <c r="L2697">
        <f>Table4[[#This Row],[energy_kwh]] - Table4[[#This Row],[expected_kwh]]</f>
        <v>3.4644472713989956</v>
      </c>
      <c r="M2697" t="str">
        <f>IF(Table4[[#This Row],[Performance_Deviation]] &lt; 0, "Underperforming", "Outperforming")</f>
        <v>Outperforming</v>
      </c>
      <c r="N2697">
        <f>IF(Table4[[#This Row],[Performance_Ratio]] &lt; 0.85, Table4[[#This Row],[Performance_Deviation]] * 50 / 1000, 0)</f>
        <v>0</v>
      </c>
    </row>
    <row r="2698" spans="1:14" x14ac:dyDescent="0.3">
      <c r="A2698" s="4" t="s">
        <v>9</v>
      </c>
      <c r="B2698" s="3">
        <v>45311.333333333336</v>
      </c>
      <c r="C2698" s="4">
        <v>460.00481131705499</v>
      </c>
      <c r="D2698" s="4">
        <v>443.41995396068802</v>
      </c>
      <c r="E2698" s="4">
        <v>443.41995396068802</v>
      </c>
      <c r="F2698" s="4">
        <v>82.875336544503895</v>
      </c>
      <c r="G2698" s="4" t="str">
        <f t="shared" si="84"/>
        <v>OK</v>
      </c>
      <c r="H2698" s="4" t="str">
        <f t="shared" si="85"/>
        <v>NON-ZERO</v>
      </c>
      <c r="I2698">
        <v>479.99999999999898</v>
      </c>
      <c r="J2698">
        <f>IFERROR(Table4[[#This Row],[energy_kwh]]/Table4[[#This Row],[expected_kwh]],0)</f>
        <v>0.92379157075143536</v>
      </c>
      <c r="K2698" t="str">
        <f>IF(Table4[[#This Row],[Performance_Ratio]] &lt; 0.85, "Underperforming", "Performing")</f>
        <v>Performing</v>
      </c>
      <c r="L2698">
        <f>Table4[[#This Row],[energy_kwh]] - Table4[[#This Row],[expected_kwh]]</f>
        <v>-36.580046039310957</v>
      </c>
      <c r="M2698" t="str">
        <f>IF(Table4[[#This Row],[Performance_Deviation]] &lt; 0, "Underperforming", "Outperforming")</f>
        <v>Underperforming</v>
      </c>
      <c r="N2698">
        <f>IF(Table4[[#This Row],[Performance_Ratio]] &lt; 0.85, Table4[[#This Row],[Performance_Deviation]] * 50 / 1000, 0)</f>
        <v>0</v>
      </c>
    </row>
    <row r="2699" spans="1:14" x14ac:dyDescent="0.3">
      <c r="A2699" s="6" t="s">
        <v>9</v>
      </c>
      <c r="B2699" s="5">
        <v>45311.375</v>
      </c>
      <c r="C2699" s="6">
        <v>610.23934078843104</v>
      </c>
      <c r="D2699" s="6">
        <v>588.23797869127702</v>
      </c>
      <c r="E2699" s="6">
        <v>588.23797869127702</v>
      </c>
      <c r="F2699" s="6">
        <v>92.855138645648395</v>
      </c>
      <c r="G2699" s="6" t="str">
        <f t="shared" si="84"/>
        <v>OK</v>
      </c>
      <c r="H2699" s="6" t="str">
        <f t="shared" si="85"/>
        <v>NON-ZERO</v>
      </c>
      <c r="I2699">
        <v>678.82250993908497</v>
      </c>
      <c r="J2699">
        <f>IFERROR(Table4[[#This Row],[energy_kwh]]/Table4[[#This Row],[expected_kwh]],0)</f>
        <v>0.86655638267514634</v>
      </c>
      <c r="K2699" t="str">
        <f>IF(Table4[[#This Row],[Performance_Ratio]] &lt; 0.85, "Underperforming", "Performing")</f>
        <v>Performing</v>
      </c>
      <c r="L2699">
        <f>Table4[[#This Row],[energy_kwh]] - Table4[[#This Row],[expected_kwh]]</f>
        <v>-90.584531247807945</v>
      </c>
      <c r="M2699" t="str">
        <f>IF(Table4[[#This Row],[Performance_Deviation]] &lt; 0, "Underperforming", "Outperforming")</f>
        <v>Underperforming</v>
      </c>
      <c r="N2699">
        <f>IF(Table4[[#This Row],[Performance_Ratio]] &lt; 0.85, Table4[[#This Row],[Performance_Deviation]] * 50 / 1000, 0)</f>
        <v>0</v>
      </c>
    </row>
    <row r="2700" spans="1:14" x14ac:dyDescent="0.3">
      <c r="A2700" s="4" t="s">
        <v>9</v>
      </c>
      <c r="B2700" s="3">
        <v>45311.416666666664</v>
      </c>
      <c r="C2700" s="4">
        <v>773.75804724283796</v>
      </c>
      <c r="D2700" s="4">
        <v>745.86123719617399</v>
      </c>
      <c r="E2700" s="4">
        <v>745.86123719617399</v>
      </c>
      <c r="F2700" s="4">
        <v>57.977875515885898</v>
      </c>
      <c r="G2700" s="4" t="str">
        <f t="shared" si="84"/>
        <v>OK</v>
      </c>
      <c r="H2700" s="4" t="str">
        <f t="shared" si="85"/>
        <v>NON-ZERO</v>
      </c>
      <c r="I2700">
        <v>831.38438763306101</v>
      </c>
      <c r="J2700">
        <f>IFERROR(Table4[[#This Row],[energy_kwh]]/Table4[[#This Row],[expected_kwh]],0)</f>
        <v>0.89713163765274673</v>
      </c>
      <c r="K2700" t="str">
        <f>IF(Table4[[#This Row],[Performance_Ratio]] &lt; 0.85, "Underperforming", "Performing")</f>
        <v>Performing</v>
      </c>
      <c r="L2700">
        <f>Table4[[#This Row],[energy_kwh]] - Table4[[#This Row],[expected_kwh]]</f>
        <v>-85.523150436887022</v>
      </c>
      <c r="M2700" t="str">
        <f>IF(Table4[[#This Row],[Performance_Deviation]] &lt; 0, "Underperforming", "Outperforming")</f>
        <v>Underperforming</v>
      </c>
      <c r="N2700">
        <f>IF(Table4[[#This Row],[Performance_Ratio]] &lt; 0.85, Table4[[#This Row],[Performance_Deviation]] * 50 / 1000, 0)</f>
        <v>0</v>
      </c>
    </row>
    <row r="2701" spans="1:14" x14ac:dyDescent="0.3">
      <c r="A2701" s="6" t="s">
        <v>9</v>
      </c>
      <c r="B2701" s="5">
        <v>45311.458333333336</v>
      </c>
      <c r="C2701" s="6">
        <v>818.366445419005</v>
      </c>
      <c r="D2701" s="6">
        <v>788.86133932315499</v>
      </c>
      <c r="E2701" s="6">
        <v>788.86133932315499</v>
      </c>
      <c r="F2701" s="6">
        <v>82.456900133953496</v>
      </c>
      <c r="G2701" s="6" t="str">
        <f t="shared" si="84"/>
        <v>OK</v>
      </c>
      <c r="H2701" s="6" t="str">
        <f t="shared" si="85"/>
        <v>NON-ZERO</v>
      </c>
      <c r="I2701">
        <v>927.28879323750505</v>
      </c>
      <c r="J2701">
        <f>IFERROR(Table4[[#This Row],[energy_kwh]]/Table4[[#This Row],[expected_kwh]],0)</f>
        <v>0.85071807734131122</v>
      </c>
      <c r="K2701" t="str">
        <f>IF(Table4[[#This Row],[Performance_Ratio]] &lt; 0.85, "Underperforming", "Performing")</f>
        <v>Performing</v>
      </c>
      <c r="L2701">
        <f>Table4[[#This Row],[energy_kwh]] - Table4[[#This Row],[expected_kwh]]</f>
        <v>-138.42745391435005</v>
      </c>
      <c r="M2701" t="str">
        <f>IF(Table4[[#This Row],[Performance_Deviation]] &lt; 0, "Underperforming", "Outperforming")</f>
        <v>Underperforming</v>
      </c>
      <c r="N2701">
        <f>IF(Table4[[#This Row],[Performance_Ratio]] &lt; 0.85, Table4[[#This Row],[Performance_Deviation]] * 50 / 1000, 0)</f>
        <v>0</v>
      </c>
    </row>
    <row r="2702" spans="1:14" x14ac:dyDescent="0.3">
      <c r="A2702" s="4" t="s">
        <v>9</v>
      </c>
      <c r="B2702" s="3">
        <v>45311.5</v>
      </c>
      <c r="C2702" s="4">
        <v>924.53780227129096</v>
      </c>
      <c r="D2702" s="4">
        <v>891.20483010663702</v>
      </c>
      <c r="E2702" s="4">
        <v>891.20483010663702</v>
      </c>
      <c r="F2702" s="4">
        <v>51.7924813997748</v>
      </c>
      <c r="G2702" s="4" t="str">
        <f t="shared" si="84"/>
        <v>OK</v>
      </c>
      <c r="H2702" s="4" t="str">
        <f t="shared" si="85"/>
        <v>NON-ZERO</v>
      </c>
      <c r="I2702">
        <v>960</v>
      </c>
      <c r="J2702">
        <f>IFERROR(Table4[[#This Row],[energy_kwh]]/Table4[[#This Row],[expected_kwh]],0)</f>
        <v>0.92833836469441355</v>
      </c>
      <c r="K2702" t="str">
        <f>IF(Table4[[#This Row],[Performance_Ratio]] &lt; 0.85, "Underperforming", "Performing")</f>
        <v>Performing</v>
      </c>
      <c r="L2702">
        <f>Table4[[#This Row],[energy_kwh]] - Table4[[#This Row],[expected_kwh]]</f>
        <v>-68.795169893362981</v>
      </c>
      <c r="M2702" t="str">
        <f>IF(Table4[[#This Row],[Performance_Deviation]] &lt; 0, "Underperforming", "Outperforming")</f>
        <v>Underperforming</v>
      </c>
      <c r="N2702">
        <f>IF(Table4[[#This Row],[Performance_Ratio]] &lt; 0.85, Table4[[#This Row],[Performance_Deviation]] * 50 / 1000, 0)</f>
        <v>0</v>
      </c>
    </row>
    <row r="2703" spans="1:14" x14ac:dyDescent="0.3">
      <c r="A2703" s="6" t="s">
        <v>9</v>
      </c>
      <c r="B2703" s="5">
        <v>45311.541666666664</v>
      </c>
      <c r="C2703" s="6">
        <v>866.14145892825297</v>
      </c>
      <c r="D2703" s="6">
        <v>834.91388870864603</v>
      </c>
      <c r="E2703" s="6">
        <v>834.91388870864603</v>
      </c>
      <c r="F2703" s="6">
        <v>61.115282959411303</v>
      </c>
      <c r="G2703" s="6" t="str">
        <f t="shared" si="84"/>
        <v>OK</v>
      </c>
      <c r="H2703" s="6" t="str">
        <f t="shared" si="85"/>
        <v>NON-ZERO</v>
      </c>
      <c r="I2703">
        <v>927.28879323750505</v>
      </c>
      <c r="J2703">
        <f>IFERROR(Table4[[#This Row],[energy_kwh]]/Table4[[#This Row],[expected_kwh]],0)</f>
        <v>0.90038173091001739</v>
      </c>
      <c r="K2703" t="str">
        <f>IF(Table4[[#This Row],[Performance_Ratio]] &lt; 0.85, "Underperforming", "Performing")</f>
        <v>Performing</v>
      </c>
      <c r="L2703">
        <f>Table4[[#This Row],[energy_kwh]] - Table4[[#This Row],[expected_kwh]]</f>
        <v>-92.37490452885902</v>
      </c>
      <c r="M2703" t="str">
        <f>IF(Table4[[#This Row],[Performance_Deviation]] &lt; 0, "Underperforming", "Outperforming")</f>
        <v>Underperforming</v>
      </c>
      <c r="N2703">
        <f>IF(Table4[[#This Row],[Performance_Ratio]] &lt; 0.85, Table4[[#This Row],[Performance_Deviation]] * 50 / 1000, 0)</f>
        <v>0</v>
      </c>
    </row>
    <row r="2704" spans="1:14" x14ac:dyDescent="0.3">
      <c r="A2704" s="4" t="s">
        <v>9</v>
      </c>
      <c r="B2704" s="3">
        <v>45311.583333333336</v>
      </c>
      <c r="C2704" s="4">
        <v>838.30940654798599</v>
      </c>
      <c r="D2704" s="4">
        <v>808.08528369959197</v>
      </c>
      <c r="E2704" s="4">
        <v>808.08528369959197</v>
      </c>
      <c r="F2704" s="4">
        <v>62.360958581463599</v>
      </c>
      <c r="G2704" s="4" t="str">
        <f t="shared" si="84"/>
        <v>OK</v>
      </c>
      <c r="H2704" s="4" t="str">
        <f t="shared" si="85"/>
        <v>NON-ZERO</v>
      </c>
      <c r="I2704">
        <v>831.38438763306101</v>
      </c>
      <c r="J2704">
        <f>IFERROR(Table4[[#This Row],[energy_kwh]]/Table4[[#This Row],[expected_kwh]],0)</f>
        <v>0.97197553348361365</v>
      </c>
      <c r="K2704" t="str">
        <f>IF(Table4[[#This Row],[Performance_Ratio]] &lt; 0.85, "Underperforming", "Performing")</f>
        <v>Performing</v>
      </c>
      <c r="L2704">
        <f>Table4[[#This Row],[energy_kwh]] - Table4[[#This Row],[expected_kwh]]</f>
        <v>-23.299103933469041</v>
      </c>
      <c r="M2704" t="str">
        <f>IF(Table4[[#This Row],[Performance_Deviation]] &lt; 0, "Underperforming", "Outperforming")</f>
        <v>Underperforming</v>
      </c>
      <c r="N2704">
        <f>IF(Table4[[#This Row],[Performance_Ratio]] &lt; 0.85, Table4[[#This Row],[Performance_Deviation]] * 50 / 1000, 0)</f>
        <v>0</v>
      </c>
    </row>
    <row r="2705" spans="1:14" x14ac:dyDescent="0.3">
      <c r="A2705" s="6" t="s">
        <v>9</v>
      </c>
      <c r="B2705" s="5">
        <v>45311.625</v>
      </c>
      <c r="C2705" s="6">
        <v>673.30427169133702</v>
      </c>
      <c r="D2705" s="6">
        <v>649.02918797762197</v>
      </c>
      <c r="E2705" s="6">
        <v>649.02918797762197</v>
      </c>
      <c r="F2705" s="6">
        <v>29.171654088544901</v>
      </c>
      <c r="G2705" s="6" t="str">
        <f t="shared" si="84"/>
        <v>OK</v>
      </c>
      <c r="H2705" s="6" t="str">
        <f t="shared" si="85"/>
        <v>NON-ZERO</v>
      </c>
      <c r="I2705">
        <v>678.82250993908497</v>
      </c>
      <c r="J2705">
        <f>IFERROR(Table4[[#This Row],[energy_kwh]]/Table4[[#This Row],[expected_kwh]],0)</f>
        <v>0.95611029168119877</v>
      </c>
      <c r="K2705" t="str">
        <f>IF(Table4[[#This Row],[Performance_Ratio]] &lt; 0.85, "Underperforming", "Performing")</f>
        <v>Performing</v>
      </c>
      <c r="L2705">
        <f>Table4[[#This Row],[energy_kwh]] - Table4[[#This Row],[expected_kwh]]</f>
        <v>-29.793321961462993</v>
      </c>
      <c r="M2705" t="str">
        <f>IF(Table4[[#This Row],[Performance_Deviation]] &lt; 0, "Underperforming", "Outperforming")</f>
        <v>Underperforming</v>
      </c>
      <c r="N2705">
        <f>IF(Table4[[#This Row],[Performance_Ratio]] &lt; 0.85, Table4[[#This Row],[Performance_Deviation]] * 50 / 1000, 0)</f>
        <v>0</v>
      </c>
    </row>
    <row r="2706" spans="1:14" x14ac:dyDescent="0.3">
      <c r="A2706" s="4" t="s">
        <v>9</v>
      </c>
      <c r="B2706" s="3">
        <v>45311.666666666664</v>
      </c>
      <c r="C2706" s="4">
        <v>446.74326210372902</v>
      </c>
      <c r="D2706" s="4">
        <v>430.63653214215498</v>
      </c>
      <c r="E2706" s="4">
        <v>430.63653214215498</v>
      </c>
      <c r="F2706" s="4">
        <v>52.401859972530602</v>
      </c>
      <c r="G2706" s="4" t="str">
        <f t="shared" si="84"/>
        <v>OK</v>
      </c>
      <c r="H2706" s="4" t="str">
        <f t="shared" si="85"/>
        <v>NON-ZERO</v>
      </c>
      <c r="I2706">
        <v>479.99999999999898</v>
      </c>
      <c r="J2706">
        <f>IFERROR(Table4[[#This Row],[energy_kwh]]/Table4[[#This Row],[expected_kwh]],0)</f>
        <v>0.89715944196282482</v>
      </c>
      <c r="K2706" t="str">
        <f>IF(Table4[[#This Row],[Performance_Ratio]] &lt; 0.85, "Underperforming", "Performing")</f>
        <v>Performing</v>
      </c>
      <c r="L2706">
        <f>Table4[[#This Row],[energy_kwh]] - Table4[[#This Row],[expected_kwh]]</f>
        <v>-49.363467857844</v>
      </c>
      <c r="M2706" t="str">
        <f>IF(Table4[[#This Row],[Performance_Deviation]] &lt; 0, "Underperforming", "Outperforming")</f>
        <v>Underperforming</v>
      </c>
      <c r="N2706">
        <f>IF(Table4[[#This Row],[Performance_Ratio]] &lt; 0.85, Table4[[#This Row],[Performance_Deviation]] * 50 / 1000, 0)</f>
        <v>0</v>
      </c>
    </row>
    <row r="2707" spans="1:14" x14ac:dyDescent="0.3">
      <c r="A2707" s="6" t="s">
        <v>9</v>
      </c>
      <c r="B2707" s="5">
        <v>45311.708333333336</v>
      </c>
      <c r="C2707" s="6">
        <v>255.48064829138801</v>
      </c>
      <c r="D2707" s="6">
        <v>246.269635699817</v>
      </c>
      <c r="E2707" s="6">
        <v>246.269635699817</v>
      </c>
      <c r="F2707" s="6">
        <v>20.2946991066663</v>
      </c>
      <c r="G2707" s="6" t="str">
        <f t="shared" si="84"/>
        <v>OK</v>
      </c>
      <c r="H2707" s="6" t="str">
        <f t="shared" si="85"/>
        <v>NON-ZERO</v>
      </c>
      <c r="I2707">
        <v>248.46628329842</v>
      </c>
      <c r="J2707">
        <f>IFERROR(Table4[[#This Row],[energy_kwh]]/Table4[[#This Row],[expected_kwh]],0)</f>
        <v>0.99115917230522299</v>
      </c>
      <c r="K2707" t="str">
        <f>IF(Table4[[#This Row],[Performance_Ratio]] &lt; 0.85, "Underperforming", "Performing")</f>
        <v>Performing</v>
      </c>
      <c r="L2707">
        <f>Table4[[#This Row],[energy_kwh]] - Table4[[#This Row],[expected_kwh]]</f>
        <v>-2.1966475986029934</v>
      </c>
      <c r="M2707" t="str">
        <f>IF(Table4[[#This Row],[Performance_Deviation]] &lt; 0, "Underperforming", "Outperforming")</f>
        <v>Underperforming</v>
      </c>
      <c r="N2707">
        <f>IF(Table4[[#This Row],[Performance_Ratio]] &lt; 0.85, Table4[[#This Row],[Performance_Deviation]] * 50 / 1000, 0)</f>
        <v>0</v>
      </c>
    </row>
    <row r="2708" spans="1:14" x14ac:dyDescent="0.3">
      <c r="A2708" s="4" t="s">
        <v>9</v>
      </c>
      <c r="B2708" s="3">
        <v>45311.75</v>
      </c>
      <c r="C2708" s="7">
        <v>1.03904440689967E-13</v>
      </c>
      <c r="D2708" s="7">
        <v>1.00158305247161E-13</v>
      </c>
      <c r="E2708" s="7">
        <v>1.00158305247161E-13</v>
      </c>
      <c r="F2708" s="4">
        <v>53.2734234952609</v>
      </c>
      <c r="G2708" s="4" t="str">
        <f t="shared" si="84"/>
        <v>OK</v>
      </c>
      <c r="H2708" s="4" t="str">
        <f t="shared" si="85"/>
        <v>NON-ZERO</v>
      </c>
      <c r="I2708" s="2">
        <v>1.1756609271814501E-13</v>
      </c>
      <c r="J2708">
        <f>IFERROR(Table4[[#This Row],[energy_kwh]]/Table4[[#This Row],[expected_kwh]],0)</f>
        <v>0.85193190427177212</v>
      </c>
      <c r="K2708" t="str">
        <f>IF(Table4[[#This Row],[Performance_Ratio]] &lt; 0.85, "Underperforming", "Performing")</f>
        <v>Performing</v>
      </c>
      <c r="L2708">
        <f>Table4[[#This Row],[energy_kwh]] - Table4[[#This Row],[expected_kwh]]</f>
        <v>-1.7407787470984013E-14</v>
      </c>
      <c r="M2708" t="str">
        <f>IF(Table4[[#This Row],[Performance_Deviation]] &lt; 0, "Underperforming", "Outperforming")</f>
        <v>Underperforming</v>
      </c>
      <c r="N2708">
        <f>IF(Table4[[#This Row],[Performance_Ratio]] &lt; 0.85, Table4[[#This Row],[Performance_Deviation]] * 50 / 1000, 0)</f>
        <v>0</v>
      </c>
    </row>
    <row r="2709" spans="1:14" x14ac:dyDescent="0.3">
      <c r="A2709" s="6" t="s">
        <v>9</v>
      </c>
      <c r="B2709" s="5">
        <v>45311.791666666664</v>
      </c>
      <c r="C2709" s="6">
        <v>0</v>
      </c>
      <c r="D2709" s="6">
        <v>0</v>
      </c>
      <c r="E2709" s="6">
        <v>0</v>
      </c>
      <c r="F2709" s="6">
        <v>78.611768244392806</v>
      </c>
      <c r="G2709" s="6" t="str">
        <f t="shared" si="84"/>
        <v>OK</v>
      </c>
      <c r="H2709" s="6" t="str">
        <f t="shared" si="85"/>
        <v>ZERO</v>
      </c>
      <c r="I2709">
        <v>0</v>
      </c>
      <c r="J2709">
        <f>IFERROR(Table4[[#This Row],[energy_kwh]]/Table4[[#This Row],[expected_kwh]],0)</f>
        <v>0</v>
      </c>
      <c r="K2709" t="str">
        <f>IF(Table4[[#This Row],[Performance_Ratio]] &lt; 0.85, "Underperforming", "Performing")</f>
        <v>Underperforming</v>
      </c>
      <c r="L2709">
        <f>Table4[[#This Row],[energy_kwh]] - Table4[[#This Row],[expected_kwh]]</f>
        <v>0</v>
      </c>
      <c r="M2709" t="str">
        <f>IF(Table4[[#This Row],[Performance_Deviation]] &lt; 0, "Underperforming", "Outperforming")</f>
        <v>Outperforming</v>
      </c>
      <c r="N2709">
        <f>IF(Table4[[#This Row],[Performance_Ratio]] &lt; 0.85, Table4[[#This Row],[Performance_Deviation]] * 50 / 1000, 0)</f>
        <v>0</v>
      </c>
    </row>
    <row r="2710" spans="1:14" x14ac:dyDescent="0.3">
      <c r="A2710" s="4" t="s">
        <v>9</v>
      </c>
      <c r="B2710" s="3">
        <v>45311.833333333336</v>
      </c>
      <c r="C2710" s="4">
        <v>0</v>
      </c>
      <c r="D2710" s="4">
        <v>0</v>
      </c>
      <c r="E2710" s="4">
        <v>0</v>
      </c>
      <c r="F2710" s="4">
        <v>80.826626696917003</v>
      </c>
      <c r="G2710" s="4" t="str">
        <f t="shared" si="84"/>
        <v>OK</v>
      </c>
      <c r="H2710" s="4" t="str">
        <f t="shared" si="85"/>
        <v>ZERO</v>
      </c>
      <c r="I2710">
        <v>0</v>
      </c>
      <c r="J2710">
        <f>IFERROR(Table4[[#This Row],[energy_kwh]]/Table4[[#This Row],[expected_kwh]],0)</f>
        <v>0</v>
      </c>
      <c r="K2710" t="str">
        <f>IF(Table4[[#This Row],[Performance_Ratio]] &lt; 0.85, "Underperforming", "Performing")</f>
        <v>Underperforming</v>
      </c>
      <c r="L2710">
        <f>Table4[[#This Row],[energy_kwh]] - Table4[[#This Row],[expected_kwh]]</f>
        <v>0</v>
      </c>
      <c r="M2710" t="str">
        <f>IF(Table4[[#This Row],[Performance_Deviation]] &lt; 0, "Underperforming", "Outperforming")</f>
        <v>Outperforming</v>
      </c>
      <c r="N2710">
        <f>IF(Table4[[#This Row],[Performance_Ratio]] &lt; 0.85, Table4[[#This Row],[Performance_Deviation]] * 50 / 1000, 0)</f>
        <v>0</v>
      </c>
    </row>
    <row r="2711" spans="1:14" x14ac:dyDescent="0.3">
      <c r="A2711" s="6" t="s">
        <v>9</v>
      </c>
      <c r="B2711" s="5">
        <v>45311.875</v>
      </c>
      <c r="C2711" s="6">
        <v>0</v>
      </c>
      <c r="D2711" s="6">
        <v>0</v>
      </c>
      <c r="E2711" s="6">
        <v>0</v>
      </c>
      <c r="F2711" s="6">
        <v>87.090413918044305</v>
      </c>
      <c r="G2711" s="6" t="str">
        <f t="shared" si="84"/>
        <v>OK</v>
      </c>
      <c r="H2711" s="6" t="str">
        <f t="shared" si="85"/>
        <v>ZERO</v>
      </c>
      <c r="I2711">
        <v>0</v>
      </c>
      <c r="J2711">
        <f>IFERROR(Table4[[#This Row],[energy_kwh]]/Table4[[#This Row],[expected_kwh]],0)</f>
        <v>0</v>
      </c>
      <c r="K2711" t="str">
        <f>IF(Table4[[#This Row],[Performance_Ratio]] &lt; 0.85, "Underperforming", "Performing")</f>
        <v>Underperforming</v>
      </c>
      <c r="L2711">
        <f>Table4[[#This Row],[energy_kwh]] - Table4[[#This Row],[expected_kwh]]</f>
        <v>0</v>
      </c>
      <c r="M2711" t="str">
        <f>IF(Table4[[#This Row],[Performance_Deviation]] &lt; 0, "Underperforming", "Outperforming")</f>
        <v>Outperforming</v>
      </c>
      <c r="N2711">
        <f>IF(Table4[[#This Row],[Performance_Ratio]] &lt; 0.85, Table4[[#This Row],[Performance_Deviation]] * 50 / 1000, 0)</f>
        <v>0</v>
      </c>
    </row>
    <row r="2712" spans="1:14" x14ac:dyDescent="0.3">
      <c r="A2712" s="4" t="s">
        <v>9</v>
      </c>
      <c r="B2712" s="3">
        <v>45311.916666666664</v>
      </c>
      <c r="C2712" s="4">
        <v>0</v>
      </c>
      <c r="D2712" s="4">
        <v>0</v>
      </c>
      <c r="E2712" s="4">
        <v>0</v>
      </c>
      <c r="F2712" s="4">
        <v>23.341747371323901</v>
      </c>
      <c r="G2712" s="4" t="str">
        <f t="shared" si="84"/>
        <v>OK</v>
      </c>
      <c r="H2712" s="4" t="str">
        <f t="shared" si="85"/>
        <v>ZERO</v>
      </c>
      <c r="I2712">
        <v>0</v>
      </c>
      <c r="J2712">
        <f>IFERROR(Table4[[#This Row],[energy_kwh]]/Table4[[#This Row],[expected_kwh]],0)</f>
        <v>0</v>
      </c>
      <c r="K2712" t="str">
        <f>IF(Table4[[#This Row],[Performance_Ratio]] &lt; 0.85, "Underperforming", "Performing")</f>
        <v>Underperforming</v>
      </c>
      <c r="L2712">
        <f>Table4[[#This Row],[energy_kwh]] - Table4[[#This Row],[expected_kwh]]</f>
        <v>0</v>
      </c>
      <c r="M2712" t="str">
        <f>IF(Table4[[#This Row],[Performance_Deviation]] &lt; 0, "Underperforming", "Outperforming")</f>
        <v>Outperforming</v>
      </c>
      <c r="N2712">
        <f>IF(Table4[[#This Row],[Performance_Ratio]] &lt; 0.85, Table4[[#This Row],[Performance_Deviation]] * 50 / 1000, 0)</f>
        <v>0</v>
      </c>
    </row>
    <row r="2713" spans="1:14" x14ac:dyDescent="0.3">
      <c r="A2713" s="6" t="s">
        <v>9</v>
      </c>
      <c r="B2713" s="5">
        <v>45311.958333333336</v>
      </c>
      <c r="C2713" s="6">
        <v>0</v>
      </c>
      <c r="D2713" s="6">
        <v>0</v>
      </c>
      <c r="E2713" s="6">
        <v>0</v>
      </c>
      <c r="F2713" s="6">
        <v>55.460334808454299</v>
      </c>
      <c r="G2713" s="6" t="str">
        <f t="shared" si="84"/>
        <v>OK</v>
      </c>
      <c r="H2713" s="6" t="str">
        <f t="shared" si="85"/>
        <v>ZERO</v>
      </c>
      <c r="I2713">
        <v>0</v>
      </c>
      <c r="J2713">
        <f>IFERROR(Table4[[#This Row],[energy_kwh]]/Table4[[#This Row],[expected_kwh]],0)</f>
        <v>0</v>
      </c>
      <c r="K2713" t="str">
        <f>IF(Table4[[#This Row],[Performance_Ratio]] &lt; 0.85, "Underperforming", "Performing")</f>
        <v>Underperforming</v>
      </c>
      <c r="L2713">
        <f>Table4[[#This Row],[energy_kwh]] - Table4[[#This Row],[expected_kwh]]</f>
        <v>0</v>
      </c>
      <c r="M2713" t="str">
        <f>IF(Table4[[#This Row],[Performance_Deviation]] &lt; 0, "Underperforming", "Outperforming")</f>
        <v>Outperforming</v>
      </c>
      <c r="N2713">
        <f>IF(Table4[[#This Row],[Performance_Ratio]] &lt; 0.85, Table4[[#This Row],[Performance_Deviation]] * 50 / 1000, 0)</f>
        <v>0</v>
      </c>
    </row>
    <row r="2714" spans="1:14" x14ac:dyDescent="0.3">
      <c r="A2714" s="4" t="s">
        <v>9</v>
      </c>
      <c r="B2714" s="3">
        <v>45312</v>
      </c>
      <c r="C2714" s="4">
        <v>0</v>
      </c>
      <c r="D2714" s="4">
        <v>0</v>
      </c>
      <c r="E2714" s="4">
        <v>0</v>
      </c>
      <c r="F2714" s="4">
        <v>79.774074106923905</v>
      </c>
      <c r="G2714" s="4" t="str">
        <f t="shared" si="84"/>
        <v>OK</v>
      </c>
      <c r="H2714" s="4" t="str">
        <f t="shared" si="85"/>
        <v>ZERO</v>
      </c>
      <c r="I2714">
        <v>0</v>
      </c>
      <c r="J2714">
        <f>IFERROR(Table4[[#This Row],[energy_kwh]]/Table4[[#This Row],[expected_kwh]],0)</f>
        <v>0</v>
      </c>
      <c r="K2714" t="str">
        <f>IF(Table4[[#This Row],[Performance_Ratio]] &lt; 0.85, "Underperforming", "Performing")</f>
        <v>Underperforming</v>
      </c>
      <c r="L2714">
        <f>Table4[[#This Row],[energy_kwh]] - Table4[[#This Row],[expected_kwh]]</f>
        <v>0</v>
      </c>
      <c r="M2714" t="str">
        <f>IF(Table4[[#This Row],[Performance_Deviation]] &lt; 0, "Underperforming", "Outperforming")</f>
        <v>Outperforming</v>
      </c>
      <c r="N2714">
        <f>IF(Table4[[#This Row],[Performance_Ratio]] &lt; 0.85, Table4[[#This Row],[Performance_Deviation]] * 50 / 1000, 0)</f>
        <v>0</v>
      </c>
    </row>
    <row r="2715" spans="1:14" x14ac:dyDescent="0.3">
      <c r="A2715" s="6" t="s">
        <v>9</v>
      </c>
      <c r="B2715" s="5">
        <v>45312.041666666664</v>
      </c>
      <c r="C2715" s="6">
        <v>0</v>
      </c>
      <c r="D2715" s="6">
        <v>0</v>
      </c>
      <c r="E2715" s="6">
        <v>0</v>
      </c>
      <c r="F2715" s="6">
        <v>36.1303603598789</v>
      </c>
      <c r="G2715" s="6" t="str">
        <f t="shared" si="84"/>
        <v>OK</v>
      </c>
      <c r="H2715" s="6" t="str">
        <f t="shared" si="85"/>
        <v>ZERO</v>
      </c>
      <c r="I2715">
        <v>0</v>
      </c>
      <c r="J2715">
        <f>IFERROR(Table4[[#This Row],[energy_kwh]]/Table4[[#This Row],[expected_kwh]],0)</f>
        <v>0</v>
      </c>
      <c r="K2715" t="str">
        <f>IF(Table4[[#This Row],[Performance_Ratio]] &lt; 0.85, "Underperforming", "Performing")</f>
        <v>Underperforming</v>
      </c>
      <c r="L2715">
        <f>Table4[[#This Row],[energy_kwh]] - Table4[[#This Row],[expected_kwh]]</f>
        <v>0</v>
      </c>
      <c r="M2715" t="str">
        <f>IF(Table4[[#This Row],[Performance_Deviation]] &lt; 0, "Underperforming", "Outperforming")</f>
        <v>Outperforming</v>
      </c>
      <c r="N2715">
        <f>IF(Table4[[#This Row],[Performance_Ratio]] &lt; 0.85, Table4[[#This Row],[Performance_Deviation]] * 50 / 1000, 0)</f>
        <v>0</v>
      </c>
    </row>
    <row r="2716" spans="1:14" x14ac:dyDescent="0.3">
      <c r="A2716" s="4" t="s">
        <v>9</v>
      </c>
      <c r="B2716" s="3">
        <v>45312.083333333336</v>
      </c>
      <c r="C2716" s="4">
        <v>0</v>
      </c>
      <c r="D2716" s="4">
        <v>0</v>
      </c>
      <c r="E2716" s="4">
        <v>0</v>
      </c>
      <c r="F2716" s="4">
        <v>80.422769395618801</v>
      </c>
      <c r="G2716" s="4" t="str">
        <f t="shared" si="84"/>
        <v>OK</v>
      </c>
      <c r="H2716" s="4" t="str">
        <f t="shared" si="85"/>
        <v>ZERO</v>
      </c>
      <c r="I2716">
        <v>0</v>
      </c>
      <c r="J2716">
        <f>IFERROR(Table4[[#This Row],[energy_kwh]]/Table4[[#This Row],[expected_kwh]],0)</f>
        <v>0</v>
      </c>
      <c r="K2716" t="str">
        <f>IF(Table4[[#This Row],[Performance_Ratio]] &lt; 0.85, "Underperforming", "Performing")</f>
        <v>Underperforming</v>
      </c>
      <c r="L2716">
        <f>Table4[[#This Row],[energy_kwh]] - Table4[[#This Row],[expected_kwh]]</f>
        <v>0</v>
      </c>
      <c r="M2716" t="str">
        <f>IF(Table4[[#This Row],[Performance_Deviation]] &lt; 0, "Underperforming", "Outperforming")</f>
        <v>Outperforming</v>
      </c>
      <c r="N2716">
        <f>IF(Table4[[#This Row],[Performance_Ratio]] &lt; 0.85, Table4[[#This Row],[Performance_Deviation]] * 50 / 1000, 0)</f>
        <v>0</v>
      </c>
    </row>
    <row r="2717" spans="1:14" x14ac:dyDescent="0.3">
      <c r="A2717" s="6" t="s">
        <v>9</v>
      </c>
      <c r="B2717" s="5">
        <v>45312.125</v>
      </c>
      <c r="C2717" s="6">
        <v>0</v>
      </c>
      <c r="D2717" s="6">
        <v>0</v>
      </c>
      <c r="E2717" s="6">
        <v>0</v>
      </c>
      <c r="F2717" s="6">
        <v>46.3581255103012</v>
      </c>
      <c r="G2717" s="6" t="str">
        <f t="shared" si="84"/>
        <v>OK</v>
      </c>
      <c r="H2717" s="6" t="str">
        <f t="shared" si="85"/>
        <v>ZERO</v>
      </c>
      <c r="I2717">
        <v>0</v>
      </c>
      <c r="J2717">
        <f>IFERROR(Table4[[#This Row],[energy_kwh]]/Table4[[#This Row],[expected_kwh]],0)</f>
        <v>0</v>
      </c>
      <c r="K2717" t="str">
        <f>IF(Table4[[#This Row],[Performance_Ratio]] &lt; 0.85, "Underperforming", "Performing")</f>
        <v>Underperforming</v>
      </c>
      <c r="L2717">
        <f>Table4[[#This Row],[energy_kwh]] - Table4[[#This Row],[expected_kwh]]</f>
        <v>0</v>
      </c>
      <c r="M2717" t="str">
        <f>IF(Table4[[#This Row],[Performance_Deviation]] &lt; 0, "Underperforming", "Outperforming")</f>
        <v>Outperforming</v>
      </c>
      <c r="N2717">
        <f>IF(Table4[[#This Row],[Performance_Ratio]] &lt; 0.85, Table4[[#This Row],[Performance_Deviation]] * 50 / 1000, 0)</f>
        <v>0</v>
      </c>
    </row>
    <row r="2718" spans="1:14" x14ac:dyDescent="0.3">
      <c r="A2718" s="4" t="s">
        <v>9</v>
      </c>
      <c r="B2718" s="3">
        <v>45312.166666666664</v>
      </c>
      <c r="C2718" s="4">
        <v>0</v>
      </c>
      <c r="D2718" s="4">
        <v>0</v>
      </c>
      <c r="E2718" s="4">
        <v>0</v>
      </c>
      <c r="F2718" s="4">
        <v>92.736558893077998</v>
      </c>
      <c r="G2718" s="4" t="str">
        <f t="shared" si="84"/>
        <v>OK</v>
      </c>
      <c r="H2718" s="4" t="str">
        <f t="shared" si="85"/>
        <v>ZERO</v>
      </c>
      <c r="I2718">
        <v>0</v>
      </c>
      <c r="J2718">
        <f>IFERROR(Table4[[#This Row],[energy_kwh]]/Table4[[#This Row],[expected_kwh]],0)</f>
        <v>0</v>
      </c>
      <c r="K2718" t="str">
        <f>IF(Table4[[#This Row],[Performance_Ratio]] &lt; 0.85, "Underperforming", "Performing")</f>
        <v>Underperforming</v>
      </c>
      <c r="L2718">
        <f>Table4[[#This Row],[energy_kwh]] - Table4[[#This Row],[expected_kwh]]</f>
        <v>0</v>
      </c>
      <c r="M2718" t="str">
        <f>IF(Table4[[#This Row],[Performance_Deviation]] &lt; 0, "Underperforming", "Outperforming")</f>
        <v>Outperforming</v>
      </c>
      <c r="N2718">
        <f>IF(Table4[[#This Row],[Performance_Ratio]] &lt; 0.85, Table4[[#This Row],[Performance_Deviation]] * 50 / 1000, 0)</f>
        <v>0</v>
      </c>
    </row>
    <row r="2719" spans="1:14" x14ac:dyDescent="0.3">
      <c r="A2719" s="6" t="s">
        <v>9</v>
      </c>
      <c r="B2719" s="5">
        <v>45312.208333333336</v>
      </c>
      <c r="C2719" s="6">
        <v>0</v>
      </c>
      <c r="D2719" s="6">
        <v>0</v>
      </c>
      <c r="E2719" s="6">
        <v>0</v>
      </c>
      <c r="F2719" s="6">
        <v>44.102746680565197</v>
      </c>
      <c r="G2719" s="6" t="str">
        <f t="shared" si="84"/>
        <v>OK</v>
      </c>
      <c r="H2719" s="6" t="str">
        <f t="shared" si="85"/>
        <v>ZERO</v>
      </c>
      <c r="I2719">
        <v>0</v>
      </c>
      <c r="J2719">
        <f>IFERROR(Table4[[#This Row],[energy_kwh]]/Table4[[#This Row],[expected_kwh]],0)</f>
        <v>0</v>
      </c>
      <c r="K2719" t="str">
        <f>IF(Table4[[#This Row],[Performance_Ratio]] &lt; 0.85, "Underperforming", "Performing")</f>
        <v>Underperforming</v>
      </c>
      <c r="L2719">
        <f>Table4[[#This Row],[energy_kwh]] - Table4[[#This Row],[expected_kwh]]</f>
        <v>0</v>
      </c>
      <c r="M2719" t="str">
        <f>IF(Table4[[#This Row],[Performance_Deviation]] &lt; 0, "Underperforming", "Outperforming")</f>
        <v>Outperforming</v>
      </c>
      <c r="N2719">
        <f>IF(Table4[[#This Row],[Performance_Ratio]] &lt; 0.85, Table4[[#This Row],[Performance_Deviation]] * 50 / 1000, 0)</f>
        <v>0</v>
      </c>
    </row>
    <row r="2720" spans="1:14" x14ac:dyDescent="0.3">
      <c r="A2720" s="4" t="s">
        <v>9</v>
      </c>
      <c r="B2720" s="3">
        <v>45312.25</v>
      </c>
      <c r="C2720" s="4">
        <v>0</v>
      </c>
      <c r="D2720" s="4">
        <v>0</v>
      </c>
      <c r="E2720" s="4">
        <v>0</v>
      </c>
      <c r="F2720" s="4">
        <v>23.744186424753401</v>
      </c>
      <c r="G2720" s="4" t="str">
        <f t="shared" si="84"/>
        <v>OK</v>
      </c>
      <c r="H2720" s="4" t="str">
        <f t="shared" si="85"/>
        <v>ZERO</v>
      </c>
      <c r="I2720">
        <v>0</v>
      </c>
      <c r="J2720">
        <f>IFERROR(Table4[[#This Row],[energy_kwh]]/Table4[[#This Row],[expected_kwh]],0)</f>
        <v>0</v>
      </c>
      <c r="K2720" t="str">
        <f>IF(Table4[[#This Row],[Performance_Ratio]] &lt; 0.85, "Underperforming", "Performing")</f>
        <v>Underperforming</v>
      </c>
      <c r="L2720">
        <f>Table4[[#This Row],[energy_kwh]] - Table4[[#This Row],[expected_kwh]]</f>
        <v>0</v>
      </c>
      <c r="M2720" t="str">
        <f>IF(Table4[[#This Row],[Performance_Deviation]] &lt; 0, "Underperforming", "Outperforming")</f>
        <v>Outperforming</v>
      </c>
      <c r="N2720">
        <f>IF(Table4[[#This Row],[Performance_Ratio]] &lt; 0.85, Table4[[#This Row],[Performance_Deviation]] * 50 / 1000, 0)</f>
        <v>0</v>
      </c>
    </row>
    <row r="2721" spans="1:14" x14ac:dyDescent="0.3">
      <c r="A2721" s="6" t="s">
        <v>9</v>
      </c>
      <c r="B2721" s="5">
        <v>45312.291666666664</v>
      </c>
      <c r="C2721" s="6">
        <v>216.64804629752899</v>
      </c>
      <c r="D2721" s="6">
        <v>208.837091159707</v>
      </c>
      <c r="E2721" s="6">
        <v>208.837091159707</v>
      </c>
      <c r="F2721" s="6">
        <v>77.041858663994205</v>
      </c>
      <c r="G2721" s="6" t="str">
        <f t="shared" si="84"/>
        <v>OK</v>
      </c>
      <c r="H2721" s="6" t="str">
        <f t="shared" si="85"/>
        <v>NON-ZERO</v>
      </c>
      <c r="I2721">
        <v>248.466283298419</v>
      </c>
      <c r="J2721">
        <f>IFERROR(Table4[[#This Row],[energy_kwh]]/Table4[[#This Row],[expected_kwh]],0)</f>
        <v>0.84050474932602592</v>
      </c>
      <c r="K2721" t="str">
        <f>IF(Table4[[#This Row],[Performance_Ratio]] &lt; 0.85, "Underperforming", "Performing")</f>
        <v>Underperforming</v>
      </c>
      <c r="L2721">
        <f>Table4[[#This Row],[energy_kwh]] - Table4[[#This Row],[expected_kwh]]</f>
        <v>-39.629192138712</v>
      </c>
      <c r="M2721" t="str">
        <f>IF(Table4[[#This Row],[Performance_Deviation]] &lt; 0, "Underperforming", "Outperforming")</f>
        <v>Underperforming</v>
      </c>
      <c r="N2721">
        <f>IF(Table4[[#This Row],[Performance_Ratio]] &lt; 0.85, Table4[[#This Row],[Performance_Deviation]] * 50 / 1000, 0)</f>
        <v>-1.9814596069356001</v>
      </c>
    </row>
    <row r="2722" spans="1:14" x14ac:dyDescent="0.3">
      <c r="A2722" s="4" t="s">
        <v>9</v>
      </c>
      <c r="B2722" s="3">
        <v>45312.333333333336</v>
      </c>
      <c r="C2722" s="4">
        <v>384.12997317457803</v>
      </c>
      <c r="D2722" s="4">
        <v>370.28068148311701</v>
      </c>
      <c r="E2722" s="4">
        <v>370.28068148311701</v>
      </c>
      <c r="F2722" s="4">
        <v>88.306385955360994</v>
      </c>
      <c r="G2722" s="4" t="str">
        <f t="shared" si="84"/>
        <v>OK</v>
      </c>
      <c r="H2722" s="4" t="str">
        <f t="shared" si="85"/>
        <v>NON-ZERO</v>
      </c>
      <c r="I2722">
        <v>479.99999999999898</v>
      </c>
      <c r="J2722">
        <f>IFERROR(Table4[[#This Row],[energy_kwh]]/Table4[[#This Row],[expected_kwh]],0)</f>
        <v>0.77141808642316212</v>
      </c>
      <c r="K2722" t="str">
        <f>IF(Table4[[#This Row],[Performance_Ratio]] &lt; 0.85, "Underperforming", "Performing")</f>
        <v>Underperforming</v>
      </c>
      <c r="L2722">
        <f>Table4[[#This Row],[energy_kwh]] - Table4[[#This Row],[expected_kwh]]</f>
        <v>-109.71931851688197</v>
      </c>
      <c r="M2722" t="str">
        <f>IF(Table4[[#This Row],[Performance_Deviation]] &lt; 0, "Underperforming", "Outperforming")</f>
        <v>Underperforming</v>
      </c>
      <c r="N2722">
        <f>IF(Table4[[#This Row],[Performance_Ratio]] &lt; 0.85, Table4[[#This Row],[Performance_Deviation]] * 50 / 1000, 0)</f>
        <v>-5.4859659258440985</v>
      </c>
    </row>
    <row r="2723" spans="1:14" x14ac:dyDescent="0.3">
      <c r="A2723" s="6" t="s">
        <v>9</v>
      </c>
      <c r="B2723" s="5">
        <v>45312.375</v>
      </c>
      <c r="C2723" s="6">
        <v>635.543567155696</v>
      </c>
      <c r="D2723" s="6">
        <v>612.62989506853796</v>
      </c>
      <c r="E2723" s="6">
        <v>612.62989506853796</v>
      </c>
      <c r="F2723" s="6">
        <v>43.973602069071802</v>
      </c>
      <c r="G2723" s="6" t="str">
        <f t="shared" si="84"/>
        <v>OK</v>
      </c>
      <c r="H2723" s="6" t="str">
        <f t="shared" si="85"/>
        <v>NON-ZERO</v>
      </c>
      <c r="I2723">
        <v>678.82250993908497</v>
      </c>
      <c r="J2723">
        <f>IFERROR(Table4[[#This Row],[energy_kwh]]/Table4[[#This Row],[expected_kwh]],0)</f>
        <v>0.90248906908451387</v>
      </c>
      <c r="K2723" t="str">
        <f>IF(Table4[[#This Row],[Performance_Ratio]] &lt; 0.85, "Underperforming", "Performing")</f>
        <v>Performing</v>
      </c>
      <c r="L2723">
        <f>Table4[[#This Row],[energy_kwh]] - Table4[[#This Row],[expected_kwh]]</f>
        <v>-66.192614870547004</v>
      </c>
      <c r="M2723" t="str">
        <f>IF(Table4[[#This Row],[Performance_Deviation]] &lt; 0, "Underperforming", "Outperforming")</f>
        <v>Underperforming</v>
      </c>
      <c r="N2723">
        <f>IF(Table4[[#This Row],[Performance_Ratio]] &lt; 0.85, Table4[[#This Row],[Performance_Deviation]] * 50 / 1000, 0)</f>
        <v>0</v>
      </c>
    </row>
    <row r="2724" spans="1:14" x14ac:dyDescent="0.3">
      <c r="A2724" s="4" t="s">
        <v>9</v>
      </c>
      <c r="B2724" s="3">
        <v>45312.416666666664</v>
      </c>
      <c r="C2724" s="4">
        <v>874.63624658204003</v>
      </c>
      <c r="D2724" s="4">
        <v>843.10240817122201</v>
      </c>
      <c r="E2724" s="4">
        <v>843.10240817122201</v>
      </c>
      <c r="F2724" s="4">
        <v>50.049338632846499</v>
      </c>
      <c r="G2724" s="4" t="str">
        <f t="shared" si="84"/>
        <v>OK</v>
      </c>
      <c r="H2724" s="4" t="str">
        <f t="shared" si="85"/>
        <v>NON-ZERO</v>
      </c>
      <c r="I2724">
        <v>831.38438763306101</v>
      </c>
      <c r="J2724">
        <f>IFERROR(Table4[[#This Row],[energy_kwh]]/Table4[[#This Row],[expected_kwh]],0)</f>
        <v>1.01409458815016</v>
      </c>
      <c r="K2724" t="str">
        <f>IF(Table4[[#This Row],[Performance_Ratio]] &lt; 0.85, "Underperforming", "Performing")</f>
        <v>Performing</v>
      </c>
      <c r="L2724">
        <f>Table4[[#This Row],[energy_kwh]] - Table4[[#This Row],[expected_kwh]]</f>
        <v>11.718020538160999</v>
      </c>
      <c r="M2724" t="str">
        <f>IF(Table4[[#This Row],[Performance_Deviation]] &lt; 0, "Underperforming", "Outperforming")</f>
        <v>Outperforming</v>
      </c>
      <c r="N2724">
        <f>IF(Table4[[#This Row],[Performance_Ratio]] &lt; 0.85, Table4[[#This Row],[Performance_Deviation]] * 50 / 1000, 0)</f>
        <v>0</v>
      </c>
    </row>
    <row r="2725" spans="1:14" x14ac:dyDescent="0.3">
      <c r="A2725" s="6" t="s">
        <v>9</v>
      </c>
      <c r="B2725" s="5">
        <v>45312.458333333336</v>
      </c>
      <c r="C2725" s="6">
        <v>782.01036098680902</v>
      </c>
      <c r="D2725" s="6">
        <v>753.81602482099004</v>
      </c>
      <c r="E2725" s="6">
        <v>753.81602482099004</v>
      </c>
      <c r="F2725" s="6">
        <v>52.623514841603303</v>
      </c>
      <c r="G2725" s="6" t="str">
        <f t="shared" si="84"/>
        <v>OK</v>
      </c>
      <c r="H2725" s="6" t="str">
        <f t="shared" si="85"/>
        <v>NON-ZERO</v>
      </c>
      <c r="I2725">
        <v>927.28879323750505</v>
      </c>
      <c r="J2725">
        <f>IFERROR(Table4[[#This Row],[energy_kwh]]/Table4[[#This Row],[expected_kwh]],0)</f>
        <v>0.81292476552977844</v>
      </c>
      <c r="K2725" t="str">
        <f>IF(Table4[[#This Row],[Performance_Ratio]] &lt; 0.85, "Underperforming", "Performing")</f>
        <v>Underperforming</v>
      </c>
      <c r="L2725">
        <f>Table4[[#This Row],[energy_kwh]] - Table4[[#This Row],[expected_kwh]]</f>
        <v>-173.47276841651501</v>
      </c>
      <c r="M2725" t="str">
        <f>IF(Table4[[#This Row],[Performance_Deviation]] &lt; 0, "Underperforming", "Outperforming")</f>
        <v>Underperforming</v>
      </c>
      <c r="N2725">
        <f>IF(Table4[[#This Row],[Performance_Ratio]] &lt; 0.85, Table4[[#This Row],[Performance_Deviation]] * 50 / 1000, 0)</f>
        <v>-8.6736384208257515</v>
      </c>
    </row>
    <row r="2726" spans="1:14" x14ac:dyDescent="0.3">
      <c r="A2726" s="4" t="s">
        <v>9</v>
      </c>
      <c r="B2726" s="3">
        <v>45312.5</v>
      </c>
      <c r="C2726" s="4">
        <v>848.899657213399</v>
      </c>
      <c r="D2726" s="4">
        <v>818.29371706150596</v>
      </c>
      <c r="E2726" s="4">
        <v>818.29371706150596</v>
      </c>
      <c r="F2726" s="4">
        <v>50.2229600092545</v>
      </c>
      <c r="G2726" s="4" t="str">
        <f t="shared" si="84"/>
        <v>OK</v>
      </c>
      <c r="H2726" s="4" t="str">
        <f t="shared" si="85"/>
        <v>NON-ZERO</v>
      </c>
      <c r="I2726">
        <v>960</v>
      </c>
      <c r="J2726">
        <f>IFERROR(Table4[[#This Row],[energy_kwh]]/Table4[[#This Row],[expected_kwh]],0)</f>
        <v>0.85238928860573537</v>
      </c>
      <c r="K2726" t="str">
        <f>IF(Table4[[#This Row],[Performance_Ratio]] &lt; 0.85, "Underperforming", "Performing")</f>
        <v>Performing</v>
      </c>
      <c r="L2726">
        <f>Table4[[#This Row],[energy_kwh]] - Table4[[#This Row],[expected_kwh]]</f>
        <v>-141.70628293849404</v>
      </c>
      <c r="M2726" t="str">
        <f>IF(Table4[[#This Row],[Performance_Deviation]] &lt; 0, "Underperforming", "Outperforming")</f>
        <v>Underperforming</v>
      </c>
      <c r="N2726">
        <f>IF(Table4[[#This Row],[Performance_Ratio]] &lt; 0.85, Table4[[#This Row],[Performance_Deviation]] * 50 / 1000, 0)</f>
        <v>0</v>
      </c>
    </row>
    <row r="2727" spans="1:14" x14ac:dyDescent="0.3">
      <c r="A2727" s="6" t="s">
        <v>9</v>
      </c>
      <c r="B2727" s="5">
        <v>45312.541666666664</v>
      </c>
      <c r="C2727" s="6">
        <v>941.042541718032</v>
      </c>
      <c r="D2727" s="6">
        <v>907.114513278544</v>
      </c>
      <c r="E2727" s="6">
        <v>907.114513278544</v>
      </c>
      <c r="F2727" s="6">
        <v>46.9395051791886</v>
      </c>
      <c r="G2727" s="6" t="str">
        <f t="shared" si="84"/>
        <v>OK</v>
      </c>
      <c r="H2727" s="6" t="str">
        <f t="shared" si="85"/>
        <v>NON-ZERO</v>
      </c>
      <c r="I2727">
        <v>927.28879323750505</v>
      </c>
      <c r="J2727">
        <f>IFERROR(Table4[[#This Row],[energy_kwh]]/Table4[[#This Row],[expected_kwh]],0)</f>
        <v>0.97824380052246152</v>
      </c>
      <c r="K2727" t="str">
        <f>IF(Table4[[#This Row],[Performance_Ratio]] &lt; 0.85, "Underperforming", "Performing")</f>
        <v>Performing</v>
      </c>
      <c r="L2727">
        <f>Table4[[#This Row],[energy_kwh]] - Table4[[#This Row],[expected_kwh]]</f>
        <v>-20.174279958961051</v>
      </c>
      <c r="M2727" t="str">
        <f>IF(Table4[[#This Row],[Performance_Deviation]] &lt; 0, "Underperforming", "Outperforming")</f>
        <v>Underperforming</v>
      </c>
      <c r="N2727">
        <f>IF(Table4[[#This Row],[Performance_Ratio]] &lt; 0.85, Table4[[#This Row],[Performance_Deviation]] * 50 / 1000, 0)</f>
        <v>0</v>
      </c>
    </row>
    <row r="2728" spans="1:14" x14ac:dyDescent="0.3">
      <c r="A2728" s="4" t="s">
        <v>9</v>
      </c>
      <c r="B2728" s="3">
        <v>45312.583333333336</v>
      </c>
      <c r="C2728" s="4">
        <v>746.62816909333503</v>
      </c>
      <c r="D2728" s="4">
        <v>719.70949046646399</v>
      </c>
      <c r="E2728" s="4">
        <v>719.70949046646399</v>
      </c>
      <c r="F2728" s="4">
        <v>65.651564591210004</v>
      </c>
      <c r="G2728" s="4" t="str">
        <f t="shared" si="84"/>
        <v>OK</v>
      </c>
      <c r="H2728" s="4" t="str">
        <f t="shared" si="85"/>
        <v>NON-ZERO</v>
      </c>
      <c r="I2728">
        <v>831.38438763306101</v>
      </c>
      <c r="J2728">
        <f>IFERROR(Table4[[#This Row],[energy_kwh]]/Table4[[#This Row],[expected_kwh]],0)</f>
        <v>0.86567597512321126</v>
      </c>
      <c r="K2728" t="str">
        <f>IF(Table4[[#This Row],[Performance_Ratio]] &lt; 0.85, "Underperforming", "Performing")</f>
        <v>Performing</v>
      </c>
      <c r="L2728">
        <f>Table4[[#This Row],[energy_kwh]] - Table4[[#This Row],[expected_kwh]]</f>
        <v>-111.67489716659702</v>
      </c>
      <c r="M2728" t="str">
        <f>IF(Table4[[#This Row],[Performance_Deviation]] &lt; 0, "Underperforming", "Outperforming")</f>
        <v>Underperforming</v>
      </c>
      <c r="N2728">
        <f>IF(Table4[[#This Row],[Performance_Ratio]] &lt; 0.85, Table4[[#This Row],[Performance_Deviation]] * 50 / 1000, 0)</f>
        <v>0</v>
      </c>
    </row>
    <row r="2729" spans="1:14" x14ac:dyDescent="0.3">
      <c r="A2729" s="6" t="s">
        <v>9</v>
      </c>
      <c r="B2729" s="5">
        <v>45312.625</v>
      </c>
      <c r="C2729" s="6">
        <v>651.53740163313103</v>
      </c>
      <c r="D2729" s="6">
        <v>628.04709326551699</v>
      </c>
      <c r="E2729" s="6">
        <v>628.04709326551699</v>
      </c>
      <c r="F2729" s="6">
        <v>47.889508649981998</v>
      </c>
      <c r="G2729" s="6" t="str">
        <f t="shared" si="84"/>
        <v>OK</v>
      </c>
      <c r="H2729" s="6" t="str">
        <f t="shared" si="85"/>
        <v>NON-ZERO</v>
      </c>
      <c r="I2729">
        <v>678.82250993908497</v>
      </c>
      <c r="J2729">
        <f>IFERROR(Table4[[#This Row],[energy_kwh]]/Table4[[#This Row],[expected_kwh]],0)</f>
        <v>0.92520074698447408</v>
      </c>
      <c r="K2729" t="str">
        <f>IF(Table4[[#This Row],[Performance_Ratio]] &lt; 0.85, "Underperforming", "Performing")</f>
        <v>Performing</v>
      </c>
      <c r="L2729">
        <f>Table4[[#This Row],[energy_kwh]] - Table4[[#This Row],[expected_kwh]]</f>
        <v>-50.775416673567975</v>
      </c>
      <c r="M2729" t="str">
        <f>IF(Table4[[#This Row],[Performance_Deviation]] &lt; 0, "Underperforming", "Outperforming")</f>
        <v>Underperforming</v>
      </c>
      <c r="N2729">
        <f>IF(Table4[[#This Row],[Performance_Ratio]] &lt; 0.85, Table4[[#This Row],[Performance_Deviation]] * 50 / 1000, 0)</f>
        <v>0</v>
      </c>
    </row>
    <row r="2730" spans="1:14" x14ac:dyDescent="0.3">
      <c r="A2730" s="4" t="s">
        <v>9</v>
      </c>
      <c r="B2730" s="3">
        <v>45312.666666666664</v>
      </c>
      <c r="C2730" s="4">
        <v>481.94692576503797</v>
      </c>
      <c r="D2730" s="4">
        <v>464.57097486081301</v>
      </c>
      <c r="E2730" s="4">
        <v>464.57097486081301</v>
      </c>
      <c r="F2730" s="4">
        <v>79.635554188364097</v>
      </c>
      <c r="G2730" s="4" t="str">
        <f t="shared" si="84"/>
        <v>OK</v>
      </c>
      <c r="H2730" s="4" t="str">
        <f t="shared" si="85"/>
        <v>NON-ZERO</v>
      </c>
      <c r="I2730">
        <v>479.99999999999898</v>
      </c>
      <c r="J2730">
        <f>IFERROR(Table4[[#This Row],[energy_kwh]]/Table4[[#This Row],[expected_kwh]],0)</f>
        <v>0.96785619762669584</v>
      </c>
      <c r="K2730" t="str">
        <f>IF(Table4[[#This Row],[Performance_Ratio]] &lt; 0.85, "Underperforming", "Performing")</f>
        <v>Performing</v>
      </c>
      <c r="L2730">
        <f>Table4[[#This Row],[energy_kwh]] - Table4[[#This Row],[expected_kwh]]</f>
        <v>-15.429025139185967</v>
      </c>
      <c r="M2730" t="str">
        <f>IF(Table4[[#This Row],[Performance_Deviation]] &lt; 0, "Underperforming", "Outperforming")</f>
        <v>Underperforming</v>
      </c>
      <c r="N2730">
        <f>IF(Table4[[#This Row],[Performance_Ratio]] &lt; 0.85, Table4[[#This Row],[Performance_Deviation]] * 50 / 1000, 0)</f>
        <v>0</v>
      </c>
    </row>
    <row r="2731" spans="1:14" x14ac:dyDescent="0.3">
      <c r="A2731" s="6" t="s">
        <v>9</v>
      </c>
      <c r="B2731" s="5">
        <v>45312.708333333336</v>
      </c>
      <c r="C2731" s="6">
        <v>228.50214606801401</v>
      </c>
      <c r="D2731" s="6">
        <v>220.26380723996701</v>
      </c>
      <c r="E2731" s="6">
        <v>220.26380723996701</v>
      </c>
      <c r="F2731" s="6">
        <v>63.070278519281501</v>
      </c>
      <c r="G2731" s="6" t="str">
        <f t="shared" si="84"/>
        <v>OK</v>
      </c>
      <c r="H2731" s="6" t="str">
        <f t="shared" si="85"/>
        <v>NON-ZERO</v>
      </c>
      <c r="I2731">
        <v>248.46628329842</v>
      </c>
      <c r="J2731">
        <f>IFERROR(Table4[[#This Row],[energy_kwh]]/Table4[[#This Row],[expected_kwh]],0)</f>
        <v>0.88649375004100472</v>
      </c>
      <c r="K2731" t="str">
        <f>IF(Table4[[#This Row],[Performance_Ratio]] &lt; 0.85, "Underperforming", "Performing")</f>
        <v>Performing</v>
      </c>
      <c r="L2731">
        <f>Table4[[#This Row],[energy_kwh]] - Table4[[#This Row],[expected_kwh]]</f>
        <v>-28.202476058452987</v>
      </c>
      <c r="M2731" t="str">
        <f>IF(Table4[[#This Row],[Performance_Deviation]] &lt; 0, "Underperforming", "Outperforming")</f>
        <v>Underperforming</v>
      </c>
      <c r="N2731">
        <f>IF(Table4[[#This Row],[Performance_Ratio]] &lt; 0.85, Table4[[#This Row],[Performance_Deviation]] * 50 / 1000, 0)</f>
        <v>0</v>
      </c>
    </row>
    <row r="2732" spans="1:14" x14ac:dyDescent="0.3">
      <c r="A2732" s="4" t="s">
        <v>9</v>
      </c>
      <c r="B2732" s="3">
        <v>45312.75</v>
      </c>
      <c r="C2732" s="7">
        <v>1.1587704766984001E-13</v>
      </c>
      <c r="D2732" s="7">
        <v>1.116992559181E-13</v>
      </c>
      <c r="E2732" s="7">
        <v>1.116992559181E-13</v>
      </c>
      <c r="F2732" s="4">
        <v>30.835677244595399</v>
      </c>
      <c r="G2732" s="4" t="str">
        <f t="shared" si="84"/>
        <v>OK</v>
      </c>
      <c r="H2732" s="4" t="str">
        <f t="shared" si="85"/>
        <v>NON-ZERO</v>
      </c>
      <c r="I2732" s="2">
        <v>1.1756609271814501E-13</v>
      </c>
      <c r="J2732">
        <f>IFERROR(Table4[[#This Row],[energy_kwh]]/Table4[[#This Row],[expected_kwh]],0)</f>
        <v>0.95009754373558819</v>
      </c>
      <c r="K2732" t="str">
        <f>IF(Table4[[#This Row],[Performance_Ratio]] &lt; 0.85, "Underperforming", "Performing")</f>
        <v>Performing</v>
      </c>
      <c r="L2732">
        <f>Table4[[#This Row],[energy_kwh]] - Table4[[#This Row],[expected_kwh]]</f>
        <v>-5.866836800045015E-15</v>
      </c>
      <c r="M2732" t="str">
        <f>IF(Table4[[#This Row],[Performance_Deviation]] &lt; 0, "Underperforming", "Outperforming")</f>
        <v>Underperforming</v>
      </c>
      <c r="N2732">
        <f>IF(Table4[[#This Row],[Performance_Ratio]] &lt; 0.85, Table4[[#This Row],[Performance_Deviation]] * 50 / 1000, 0)</f>
        <v>0</v>
      </c>
    </row>
    <row r="2733" spans="1:14" x14ac:dyDescent="0.3">
      <c r="A2733" s="6" t="s">
        <v>9</v>
      </c>
      <c r="B2733" s="5">
        <v>45312.791666666664</v>
      </c>
      <c r="C2733" s="6">
        <v>0</v>
      </c>
      <c r="D2733" s="6">
        <v>0</v>
      </c>
      <c r="E2733" s="6">
        <v>0</v>
      </c>
      <c r="F2733" s="6">
        <v>22.766996668307598</v>
      </c>
      <c r="G2733" s="6" t="str">
        <f t="shared" si="84"/>
        <v>OK</v>
      </c>
      <c r="H2733" s="6" t="str">
        <f t="shared" si="85"/>
        <v>ZERO</v>
      </c>
      <c r="I2733">
        <v>0</v>
      </c>
      <c r="J2733">
        <f>IFERROR(Table4[[#This Row],[energy_kwh]]/Table4[[#This Row],[expected_kwh]],0)</f>
        <v>0</v>
      </c>
      <c r="K2733" t="str">
        <f>IF(Table4[[#This Row],[Performance_Ratio]] &lt; 0.85, "Underperforming", "Performing")</f>
        <v>Underperforming</v>
      </c>
      <c r="L2733">
        <f>Table4[[#This Row],[energy_kwh]] - Table4[[#This Row],[expected_kwh]]</f>
        <v>0</v>
      </c>
      <c r="M2733" t="str">
        <f>IF(Table4[[#This Row],[Performance_Deviation]] &lt; 0, "Underperforming", "Outperforming")</f>
        <v>Outperforming</v>
      </c>
      <c r="N2733">
        <f>IF(Table4[[#This Row],[Performance_Ratio]] &lt; 0.85, Table4[[#This Row],[Performance_Deviation]] * 50 / 1000, 0)</f>
        <v>0</v>
      </c>
    </row>
    <row r="2734" spans="1:14" x14ac:dyDescent="0.3">
      <c r="A2734" s="4" t="s">
        <v>9</v>
      </c>
      <c r="B2734" s="3">
        <v>45312.833333333336</v>
      </c>
      <c r="C2734" s="4">
        <v>0</v>
      </c>
      <c r="D2734" s="4">
        <v>0</v>
      </c>
      <c r="E2734" s="4">
        <v>0</v>
      </c>
      <c r="F2734" s="4">
        <v>36.370211214003902</v>
      </c>
      <c r="G2734" s="4" t="str">
        <f t="shared" si="84"/>
        <v>OK</v>
      </c>
      <c r="H2734" s="4" t="str">
        <f t="shared" si="85"/>
        <v>ZERO</v>
      </c>
      <c r="I2734">
        <v>0</v>
      </c>
      <c r="J2734">
        <f>IFERROR(Table4[[#This Row],[energy_kwh]]/Table4[[#This Row],[expected_kwh]],0)</f>
        <v>0</v>
      </c>
      <c r="K2734" t="str">
        <f>IF(Table4[[#This Row],[Performance_Ratio]] &lt; 0.85, "Underperforming", "Performing")</f>
        <v>Underperforming</v>
      </c>
      <c r="L2734">
        <f>Table4[[#This Row],[energy_kwh]] - Table4[[#This Row],[expected_kwh]]</f>
        <v>0</v>
      </c>
      <c r="M2734" t="str">
        <f>IF(Table4[[#This Row],[Performance_Deviation]] &lt; 0, "Underperforming", "Outperforming")</f>
        <v>Outperforming</v>
      </c>
      <c r="N2734">
        <f>IF(Table4[[#This Row],[Performance_Ratio]] &lt; 0.85, Table4[[#This Row],[Performance_Deviation]] * 50 / 1000, 0)</f>
        <v>0</v>
      </c>
    </row>
    <row r="2735" spans="1:14" x14ac:dyDescent="0.3">
      <c r="A2735" s="6" t="s">
        <v>9</v>
      </c>
      <c r="B2735" s="5">
        <v>45312.875</v>
      </c>
      <c r="C2735" s="6">
        <v>0</v>
      </c>
      <c r="D2735" s="6">
        <v>0</v>
      </c>
      <c r="E2735" s="6">
        <v>0</v>
      </c>
      <c r="F2735" s="6">
        <v>57.689722002624102</v>
      </c>
      <c r="G2735" s="6" t="str">
        <f t="shared" si="84"/>
        <v>OK</v>
      </c>
      <c r="H2735" s="6" t="str">
        <f t="shared" si="85"/>
        <v>ZERO</v>
      </c>
      <c r="I2735">
        <v>0</v>
      </c>
      <c r="J2735">
        <f>IFERROR(Table4[[#This Row],[energy_kwh]]/Table4[[#This Row],[expected_kwh]],0)</f>
        <v>0</v>
      </c>
      <c r="K2735" t="str">
        <f>IF(Table4[[#This Row],[Performance_Ratio]] &lt; 0.85, "Underperforming", "Performing")</f>
        <v>Underperforming</v>
      </c>
      <c r="L2735">
        <f>Table4[[#This Row],[energy_kwh]] - Table4[[#This Row],[expected_kwh]]</f>
        <v>0</v>
      </c>
      <c r="M2735" t="str">
        <f>IF(Table4[[#This Row],[Performance_Deviation]] &lt; 0, "Underperforming", "Outperforming")</f>
        <v>Outperforming</v>
      </c>
      <c r="N2735">
        <f>IF(Table4[[#This Row],[Performance_Ratio]] &lt; 0.85, Table4[[#This Row],[Performance_Deviation]] * 50 / 1000, 0)</f>
        <v>0</v>
      </c>
    </row>
    <row r="2736" spans="1:14" x14ac:dyDescent="0.3">
      <c r="A2736" s="4" t="s">
        <v>9</v>
      </c>
      <c r="B2736" s="3">
        <v>45312.916666666664</v>
      </c>
      <c r="C2736" s="4">
        <v>0</v>
      </c>
      <c r="D2736" s="4">
        <v>0</v>
      </c>
      <c r="E2736" s="4">
        <v>0</v>
      </c>
      <c r="F2736" s="4">
        <v>69.011669904368503</v>
      </c>
      <c r="G2736" s="4" t="str">
        <f t="shared" si="84"/>
        <v>OK</v>
      </c>
      <c r="H2736" s="4" t="str">
        <f t="shared" si="85"/>
        <v>ZERO</v>
      </c>
      <c r="I2736">
        <v>0</v>
      </c>
      <c r="J2736">
        <f>IFERROR(Table4[[#This Row],[energy_kwh]]/Table4[[#This Row],[expected_kwh]],0)</f>
        <v>0</v>
      </c>
      <c r="K2736" t="str">
        <f>IF(Table4[[#This Row],[Performance_Ratio]] &lt; 0.85, "Underperforming", "Performing")</f>
        <v>Underperforming</v>
      </c>
      <c r="L2736">
        <f>Table4[[#This Row],[energy_kwh]] - Table4[[#This Row],[expected_kwh]]</f>
        <v>0</v>
      </c>
      <c r="M2736" t="str">
        <f>IF(Table4[[#This Row],[Performance_Deviation]] &lt; 0, "Underperforming", "Outperforming")</f>
        <v>Outperforming</v>
      </c>
      <c r="N2736">
        <f>IF(Table4[[#This Row],[Performance_Ratio]] &lt; 0.85, Table4[[#This Row],[Performance_Deviation]] * 50 / 1000, 0)</f>
        <v>0</v>
      </c>
    </row>
    <row r="2737" spans="1:14" x14ac:dyDescent="0.3">
      <c r="A2737" s="6" t="s">
        <v>9</v>
      </c>
      <c r="B2737" s="5">
        <v>45312.958333333336</v>
      </c>
      <c r="C2737" s="6">
        <v>0</v>
      </c>
      <c r="D2737" s="6">
        <v>0</v>
      </c>
      <c r="E2737" s="6">
        <v>0</v>
      </c>
      <c r="F2737" s="6">
        <v>77.911437860559801</v>
      </c>
      <c r="G2737" s="6" t="str">
        <f t="shared" si="84"/>
        <v>OK</v>
      </c>
      <c r="H2737" s="6" t="str">
        <f t="shared" si="85"/>
        <v>ZERO</v>
      </c>
      <c r="I2737">
        <v>0</v>
      </c>
      <c r="J2737">
        <f>IFERROR(Table4[[#This Row],[energy_kwh]]/Table4[[#This Row],[expected_kwh]],0)</f>
        <v>0</v>
      </c>
      <c r="K2737" t="str">
        <f>IF(Table4[[#This Row],[Performance_Ratio]] &lt; 0.85, "Underperforming", "Performing")</f>
        <v>Underperforming</v>
      </c>
      <c r="L2737">
        <f>Table4[[#This Row],[energy_kwh]] - Table4[[#This Row],[expected_kwh]]</f>
        <v>0</v>
      </c>
      <c r="M2737" t="str">
        <f>IF(Table4[[#This Row],[Performance_Deviation]] &lt; 0, "Underperforming", "Outperforming")</f>
        <v>Outperforming</v>
      </c>
      <c r="N2737">
        <f>IF(Table4[[#This Row],[Performance_Ratio]] &lt; 0.85, Table4[[#This Row],[Performance_Deviation]] * 50 / 1000, 0)</f>
        <v>0</v>
      </c>
    </row>
    <row r="2738" spans="1:14" x14ac:dyDescent="0.3">
      <c r="A2738" s="4" t="s">
        <v>9</v>
      </c>
      <c r="B2738" s="3">
        <v>45313</v>
      </c>
      <c r="C2738" s="4">
        <v>0</v>
      </c>
      <c r="D2738" s="4">
        <v>0</v>
      </c>
      <c r="E2738" s="4">
        <v>0</v>
      </c>
      <c r="F2738" s="4">
        <v>89.538112830199097</v>
      </c>
      <c r="G2738" s="4" t="str">
        <f t="shared" si="84"/>
        <v>OK</v>
      </c>
      <c r="H2738" s="4" t="str">
        <f t="shared" si="85"/>
        <v>ZERO</v>
      </c>
      <c r="I2738">
        <v>0</v>
      </c>
      <c r="J2738">
        <f>IFERROR(Table4[[#This Row],[energy_kwh]]/Table4[[#This Row],[expected_kwh]],0)</f>
        <v>0</v>
      </c>
      <c r="K2738" t="str">
        <f>IF(Table4[[#This Row],[Performance_Ratio]] &lt; 0.85, "Underperforming", "Performing")</f>
        <v>Underperforming</v>
      </c>
      <c r="L2738">
        <f>Table4[[#This Row],[energy_kwh]] - Table4[[#This Row],[expected_kwh]]</f>
        <v>0</v>
      </c>
      <c r="M2738" t="str">
        <f>IF(Table4[[#This Row],[Performance_Deviation]] &lt; 0, "Underperforming", "Outperforming")</f>
        <v>Outperforming</v>
      </c>
      <c r="N2738">
        <f>IF(Table4[[#This Row],[Performance_Ratio]] &lt; 0.85, Table4[[#This Row],[Performance_Deviation]] * 50 / 1000, 0)</f>
        <v>0</v>
      </c>
    </row>
    <row r="2739" spans="1:14" x14ac:dyDescent="0.3">
      <c r="A2739" s="6" t="s">
        <v>9</v>
      </c>
      <c r="B2739" s="5">
        <v>45313.041666666664</v>
      </c>
      <c r="C2739" s="6">
        <v>0</v>
      </c>
      <c r="D2739" s="6">
        <v>0</v>
      </c>
      <c r="E2739" s="6">
        <v>0</v>
      </c>
      <c r="F2739" s="6">
        <v>29.8947369315358</v>
      </c>
      <c r="G2739" s="6" t="str">
        <f t="shared" si="84"/>
        <v>OK</v>
      </c>
      <c r="H2739" s="6" t="str">
        <f t="shared" si="85"/>
        <v>ZERO</v>
      </c>
      <c r="I2739">
        <v>0</v>
      </c>
      <c r="J2739">
        <f>IFERROR(Table4[[#This Row],[energy_kwh]]/Table4[[#This Row],[expected_kwh]],0)</f>
        <v>0</v>
      </c>
      <c r="K2739" t="str">
        <f>IF(Table4[[#This Row],[Performance_Ratio]] &lt; 0.85, "Underperforming", "Performing")</f>
        <v>Underperforming</v>
      </c>
      <c r="L2739">
        <f>Table4[[#This Row],[energy_kwh]] - Table4[[#This Row],[expected_kwh]]</f>
        <v>0</v>
      </c>
      <c r="M2739" t="str">
        <f>IF(Table4[[#This Row],[Performance_Deviation]] &lt; 0, "Underperforming", "Outperforming")</f>
        <v>Outperforming</v>
      </c>
      <c r="N2739">
        <f>IF(Table4[[#This Row],[Performance_Ratio]] &lt; 0.85, Table4[[#This Row],[Performance_Deviation]] * 50 / 1000, 0)</f>
        <v>0</v>
      </c>
    </row>
    <row r="2740" spans="1:14" x14ac:dyDescent="0.3">
      <c r="A2740" s="4" t="s">
        <v>9</v>
      </c>
      <c r="B2740" s="3">
        <v>45313.083333333336</v>
      </c>
      <c r="C2740" s="4">
        <v>0</v>
      </c>
      <c r="D2740" s="4">
        <v>0</v>
      </c>
      <c r="E2740" s="4">
        <v>0</v>
      </c>
      <c r="F2740" s="4">
        <v>67.703026634891401</v>
      </c>
      <c r="G2740" s="4" t="str">
        <f t="shared" si="84"/>
        <v>OK</v>
      </c>
      <c r="H2740" s="4" t="str">
        <f t="shared" si="85"/>
        <v>ZERO</v>
      </c>
      <c r="I2740">
        <v>0</v>
      </c>
      <c r="J2740">
        <f>IFERROR(Table4[[#This Row],[energy_kwh]]/Table4[[#This Row],[expected_kwh]],0)</f>
        <v>0</v>
      </c>
      <c r="K2740" t="str">
        <f>IF(Table4[[#This Row],[Performance_Ratio]] &lt; 0.85, "Underperforming", "Performing")</f>
        <v>Underperforming</v>
      </c>
      <c r="L2740">
        <f>Table4[[#This Row],[energy_kwh]] - Table4[[#This Row],[expected_kwh]]</f>
        <v>0</v>
      </c>
      <c r="M2740" t="str">
        <f>IF(Table4[[#This Row],[Performance_Deviation]] &lt; 0, "Underperforming", "Outperforming")</f>
        <v>Outperforming</v>
      </c>
      <c r="N2740">
        <f>IF(Table4[[#This Row],[Performance_Ratio]] &lt; 0.85, Table4[[#This Row],[Performance_Deviation]] * 50 / 1000, 0)</f>
        <v>0</v>
      </c>
    </row>
    <row r="2741" spans="1:14" x14ac:dyDescent="0.3">
      <c r="A2741" s="6" t="s">
        <v>9</v>
      </c>
      <c r="B2741" s="5">
        <v>45313.125</v>
      </c>
      <c r="C2741" s="6">
        <v>0</v>
      </c>
      <c r="D2741" s="6">
        <v>0</v>
      </c>
      <c r="E2741" s="6">
        <v>0</v>
      </c>
      <c r="F2741" s="6">
        <v>48.143084937268597</v>
      </c>
      <c r="G2741" s="6" t="str">
        <f t="shared" si="84"/>
        <v>OK</v>
      </c>
      <c r="H2741" s="6" t="str">
        <f t="shared" si="85"/>
        <v>ZERO</v>
      </c>
      <c r="I2741">
        <v>0</v>
      </c>
      <c r="J2741">
        <f>IFERROR(Table4[[#This Row],[energy_kwh]]/Table4[[#This Row],[expected_kwh]],0)</f>
        <v>0</v>
      </c>
      <c r="K2741" t="str">
        <f>IF(Table4[[#This Row],[Performance_Ratio]] &lt; 0.85, "Underperforming", "Performing")</f>
        <v>Underperforming</v>
      </c>
      <c r="L2741">
        <f>Table4[[#This Row],[energy_kwh]] - Table4[[#This Row],[expected_kwh]]</f>
        <v>0</v>
      </c>
      <c r="M2741" t="str">
        <f>IF(Table4[[#This Row],[Performance_Deviation]] &lt; 0, "Underperforming", "Outperforming")</f>
        <v>Outperforming</v>
      </c>
      <c r="N2741">
        <f>IF(Table4[[#This Row],[Performance_Ratio]] &lt; 0.85, Table4[[#This Row],[Performance_Deviation]] * 50 / 1000, 0)</f>
        <v>0</v>
      </c>
    </row>
    <row r="2742" spans="1:14" x14ac:dyDescent="0.3">
      <c r="A2742" s="4" t="s">
        <v>9</v>
      </c>
      <c r="B2742" s="3">
        <v>45313.166666666664</v>
      </c>
      <c r="C2742" s="4">
        <v>0</v>
      </c>
      <c r="D2742" s="4">
        <v>0</v>
      </c>
      <c r="E2742" s="4">
        <v>0</v>
      </c>
      <c r="F2742" s="4">
        <v>50.663274629380098</v>
      </c>
      <c r="G2742" s="4" t="str">
        <f t="shared" si="84"/>
        <v>OK</v>
      </c>
      <c r="H2742" s="4" t="str">
        <f t="shared" si="85"/>
        <v>ZERO</v>
      </c>
      <c r="I2742">
        <v>0</v>
      </c>
      <c r="J2742">
        <f>IFERROR(Table4[[#This Row],[energy_kwh]]/Table4[[#This Row],[expected_kwh]],0)</f>
        <v>0</v>
      </c>
      <c r="K2742" t="str">
        <f>IF(Table4[[#This Row],[Performance_Ratio]] &lt; 0.85, "Underperforming", "Performing")</f>
        <v>Underperforming</v>
      </c>
      <c r="L2742">
        <f>Table4[[#This Row],[energy_kwh]] - Table4[[#This Row],[expected_kwh]]</f>
        <v>0</v>
      </c>
      <c r="M2742" t="str">
        <f>IF(Table4[[#This Row],[Performance_Deviation]] &lt; 0, "Underperforming", "Outperforming")</f>
        <v>Outperforming</v>
      </c>
      <c r="N2742">
        <f>IF(Table4[[#This Row],[Performance_Ratio]] &lt; 0.85, Table4[[#This Row],[Performance_Deviation]] * 50 / 1000, 0)</f>
        <v>0</v>
      </c>
    </row>
    <row r="2743" spans="1:14" x14ac:dyDescent="0.3">
      <c r="A2743" s="6" t="s">
        <v>9</v>
      </c>
      <c r="B2743" s="5">
        <v>45313.208333333336</v>
      </c>
      <c r="C2743" s="6">
        <v>0</v>
      </c>
      <c r="D2743" s="6">
        <v>0</v>
      </c>
      <c r="E2743" s="6">
        <v>0</v>
      </c>
      <c r="F2743" s="6">
        <v>25.697021522368701</v>
      </c>
      <c r="G2743" s="6" t="str">
        <f t="shared" si="84"/>
        <v>OK</v>
      </c>
      <c r="H2743" s="6" t="str">
        <f t="shared" si="85"/>
        <v>ZERO</v>
      </c>
      <c r="I2743">
        <v>0</v>
      </c>
      <c r="J2743">
        <f>IFERROR(Table4[[#This Row],[energy_kwh]]/Table4[[#This Row],[expected_kwh]],0)</f>
        <v>0</v>
      </c>
      <c r="K2743" t="str">
        <f>IF(Table4[[#This Row],[Performance_Ratio]] &lt; 0.85, "Underperforming", "Performing")</f>
        <v>Underperforming</v>
      </c>
      <c r="L2743">
        <f>Table4[[#This Row],[energy_kwh]] - Table4[[#This Row],[expected_kwh]]</f>
        <v>0</v>
      </c>
      <c r="M2743" t="str">
        <f>IF(Table4[[#This Row],[Performance_Deviation]] &lt; 0, "Underperforming", "Outperforming")</f>
        <v>Outperforming</v>
      </c>
      <c r="N2743">
        <f>IF(Table4[[#This Row],[Performance_Ratio]] &lt; 0.85, Table4[[#This Row],[Performance_Deviation]] * 50 / 1000, 0)</f>
        <v>0</v>
      </c>
    </row>
    <row r="2744" spans="1:14" x14ac:dyDescent="0.3">
      <c r="A2744" s="4" t="s">
        <v>9</v>
      </c>
      <c r="B2744" s="3">
        <v>45313.25</v>
      </c>
      <c r="C2744" s="4">
        <v>0</v>
      </c>
      <c r="D2744" s="4">
        <v>0</v>
      </c>
      <c r="E2744" s="4">
        <v>0</v>
      </c>
      <c r="F2744" s="4">
        <v>84.849433541741803</v>
      </c>
      <c r="G2744" s="4" t="str">
        <f t="shared" si="84"/>
        <v>OK</v>
      </c>
      <c r="H2744" s="4" t="str">
        <f t="shared" si="85"/>
        <v>ZERO</v>
      </c>
      <c r="I2744">
        <v>0</v>
      </c>
      <c r="J2744">
        <f>IFERROR(Table4[[#This Row],[energy_kwh]]/Table4[[#This Row],[expected_kwh]],0)</f>
        <v>0</v>
      </c>
      <c r="K2744" t="str">
        <f>IF(Table4[[#This Row],[Performance_Ratio]] &lt; 0.85, "Underperforming", "Performing")</f>
        <v>Underperforming</v>
      </c>
      <c r="L2744">
        <f>Table4[[#This Row],[energy_kwh]] - Table4[[#This Row],[expected_kwh]]</f>
        <v>0</v>
      </c>
      <c r="M2744" t="str">
        <f>IF(Table4[[#This Row],[Performance_Deviation]] &lt; 0, "Underperforming", "Outperforming")</f>
        <v>Outperforming</v>
      </c>
      <c r="N2744">
        <f>IF(Table4[[#This Row],[Performance_Ratio]] &lt; 0.85, Table4[[#This Row],[Performance_Deviation]] * 50 / 1000, 0)</f>
        <v>0</v>
      </c>
    </row>
    <row r="2745" spans="1:14" x14ac:dyDescent="0.3">
      <c r="A2745" s="6" t="s">
        <v>9</v>
      </c>
      <c r="B2745" s="5">
        <v>45313.291666666664</v>
      </c>
      <c r="C2745" s="6">
        <v>250.69607230181001</v>
      </c>
      <c r="D2745" s="6">
        <v>241.657561189235</v>
      </c>
      <c r="E2745" s="6">
        <v>241.657561189235</v>
      </c>
      <c r="F2745" s="6">
        <v>62.707451232114003</v>
      </c>
      <c r="G2745" s="6" t="str">
        <f t="shared" si="84"/>
        <v>OK</v>
      </c>
      <c r="H2745" s="6" t="str">
        <f t="shared" si="85"/>
        <v>NON-ZERO</v>
      </c>
      <c r="I2745">
        <v>248.466283298419</v>
      </c>
      <c r="J2745">
        <f>IFERROR(Table4[[#This Row],[energy_kwh]]/Table4[[#This Row],[expected_kwh]],0)</f>
        <v>0.97259699779464071</v>
      </c>
      <c r="K2745" t="str">
        <f>IF(Table4[[#This Row],[Performance_Ratio]] &lt; 0.85, "Underperforming", "Performing")</f>
        <v>Performing</v>
      </c>
      <c r="L2745">
        <f>Table4[[#This Row],[energy_kwh]] - Table4[[#This Row],[expected_kwh]]</f>
        <v>-6.8087221091840036</v>
      </c>
      <c r="M2745" t="str">
        <f>IF(Table4[[#This Row],[Performance_Deviation]] &lt; 0, "Underperforming", "Outperforming")</f>
        <v>Underperforming</v>
      </c>
      <c r="N2745">
        <f>IF(Table4[[#This Row],[Performance_Ratio]] &lt; 0.85, Table4[[#This Row],[Performance_Deviation]] * 50 / 1000, 0)</f>
        <v>0</v>
      </c>
    </row>
    <row r="2746" spans="1:14" x14ac:dyDescent="0.3">
      <c r="A2746" s="4" t="s">
        <v>9</v>
      </c>
      <c r="B2746" s="3">
        <v>45313.333333333336</v>
      </c>
      <c r="C2746" s="4">
        <v>412.93166715619202</v>
      </c>
      <c r="D2746" s="4">
        <v>398.04396896428801</v>
      </c>
      <c r="E2746" s="4">
        <v>398.04396896428801</v>
      </c>
      <c r="F2746" s="4">
        <v>27.790534270910701</v>
      </c>
      <c r="G2746" s="4" t="str">
        <f t="shared" si="84"/>
        <v>OK</v>
      </c>
      <c r="H2746" s="4" t="str">
        <f t="shared" si="85"/>
        <v>NON-ZERO</v>
      </c>
      <c r="I2746">
        <v>479.99999999999898</v>
      </c>
      <c r="J2746">
        <f>IFERROR(Table4[[#This Row],[energy_kwh]]/Table4[[#This Row],[expected_kwh]],0)</f>
        <v>0.82925826867560182</v>
      </c>
      <c r="K2746" t="str">
        <f>IF(Table4[[#This Row],[Performance_Ratio]] &lt; 0.85, "Underperforming", "Performing")</f>
        <v>Underperforming</v>
      </c>
      <c r="L2746">
        <f>Table4[[#This Row],[energy_kwh]] - Table4[[#This Row],[expected_kwh]]</f>
        <v>-81.956031035710964</v>
      </c>
      <c r="M2746" t="str">
        <f>IF(Table4[[#This Row],[Performance_Deviation]] &lt; 0, "Underperforming", "Outperforming")</f>
        <v>Underperforming</v>
      </c>
      <c r="N2746">
        <f>IF(Table4[[#This Row],[Performance_Ratio]] &lt; 0.85, Table4[[#This Row],[Performance_Deviation]] * 50 / 1000, 0)</f>
        <v>-4.0978015517855484</v>
      </c>
    </row>
    <row r="2747" spans="1:14" x14ac:dyDescent="0.3">
      <c r="A2747" s="6" t="s">
        <v>9</v>
      </c>
      <c r="B2747" s="5">
        <v>45313.375</v>
      </c>
      <c r="C2747" s="6">
        <v>627.15065361891698</v>
      </c>
      <c r="D2747" s="6">
        <v>604.53957678812901</v>
      </c>
      <c r="E2747" s="6">
        <v>604.53957678812901</v>
      </c>
      <c r="F2747" s="6">
        <v>43.007956351462397</v>
      </c>
      <c r="G2747" s="6" t="str">
        <f t="shared" si="84"/>
        <v>OK</v>
      </c>
      <c r="H2747" s="6" t="str">
        <f t="shared" si="85"/>
        <v>NON-ZERO</v>
      </c>
      <c r="I2747">
        <v>678.82250993908497</v>
      </c>
      <c r="J2747">
        <f>IFERROR(Table4[[#This Row],[energy_kwh]]/Table4[[#This Row],[expected_kwh]],0)</f>
        <v>0.89057090467194167</v>
      </c>
      <c r="K2747" t="str">
        <f>IF(Table4[[#This Row],[Performance_Ratio]] &lt; 0.85, "Underperforming", "Performing")</f>
        <v>Performing</v>
      </c>
      <c r="L2747">
        <f>Table4[[#This Row],[energy_kwh]] - Table4[[#This Row],[expected_kwh]]</f>
        <v>-74.282933150955955</v>
      </c>
      <c r="M2747" t="str">
        <f>IF(Table4[[#This Row],[Performance_Deviation]] &lt; 0, "Underperforming", "Outperforming")</f>
        <v>Underperforming</v>
      </c>
      <c r="N2747">
        <f>IF(Table4[[#This Row],[Performance_Ratio]] &lt; 0.85, Table4[[#This Row],[Performance_Deviation]] * 50 / 1000, 0)</f>
        <v>0</v>
      </c>
    </row>
    <row r="2748" spans="1:14" x14ac:dyDescent="0.3">
      <c r="A2748" s="4" t="s">
        <v>9</v>
      </c>
      <c r="B2748" s="3">
        <v>45313.416666666664</v>
      </c>
      <c r="C2748" s="4">
        <v>635.35112869873706</v>
      </c>
      <c r="D2748" s="4">
        <v>612.44439472239901</v>
      </c>
      <c r="E2748" s="4">
        <v>612.44439472239901</v>
      </c>
      <c r="F2748" s="4">
        <v>68.329712171139903</v>
      </c>
      <c r="G2748" s="4" t="str">
        <f t="shared" si="84"/>
        <v>OK</v>
      </c>
      <c r="H2748" s="4" t="str">
        <f t="shared" si="85"/>
        <v>NON-ZERO</v>
      </c>
      <c r="I2748">
        <v>831.38438763306101</v>
      </c>
      <c r="J2748">
        <f>IFERROR(Table4[[#This Row],[energy_kwh]]/Table4[[#This Row],[expected_kwh]],0)</f>
        <v>0.73665611699303024</v>
      </c>
      <c r="K2748" t="str">
        <f>IF(Table4[[#This Row],[Performance_Ratio]] &lt; 0.85, "Underperforming", "Performing")</f>
        <v>Underperforming</v>
      </c>
      <c r="L2748">
        <f>Table4[[#This Row],[energy_kwh]] - Table4[[#This Row],[expected_kwh]]</f>
        <v>-218.939992910662</v>
      </c>
      <c r="M2748" t="str">
        <f>IF(Table4[[#This Row],[Performance_Deviation]] &lt; 0, "Underperforming", "Outperforming")</f>
        <v>Underperforming</v>
      </c>
      <c r="N2748">
        <f>IF(Table4[[#This Row],[Performance_Ratio]] &lt; 0.85, Table4[[#This Row],[Performance_Deviation]] * 50 / 1000, 0)</f>
        <v>-10.946999645533101</v>
      </c>
    </row>
    <row r="2749" spans="1:14" x14ac:dyDescent="0.3">
      <c r="A2749" s="6" t="s">
        <v>9</v>
      </c>
      <c r="B2749" s="5">
        <v>45313.458333333336</v>
      </c>
      <c r="C2749" s="6">
        <v>796.66021391499896</v>
      </c>
      <c r="D2749" s="6">
        <v>767.93769692339595</v>
      </c>
      <c r="E2749" s="6">
        <v>767.93769692339595</v>
      </c>
      <c r="F2749" s="6">
        <v>44.174998385035501</v>
      </c>
      <c r="G2749" s="6" t="str">
        <f t="shared" si="84"/>
        <v>OK</v>
      </c>
      <c r="H2749" s="6" t="str">
        <f t="shared" si="85"/>
        <v>NON-ZERO</v>
      </c>
      <c r="I2749">
        <v>927.28879323750505</v>
      </c>
      <c r="J2749">
        <f>IFERROR(Table4[[#This Row],[energy_kwh]]/Table4[[#This Row],[expected_kwh]],0)</f>
        <v>0.82815375589976015</v>
      </c>
      <c r="K2749" t="str">
        <f>IF(Table4[[#This Row],[Performance_Ratio]] &lt; 0.85, "Underperforming", "Performing")</f>
        <v>Underperforming</v>
      </c>
      <c r="L2749">
        <f>Table4[[#This Row],[energy_kwh]] - Table4[[#This Row],[expected_kwh]]</f>
        <v>-159.3510963141091</v>
      </c>
      <c r="M2749" t="str">
        <f>IF(Table4[[#This Row],[Performance_Deviation]] &lt; 0, "Underperforming", "Outperforming")</f>
        <v>Underperforming</v>
      </c>
      <c r="N2749">
        <f>IF(Table4[[#This Row],[Performance_Ratio]] &lt; 0.85, Table4[[#This Row],[Performance_Deviation]] * 50 / 1000, 0)</f>
        <v>-7.9675548157054541</v>
      </c>
    </row>
    <row r="2750" spans="1:14" x14ac:dyDescent="0.3">
      <c r="A2750" s="4" t="s">
        <v>9</v>
      </c>
      <c r="B2750" s="3">
        <v>45313.5</v>
      </c>
      <c r="C2750" s="4">
        <v>790.29924479833005</v>
      </c>
      <c r="D2750" s="4">
        <v>761.80606402855096</v>
      </c>
      <c r="E2750" s="4">
        <v>761.80606402855096</v>
      </c>
      <c r="F2750" s="4">
        <v>32.349101619202202</v>
      </c>
      <c r="G2750" s="4" t="str">
        <f t="shared" si="84"/>
        <v>OK</v>
      </c>
      <c r="H2750" s="4" t="str">
        <f t="shared" si="85"/>
        <v>NON-ZERO</v>
      </c>
      <c r="I2750">
        <v>960</v>
      </c>
      <c r="J2750">
        <f>IFERROR(Table4[[#This Row],[energy_kwh]]/Table4[[#This Row],[expected_kwh]],0)</f>
        <v>0.79354798336307397</v>
      </c>
      <c r="K2750" t="str">
        <f>IF(Table4[[#This Row],[Performance_Ratio]] &lt; 0.85, "Underperforming", "Performing")</f>
        <v>Underperforming</v>
      </c>
      <c r="L2750">
        <f>Table4[[#This Row],[energy_kwh]] - Table4[[#This Row],[expected_kwh]]</f>
        <v>-198.19393597144904</v>
      </c>
      <c r="M2750" t="str">
        <f>IF(Table4[[#This Row],[Performance_Deviation]] &lt; 0, "Underperforming", "Outperforming")</f>
        <v>Underperforming</v>
      </c>
      <c r="N2750">
        <f>IF(Table4[[#This Row],[Performance_Ratio]] &lt; 0.85, Table4[[#This Row],[Performance_Deviation]] * 50 / 1000, 0)</f>
        <v>-9.9096967985724511</v>
      </c>
    </row>
    <row r="2751" spans="1:14" x14ac:dyDescent="0.3">
      <c r="A2751" s="6" t="s">
        <v>9</v>
      </c>
      <c r="B2751" s="5">
        <v>45313.541666666664</v>
      </c>
      <c r="C2751" s="6">
        <v>0</v>
      </c>
      <c r="D2751" s="6">
        <v>0</v>
      </c>
      <c r="E2751" s="6">
        <v>0</v>
      </c>
      <c r="F2751" s="6">
        <v>38.304758828219299</v>
      </c>
      <c r="G2751" s="6" t="str">
        <f t="shared" si="84"/>
        <v>OK</v>
      </c>
      <c r="H2751" s="6" t="str">
        <f t="shared" si="85"/>
        <v>ZERO</v>
      </c>
      <c r="I2751">
        <v>927.28879323750505</v>
      </c>
      <c r="J2751">
        <f>IFERROR(Table4[[#This Row],[energy_kwh]]/Table4[[#This Row],[expected_kwh]],0)</f>
        <v>0</v>
      </c>
      <c r="K2751" t="str">
        <f>IF(Table4[[#This Row],[Performance_Ratio]] &lt; 0.85, "Underperforming", "Performing")</f>
        <v>Underperforming</v>
      </c>
      <c r="L2751">
        <f>Table4[[#This Row],[energy_kwh]] - Table4[[#This Row],[expected_kwh]]</f>
        <v>-927.28879323750505</v>
      </c>
      <c r="M2751" t="str">
        <f>IF(Table4[[#This Row],[Performance_Deviation]] &lt; 0, "Underperforming", "Outperforming")</f>
        <v>Underperforming</v>
      </c>
      <c r="N2751">
        <f>IF(Table4[[#This Row],[Performance_Ratio]] &lt; 0.85, Table4[[#This Row],[Performance_Deviation]] * 50 / 1000, 0)</f>
        <v>-46.364439661875252</v>
      </c>
    </row>
    <row r="2752" spans="1:14" x14ac:dyDescent="0.3">
      <c r="A2752" s="4" t="s">
        <v>9</v>
      </c>
      <c r="B2752" s="3">
        <v>45313.583333333336</v>
      </c>
      <c r="C2752" s="4">
        <v>794.88448080717797</v>
      </c>
      <c r="D2752" s="4">
        <v>766.22598549441898</v>
      </c>
      <c r="E2752" s="4">
        <v>766.22598549441898</v>
      </c>
      <c r="F2752" s="4">
        <v>36.170679731164199</v>
      </c>
      <c r="G2752" s="4" t="str">
        <f t="shared" si="84"/>
        <v>OK</v>
      </c>
      <c r="H2752" s="4" t="str">
        <f t="shared" si="85"/>
        <v>NON-ZERO</v>
      </c>
      <c r="I2752">
        <v>831.38438763306101</v>
      </c>
      <c r="J2752">
        <f>IFERROR(Table4[[#This Row],[energy_kwh]]/Table4[[#This Row],[expected_kwh]],0)</f>
        <v>0.92162662288601904</v>
      </c>
      <c r="K2752" t="str">
        <f>IF(Table4[[#This Row],[Performance_Ratio]] &lt; 0.85, "Underperforming", "Performing")</f>
        <v>Performing</v>
      </c>
      <c r="L2752">
        <f>Table4[[#This Row],[energy_kwh]] - Table4[[#This Row],[expected_kwh]]</f>
        <v>-65.158402138642032</v>
      </c>
      <c r="M2752" t="str">
        <f>IF(Table4[[#This Row],[Performance_Deviation]] &lt; 0, "Underperforming", "Outperforming")</f>
        <v>Underperforming</v>
      </c>
      <c r="N2752">
        <f>IF(Table4[[#This Row],[Performance_Ratio]] &lt; 0.85, Table4[[#This Row],[Performance_Deviation]] * 50 / 1000, 0)</f>
        <v>0</v>
      </c>
    </row>
    <row r="2753" spans="1:14" x14ac:dyDescent="0.3">
      <c r="A2753" s="6" t="s">
        <v>9</v>
      </c>
      <c r="B2753" s="5">
        <v>45313.625</v>
      </c>
      <c r="C2753" s="6">
        <v>596.99391901630997</v>
      </c>
      <c r="D2753" s="6">
        <v>575.47010286065802</v>
      </c>
      <c r="E2753" s="6">
        <v>575.47010286065802</v>
      </c>
      <c r="F2753" s="6">
        <v>80.765438712750097</v>
      </c>
      <c r="G2753" s="6" t="str">
        <f t="shared" si="84"/>
        <v>OK</v>
      </c>
      <c r="H2753" s="6" t="str">
        <f t="shared" si="85"/>
        <v>NON-ZERO</v>
      </c>
      <c r="I2753">
        <v>678.82250993908497</v>
      </c>
      <c r="J2753">
        <f>IFERROR(Table4[[#This Row],[energy_kwh]]/Table4[[#This Row],[expected_kwh]],0)</f>
        <v>0.8477475252143577</v>
      </c>
      <c r="K2753" t="str">
        <f>IF(Table4[[#This Row],[Performance_Ratio]] &lt; 0.85, "Underperforming", "Performing")</f>
        <v>Underperforming</v>
      </c>
      <c r="L2753">
        <f>Table4[[#This Row],[energy_kwh]] - Table4[[#This Row],[expected_kwh]]</f>
        <v>-103.35240707842695</v>
      </c>
      <c r="M2753" t="str">
        <f>IF(Table4[[#This Row],[Performance_Deviation]] &lt; 0, "Underperforming", "Outperforming")</f>
        <v>Underperforming</v>
      </c>
      <c r="N2753">
        <f>IF(Table4[[#This Row],[Performance_Ratio]] &lt; 0.85, Table4[[#This Row],[Performance_Deviation]] * 50 / 1000, 0)</f>
        <v>-5.1676203539213477</v>
      </c>
    </row>
    <row r="2754" spans="1:14" x14ac:dyDescent="0.3">
      <c r="A2754" s="4" t="s">
        <v>9</v>
      </c>
      <c r="B2754" s="3">
        <v>45313.666666666664</v>
      </c>
      <c r="C2754" s="4">
        <v>521.22452187773399</v>
      </c>
      <c r="D2754" s="4">
        <v>502.43246985281598</v>
      </c>
      <c r="E2754" s="4">
        <v>502.43246985281598</v>
      </c>
      <c r="F2754" s="4">
        <v>38.651885710335101</v>
      </c>
      <c r="G2754" s="4" t="str">
        <f t="shared" ref="G2754:G2817" si="86">IF(D2754 &gt; C2754, "ERROR", "OK")</f>
        <v>OK</v>
      </c>
      <c r="H2754" s="4" t="str">
        <f t="shared" ref="H2754:H2817" si="87">IF(E2754=0,"ZERO","NON-ZERO")</f>
        <v>NON-ZERO</v>
      </c>
      <c r="I2754">
        <v>479.99999999999898</v>
      </c>
      <c r="J2754">
        <f>IFERROR(Table4[[#This Row],[energy_kwh]]/Table4[[#This Row],[expected_kwh]],0)</f>
        <v>1.0467343121933688</v>
      </c>
      <c r="K2754" t="str">
        <f>IF(Table4[[#This Row],[Performance_Ratio]] &lt; 0.85, "Underperforming", "Performing")</f>
        <v>Performing</v>
      </c>
      <c r="L2754">
        <f>Table4[[#This Row],[energy_kwh]] - Table4[[#This Row],[expected_kwh]]</f>
        <v>22.432469852817007</v>
      </c>
      <c r="M2754" t="str">
        <f>IF(Table4[[#This Row],[Performance_Deviation]] &lt; 0, "Underperforming", "Outperforming")</f>
        <v>Outperforming</v>
      </c>
      <c r="N2754">
        <f>IF(Table4[[#This Row],[Performance_Ratio]] &lt; 0.85, Table4[[#This Row],[Performance_Deviation]] * 50 / 1000, 0)</f>
        <v>0</v>
      </c>
    </row>
    <row r="2755" spans="1:14" x14ac:dyDescent="0.3">
      <c r="A2755" s="6" t="s">
        <v>9</v>
      </c>
      <c r="B2755" s="5">
        <v>45313.708333333336</v>
      </c>
      <c r="C2755" s="6">
        <v>237.649686406759</v>
      </c>
      <c r="D2755" s="6">
        <v>229.08154526371999</v>
      </c>
      <c r="E2755" s="6">
        <v>229.08154526371999</v>
      </c>
      <c r="F2755" s="6">
        <v>39.273945339033503</v>
      </c>
      <c r="G2755" s="6" t="str">
        <f t="shared" si="86"/>
        <v>OK</v>
      </c>
      <c r="H2755" s="6" t="str">
        <f t="shared" si="87"/>
        <v>NON-ZERO</v>
      </c>
      <c r="I2755">
        <v>248.46628329842</v>
      </c>
      <c r="J2755">
        <f>IFERROR(Table4[[#This Row],[energy_kwh]]/Table4[[#This Row],[expected_kwh]],0)</f>
        <v>0.92198242040181366</v>
      </c>
      <c r="K2755" t="str">
        <f>IF(Table4[[#This Row],[Performance_Ratio]] &lt; 0.85, "Underperforming", "Performing")</f>
        <v>Performing</v>
      </c>
      <c r="L2755">
        <f>Table4[[#This Row],[energy_kwh]] - Table4[[#This Row],[expected_kwh]]</f>
        <v>-19.384738034700007</v>
      </c>
      <c r="M2755" t="str">
        <f>IF(Table4[[#This Row],[Performance_Deviation]] &lt; 0, "Underperforming", "Outperforming")</f>
        <v>Underperforming</v>
      </c>
      <c r="N2755">
        <f>IF(Table4[[#This Row],[Performance_Ratio]] &lt; 0.85, Table4[[#This Row],[Performance_Deviation]] * 50 / 1000, 0)</f>
        <v>0</v>
      </c>
    </row>
    <row r="2756" spans="1:14" x14ac:dyDescent="0.3">
      <c r="A2756" s="4" t="s">
        <v>9</v>
      </c>
      <c r="B2756" s="3">
        <v>45313.75</v>
      </c>
      <c r="C2756" s="7">
        <v>1.0936223238682799E-13</v>
      </c>
      <c r="D2756" s="7">
        <v>1.05419323574383E-13</v>
      </c>
      <c r="E2756" s="7">
        <v>1.05419323574383E-13</v>
      </c>
      <c r="F2756" s="4">
        <v>42.950457890670698</v>
      </c>
      <c r="G2756" s="4" t="str">
        <f t="shared" si="86"/>
        <v>OK</v>
      </c>
      <c r="H2756" s="4" t="str">
        <f t="shared" si="87"/>
        <v>NON-ZERO</v>
      </c>
      <c r="I2756" s="2">
        <v>1.1756609271814501E-13</v>
      </c>
      <c r="J2756">
        <f>IFERROR(Table4[[#This Row],[energy_kwh]]/Table4[[#This Row],[expected_kwh]],0)</f>
        <v>0.89668135715896513</v>
      </c>
      <c r="K2756" t="str">
        <f>IF(Table4[[#This Row],[Performance_Ratio]] &lt; 0.85, "Underperforming", "Performing")</f>
        <v>Performing</v>
      </c>
      <c r="L2756">
        <f>Table4[[#This Row],[energy_kwh]] - Table4[[#This Row],[expected_kwh]]</f>
        <v>-1.214676914376201E-14</v>
      </c>
      <c r="M2756" t="str">
        <f>IF(Table4[[#This Row],[Performance_Deviation]] &lt; 0, "Underperforming", "Outperforming")</f>
        <v>Underperforming</v>
      </c>
      <c r="N2756">
        <f>IF(Table4[[#This Row],[Performance_Ratio]] &lt; 0.85, Table4[[#This Row],[Performance_Deviation]] * 50 / 1000, 0)</f>
        <v>0</v>
      </c>
    </row>
    <row r="2757" spans="1:14" x14ac:dyDescent="0.3">
      <c r="A2757" s="6" t="s">
        <v>9</v>
      </c>
      <c r="B2757" s="5">
        <v>45313.791666666664</v>
      </c>
      <c r="C2757" s="6">
        <v>0</v>
      </c>
      <c r="D2757" s="6">
        <v>0</v>
      </c>
      <c r="E2757" s="6">
        <v>0</v>
      </c>
      <c r="F2757" s="6">
        <v>84.346809154813101</v>
      </c>
      <c r="G2757" s="6" t="str">
        <f t="shared" si="86"/>
        <v>OK</v>
      </c>
      <c r="H2757" s="6" t="str">
        <f t="shared" si="87"/>
        <v>ZERO</v>
      </c>
      <c r="I2757">
        <v>0</v>
      </c>
      <c r="J2757">
        <f>IFERROR(Table4[[#This Row],[energy_kwh]]/Table4[[#This Row],[expected_kwh]],0)</f>
        <v>0</v>
      </c>
      <c r="K2757" t="str">
        <f>IF(Table4[[#This Row],[Performance_Ratio]] &lt; 0.85, "Underperforming", "Performing")</f>
        <v>Underperforming</v>
      </c>
      <c r="L2757">
        <f>Table4[[#This Row],[energy_kwh]] - Table4[[#This Row],[expected_kwh]]</f>
        <v>0</v>
      </c>
      <c r="M2757" t="str">
        <f>IF(Table4[[#This Row],[Performance_Deviation]] &lt; 0, "Underperforming", "Outperforming")</f>
        <v>Outperforming</v>
      </c>
      <c r="N2757">
        <f>IF(Table4[[#This Row],[Performance_Ratio]] &lt; 0.85, Table4[[#This Row],[Performance_Deviation]] * 50 / 1000, 0)</f>
        <v>0</v>
      </c>
    </row>
    <row r="2758" spans="1:14" x14ac:dyDescent="0.3">
      <c r="A2758" s="4" t="s">
        <v>9</v>
      </c>
      <c r="B2758" s="3">
        <v>45313.833333333336</v>
      </c>
      <c r="C2758" s="4">
        <v>0</v>
      </c>
      <c r="D2758" s="4">
        <v>0</v>
      </c>
      <c r="E2758" s="4">
        <v>0</v>
      </c>
      <c r="F2758" s="4">
        <v>74.607836927580607</v>
      </c>
      <c r="G2758" s="4" t="str">
        <f t="shared" si="86"/>
        <v>OK</v>
      </c>
      <c r="H2758" s="4" t="str">
        <f t="shared" si="87"/>
        <v>ZERO</v>
      </c>
      <c r="I2758">
        <v>0</v>
      </c>
      <c r="J2758">
        <f>IFERROR(Table4[[#This Row],[energy_kwh]]/Table4[[#This Row],[expected_kwh]],0)</f>
        <v>0</v>
      </c>
      <c r="K2758" t="str">
        <f>IF(Table4[[#This Row],[Performance_Ratio]] &lt; 0.85, "Underperforming", "Performing")</f>
        <v>Underperforming</v>
      </c>
      <c r="L2758">
        <f>Table4[[#This Row],[energy_kwh]] - Table4[[#This Row],[expected_kwh]]</f>
        <v>0</v>
      </c>
      <c r="M2758" t="str">
        <f>IF(Table4[[#This Row],[Performance_Deviation]] &lt; 0, "Underperforming", "Outperforming")</f>
        <v>Outperforming</v>
      </c>
      <c r="N2758">
        <f>IF(Table4[[#This Row],[Performance_Ratio]] &lt; 0.85, Table4[[#This Row],[Performance_Deviation]] * 50 / 1000, 0)</f>
        <v>0</v>
      </c>
    </row>
    <row r="2759" spans="1:14" x14ac:dyDescent="0.3">
      <c r="A2759" s="6" t="s">
        <v>9</v>
      </c>
      <c r="B2759" s="5">
        <v>45313.875</v>
      </c>
      <c r="C2759" s="6">
        <v>0</v>
      </c>
      <c r="D2759" s="6">
        <v>0</v>
      </c>
      <c r="E2759" s="6">
        <v>0</v>
      </c>
      <c r="F2759" s="6">
        <v>85.257909375807799</v>
      </c>
      <c r="G2759" s="6" t="str">
        <f t="shared" si="86"/>
        <v>OK</v>
      </c>
      <c r="H2759" s="6" t="str">
        <f t="shared" si="87"/>
        <v>ZERO</v>
      </c>
      <c r="I2759">
        <v>0</v>
      </c>
      <c r="J2759">
        <f>IFERROR(Table4[[#This Row],[energy_kwh]]/Table4[[#This Row],[expected_kwh]],0)</f>
        <v>0</v>
      </c>
      <c r="K2759" t="str">
        <f>IF(Table4[[#This Row],[Performance_Ratio]] &lt; 0.85, "Underperforming", "Performing")</f>
        <v>Underperforming</v>
      </c>
      <c r="L2759">
        <f>Table4[[#This Row],[energy_kwh]] - Table4[[#This Row],[expected_kwh]]</f>
        <v>0</v>
      </c>
      <c r="M2759" t="str">
        <f>IF(Table4[[#This Row],[Performance_Deviation]] &lt; 0, "Underperforming", "Outperforming")</f>
        <v>Outperforming</v>
      </c>
      <c r="N2759">
        <f>IF(Table4[[#This Row],[Performance_Ratio]] &lt; 0.85, Table4[[#This Row],[Performance_Deviation]] * 50 / 1000, 0)</f>
        <v>0</v>
      </c>
    </row>
    <row r="2760" spans="1:14" x14ac:dyDescent="0.3">
      <c r="A2760" s="4" t="s">
        <v>9</v>
      </c>
      <c r="B2760" s="3">
        <v>45313.916666666664</v>
      </c>
      <c r="C2760" s="4">
        <v>0</v>
      </c>
      <c r="D2760" s="4">
        <v>0</v>
      </c>
      <c r="E2760" s="4">
        <v>0</v>
      </c>
      <c r="F2760" s="4">
        <v>20.4239078630888</v>
      </c>
      <c r="G2760" s="4" t="str">
        <f t="shared" si="86"/>
        <v>OK</v>
      </c>
      <c r="H2760" s="4" t="str">
        <f t="shared" si="87"/>
        <v>ZERO</v>
      </c>
      <c r="I2760">
        <v>0</v>
      </c>
      <c r="J2760">
        <f>IFERROR(Table4[[#This Row],[energy_kwh]]/Table4[[#This Row],[expected_kwh]],0)</f>
        <v>0</v>
      </c>
      <c r="K2760" t="str">
        <f>IF(Table4[[#This Row],[Performance_Ratio]] &lt; 0.85, "Underperforming", "Performing")</f>
        <v>Underperforming</v>
      </c>
      <c r="L2760">
        <f>Table4[[#This Row],[energy_kwh]] - Table4[[#This Row],[expected_kwh]]</f>
        <v>0</v>
      </c>
      <c r="M2760" t="str">
        <f>IF(Table4[[#This Row],[Performance_Deviation]] &lt; 0, "Underperforming", "Outperforming")</f>
        <v>Outperforming</v>
      </c>
      <c r="N2760">
        <f>IF(Table4[[#This Row],[Performance_Ratio]] &lt; 0.85, Table4[[#This Row],[Performance_Deviation]] * 50 / 1000, 0)</f>
        <v>0</v>
      </c>
    </row>
    <row r="2761" spans="1:14" x14ac:dyDescent="0.3">
      <c r="A2761" s="6" t="s">
        <v>9</v>
      </c>
      <c r="B2761" s="5">
        <v>45313.958333333336</v>
      </c>
      <c r="C2761" s="6">
        <v>0</v>
      </c>
      <c r="D2761" s="6">
        <v>0</v>
      </c>
      <c r="E2761" s="6">
        <v>0</v>
      </c>
      <c r="F2761" s="6">
        <v>55.268673924498202</v>
      </c>
      <c r="G2761" s="6" t="str">
        <f t="shared" si="86"/>
        <v>OK</v>
      </c>
      <c r="H2761" s="6" t="str">
        <f t="shared" si="87"/>
        <v>ZERO</v>
      </c>
      <c r="I2761">
        <v>0</v>
      </c>
      <c r="J2761">
        <f>IFERROR(Table4[[#This Row],[energy_kwh]]/Table4[[#This Row],[expected_kwh]],0)</f>
        <v>0</v>
      </c>
      <c r="K2761" t="str">
        <f>IF(Table4[[#This Row],[Performance_Ratio]] &lt; 0.85, "Underperforming", "Performing")</f>
        <v>Underperforming</v>
      </c>
      <c r="L2761">
        <f>Table4[[#This Row],[energy_kwh]] - Table4[[#This Row],[expected_kwh]]</f>
        <v>0</v>
      </c>
      <c r="M2761" t="str">
        <f>IF(Table4[[#This Row],[Performance_Deviation]] &lt; 0, "Underperforming", "Outperforming")</f>
        <v>Outperforming</v>
      </c>
      <c r="N2761">
        <f>IF(Table4[[#This Row],[Performance_Ratio]] &lt; 0.85, Table4[[#This Row],[Performance_Deviation]] * 50 / 1000, 0)</f>
        <v>0</v>
      </c>
    </row>
    <row r="2762" spans="1:14" x14ac:dyDescent="0.3">
      <c r="A2762" s="4" t="s">
        <v>9</v>
      </c>
      <c r="B2762" s="3">
        <v>45314</v>
      </c>
      <c r="C2762" s="4">
        <v>0</v>
      </c>
      <c r="D2762" s="4">
        <v>0</v>
      </c>
      <c r="E2762" s="4">
        <v>0</v>
      </c>
      <c r="F2762" s="4">
        <v>49.630724404114403</v>
      </c>
      <c r="G2762" s="4" t="str">
        <f t="shared" si="86"/>
        <v>OK</v>
      </c>
      <c r="H2762" s="4" t="str">
        <f t="shared" si="87"/>
        <v>ZERO</v>
      </c>
      <c r="I2762">
        <v>0</v>
      </c>
      <c r="J2762">
        <f>IFERROR(Table4[[#This Row],[energy_kwh]]/Table4[[#This Row],[expected_kwh]],0)</f>
        <v>0</v>
      </c>
      <c r="K2762" t="str">
        <f>IF(Table4[[#This Row],[Performance_Ratio]] &lt; 0.85, "Underperforming", "Performing")</f>
        <v>Underperforming</v>
      </c>
      <c r="L2762">
        <f>Table4[[#This Row],[energy_kwh]] - Table4[[#This Row],[expected_kwh]]</f>
        <v>0</v>
      </c>
      <c r="M2762" t="str">
        <f>IF(Table4[[#This Row],[Performance_Deviation]] &lt; 0, "Underperforming", "Outperforming")</f>
        <v>Outperforming</v>
      </c>
      <c r="N2762">
        <f>IF(Table4[[#This Row],[Performance_Ratio]] &lt; 0.85, Table4[[#This Row],[Performance_Deviation]] * 50 / 1000, 0)</f>
        <v>0</v>
      </c>
    </row>
    <row r="2763" spans="1:14" x14ac:dyDescent="0.3">
      <c r="A2763" s="6" t="s">
        <v>9</v>
      </c>
      <c r="B2763" s="5">
        <v>45314.041666666664</v>
      </c>
      <c r="C2763" s="6">
        <v>0</v>
      </c>
      <c r="D2763" s="6">
        <v>0</v>
      </c>
      <c r="E2763" s="6">
        <v>0</v>
      </c>
      <c r="F2763" s="6">
        <v>48.009816259454098</v>
      </c>
      <c r="G2763" s="6" t="str">
        <f t="shared" si="86"/>
        <v>OK</v>
      </c>
      <c r="H2763" s="6" t="str">
        <f t="shared" si="87"/>
        <v>ZERO</v>
      </c>
      <c r="I2763">
        <v>0</v>
      </c>
      <c r="J2763">
        <f>IFERROR(Table4[[#This Row],[energy_kwh]]/Table4[[#This Row],[expected_kwh]],0)</f>
        <v>0</v>
      </c>
      <c r="K2763" t="str">
        <f>IF(Table4[[#This Row],[Performance_Ratio]] &lt; 0.85, "Underperforming", "Performing")</f>
        <v>Underperforming</v>
      </c>
      <c r="L2763">
        <f>Table4[[#This Row],[energy_kwh]] - Table4[[#This Row],[expected_kwh]]</f>
        <v>0</v>
      </c>
      <c r="M2763" t="str">
        <f>IF(Table4[[#This Row],[Performance_Deviation]] &lt; 0, "Underperforming", "Outperforming")</f>
        <v>Outperforming</v>
      </c>
      <c r="N2763">
        <f>IF(Table4[[#This Row],[Performance_Ratio]] &lt; 0.85, Table4[[#This Row],[Performance_Deviation]] * 50 / 1000, 0)</f>
        <v>0</v>
      </c>
    </row>
    <row r="2764" spans="1:14" x14ac:dyDescent="0.3">
      <c r="A2764" s="4" t="s">
        <v>9</v>
      </c>
      <c r="B2764" s="3">
        <v>45314.083333333336</v>
      </c>
      <c r="C2764" s="4">
        <v>0</v>
      </c>
      <c r="D2764" s="4">
        <v>0</v>
      </c>
      <c r="E2764" s="4">
        <v>0</v>
      </c>
      <c r="F2764" s="4">
        <v>27.900042068372301</v>
      </c>
      <c r="G2764" s="4" t="str">
        <f t="shared" si="86"/>
        <v>OK</v>
      </c>
      <c r="H2764" s="4" t="str">
        <f t="shared" si="87"/>
        <v>ZERO</v>
      </c>
      <c r="I2764">
        <v>0</v>
      </c>
      <c r="J2764">
        <f>IFERROR(Table4[[#This Row],[energy_kwh]]/Table4[[#This Row],[expected_kwh]],0)</f>
        <v>0</v>
      </c>
      <c r="K2764" t="str">
        <f>IF(Table4[[#This Row],[Performance_Ratio]] &lt; 0.85, "Underperforming", "Performing")</f>
        <v>Underperforming</v>
      </c>
      <c r="L2764">
        <f>Table4[[#This Row],[energy_kwh]] - Table4[[#This Row],[expected_kwh]]</f>
        <v>0</v>
      </c>
      <c r="M2764" t="str">
        <f>IF(Table4[[#This Row],[Performance_Deviation]] &lt; 0, "Underperforming", "Outperforming")</f>
        <v>Outperforming</v>
      </c>
      <c r="N2764">
        <f>IF(Table4[[#This Row],[Performance_Ratio]] &lt; 0.85, Table4[[#This Row],[Performance_Deviation]] * 50 / 1000, 0)</f>
        <v>0</v>
      </c>
    </row>
    <row r="2765" spans="1:14" x14ac:dyDescent="0.3">
      <c r="A2765" s="6" t="s">
        <v>9</v>
      </c>
      <c r="B2765" s="5">
        <v>45314.125</v>
      </c>
      <c r="C2765" s="6">
        <v>0</v>
      </c>
      <c r="D2765" s="6">
        <v>0</v>
      </c>
      <c r="E2765" s="6">
        <v>0</v>
      </c>
      <c r="F2765" s="6">
        <v>34.544586521051002</v>
      </c>
      <c r="G2765" s="6" t="str">
        <f t="shared" si="86"/>
        <v>OK</v>
      </c>
      <c r="H2765" s="6" t="str">
        <f t="shared" si="87"/>
        <v>ZERO</v>
      </c>
      <c r="I2765">
        <v>0</v>
      </c>
      <c r="J2765">
        <f>IFERROR(Table4[[#This Row],[energy_kwh]]/Table4[[#This Row],[expected_kwh]],0)</f>
        <v>0</v>
      </c>
      <c r="K2765" t="str">
        <f>IF(Table4[[#This Row],[Performance_Ratio]] &lt; 0.85, "Underperforming", "Performing")</f>
        <v>Underperforming</v>
      </c>
      <c r="L2765">
        <f>Table4[[#This Row],[energy_kwh]] - Table4[[#This Row],[expected_kwh]]</f>
        <v>0</v>
      </c>
      <c r="M2765" t="str">
        <f>IF(Table4[[#This Row],[Performance_Deviation]] &lt; 0, "Underperforming", "Outperforming")</f>
        <v>Outperforming</v>
      </c>
      <c r="N2765">
        <f>IF(Table4[[#This Row],[Performance_Ratio]] &lt; 0.85, Table4[[#This Row],[Performance_Deviation]] * 50 / 1000, 0)</f>
        <v>0</v>
      </c>
    </row>
    <row r="2766" spans="1:14" x14ac:dyDescent="0.3">
      <c r="A2766" s="4" t="s">
        <v>9</v>
      </c>
      <c r="B2766" s="3">
        <v>45314.166666666664</v>
      </c>
      <c r="C2766" s="4">
        <v>0</v>
      </c>
      <c r="D2766" s="4">
        <v>0</v>
      </c>
      <c r="E2766" s="4">
        <v>0</v>
      </c>
      <c r="F2766" s="4">
        <v>36.619507282958502</v>
      </c>
      <c r="G2766" s="4" t="str">
        <f t="shared" si="86"/>
        <v>OK</v>
      </c>
      <c r="H2766" s="4" t="str">
        <f t="shared" si="87"/>
        <v>ZERO</v>
      </c>
      <c r="I2766">
        <v>0</v>
      </c>
      <c r="J2766">
        <f>IFERROR(Table4[[#This Row],[energy_kwh]]/Table4[[#This Row],[expected_kwh]],0)</f>
        <v>0</v>
      </c>
      <c r="K2766" t="str">
        <f>IF(Table4[[#This Row],[Performance_Ratio]] &lt; 0.85, "Underperforming", "Performing")</f>
        <v>Underperforming</v>
      </c>
      <c r="L2766">
        <f>Table4[[#This Row],[energy_kwh]] - Table4[[#This Row],[expected_kwh]]</f>
        <v>0</v>
      </c>
      <c r="M2766" t="str">
        <f>IF(Table4[[#This Row],[Performance_Deviation]] &lt; 0, "Underperforming", "Outperforming")</f>
        <v>Outperforming</v>
      </c>
      <c r="N2766">
        <f>IF(Table4[[#This Row],[Performance_Ratio]] &lt; 0.85, Table4[[#This Row],[Performance_Deviation]] * 50 / 1000, 0)</f>
        <v>0</v>
      </c>
    </row>
    <row r="2767" spans="1:14" x14ac:dyDescent="0.3">
      <c r="A2767" s="6" t="s">
        <v>9</v>
      </c>
      <c r="B2767" s="5">
        <v>45314.208333333336</v>
      </c>
      <c r="C2767" s="6">
        <v>0</v>
      </c>
      <c r="D2767" s="6">
        <v>0</v>
      </c>
      <c r="E2767" s="6">
        <v>0</v>
      </c>
      <c r="F2767" s="6">
        <v>89.159849414705704</v>
      </c>
      <c r="G2767" s="6" t="str">
        <f t="shared" si="86"/>
        <v>OK</v>
      </c>
      <c r="H2767" s="6" t="str">
        <f t="shared" si="87"/>
        <v>ZERO</v>
      </c>
      <c r="I2767">
        <v>0</v>
      </c>
      <c r="J2767">
        <f>IFERROR(Table4[[#This Row],[energy_kwh]]/Table4[[#This Row],[expected_kwh]],0)</f>
        <v>0</v>
      </c>
      <c r="K2767" t="str">
        <f>IF(Table4[[#This Row],[Performance_Ratio]] &lt; 0.85, "Underperforming", "Performing")</f>
        <v>Underperforming</v>
      </c>
      <c r="L2767">
        <f>Table4[[#This Row],[energy_kwh]] - Table4[[#This Row],[expected_kwh]]</f>
        <v>0</v>
      </c>
      <c r="M2767" t="str">
        <f>IF(Table4[[#This Row],[Performance_Deviation]] &lt; 0, "Underperforming", "Outperforming")</f>
        <v>Outperforming</v>
      </c>
      <c r="N2767">
        <f>IF(Table4[[#This Row],[Performance_Ratio]] &lt; 0.85, Table4[[#This Row],[Performance_Deviation]] * 50 / 1000, 0)</f>
        <v>0</v>
      </c>
    </row>
    <row r="2768" spans="1:14" x14ac:dyDescent="0.3">
      <c r="A2768" s="4" t="s">
        <v>9</v>
      </c>
      <c r="B2768" s="3">
        <v>45314.25</v>
      </c>
      <c r="C2768" s="4">
        <v>0</v>
      </c>
      <c r="D2768" s="4">
        <v>0</v>
      </c>
      <c r="E2768" s="4">
        <v>0</v>
      </c>
      <c r="F2768" s="4">
        <v>41.786120420670699</v>
      </c>
      <c r="G2768" s="4" t="str">
        <f t="shared" si="86"/>
        <v>OK</v>
      </c>
      <c r="H2768" s="4" t="str">
        <f t="shared" si="87"/>
        <v>ZERO</v>
      </c>
      <c r="I2768">
        <v>0</v>
      </c>
      <c r="J2768">
        <f>IFERROR(Table4[[#This Row],[energy_kwh]]/Table4[[#This Row],[expected_kwh]],0)</f>
        <v>0</v>
      </c>
      <c r="K2768" t="str">
        <f>IF(Table4[[#This Row],[Performance_Ratio]] &lt; 0.85, "Underperforming", "Performing")</f>
        <v>Underperforming</v>
      </c>
      <c r="L2768">
        <f>Table4[[#This Row],[energy_kwh]] - Table4[[#This Row],[expected_kwh]]</f>
        <v>0</v>
      </c>
      <c r="M2768" t="str">
        <f>IF(Table4[[#This Row],[Performance_Deviation]] &lt; 0, "Underperforming", "Outperforming")</f>
        <v>Outperforming</v>
      </c>
      <c r="N2768">
        <f>IF(Table4[[#This Row],[Performance_Ratio]] &lt; 0.85, Table4[[#This Row],[Performance_Deviation]] * 50 / 1000, 0)</f>
        <v>0</v>
      </c>
    </row>
    <row r="2769" spans="1:14" x14ac:dyDescent="0.3">
      <c r="A2769" s="6" t="s">
        <v>9</v>
      </c>
      <c r="B2769" s="5">
        <v>45314.291666666664</v>
      </c>
      <c r="C2769" s="6">
        <v>269.59496107575899</v>
      </c>
      <c r="D2769" s="6">
        <v>259.87507584100399</v>
      </c>
      <c r="E2769" s="6">
        <v>259.87507584100399</v>
      </c>
      <c r="F2769" s="6">
        <v>32.355577877245302</v>
      </c>
      <c r="G2769" s="6" t="str">
        <f t="shared" si="86"/>
        <v>OK</v>
      </c>
      <c r="H2769" s="6" t="str">
        <f t="shared" si="87"/>
        <v>NON-ZERO</v>
      </c>
      <c r="I2769">
        <v>248.466283298419</v>
      </c>
      <c r="J2769">
        <f>IFERROR(Table4[[#This Row],[energy_kwh]]/Table4[[#This Row],[expected_kwh]],0)</f>
        <v>1.0459168640152374</v>
      </c>
      <c r="K2769" t="str">
        <f>IF(Table4[[#This Row],[Performance_Ratio]] &lt; 0.85, "Underperforming", "Performing")</f>
        <v>Performing</v>
      </c>
      <c r="L2769">
        <f>Table4[[#This Row],[energy_kwh]] - Table4[[#This Row],[expected_kwh]]</f>
        <v>11.40879254258499</v>
      </c>
      <c r="M2769" t="str">
        <f>IF(Table4[[#This Row],[Performance_Deviation]] &lt; 0, "Underperforming", "Outperforming")</f>
        <v>Outperforming</v>
      </c>
      <c r="N2769">
        <f>IF(Table4[[#This Row],[Performance_Ratio]] &lt; 0.85, Table4[[#This Row],[Performance_Deviation]] * 50 / 1000, 0)</f>
        <v>0</v>
      </c>
    </row>
    <row r="2770" spans="1:14" x14ac:dyDescent="0.3">
      <c r="A2770" s="4" t="s">
        <v>9</v>
      </c>
      <c r="B2770" s="3">
        <v>45314.333333333336</v>
      </c>
      <c r="C2770" s="4">
        <v>454.06627059999698</v>
      </c>
      <c r="D2770" s="4">
        <v>437.69551937529297</v>
      </c>
      <c r="E2770" s="4">
        <v>437.69551937529297</v>
      </c>
      <c r="F2770" s="4">
        <v>88.964797168462397</v>
      </c>
      <c r="G2770" s="4" t="str">
        <f t="shared" si="86"/>
        <v>OK</v>
      </c>
      <c r="H2770" s="4" t="str">
        <f t="shared" si="87"/>
        <v>NON-ZERO</v>
      </c>
      <c r="I2770">
        <v>479.99999999999898</v>
      </c>
      <c r="J2770">
        <f>IFERROR(Table4[[#This Row],[energy_kwh]]/Table4[[#This Row],[expected_kwh]],0)</f>
        <v>0.91186566536519564</v>
      </c>
      <c r="K2770" t="str">
        <f>IF(Table4[[#This Row],[Performance_Ratio]] &lt; 0.85, "Underperforming", "Performing")</f>
        <v>Performing</v>
      </c>
      <c r="L2770">
        <f>Table4[[#This Row],[energy_kwh]] - Table4[[#This Row],[expected_kwh]]</f>
        <v>-42.304480624706002</v>
      </c>
      <c r="M2770" t="str">
        <f>IF(Table4[[#This Row],[Performance_Deviation]] &lt; 0, "Underperforming", "Outperforming")</f>
        <v>Underperforming</v>
      </c>
      <c r="N2770">
        <f>IF(Table4[[#This Row],[Performance_Ratio]] &lt; 0.85, Table4[[#This Row],[Performance_Deviation]] * 50 / 1000, 0)</f>
        <v>0</v>
      </c>
    </row>
    <row r="2771" spans="1:14" x14ac:dyDescent="0.3">
      <c r="A2771" s="6" t="s">
        <v>9</v>
      </c>
      <c r="B2771" s="5">
        <v>45314.375</v>
      </c>
      <c r="C2771" s="6">
        <v>617.62938855948596</v>
      </c>
      <c r="D2771" s="6">
        <v>595.36158818793899</v>
      </c>
      <c r="E2771" s="6">
        <v>595.36158818793899</v>
      </c>
      <c r="F2771" s="6">
        <v>64.151673075201202</v>
      </c>
      <c r="G2771" s="6" t="str">
        <f t="shared" si="86"/>
        <v>OK</v>
      </c>
      <c r="H2771" s="6" t="str">
        <f t="shared" si="87"/>
        <v>NON-ZERO</v>
      </c>
      <c r="I2771">
        <v>678.82250993908497</v>
      </c>
      <c r="J2771">
        <f>IFERROR(Table4[[#This Row],[energy_kwh]]/Table4[[#This Row],[expected_kwh]],0)</f>
        <v>0.87705045055351005</v>
      </c>
      <c r="K2771" t="str">
        <f>IF(Table4[[#This Row],[Performance_Ratio]] &lt; 0.85, "Underperforming", "Performing")</f>
        <v>Performing</v>
      </c>
      <c r="L2771">
        <f>Table4[[#This Row],[energy_kwh]] - Table4[[#This Row],[expected_kwh]]</f>
        <v>-83.460921751145975</v>
      </c>
      <c r="M2771" t="str">
        <f>IF(Table4[[#This Row],[Performance_Deviation]] &lt; 0, "Underperforming", "Outperforming")</f>
        <v>Underperforming</v>
      </c>
      <c r="N2771">
        <f>IF(Table4[[#This Row],[Performance_Ratio]] &lt; 0.85, Table4[[#This Row],[Performance_Deviation]] * 50 / 1000, 0)</f>
        <v>0</v>
      </c>
    </row>
    <row r="2772" spans="1:14" x14ac:dyDescent="0.3">
      <c r="A2772" s="4" t="s">
        <v>9</v>
      </c>
      <c r="B2772" s="3">
        <v>45314.416666666664</v>
      </c>
      <c r="C2772" s="4">
        <v>778.27619297570197</v>
      </c>
      <c r="D2772" s="4">
        <v>750.21648723609906</v>
      </c>
      <c r="E2772" s="4">
        <v>750.21648723609906</v>
      </c>
      <c r="F2772" s="4">
        <v>64.523943458510701</v>
      </c>
      <c r="G2772" s="4" t="str">
        <f t="shared" si="86"/>
        <v>OK</v>
      </c>
      <c r="H2772" s="4" t="str">
        <f t="shared" si="87"/>
        <v>NON-ZERO</v>
      </c>
      <c r="I2772">
        <v>831.38438763306101</v>
      </c>
      <c r="J2772">
        <f>IFERROR(Table4[[#This Row],[energy_kwh]]/Table4[[#This Row],[expected_kwh]],0)</f>
        <v>0.90237018928386936</v>
      </c>
      <c r="K2772" t="str">
        <f>IF(Table4[[#This Row],[Performance_Ratio]] &lt; 0.85, "Underperforming", "Performing")</f>
        <v>Performing</v>
      </c>
      <c r="L2772">
        <f>Table4[[#This Row],[energy_kwh]] - Table4[[#This Row],[expected_kwh]]</f>
        <v>-81.167900396961954</v>
      </c>
      <c r="M2772" t="str">
        <f>IF(Table4[[#This Row],[Performance_Deviation]] &lt; 0, "Underperforming", "Outperforming")</f>
        <v>Underperforming</v>
      </c>
      <c r="N2772">
        <f>IF(Table4[[#This Row],[Performance_Ratio]] &lt; 0.85, Table4[[#This Row],[Performance_Deviation]] * 50 / 1000, 0)</f>
        <v>0</v>
      </c>
    </row>
    <row r="2773" spans="1:14" x14ac:dyDescent="0.3">
      <c r="A2773" s="6" t="s">
        <v>9</v>
      </c>
      <c r="B2773" s="5">
        <v>45314.458333333336</v>
      </c>
      <c r="C2773" s="6">
        <v>889.734814624043</v>
      </c>
      <c r="D2773" s="6">
        <v>857.65661756500697</v>
      </c>
      <c r="E2773" s="6">
        <v>857.65661756500697</v>
      </c>
      <c r="F2773" s="6">
        <v>93.653006569323594</v>
      </c>
      <c r="G2773" s="6" t="str">
        <f t="shared" si="86"/>
        <v>OK</v>
      </c>
      <c r="H2773" s="6" t="str">
        <f t="shared" si="87"/>
        <v>NON-ZERO</v>
      </c>
      <c r="I2773">
        <v>927.28879323750505</v>
      </c>
      <c r="J2773">
        <f>IFERROR(Table4[[#This Row],[energy_kwh]]/Table4[[#This Row],[expected_kwh]],0)</f>
        <v>0.92490777826680437</v>
      </c>
      <c r="K2773" t="str">
        <f>IF(Table4[[#This Row],[Performance_Ratio]] &lt; 0.85, "Underperforming", "Performing")</f>
        <v>Performing</v>
      </c>
      <c r="L2773">
        <f>Table4[[#This Row],[energy_kwh]] - Table4[[#This Row],[expected_kwh]]</f>
        <v>-69.632175672498079</v>
      </c>
      <c r="M2773" t="str">
        <f>IF(Table4[[#This Row],[Performance_Deviation]] &lt; 0, "Underperforming", "Outperforming")</f>
        <v>Underperforming</v>
      </c>
      <c r="N2773">
        <f>IF(Table4[[#This Row],[Performance_Ratio]] &lt; 0.85, Table4[[#This Row],[Performance_Deviation]] * 50 / 1000, 0)</f>
        <v>0</v>
      </c>
    </row>
    <row r="2774" spans="1:14" x14ac:dyDescent="0.3">
      <c r="A2774" s="4" t="s">
        <v>9</v>
      </c>
      <c r="B2774" s="3">
        <v>45314.5</v>
      </c>
      <c r="C2774" s="4">
        <v>873.59851936723396</v>
      </c>
      <c r="D2774" s="4">
        <v>842.10209482124606</v>
      </c>
      <c r="E2774" s="4">
        <v>842.10209482124606</v>
      </c>
      <c r="F2774" s="4">
        <v>86.6978542871163</v>
      </c>
      <c r="G2774" s="4" t="str">
        <f t="shared" si="86"/>
        <v>OK</v>
      </c>
      <c r="H2774" s="4" t="str">
        <f t="shared" si="87"/>
        <v>NON-ZERO</v>
      </c>
      <c r="I2774">
        <v>960</v>
      </c>
      <c r="J2774">
        <f>IFERROR(Table4[[#This Row],[energy_kwh]]/Table4[[#This Row],[expected_kwh]],0)</f>
        <v>0.87718968210546466</v>
      </c>
      <c r="K2774" t="str">
        <f>IF(Table4[[#This Row],[Performance_Ratio]] &lt; 0.85, "Underperforming", "Performing")</f>
        <v>Performing</v>
      </c>
      <c r="L2774">
        <f>Table4[[#This Row],[energy_kwh]] - Table4[[#This Row],[expected_kwh]]</f>
        <v>-117.89790517875394</v>
      </c>
      <c r="M2774" t="str">
        <f>IF(Table4[[#This Row],[Performance_Deviation]] &lt; 0, "Underperforming", "Outperforming")</f>
        <v>Underperforming</v>
      </c>
      <c r="N2774">
        <f>IF(Table4[[#This Row],[Performance_Ratio]] &lt; 0.85, Table4[[#This Row],[Performance_Deviation]] * 50 / 1000, 0)</f>
        <v>0</v>
      </c>
    </row>
    <row r="2775" spans="1:14" x14ac:dyDescent="0.3">
      <c r="A2775" s="6" t="s">
        <v>9</v>
      </c>
      <c r="B2775" s="5">
        <v>45314.541666666664</v>
      </c>
      <c r="C2775" s="6">
        <v>943.63874128033297</v>
      </c>
      <c r="D2775" s="6">
        <v>909.61711034289203</v>
      </c>
      <c r="E2775" s="6">
        <v>909.61711034289203</v>
      </c>
      <c r="F2775" s="6">
        <v>62.260285535963803</v>
      </c>
      <c r="G2775" s="6" t="str">
        <f t="shared" si="86"/>
        <v>OK</v>
      </c>
      <c r="H2775" s="6" t="str">
        <f t="shared" si="87"/>
        <v>NON-ZERO</v>
      </c>
      <c r="I2775">
        <v>927.28879323750505</v>
      </c>
      <c r="J2775">
        <f>IFERROR(Table4[[#This Row],[energy_kwh]]/Table4[[#This Row],[expected_kwh]],0)</f>
        <v>0.98094263294942374</v>
      </c>
      <c r="K2775" t="str">
        <f>IF(Table4[[#This Row],[Performance_Ratio]] &lt; 0.85, "Underperforming", "Performing")</f>
        <v>Performing</v>
      </c>
      <c r="L2775">
        <f>Table4[[#This Row],[energy_kwh]] - Table4[[#This Row],[expected_kwh]]</f>
        <v>-17.671682894613014</v>
      </c>
      <c r="M2775" t="str">
        <f>IF(Table4[[#This Row],[Performance_Deviation]] &lt; 0, "Underperforming", "Outperforming")</f>
        <v>Underperforming</v>
      </c>
      <c r="N2775">
        <f>IF(Table4[[#This Row],[Performance_Ratio]] &lt; 0.85, Table4[[#This Row],[Performance_Deviation]] * 50 / 1000, 0)</f>
        <v>0</v>
      </c>
    </row>
    <row r="2776" spans="1:14" x14ac:dyDescent="0.3">
      <c r="A2776" s="4" t="s">
        <v>9</v>
      </c>
      <c r="B2776" s="3">
        <v>45314.583333333336</v>
      </c>
      <c r="C2776" s="4">
        <v>794.89444700693798</v>
      </c>
      <c r="D2776" s="4">
        <v>766.23559237619395</v>
      </c>
      <c r="E2776" s="4">
        <v>766.23559237619395</v>
      </c>
      <c r="F2776" s="4">
        <v>76.859690487263293</v>
      </c>
      <c r="G2776" s="4" t="str">
        <f t="shared" si="86"/>
        <v>OK</v>
      </c>
      <c r="H2776" s="4" t="str">
        <f t="shared" si="87"/>
        <v>NON-ZERO</v>
      </c>
      <c r="I2776">
        <v>831.38438763306101</v>
      </c>
      <c r="J2776">
        <f>IFERROR(Table4[[#This Row],[energy_kwh]]/Table4[[#This Row],[expected_kwh]],0)</f>
        <v>0.9216381781688916</v>
      </c>
      <c r="K2776" t="str">
        <f>IF(Table4[[#This Row],[Performance_Ratio]] &lt; 0.85, "Underperforming", "Performing")</f>
        <v>Performing</v>
      </c>
      <c r="L2776">
        <f>Table4[[#This Row],[energy_kwh]] - Table4[[#This Row],[expected_kwh]]</f>
        <v>-65.148795256867061</v>
      </c>
      <c r="M2776" t="str">
        <f>IF(Table4[[#This Row],[Performance_Deviation]] &lt; 0, "Underperforming", "Outperforming")</f>
        <v>Underperforming</v>
      </c>
      <c r="N2776">
        <f>IF(Table4[[#This Row],[Performance_Ratio]] &lt; 0.85, Table4[[#This Row],[Performance_Deviation]] * 50 / 1000, 0)</f>
        <v>0</v>
      </c>
    </row>
    <row r="2777" spans="1:14" x14ac:dyDescent="0.3">
      <c r="A2777" s="6" t="s">
        <v>9</v>
      </c>
      <c r="B2777" s="5">
        <v>45314.625</v>
      </c>
      <c r="C2777" s="6">
        <v>595.59003876421798</v>
      </c>
      <c r="D2777" s="6">
        <v>574.116837630742</v>
      </c>
      <c r="E2777" s="6">
        <v>574.116837630742</v>
      </c>
      <c r="F2777" s="6">
        <v>80.682741261728395</v>
      </c>
      <c r="G2777" s="6" t="str">
        <f t="shared" si="86"/>
        <v>OK</v>
      </c>
      <c r="H2777" s="6" t="str">
        <f t="shared" si="87"/>
        <v>NON-ZERO</v>
      </c>
      <c r="I2777">
        <v>678.82250993908497</v>
      </c>
      <c r="J2777">
        <f>IFERROR(Table4[[#This Row],[energy_kwh]]/Table4[[#This Row],[expected_kwh]],0)</f>
        <v>0.84575397725432111</v>
      </c>
      <c r="K2777" t="str">
        <f>IF(Table4[[#This Row],[Performance_Ratio]] &lt; 0.85, "Underperforming", "Performing")</f>
        <v>Underperforming</v>
      </c>
      <c r="L2777">
        <f>Table4[[#This Row],[energy_kwh]] - Table4[[#This Row],[expected_kwh]]</f>
        <v>-104.70567230834297</v>
      </c>
      <c r="M2777" t="str">
        <f>IF(Table4[[#This Row],[Performance_Deviation]] &lt; 0, "Underperforming", "Outperforming")</f>
        <v>Underperforming</v>
      </c>
      <c r="N2777">
        <f>IF(Table4[[#This Row],[Performance_Ratio]] &lt; 0.85, Table4[[#This Row],[Performance_Deviation]] * 50 / 1000, 0)</f>
        <v>-5.2352836154171483</v>
      </c>
    </row>
    <row r="2778" spans="1:14" x14ac:dyDescent="0.3">
      <c r="A2778" s="4" t="s">
        <v>9</v>
      </c>
      <c r="B2778" s="3">
        <v>45314.666666666664</v>
      </c>
      <c r="C2778" s="4">
        <v>457.53314548759198</v>
      </c>
      <c r="D2778" s="4">
        <v>441.03740073223599</v>
      </c>
      <c r="E2778" s="4">
        <v>441.03740073223599</v>
      </c>
      <c r="F2778" s="4">
        <v>49.853238057807097</v>
      </c>
      <c r="G2778" s="4" t="str">
        <f t="shared" si="86"/>
        <v>OK</v>
      </c>
      <c r="H2778" s="4" t="str">
        <f t="shared" si="87"/>
        <v>NON-ZERO</v>
      </c>
      <c r="I2778">
        <v>479.99999999999898</v>
      </c>
      <c r="J2778">
        <f>IFERROR(Table4[[#This Row],[energy_kwh]]/Table4[[#This Row],[expected_kwh]],0)</f>
        <v>0.91882791819216025</v>
      </c>
      <c r="K2778" t="str">
        <f>IF(Table4[[#This Row],[Performance_Ratio]] &lt; 0.85, "Underperforming", "Performing")</f>
        <v>Performing</v>
      </c>
      <c r="L2778">
        <f>Table4[[#This Row],[energy_kwh]] - Table4[[#This Row],[expected_kwh]]</f>
        <v>-38.962599267762982</v>
      </c>
      <c r="M2778" t="str">
        <f>IF(Table4[[#This Row],[Performance_Deviation]] &lt; 0, "Underperforming", "Outperforming")</f>
        <v>Underperforming</v>
      </c>
      <c r="N2778">
        <f>IF(Table4[[#This Row],[Performance_Ratio]] &lt; 0.85, Table4[[#This Row],[Performance_Deviation]] * 50 / 1000, 0)</f>
        <v>0</v>
      </c>
    </row>
    <row r="2779" spans="1:14" x14ac:dyDescent="0.3">
      <c r="A2779" s="6" t="s">
        <v>9</v>
      </c>
      <c r="B2779" s="5">
        <v>45314.708333333336</v>
      </c>
      <c r="C2779" s="6">
        <v>233.08935152132901</v>
      </c>
      <c r="D2779" s="6">
        <v>224.685627144618</v>
      </c>
      <c r="E2779" s="6">
        <v>224.685627144618</v>
      </c>
      <c r="F2779" s="6">
        <v>81.920650438069501</v>
      </c>
      <c r="G2779" s="6" t="str">
        <f t="shared" si="86"/>
        <v>OK</v>
      </c>
      <c r="H2779" s="6" t="str">
        <f t="shared" si="87"/>
        <v>NON-ZERO</v>
      </c>
      <c r="I2779">
        <v>248.46628329842</v>
      </c>
      <c r="J2779">
        <f>IFERROR(Table4[[#This Row],[energy_kwh]]/Table4[[#This Row],[expected_kwh]],0)</f>
        <v>0.90429020856226083</v>
      </c>
      <c r="K2779" t="str">
        <f>IF(Table4[[#This Row],[Performance_Ratio]] &lt; 0.85, "Underperforming", "Performing")</f>
        <v>Performing</v>
      </c>
      <c r="L2779">
        <f>Table4[[#This Row],[energy_kwh]] - Table4[[#This Row],[expected_kwh]]</f>
        <v>-23.780656153801999</v>
      </c>
      <c r="M2779" t="str">
        <f>IF(Table4[[#This Row],[Performance_Deviation]] &lt; 0, "Underperforming", "Outperforming")</f>
        <v>Underperforming</v>
      </c>
      <c r="N2779">
        <f>IF(Table4[[#This Row],[Performance_Ratio]] &lt; 0.85, Table4[[#This Row],[Performance_Deviation]] * 50 / 1000, 0)</f>
        <v>0</v>
      </c>
    </row>
    <row r="2780" spans="1:14" x14ac:dyDescent="0.3">
      <c r="A2780" s="4" t="s">
        <v>9</v>
      </c>
      <c r="B2780" s="3">
        <v>45314.75</v>
      </c>
      <c r="C2780" s="7">
        <v>1.27400589667868E-13</v>
      </c>
      <c r="D2780" s="7">
        <v>1.22807332043651E-13</v>
      </c>
      <c r="E2780" s="7">
        <v>1.22807332043651E-13</v>
      </c>
      <c r="F2780" s="4">
        <v>36.251498277904403</v>
      </c>
      <c r="G2780" s="4" t="str">
        <f t="shared" si="86"/>
        <v>OK</v>
      </c>
      <c r="H2780" s="4" t="str">
        <f t="shared" si="87"/>
        <v>NON-ZERO</v>
      </c>
      <c r="I2780" s="2">
        <v>1.1756609271814501E-13</v>
      </c>
      <c r="J2780">
        <f>IFERROR(Table4[[#This Row],[energy_kwh]]/Table4[[#This Row],[expected_kwh]],0)</f>
        <v>1.0445812155896976</v>
      </c>
      <c r="K2780" t="str">
        <f>IF(Table4[[#This Row],[Performance_Ratio]] &lt; 0.85, "Underperforming", "Performing")</f>
        <v>Performing</v>
      </c>
      <c r="L2780">
        <f>Table4[[#This Row],[energy_kwh]] - Table4[[#This Row],[expected_kwh]]</f>
        <v>5.2412393255059928E-15</v>
      </c>
      <c r="M2780" t="str">
        <f>IF(Table4[[#This Row],[Performance_Deviation]] &lt; 0, "Underperforming", "Outperforming")</f>
        <v>Outperforming</v>
      </c>
      <c r="N2780">
        <f>IF(Table4[[#This Row],[Performance_Ratio]] &lt; 0.85, Table4[[#This Row],[Performance_Deviation]] * 50 / 1000, 0)</f>
        <v>0</v>
      </c>
    </row>
    <row r="2781" spans="1:14" x14ac:dyDescent="0.3">
      <c r="A2781" s="6" t="s">
        <v>9</v>
      </c>
      <c r="B2781" s="5">
        <v>45314.791666666664</v>
      </c>
      <c r="C2781" s="6">
        <v>0</v>
      </c>
      <c r="D2781" s="6">
        <v>0</v>
      </c>
      <c r="E2781" s="6">
        <v>0</v>
      </c>
      <c r="F2781" s="6">
        <v>73.8678496235963</v>
      </c>
      <c r="G2781" s="6" t="str">
        <f t="shared" si="86"/>
        <v>OK</v>
      </c>
      <c r="H2781" s="6" t="str">
        <f t="shared" si="87"/>
        <v>ZERO</v>
      </c>
      <c r="I2781">
        <v>0</v>
      </c>
      <c r="J2781">
        <f>IFERROR(Table4[[#This Row],[energy_kwh]]/Table4[[#This Row],[expected_kwh]],0)</f>
        <v>0</v>
      </c>
      <c r="K2781" t="str">
        <f>IF(Table4[[#This Row],[Performance_Ratio]] &lt; 0.85, "Underperforming", "Performing")</f>
        <v>Underperforming</v>
      </c>
      <c r="L2781">
        <f>Table4[[#This Row],[energy_kwh]] - Table4[[#This Row],[expected_kwh]]</f>
        <v>0</v>
      </c>
      <c r="M2781" t="str">
        <f>IF(Table4[[#This Row],[Performance_Deviation]] &lt; 0, "Underperforming", "Outperforming")</f>
        <v>Outperforming</v>
      </c>
      <c r="N2781">
        <f>IF(Table4[[#This Row],[Performance_Ratio]] &lt; 0.85, Table4[[#This Row],[Performance_Deviation]] * 50 / 1000, 0)</f>
        <v>0</v>
      </c>
    </row>
    <row r="2782" spans="1:14" x14ac:dyDescent="0.3">
      <c r="A2782" s="4" t="s">
        <v>9</v>
      </c>
      <c r="B2782" s="3">
        <v>45314.833333333336</v>
      </c>
      <c r="C2782" s="4">
        <v>0</v>
      </c>
      <c r="D2782" s="4">
        <v>0</v>
      </c>
      <c r="E2782" s="4">
        <v>0</v>
      </c>
      <c r="F2782" s="4">
        <v>49.846795797182601</v>
      </c>
      <c r="G2782" s="4" t="str">
        <f t="shared" si="86"/>
        <v>OK</v>
      </c>
      <c r="H2782" s="4" t="str">
        <f t="shared" si="87"/>
        <v>ZERO</v>
      </c>
      <c r="I2782">
        <v>0</v>
      </c>
      <c r="J2782">
        <f>IFERROR(Table4[[#This Row],[energy_kwh]]/Table4[[#This Row],[expected_kwh]],0)</f>
        <v>0</v>
      </c>
      <c r="K2782" t="str">
        <f>IF(Table4[[#This Row],[Performance_Ratio]] &lt; 0.85, "Underperforming", "Performing")</f>
        <v>Underperforming</v>
      </c>
      <c r="L2782">
        <f>Table4[[#This Row],[energy_kwh]] - Table4[[#This Row],[expected_kwh]]</f>
        <v>0</v>
      </c>
      <c r="M2782" t="str">
        <f>IF(Table4[[#This Row],[Performance_Deviation]] &lt; 0, "Underperforming", "Outperforming")</f>
        <v>Outperforming</v>
      </c>
      <c r="N2782">
        <f>IF(Table4[[#This Row],[Performance_Ratio]] &lt; 0.85, Table4[[#This Row],[Performance_Deviation]] * 50 / 1000, 0)</f>
        <v>0</v>
      </c>
    </row>
    <row r="2783" spans="1:14" x14ac:dyDescent="0.3">
      <c r="A2783" s="6" t="s">
        <v>9</v>
      </c>
      <c r="B2783" s="5">
        <v>45314.875</v>
      </c>
      <c r="C2783" s="6">
        <v>0</v>
      </c>
      <c r="D2783" s="6">
        <v>0</v>
      </c>
      <c r="E2783" s="6">
        <v>0</v>
      </c>
      <c r="F2783" s="6">
        <v>29.295439569832901</v>
      </c>
      <c r="G2783" s="6" t="str">
        <f t="shared" si="86"/>
        <v>OK</v>
      </c>
      <c r="H2783" s="6" t="str">
        <f t="shared" si="87"/>
        <v>ZERO</v>
      </c>
      <c r="I2783">
        <v>0</v>
      </c>
      <c r="J2783">
        <f>IFERROR(Table4[[#This Row],[energy_kwh]]/Table4[[#This Row],[expected_kwh]],0)</f>
        <v>0</v>
      </c>
      <c r="K2783" t="str">
        <f>IF(Table4[[#This Row],[Performance_Ratio]] &lt; 0.85, "Underperforming", "Performing")</f>
        <v>Underperforming</v>
      </c>
      <c r="L2783">
        <f>Table4[[#This Row],[energy_kwh]] - Table4[[#This Row],[expected_kwh]]</f>
        <v>0</v>
      </c>
      <c r="M2783" t="str">
        <f>IF(Table4[[#This Row],[Performance_Deviation]] &lt; 0, "Underperforming", "Outperforming")</f>
        <v>Outperforming</v>
      </c>
      <c r="N2783">
        <f>IF(Table4[[#This Row],[Performance_Ratio]] &lt; 0.85, Table4[[#This Row],[Performance_Deviation]] * 50 / 1000, 0)</f>
        <v>0</v>
      </c>
    </row>
    <row r="2784" spans="1:14" x14ac:dyDescent="0.3">
      <c r="A2784" s="4" t="s">
        <v>9</v>
      </c>
      <c r="B2784" s="3">
        <v>45314.916666666664</v>
      </c>
      <c r="C2784" s="4">
        <v>0</v>
      </c>
      <c r="D2784" s="4">
        <v>0</v>
      </c>
      <c r="E2784" s="4">
        <v>0</v>
      </c>
      <c r="F2784" s="4">
        <v>87.178938106100105</v>
      </c>
      <c r="G2784" s="4" t="str">
        <f t="shared" si="86"/>
        <v>OK</v>
      </c>
      <c r="H2784" s="4" t="str">
        <f t="shared" si="87"/>
        <v>ZERO</v>
      </c>
      <c r="I2784">
        <v>0</v>
      </c>
      <c r="J2784">
        <f>IFERROR(Table4[[#This Row],[energy_kwh]]/Table4[[#This Row],[expected_kwh]],0)</f>
        <v>0</v>
      </c>
      <c r="K2784" t="str">
        <f>IF(Table4[[#This Row],[Performance_Ratio]] &lt; 0.85, "Underperforming", "Performing")</f>
        <v>Underperforming</v>
      </c>
      <c r="L2784">
        <f>Table4[[#This Row],[energy_kwh]] - Table4[[#This Row],[expected_kwh]]</f>
        <v>0</v>
      </c>
      <c r="M2784" t="str">
        <f>IF(Table4[[#This Row],[Performance_Deviation]] &lt; 0, "Underperforming", "Outperforming")</f>
        <v>Outperforming</v>
      </c>
      <c r="N2784">
        <f>IF(Table4[[#This Row],[Performance_Ratio]] &lt; 0.85, Table4[[#This Row],[Performance_Deviation]] * 50 / 1000, 0)</f>
        <v>0</v>
      </c>
    </row>
    <row r="2785" spans="1:14" x14ac:dyDescent="0.3">
      <c r="A2785" s="6" t="s">
        <v>9</v>
      </c>
      <c r="B2785" s="5">
        <v>45314.958333333336</v>
      </c>
      <c r="C2785" s="6">
        <v>0</v>
      </c>
      <c r="D2785" s="6">
        <v>0</v>
      </c>
      <c r="E2785" s="6">
        <v>0</v>
      </c>
      <c r="F2785" s="6">
        <v>24.878446830285501</v>
      </c>
      <c r="G2785" s="6" t="str">
        <f t="shared" si="86"/>
        <v>OK</v>
      </c>
      <c r="H2785" s="6" t="str">
        <f t="shared" si="87"/>
        <v>ZERO</v>
      </c>
      <c r="I2785">
        <v>0</v>
      </c>
      <c r="J2785">
        <f>IFERROR(Table4[[#This Row],[energy_kwh]]/Table4[[#This Row],[expected_kwh]],0)</f>
        <v>0</v>
      </c>
      <c r="K2785" t="str">
        <f>IF(Table4[[#This Row],[Performance_Ratio]] &lt; 0.85, "Underperforming", "Performing")</f>
        <v>Underperforming</v>
      </c>
      <c r="L2785">
        <f>Table4[[#This Row],[energy_kwh]] - Table4[[#This Row],[expected_kwh]]</f>
        <v>0</v>
      </c>
      <c r="M2785" t="str">
        <f>IF(Table4[[#This Row],[Performance_Deviation]] &lt; 0, "Underperforming", "Outperforming")</f>
        <v>Outperforming</v>
      </c>
      <c r="N2785">
        <f>IF(Table4[[#This Row],[Performance_Ratio]] &lt; 0.85, Table4[[#This Row],[Performance_Deviation]] * 50 / 1000, 0)</f>
        <v>0</v>
      </c>
    </row>
    <row r="2786" spans="1:14" x14ac:dyDescent="0.3">
      <c r="A2786" s="4" t="s">
        <v>9</v>
      </c>
      <c r="B2786" s="3">
        <v>45315</v>
      </c>
      <c r="C2786" s="4">
        <v>0</v>
      </c>
      <c r="D2786" s="4">
        <v>0</v>
      </c>
      <c r="E2786" s="4">
        <v>0</v>
      </c>
      <c r="F2786" s="4">
        <v>55.840797923979302</v>
      </c>
      <c r="G2786" s="4" t="str">
        <f t="shared" si="86"/>
        <v>OK</v>
      </c>
      <c r="H2786" s="4" t="str">
        <f t="shared" si="87"/>
        <v>ZERO</v>
      </c>
      <c r="I2786">
        <v>0</v>
      </c>
      <c r="J2786">
        <f>IFERROR(Table4[[#This Row],[energy_kwh]]/Table4[[#This Row],[expected_kwh]],0)</f>
        <v>0</v>
      </c>
      <c r="K2786" t="str">
        <f>IF(Table4[[#This Row],[Performance_Ratio]] &lt; 0.85, "Underperforming", "Performing")</f>
        <v>Underperforming</v>
      </c>
      <c r="L2786">
        <f>Table4[[#This Row],[energy_kwh]] - Table4[[#This Row],[expected_kwh]]</f>
        <v>0</v>
      </c>
      <c r="M2786" t="str">
        <f>IF(Table4[[#This Row],[Performance_Deviation]] &lt; 0, "Underperforming", "Outperforming")</f>
        <v>Outperforming</v>
      </c>
      <c r="N2786">
        <f>IF(Table4[[#This Row],[Performance_Ratio]] &lt; 0.85, Table4[[#This Row],[Performance_Deviation]] * 50 / 1000, 0)</f>
        <v>0</v>
      </c>
    </row>
    <row r="2787" spans="1:14" x14ac:dyDescent="0.3">
      <c r="A2787" s="6" t="s">
        <v>9</v>
      </c>
      <c r="B2787" s="5">
        <v>45315.041666666664</v>
      </c>
      <c r="C2787" s="6">
        <v>0</v>
      </c>
      <c r="D2787" s="6">
        <v>0</v>
      </c>
      <c r="E2787" s="6">
        <v>0</v>
      </c>
      <c r="F2787" s="6">
        <v>89.491783635637802</v>
      </c>
      <c r="G2787" s="6" t="str">
        <f t="shared" si="86"/>
        <v>OK</v>
      </c>
      <c r="H2787" s="6" t="str">
        <f t="shared" si="87"/>
        <v>ZERO</v>
      </c>
      <c r="I2787">
        <v>0</v>
      </c>
      <c r="J2787">
        <f>IFERROR(Table4[[#This Row],[energy_kwh]]/Table4[[#This Row],[expected_kwh]],0)</f>
        <v>0</v>
      </c>
      <c r="K2787" t="str">
        <f>IF(Table4[[#This Row],[Performance_Ratio]] &lt; 0.85, "Underperforming", "Performing")</f>
        <v>Underperforming</v>
      </c>
      <c r="L2787">
        <f>Table4[[#This Row],[energy_kwh]] - Table4[[#This Row],[expected_kwh]]</f>
        <v>0</v>
      </c>
      <c r="M2787" t="str">
        <f>IF(Table4[[#This Row],[Performance_Deviation]] &lt; 0, "Underperforming", "Outperforming")</f>
        <v>Outperforming</v>
      </c>
      <c r="N2787">
        <f>IF(Table4[[#This Row],[Performance_Ratio]] &lt; 0.85, Table4[[#This Row],[Performance_Deviation]] * 50 / 1000, 0)</f>
        <v>0</v>
      </c>
    </row>
    <row r="2788" spans="1:14" x14ac:dyDescent="0.3">
      <c r="A2788" s="4" t="s">
        <v>9</v>
      </c>
      <c r="B2788" s="3">
        <v>45315.083333333336</v>
      </c>
      <c r="C2788" s="4">
        <v>0</v>
      </c>
      <c r="D2788" s="4">
        <v>0</v>
      </c>
      <c r="E2788" s="4">
        <v>0</v>
      </c>
      <c r="F2788" s="4">
        <v>94.1888123274572</v>
      </c>
      <c r="G2788" s="4" t="str">
        <f t="shared" si="86"/>
        <v>OK</v>
      </c>
      <c r="H2788" s="4" t="str">
        <f t="shared" si="87"/>
        <v>ZERO</v>
      </c>
      <c r="I2788">
        <v>0</v>
      </c>
      <c r="J2788">
        <f>IFERROR(Table4[[#This Row],[energy_kwh]]/Table4[[#This Row],[expected_kwh]],0)</f>
        <v>0</v>
      </c>
      <c r="K2788" t="str">
        <f>IF(Table4[[#This Row],[Performance_Ratio]] &lt; 0.85, "Underperforming", "Performing")</f>
        <v>Underperforming</v>
      </c>
      <c r="L2788">
        <f>Table4[[#This Row],[energy_kwh]] - Table4[[#This Row],[expected_kwh]]</f>
        <v>0</v>
      </c>
      <c r="M2788" t="str">
        <f>IF(Table4[[#This Row],[Performance_Deviation]] &lt; 0, "Underperforming", "Outperforming")</f>
        <v>Outperforming</v>
      </c>
      <c r="N2788">
        <f>IF(Table4[[#This Row],[Performance_Ratio]] &lt; 0.85, Table4[[#This Row],[Performance_Deviation]] * 50 / 1000, 0)</f>
        <v>0</v>
      </c>
    </row>
    <row r="2789" spans="1:14" x14ac:dyDescent="0.3">
      <c r="A2789" s="6" t="s">
        <v>9</v>
      </c>
      <c r="B2789" s="5">
        <v>45315.125</v>
      </c>
      <c r="C2789" s="6">
        <v>0</v>
      </c>
      <c r="D2789" s="6">
        <v>0</v>
      </c>
      <c r="E2789" s="6">
        <v>0</v>
      </c>
      <c r="F2789" s="6">
        <v>38.351464109245399</v>
      </c>
      <c r="G2789" s="6" t="str">
        <f t="shared" si="86"/>
        <v>OK</v>
      </c>
      <c r="H2789" s="6" t="str">
        <f t="shared" si="87"/>
        <v>ZERO</v>
      </c>
      <c r="I2789">
        <v>0</v>
      </c>
      <c r="J2789">
        <f>IFERROR(Table4[[#This Row],[energy_kwh]]/Table4[[#This Row],[expected_kwh]],0)</f>
        <v>0</v>
      </c>
      <c r="K2789" t="str">
        <f>IF(Table4[[#This Row],[Performance_Ratio]] &lt; 0.85, "Underperforming", "Performing")</f>
        <v>Underperforming</v>
      </c>
      <c r="L2789">
        <f>Table4[[#This Row],[energy_kwh]] - Table4[[#This Row],[expected_kwh]]</f>
        <v>0</v>
      </c>
      <c r="M2789" t="str">
        <f>IF(Table4[[#This Row],[Performance_Deviation]] &lt; 0, "Underperforming", "Outperforming")</f>
        <v>Outperforming</v>
      </c>
      <c r="N2789">
        <f>IF(Table4[[#This Row],[Performance_Ratio]] &lt; 0.85, Table4[[#This Row],[Performance_Deviation]] * 50 / 1000, 0)</f>
        <v>0</v>
      </c>
    </row>
    <row r="2790" spans="1:14" x14ac:dyDescent="0.3">
      <c r="A2790" s="4" t="s">
        <v>9</v>
      </c>
      <c r="B2790" s="3">
        <v>45315.166666666664</v>
      </c>
      <c r="C2790" s="4">
        <v>0</v>
      </c>
      <c r="D2790" s="4">
        <v>0</v>
      </c>
      <c r="E2790" s="4">
        <v>0</v>
      </c>
      <c r="F2790" s="4">
        <v>93.456538525819894</v>
      </c>
      <c r="G2790" s="4" t="str">
        <f t="shared" si="86"/>
        <v>OK</v>
      </c>
      <c r="H2790" s="4" t="str">
        <f t="shared" si="87"/>
        <v>ZERO</v>
      </c>
      <c r="I2790">
        <v>0</v>
      </c>
      <c r="J2790">
        <f>IFERROR(Table4[[#This Row],[energy_kwh]]/Table4[[#This Row],[expected_kwh]],0)</f>
        <v>0</v>
      </c>
      <c r="K2790" t="str">
        <f>IF(Table4[[#This Row],[Performance_Ratio]] &lt; 0.85, "Underperforming", "Performing")</f>
        <v>Underperforming</v>
      </c>
      <c r="L2790">
        <f>Table4[[#This Row],[energy_kwh]] - Table4[[#This Row],[expected_kwh]]</f>
        <v>0</v>
      </c>
      <c r="M2790" t="str">
        <f>IF(Table4[[#This Row],[Performance_Deviation]] &lt; 0, "Underperforming", "Outperforming")</f>
        <v>Outperforming</v>
      </c>
      <c r="N2790">
        <f>IF(Table4[[#This Row],[Performance_Ratio]] &lt; 0.85, Table4[[#This Row],[Performance_Deviation]] * 50 / 1000, 0)</f>
        <v>0</v>
      </c>
    </row>
    <row r="2791" spans="1:14" x14ac:dyDescent="0.3">
      <c r="A2791" s="6" t="s">
        <v>9</v>
      </c>
      <c r="B2791" s="5">
        <v>45315.208333333336</v>
      </c>
      <c r="C2791" s="6">
        <v>0</v>
      </c>
      <c r="D2791" s="6">
        <v>0</v>
      </c>
      <c r="E2791" s="6">
        <v>0</v>
      </c>
      <c r="F2791" s="6">
        <v>20.309536600595202</v>
      </c>
      <c r="G2791" s="6" t="str">
        <f t="shared" si="86"/>
        <v>OK</v>
      </c>
      <c r="H2791" s="6" t="str">
        <f t="shared" si="87"/>
        <v>ZERO</v>
      </c>
      <c r="I2791">
        <v>0</v>
      </c>
      <c r="J2791">
        <f>IFERROR(Table4[[#This Row],[energy_kwh]]/Table4[[#This Row],[expected_kwh]],0)</f>
        <v>0</v>
      </c>
      <c r="K2791" t="str">
        <f>IF(Table4[[#This Row],[Performance_Ratio]] &lt; 0.85, "Underperforming", "Performing")</f>
        <v>Underperforming</v>
      </c>
      <c r="L2791">
        <f>Table4[[#This Row],[energy_kwh]] - Table4[[#This Row],[expected_kwh]]</f>
        <v>0</v>
      </c>
      <c r="M2791" t="str">
        <f>IF(Table4[[#This Row],[Performance_Deviation]] &lt; 0, "Underperforming", "Outperforming")</f>
        <v>Outperforming</v>
      </c>
      <c r="N2791">
        <f>IF(Table4[[#This Row],[Performance_Ratio]] &lt; 0.85, Table4[[#This Row],[Performance_Deviation]] * 50 / 1000, 0)</f>
        <v>0</v>
      </c>
    </row>
    <row r="2792" spans="1:14" x14ac:dyDescent="0.3">
      <c r="A2792" s="4" t="s">
        <v>9</v>
      </c>
      <c r="B2792" s="3">
        <v>45315.25</v>
      </c>
      <c r="C2792" s="4">
        <v>0</v>
      </c>
      <c r="D2792" s="4">
        <v>0</v>
      </c>
      <c r="E2792" s="4">
        <v>0</v>
      </c>
      <c r="F2792" s="4">
        <v>62.417324417596497</v>
      </c>
      <c r="G2792" s="4" t="str">
        <f t="shared" si="86"/>
        <v>OK</v>
      </c>
      <c r="H2792" s="4" t="str">
        <f t="shared" si="87"/>
        <v>ZERO</v>
      </c>
      <c r="I2792">
        <v>0</v>
      </c>
      <c r="J2792">
        <f>IFERROR(Table4[[#This Row],[energy_kwh]]/Table4[[#This Row],[expected_kwh]],0)</f>
        <v>0</v>
      </c>
      <c r="K2792" t="str">
        <f>IF(Table4[[#This Row],[Performance_Ratio]] &lt; 0.85, "Underperforming", "Performing")</f>
        <v>Underperforming</v>
      </c>
      <c r="L2792">
        <f>Table4[[#This Row],[energy_kwh]] - Table4[[#This Row],[expected_kwh]]</f>
        <v>0</v>
      </c>
      <c r="M2792" t="str">
        <f>IF(Table4[[#This Row],[Performance_Deviation]] &lt; 0, "Underperforming", "Outperforming")</f>
        <v>Outperforming</v>
      </c>
      <c r="N2792">
        <f>IF(Table4[[#This Row],[Performance_Ratio]] &lt; 0.85, Table4[[#This Row],[Performance_Deviation]] * 50 / 1000, 0)</f>
        <v>0</v>
      </c>
    </row>
    <row r="2793" spans="1:14" x14ac:dyDescent="0.3">
      <c r="A2793" s="6" t="s">
        <v>9</v>
      </c>
      <c r="B2793" s="5">
        <v>45315.291666666664</v>
      </c>
      <c r="C2793" s="6">
        <v>229.06655047503199</v>
      </c>
      <c r="D2793" s="6">
        <v>220.807862802036</v>
      </c>
      <c r="E2793" s="6">
        <v>220.807862802036</v>
      </c>
      <c r="F2793" s="6">
        <v>49.103695254381002</v>
      </c>
      <c r="G2793" s="6" t="str">
        <f t="shared" si="86"/>
        <v>OK</v>
      </c>
      <c r="H2793" s="6" t="str">
        <f t="shared" si="87"/>
        <v>NON-ZERO</v>
      </c>
      <c r="I2793">
        <v>248.466283298419</v>
      </c>
      <c r="J2793">
        <f>IFERROR(Table4[[#This Row],[energy_kwh]]/Table4[[#This Row],[expected_kwh]],0)</f>
        <v>0.88868340553408598</v>
      </c>
      <c r="K2793" t="str">
        <f>IF(Table4[[#This Row],[Performance_Ratio]] &lt; 0.85, "Underperforming", "Performing")</f>
        <v>Performing</v>
      </c>
      <c r="L2793">
        <f>Table4[[#This Row],[energy_kwh]] - Table4[[#This Row],[expected_kwh]]</f>
        <v>-27.658420496383002</v>
      </c>
      <c r="M2793" t="str">
        <f>IF(Table4[[#This Row],[Performance_Deviation]] &lt; 0, "Underperforming", "Outperforming")</f>
        <v>Underperforming</v>
      </c>
      <c r="N2793">
        <f>IF(Table4[[#This Row],[Performance_Ratio]] &lt; 0.85, Table4[[#This Row],[Performance_Deviation]] * 50 / 1000, 0)</f>
        <v>0</v>
      </c>
    </row>
    <row r="2794" spans="1:14" x14ac:dyDescent="0.3">
      <c r="A2794" s="4" t="s">
        <v>9</v>
      </c>
      <c r="B2794" s="3">
        <v>45315.333333333336</v>
      </c>
      <c r="C2794" s="4">
        <v>473.87269079799302</v>
      </c>
      <c r="D2794" s="4">
        <v>456.78784562113299</v>
      </c>
      <c r="E2794" s="4">
        <v>456.78784562113299</v>
      </c>
      <c r="F2794" s="4">
        <v>56.325717670409297</v>
      </c>
      <c r="G2794" s="4" t="str">
        <f t="shared" si="86"/>
        <v>OK</v>
      </c>
      <c r="H2794" s="4" t="str">
        <f t="shared" si="87"/>
        <v>NON-ZERO</v>
      </c>
      <c r="I2794">
        <v>479.99999999999898</v>
      </c>
      <c r="J2794">
        <f>IFERROR(Table4[[#This Row],[energy_kwh]]/Table4[[#This Row],[expected_kwh]],0)</f>
        <v>0.95164134504402909</v>
      </c>
      <c r="K2794" t="str">
        <f>IF(Table4[[#This Row],[Performance_Ratio]] &lt; 0.85, "Underperforming", "Performing")</f>
        <v>Performing</v>
      </c>
      <c r="L2794">
        <f>Table4[[#This Row],[energy_kwh]] - Table4[[#This Row],[expected_kwh]]</f>
        <v>-23.212154378865989</v>
      </c>
      <c r="M2794" t="str">
        <f>IF(Table4[[#This Row],[Performance_Deviation]] &lt; 0, "Underperforming", "Outperforming")</f>
        <v>Underperforming</v>
      </c>
      <c r="N2794">
        <f>IF(Table4[[#This Row],[Performance_Ratio]] &lt; 0.85, Table4[[#This Row],[Performance_Deviation]] * 50 / 1000, 0)</f>
        <v>0</v>
      </c>
    </row>
    <row r="2795" spans="1:14" x14ac:dyDescent="0.3">
      <c r="A2795" s="6" t="s">
        <v>9</v>
      </c>
      <c r="B2795" s="5">
        <v>45315.375</v>
      </c>
      <c r="C2795" s="6">
        <v>617.68767589516699</v>
      </c>
      <c r="D2795" s="6">
        <v>595.41777405180096</v>
      </c>
      <c r="E2795" s="6">
        <v>595.41777405180096</v>
      </c>
      <c r="F2795" s="6">
        <v>37.970737402115397</v>
      </c>
      <c r="G2795" s="6" t="str">
        <f t="shared" si="86"/>
        <v>OK</v>
      </c>
      <c r="H2795" s="6" t="str">
        <f t="shared" si="87"/>
        <v>NON-ZERO</v>
      </c>
      <c r="I2795">
        <v>678.82250993908497</v>
      </c>
      <c r="J2795">
        <f>IFERROR(Table4[[#This Row],[energy_kwh]]/Table4[[#This Row],[expected_kwh]],0)</f>
        <v>0.8771332201479759</v>
      </c>
      <c r="K2795" t="str">
        <f>IF(Table4[[#This Row],[Performance_Ratio]] &lt; 0.85, "Underperforming", "Performing")</f>
        <v>Performing</v>
      </c>
      <c r="L2795">
        <f>Table4[[#This Row],[energy_kwh]] - Table4[[#This Row],[expected_kwh]]</f>
        <v>-83.404735887284005</v>
      </c>
      <c r="M2795" t="str">
        <f>IF(Table4[[#This Row],[Performance_Deviation]] &lt; 0, "Underperforming", "Outperforming")</f>
        <v>Underperforming</v>
      </c>
      <c r="N2795">
        <f>IF(Table4[[#This Row],[Performance_Ratio]] &lt; 0.85, Table4[[#This Row],[Performance_Deviation]] * 50 / 1000, 0)</f>
        <v>0</v>
      </c>
    </row>
    <row r="2796" spans="1:14" x14ac:dyDescent="0.3">
      <c r="A2796" s="4" t="s">
        <v>9</v>
      </c>
      <c r="B2796" s="3">
        <v>45315.416666666664</v>
      </c>
      <c r="C2796" s="4">
        <v>760.34812093379105</v>
      </c>
      <c r="D2796" s="4">
        <v>732.93478781937495</v>
      </c>
      <c r="E2796" s="4">
        <v>732.93478781937495</v>
      </c>
      <c r="F2796" s="4">
        <v>74.138987039983405</v>
      </c>
      <c r="G2796" s="4" t="str">
        <f t="shared" si="86"/>
        <v>OK</v>
      </c>
      <c r="H2796" s="4" t="str">
        <f t="shared" si="87"/>
        <v>NON-ZERO</v>
      </c>
      <c r="I2796">
        <v>831.38438763306101</v>
      </c>
      <c r="J2796">
        <f>IFERROR(Table4[[#This Row],[energy_kwh]]/Table4[[#This Row],[expected_kwh]],0)</f>
        <v>0.88158353551241131</v>
      </c>
      <c r="K2796" t="str">
        <f>IF(Table4[[#This Row],[Performance_Ratio]] &lt; 0.85, "Underperforming", "Performing")</f>
        <v>Performing</v>
      </c>
      <c r="L2796">
        <f>Table4[[#This Row],[energy_kwh]] - Table4[[#This Row],[expected_kwh]]</f>
        <v>-98.449599813686063</v>
      </c>
      <c r="M2796" t="str">
        <f>IF(Table4[[#This Row],[Performance_Deviation]] &lt; 0, "Underperforming", "Outperforming")</f>
        <v>Underperforming</v>
      </c>
      <c r="N2796">
        <f>IF(Table4[[#This Row],[Performance_Ratio]] &lt; 0.85, Table4[[#This Row],[Performance_Deviation]] * 50 / 1000, 0)</f>
        <v>0</v>
      </c>
    </row>
    <row r="2797" spans="1:14" x14ac:dyDescent="0.3">
      <c r="A2797" s="6" t="s">
        <v>9</v>
      </c>
      <c r="B2797" s="5">
        <v>45315.458333333336</v>
      </c>
      <c r="C2797" s="6">
        <v>945.54994845408498</v>
      </c>
      <c r="D2797" s="6">
        <v>911.45941150180397</v>
      </c>
      <c r="E2797" s="6">
        <v>911.45941150180397</v>
      </c>
      <c r="F2797" s="6">
        <v>23.696899926785299</v>
      </c>
      <c r="G2797" s="6" t="str">
        <f t="shared" si="86"/>
        <v>OK</v>
      </c>
      <c r="H2797" s="6" t="str">
        <f t="shared" si="87"/>
        <v>NON-ZERO</v>
      </c>
      <c r="I2797">
        <v>927.28879323750505</v>
      </c>
      <c r="J2797">
        <f>IFERROR(Table4[[#This Row],[energy_kwh]]/Table4[[#This Row],[expected_kwh]],0)</f>
        <v>0.98292939389417733</v>
      </c>
      <c r="K2797" t="str">
        <f>IF(Table4[[#This Row],[Performance_Ratio]] &lt; 0.85, "Underperforming", "Performing")</f>
        <v>Performing</v>
      </c>
      <c r="L2797">
        <f>Table4[[#This Row],[energy_kwh]] - Table4[[#This Row],[expected_kwh]]</f>
        <v>-15.829381735701077</v>
      </c>
      <c r="M2797" t="str">
        <f>IF(Table4[[#This Row],[Performance_Deviation]] &lt; 0, "Underperforming", "Outperforming")</f>
        <v>Underperforming</v>
      </c>
      <c r="N2797">
        <f>IF(Table4[[#This Row],[Performance_Ratio]] &lt; 0.85, Table4[[#This Row],[Performance_Deviation]] * 50 / 1000, 0)</f>
        <v>0</v>
      </c>
    </row>
    <row r="2798" spans="1:14" x14ac:dyDescent="0.3">
      <c r="A2798" s="4" t="s">
        <v>9</v>
      </c>
      <c r="B2798" s="3">
        <v>45315.5</v>
      </c>
      <c r="C2798" s="4">
        <v>971.336673007032</v>
      </c>
      <c r="D2798" s="4">
        <v>936.31643023890501</v>
      </c>
      <c r="E2798" s="4">
        <v>936.31643023890501</v>
      </c>
      <c r="F2798" s="4">
        <v>91.551185308938997</v>
      </c>
      <c r="G2798" s="4" t="str">
        <f t="shared" si="86"/>
        <v>OK</v>
      </c>
      <c r="H2798" s="4" t="str">
        <f t="shared" si="87"/>
        <v>NON-ZERO</v>
      </c>
      <c r="I2798">
        <v>960</v>
      </c>
      <c r="J2798">
        <f>IFERROR(Table4[[#This Row],[energy_kwh]]/Table4[[#This Row],[expected_kwh]],0)</f>
        <v>0.97532961483219272</v>
      </c>
      <c r="K2798" t="str">
        <f>IF(Table4[[#This Row],[Performance_Ratio]] &lt; 0.85, "Underperforming", "Performing")</f>
        <v>Performing</v>
      </c>
      <c r="L2798">
        <f>Table4[[#This Row],[energy_kwh]] - Table4[[#This Row],[expected_kwh]]</f>
        <v>-23.683569761094986</v>
      </c>
      <c r="M2798" t="str">
        <f>IF(Table4[[#This Row],[Performance_Deviation]] &lt; 0, "Underperforming", "Outperforming")</f>
        <v>Underperforming</v>
      </c>
      <c r="N2798">
        <f>IF(Table4[[#This Row],[Performance_Ratio]] &lt; 0.85, Table4[[#This Row],[Performance_Deviation]] * 50 / 1000, 0)</f>
        <v>0</v>
      </c>
    </row>
    <row r="2799" spans="1:14" x14ac:dyDescent="0.3">
      <c r="A2799" s="6" t="s">
        <v>9</v>
      </c>
      <c r="B2799" s="5">
        <v>45315.541666666664</v>
      </c>
      <c r="C2799" s="6">
        <v>914.45418268538401</v>
      </c>
      <c r="D2799" s="6">
        <v>881.48476191922396</v>
      </c>
      <c r="E2799" s="6">
        <v>881.48476191922396</v>
      </c>
      <c r="F2799" s="6">
        <v>92.585910274364196</v>
      </c>
      <c r="G2799" s="6" t="str">
        <f t="shared" si="86"/>
        <v>OK</v>
      </c>
      <c r="H2799" s="6" t="str">
        <f t="shared" si="87"/>
        <v>NON-ZERO</v>
      </c>
      <c r="I2799">
        <v>927.28879323750505</v>
      </c>
      <c r="J2799">
        <f>IFERROR(Table4[[#This Row],[energy_kwh]]/Table4[[#This Row],[expected_kwh]],0)</f>
        <v>0.95060435146815214</v>
      </c>
      <c r="K2799" t="str">
        <f>IF(Table4[[#This Row],[Performance_Ratio]] &lt; 0.85, "Underperforming", "Performing")</f>
        <v>Performing</v>
      </c>
      <c r="L2799">
        <f>Table4[[#This Row],[energy_kwh]] - Table4[[#This Row],[expected_kwh]]</f>
        <v>-45.804031318281091</v>
      </c>
      <c r="M2799" t="str">
        <f>IF(Table4[[#This Row],[Performance_Deviation]] &lt; 0, "Underperforming", "Outperforming")</f>
        <v>Underperforming</v>
      </c>
      <c r="N2799">
        <f>IF(Table4[[#This Row],[Performance_Ratio]] &lt; 0.85, Table4[[#This Row],[Performance_Deviation]] * 50 / 1000, 0)</f>
        <v>0</v>
      </c>
    </row>
    <row r="2800" spans="1:14" x14ac:dyDescent="0.3">
      <c r="A2800" s="4" t="s">
        <v>9</v>
      </c>
      <c r="B2800" s="3">
        <v>45315.583333333336</v>
      </c>
      <c r="C2800" s="4">
        <v>762.78433790109295</v>
      </c>
      <c r="D2800" s="4">
        <v>735.28317024691205</v>
      </c>
      <c r="E2800" s="4">
        <v>735.28317024691205</v>
      </c>
      <c r="F2800" s="4">
        <v>53.976106278514102</v>
      </c>
      <c r="G2800" s="4" t="str">
        <f t="shared" si="86"/>
        <v>OK</v>
      </c>
      <c r="H2800" s="4" t="str">
        <f t="shared" si="87"/>
        <v>NON-ZERO</v>
      </c>
      <c r="I2800">
        <v>831.38438763306101</v>
      </c>
      <c r="J2800">
        <f>IFERROR(Table4[[#This Row],[energy_kwh]]/Table4[[#This Row],[expected_kwh]],0)</f>
        <v>0.8844082005680336</v>
      </c>
      <c r="K2800" t="str">
        <f>IF(Table4[[#This Row],[Performance_Ratio]] &lt; 0.85, "Underperforming", "Performing")</f>
        <v>Performing</v>
      </c>
      <c r="L2800">
        <f>Table4[[#This Row],[energy_kwh]] - Table4[[#This Row],[expected_kwh]]</f>
        <v>-96.10121738614896</v>
      </c>
      <c r="M2800" t="str">
        <f>IF(Table4[[#This Row],[Performance_Deviation]] &lt; 0, "Underperforming", "Outperforming")</f>
        <v>Underperforming</v>
      </c>
      <c r="N2800">
        <f>IF(Table4[[#This Row],[Performance_Ratio]] &lt; 0.85, Table4[[#This Row],[Performance_Deviation]] * 50 / 1000, 0)</f>
        <v>0</v>
      </c>
    </row>
    <row r="2801" spans="1:14" x14ac:dyDescent="0.3">
      <c r="A2801" s="6" t="s">
        <v>9</v>
      </c>
      <c r="B2801" s="5">
        <v>45315.625</v>
      </c>
      <c r="C2801" s="6">
        <v>685.156346370851</v>
      </c>
      <c r="D2801" s="6">
        <v>660.45395197885398</v>
      </c>
      <c r="E2801" s="6">
        <v>660.45395197885398</v>
      </c>
      <c r="F2801" s="6">
        <v>39.330504598363802</v>
      </c>
      <c r="G2801" s="6" t="str">
        <f t="shared" si="86"/>
        <v>OK</v>
      </c>
      <c r="H2801" s="6" t="str">
        <f t="shared" si="87"/>
        <v>NON-ZERO</v>
      </c>
      <c r="I2801">
        <v>678.82250993908497</v>
      </c>
      <c r="J2801">
        <f>IFERROR(Table4[[#This Row],[energy_kwh]]/Table4[[#This Row],[expected_kwh]],0)</f>
        <v>0.97294055855354689</v>
      </c>
      <c r="K2801" t="str">
        <f>IF(Table4[[#This Row],[Performance_Ratio]] &lt; 0.85, "Underperforming", "Performing")</f>
        <v>Performing</v>
      </c>
      <c r="L2801">
        <f>Table4[[#This Row],[energy_kwh]] - Table4[[#This Row],[expected_kwh]]</f>
        <v>-18.368557960230987</v>
      </c>
      <c r="M2801" t="str">
        <f>IF(Table4[[#This Row],[Performance_Deviation]] &lt; 0, "Underperforming", "Outperforming")</f>
        <v>Underperforming</v>
      </c>
      <c r="N2801">
        <f>IF(Table4[[#This Row],[Performance_Ratio]] &lt; 0.85, Table4[[#This Row],[Performance_Deviation]] * 50 / 1000, 0)</f>
        <v>0</v>
      </c>
    </row>
    <row r="2802" spans="1:14" x14ac:dyDescent="0.3">
      <c r="A2802" s="4" t="s">
        <v>9</v>
      </c>
      <c r="B2802" s="3">
        <v>45315.666666666664</v>
      </c>
      <c r="C2802" s="4">
        <v>443.58938240401</v>
      </c>
      <c r="D2802" s="4">
        <v>427.59636135080501</v>
      </c>
      <c r="E2802" s="4">
        <v>427.59636135080501</v>
      </c>
      <c r="F2802" s="4">
        <v>66.694534742201697</v>
      </c>
      <c r="G2802" s="4" t="str">
        <f t="shared" si="86"/>
        <v>OK</v>
      </c>
      <c r="H2802" s="4" t="str">
        <f t="shared" si="87"/>
        <v>NON-ZERO</v>
      </c>
      <c r="I2802">
        <v>479.99999999999898</v>
      </c>
      <c r="J2802">
        <f>IFERROR(Table4[[#This Row],[energy_kwh]]/Table4[[#This Row],[expected_kwh]],0)</f>
        <v>0.89082575281417897</v>
      </c>
      <c r="K2802" t="str">
        <f>IF(Table4[[#This Row],[Performance_Ratio]] &lt; 0.85, "Underperforming", "Performing")</f>
        <v>Performing</v>
      </c>
      <c r="L2802">
        <f>Table4[[#This Row],[energy_kwh]] - Table4[[#This Row],[expected_kwh]]</f>
        <v>-52.403638649193965</v>
      </c>
      <c r="M2802" t="str">
        <f>IF(Table4[[#This Row],[Performance_Deviation]] &lt; 0, "Underperforming", "Outperforming")</f>
        <v>Underperforming</v>
      </c>
      <c r="N2802">
        <f>IF(Table4[[#This Row],[Performance_Ratio]] &lt; 0.85, Table4[[#This Row],[Performance_Deviation]] * 50 / 1000, 0)</f>
        <v>0</v>
      </c>
    </row>
    <row r="2803" spans="1:14" x14ac:dyDescent="0.3">
      <c r="A2803" s="6" t="s">
        <v>9</v>
      </c>
      <c r="B2803" s="5">
        <v>45315.708333333336</v>
      </c>
      <c r="C2803" s="6">
        <v>240.036933461031</v>
      </c>
      <c r="D2803" s="6">
        <v>231.382723322852</v>
      </c>
      <c r="E2803" s="6">
        <v>231.382723322852</v>
      </c>
      <c r="F2803" s="6">
        <v>53.565667659970501</v>
      </c>
      <c r="G2803" s="6" t="str">
        <f t="shared" si="86"/>
        <v>OK</v>
      </c>
      <c r="H2803" s="6" t="str">
        <f t="shared" si="87"/>
        <v>NON-ZERO</v>
      </c>
      <c r="I2803">
        <v>248.46628329842</v>
      </c>
      <c r="J2803">
        <f>IFERROR(Table4[[#This Row],[energy_kwh]]/Table4[[#This Row],[expected_kwh]],0)</f>
        <v>0.93124395089433598</v>
      </c>
      <c r="K2803" t="str">
        <f>IF(Table4[[#This Row],[Performance_Ratio]] &lt; 0.85, "Underperforming", "Performing")</f>
        <v>Performing</v>
      </c>
      <c r="L2803">
        <f>Table4[[#This Row],[energy_kwh]] - Table4[[#This Row],[expected_kwh]]</f>
        <v>-17.083559975567994</v>
      </c>
      <c r="M2803" t="str">
        <f>IF(Table4[[#This Row],[Performance_Deviation]] &lt; 0, "Underperforming", "Outperforming")</f>
        <v>Underperforming</v>
      </c>
      <c r="N2803">
        <f>IF(Table4[[#This Row],[Performance_Ratio]] &lt; 0.85, Table4[[#This Row],[Performance_Deviation]] * 50 / 1000, 0)</f>
        <v>0</v>
      </c>
    </row>
    <row r="2804" spans="1:14" x14ac:dyDescent="0.3">
      <c r="A2804" s="4" t="s">
        <v>9</v>
      </c>
      <c r="B2804" s="3">
        <v>45315.75</v>
      </c>
      <c r="C2804" s="7">
        <v>1.11153580537284E-13</v>
      </c>
      <c r="D2804" s="7">
        <v>1.07146087066548E-13</v>
      </c>
      <c r="E2804" s="7">
        <v>1.07146087066548E-13</v>
      </c>
      <c r="F2804" s="4">
        <v>20.2808821033463</v>
      </c>
      <c r="G2804" s="4" t="str">
        <f t="shared" si="86"/>
        <v>OK</v>
      </c>
      <c r="H2804" s="4" t="str">
        <f t="shared" si="87"/>
        <v>NON-ZERO</v>
      </c>
      <c r="I2804" s="2">
        <v>1.1756609271814501E-13</v>
      </c>
      <c r="J2804">
        <f>IFERROR(Table4[[#This Row],[energy_kwh]]/Table4[[#This Row],[expected_kwh]],0)</f>
        <v>0.91136895502193715</v>
      </c>
      <c r="K2804" t="str">
        <f>IF(Table4[[#This Row],[Performance_Ratio]] &lt; 0.85, "Underperforming", "Performing")</f>
        <v>Performing</v>
      </c>
      <c r="L2804">
        <f>Table4[[#This Row],[energy_kwh]] - Table4[[#This Row],[expected_kwh]]</f>
        <v>-1.0420005651597013E-14</v>
      </c>
      <c r="M2804" t="str">
        <f>IF(Table4[[#This Row],[Performance_Deviation]] &lt; 0, "Underperforming", "Outperforming")</f>
        <v>Underperforming</v>
      </c>
      <c r="N2804">
        <f>IF(Table4[[#This Row],[Performance_Ratio]] &lt; 0.85, Table4[[#This Row],[Performance_Deviation]] * 50 / 1000, 0)</f>
        <v>0</v>
      </c>
    </row>
    <row r="2805" spans="1:14" x14ac:dyDescent="0.3">
      <c r="A2805" s="6" t="s">
        <v>9</v>
      </c>
      <c r="B2805" s="5">
        <v>45315.791666666664</v>
      </c>
      <c r="C2805" s="6">
        <v>0</v>
      </c>
      <c r="D2805" s="6">
        <v>0</v>
      </c>
      <c r="E2805" s="6">
        <v>0</v>
      </c>
      <c r="F2805" s="6">
        <v>49.379582272338297</v>
      </c>
      <c r="G2805" s="6" t="str">
        <f t="shared" si="86"/>
        <v>OK</v>
      </c>
      <c r="H2805" s="6" t="str">
        <f t="shared" si="87"/>
        <v>ZERO</v>
      </c>
      <c r="I2805">
        <v>0</v>
      </c>
      <c r="J2805">
        <f>IFERROR(Table4[[#This Row],[energy_kwh]]/Table4[[#This Row],[expected_kwh]],0)</f>
        <v>0</v>
      </c>
      <c r="K2805" t="str">
        <f>IF(Table4[[#This Row],[Performance_Ratio]] &lt; 0.85, "Underperforming", "Performing")</f>
        <v>Underperforming</v>
      </c>
      <c r="L2805">
        <f>Table4[[#This Row],[energy_kwh]] - Table4[[#This Row],[expected_kwh]]</f>
        <v>0</v>
      </c>
      <c r="M2805" t="str">
        <f>IF(Table4[[#This Row],[Performance_Deviation]] &lt; 0, "Underperforming", "Outperforming")</f>
        <v>Outperforming</v>
      </c>
      <c r="N2805">
        <f>IF(Table4[[#This Row],[Performance_Ratio]] &lt; 0.85, Table4[[#This Row],[Performance_Deviation]] * 50 / 1000, 0)</f>
        <v>0</v>
      </c>
    </row>
    <row r="2806" spans="1:14" x14ac:dyDescent="0.3">
      <c r="A2806" s="4" t="s">
        <v>9</v>
      </c>
      <c r="B2806" s="3">
        <v>45315.833333333336</v>
      </c>
      <c r="C2806" s="4">
        <v>0</v>
      </c>
      <c r="D2806" s="4">
        <v>0</v>
      </c>
      <c r="E2806" s="4">
        <v>0</v>
      </c>
      <c r="F2806" s="4">
        <v>91.009337921121499</v>
      </c>
      <c r="G2806" s="4" t="str">
        <f t="shared" si="86"/>
        <v>OK</v>
      </c>
      <c r="H2806" s="4" t="str">
        <f t="shared" si="87"/>
        <v>ZERO</v>
      </c>
      <c r="I2806">
        <v>0</v>
      </c>
      <c r="J2806">
        <f>IFERROR(Table4[[#This Row],[energy_kwh]]/Table4[[#This Row],[expected_kwh]],0)</f>
        <v>0</v>
      </c>
      <c r="K2806" t="str">
        <f>IF(Table4[[#This Row],[Performance_Ratio]] &lt; 0.85, "Underperforming", "Performing")</f>
        <v>Underperforming</v>
      </c>
      <c r="L2806">
        <f>Table4[[#This Row],[energy_kwh]] - Table4[[#This Row],[expected_kwh]]</f>
        <v>0</v>
      </c>
      <c r="M2806" t="str">
        <f>IF(Table4[[#This Row],[Performance_Deviation]] &lt; 0, "Underperforming", "Outperforming")</f>
        <v>Outperforming</v>
      </c>
      <c r="N2806">
        <f>IF(Table4[[#This Row],[Performance_Ratio]] &lt; 0.85, Table4[[#This Row],[Performance_Deviation]] * 50 / 1000, 0)</f>
        <v>0</v>
      </c>
    </row>
    <row r="2807" spans="1:14" x14ac:dyDescent="0.3">
      <c r="A2807" s="6" t="s">
        <v>9</v>
      </c>
      <c r="B2807" s="5">
        <v>45315.875</v>
      </c>
      <c r="C2807" s="6">
        <v>0</v>
      </c>
      <c r="D2807" s="6">
        <v>0</v>
      </c>
      <c r="E2807" s="6">
        <v>0</v>
      </c>
      <c r="F2807" s="6">
        <v>92.000949293953894</v>
      </c>
      <c r="G2807" s="6" t="str">
        <f t="shared" si="86"/>
        <v>OK</v>
      </c>
      <c r="H2807" s="6" t="str">
        <f t="shared" si="87"/>
        <v>ZERO</v>
      </c>
      <c r="I2807">
        <v>0</v>
      </c>
      <c r="J2807">
        <f>IFERROR(Table4[[#This Row],[energy_kwh]]/Table4[[#This Row],[expected_kwh]],0)</f>
        <v>0</v>
      </c>
      <c r="K2807" t="str">
        <f>IF(Table4[[#This Row],[Performance_Ratio]] &lt; 0.85, "Underperforming", "Performing")</f>
        <v>Underperforming</v>
      </c>
      <c r="L2807">
        <f>Table4[[#This Row],[energy_kwh]] - Table4[[#This Row],[expected_kwh]]</f>
        <v>0</v>
      </c>
      <c r="M2807" t="str">
        <f>IF(Table4[[#This Row],[Performance_Deviation]] &lt; 0, "Underperforming", "Outperforming")</f>
        <v>Outperforming</v>
      </c>
      <c r="N2807">
        <f>IF(Table4[[#This Row],[Performance_Ratio]] &lt; 0.85, Table4[[#This Row],[Performance_Deviation]] * 50 / 1000, 0)</f>
        <v>0</v>
      </c>
    </row>
    <row r="2808" spans="1:14" x14ac:dyDescent="0.3">
      <c r="A2808" s="4" t="s">
        <v>9</v>
      </c>
      <c r="B2808" s="3">
        <v>45315.916666666664</v>
      </c>
      <c r="C2808" s="4">
        <v>0</v>
      </c>
      <c r="D2808" s="4">
        <v>0</v>
      </c>
      <c r="E2808" s="4">
        <v>0</v>
      </c>
      <c r="F2808" s="4">
        <v>26.0024427324452</v>
      </c>
      <c r="G2808" s="4" t="str">
        <f t="shared" si="86"/>
        <v>OK</v>
      </c>
      <c r="H2808" s="4" t="str">
        <f t="shared" si="87"/>
        <v>ZERO</v>
      </c>
      <c r="I2808">
        <v>0</v>
      </c>
      <c r="J2808">
        <f>IFERROR(Table4[[#This Row],[energy_kwh]]/Table4[[#This Row],[expected_kwh]],0)</f>
        <v>0</v>
      </c>
      <c r="K2808" t="str">
        <f>IF(Table4[[#This Row],[Performance_Ratio]] &lt; 0.85, "Underperforming", "Performing")</f>
        <v>Underperforming</v>
      </c>
      <c r="L2808">
        <f>Table4[[#This Row],[energy_kwh]] - Table4[[#This Row],[expected_kwh]]</f>
        <v>0</v>
      </c>
      <c r="M2808" t="str">
        <f>IF(Table4[[#This Row],[Performance_Deviation]] &lt; 0, "Underperforming", "Outperforming")</f>
        <v>Outperforming</v>
      </c>
      <c r="N2808">
        <f>IF(Table4[[#This Row],[Performance_Ratio]] &lt; 0.85, Table4[[#This Row],[Performance_Deviation]] * 50 / 1000, 0)</f>
        <v>0</v>
      </c>
    </row>
    <row r="2809" spans="1:14" x14ac:dyDescent="0.3">
      <c r="A2809" s="6" t="s">
        <v>9</v>
      </c>
      <c r="B2809" s="5">
        <v>45315.958333333336</v>
      </c>
      <c r="C2809" s="6">
        <v>0</v>
      </c>
      <c r="D2809" s="6">
        <v>0</v>
      </c>
      <c r="E2809" s="6">
        <v>0</v>
      </c>
      <c r="F2809" s="6">
        <v>59.651439025911401</v>
      </c>
      <c r="G2809" s="6" t="str">
        <f t="shared" si="86"/>
        <v>OK</v>
      </c>
      <c r="H2809" s="6" t="str">
        <f t="shared" si="87"/>
        <v>ZERO</v>
      </c>
      <c r="I2809">
        <v>0</v>
      </c>
      <c r="J2809">
        <f>IFERROR(Table4[[#This Row],[energy_kwh]]/Table4[[#This Row],[expected_kwh]],0)</f>
        <v>0</v>
      </c>
      <c r="K2809" t="str">
        <f>IF(Table4[[#This Row],[Performance_Ratio]] &lt; 0.85, "Underperforming", "Performing")</f>
        <v>Underperforming</v>
      </c>
      <c r="L2809">
        <f>Table4[[#This Row],[energy_kwh]] - Table4[[#This Row],[expected_kwh]]</f>
        <v>0</v>
      </c>
      <c r="M2809" t="str">
        <f>IF(Table4[[#This Row],[Performance_Deviation]] &lt; 0, "Underperforming", "Outperforming")</f>
        <v>Outperforming</v>
      </c>
      <c r="N2809">
        <f>IF(Table4[[#This Row],[Performance_Ratio]] &lt; 0.85, Table4[[#This Row],[Performance_Deviation]] * 50 / 1000, 0)</f>
        <v>0</v>
      </c>
    </row>
    <row r="2810" spans="1:14" x14ac:dyDescent="0.3">
      <c r="A2810" s="4" t="s">
        <v>9</v>
      </c>
      <c r="B2810" s="3">
        <v>45316</v>
      </c>
      <c r="C2810" s="4">
        <v>0</v>
      </c>
      <c r="D2810" s="4">
        <v>0</v>
      </c>
      <c r="E2810" s="4">
        <v>0</v>
      </c>
      <c r="F2810" s="4">
        <v>93.443620902648902</v>
      </c>
      <c r="G2810" s="4" t="str">
        <f t="shared" si="86"/>
        <v>OK</v>
      </c>
      <c r="H2810" s="4" t="str">
        <f t="shared" si="87"/>
        <v>ZERO</v>
      </c>
      <c r="I2810">
        <v>0</v>
      </c>
      <c r="J2810">
        <f>IFERROR(Table4[[#This Row],[energy_kwh]]/Table4[[#This Row],[expected_kwh]],0)</f>
        <v>0</v>
      </c>
      <c r="K2810" t="str">
        <f>IF(Table4[[#This Row],[Performance_Ratio]] &lt; 0.85, "Underperforming", "Performing")</f>
        <v>Underperforming</v>
      </c>
      <c r="L2810">
        <f>Table4[[#This Row],[energy_kwh]] - Table4[[#This Row],[expected_kwh]]</f>
        <v>0</v>
      </c>
      <c r="M2810" t="str">
        <f>IF(Table4[[#This Row],[Performance_Deviation]] &lt; 0, "Underperforming", "Outperforming")</f>
        <v>Outperforming</v>
      </c>
      <c r="N2810">
        <f>IF(Table4[[#This Row],[Performance_Ratio]] &lt; 0.85, Table4[[#This Row],[Performance_Deviation]] * 50 / 1000, 0)</f>
        <v>0</v>
      </c>
    </row>
    <row r="2811" spans="1:14" x14ac:dyDescent="0.3">
      <c r="A2811" s="6" t="s">
        <v>9</v>
      </c>
      <c r="B2811" s="5">
        <v>45316.041666666664</v>
      </c>
      <c r="C2811" s="6">
        <v>0</v>
      </c>
      <c r="D2811" s="6">
        <v>0</v>
      </c>
      <c r="E2811" s="6">
        <v>0</v>
      </c>
      <c r="F2811" s="6">
        <v>86.444275281260204</v>
      </c>
      <c r="G2811" s="6" t="str">
        <f t="shared" si="86"/>
        <v>OK</v>
      </c>
      <c r="H2811" s="6" t="str">
        <f t="shared" si="87"/>
        <v>ZERO</v>
      </c>
      <c r="I2811">
        <v>0</v>
      </c>
      <c r="J2811">
        <f>IFERROR(Table4[[#This Row],[energy_kwh]]/Table4[[#This Row],[expected_kwh]],0)</f>
        <v>0</v>
      </c>
      <c r="K2811" t="str">
        <f>IF(Table4[[#This Row],[Performance_Ratio]] &lt; 0.85, "Underperforming", "Performing")</f>
        <v>Underperforming</v>
      </c>
      <c r="L2811">
        <f>Table4[[#This Row],[energy_kwh]] - Table4[[#This Row],[expected_kwh]]</f>
        <v>0</v>
      </c>
      <c r="M2811" t="str">
        <f>IF(Table4[[#This Row],[Performance_Deviation]] &lt; 0, "Underperforming", "Outperforming")</f>
        <v>Outperforming</v>
      </c>
      <c r="N2811">
        <f>IF(Table4[[#This Row],[Performance_Ratio]] &lt; 0.85, Table4[[#This Row],[Performance_Deviation]] * 50 / 1000, 0)</f>
        <v>0</v>
      </c>
    </row>
    <row r="2812" spans="1:14" x14ac:dyDescent="0.3">
      <c r="A2812" s="4" t="s">
        <v>9</v>
      </c>
      <c r="B2812" s="3">
        <v>45316.083333333336</v>
      </c>
      <c r="C2812" s="4">
        <v>0</v>
      </c>
      <c r="D2812" s="4">
        <v>0</v>
      </c>
      <c r="E2812" s="4">
        <v>0</v>
      </c>
      <c r="F2812" s="4">
        <v>82.753304043759599</v>
      </c>
      <c r="G2812" s="4" t="str">
        <f t="shared" si="86"/>
        <v>OK</v>
      </c>
      <c r="H2812" s="4" t="str">
        <f t="shared" si="87"/>
        <v>ZERO</v>
      </c>
      <c r="I2812">
        <v>0</v>
      </c>
      <c r="J2812">
        <f>IFERROR(Table4[[#This Row],[energy_kwh]]/Table4[[#This Row],[expected_kwh]],0)</f>
        <v>0</v>
      </c>
      <c r="K2812" t="str">
        <f>IF(Table4[[#This Row],[Performance_Ratio]] &lt; 0.85, "Underperforming", "Performing")</f>
        <v>Underperforming</v>
      </c>
      <c r="L2812">
        <f>Table4[[#This Row],[energy_kwh]] - Table4[[#This Row],[expected_kwh]]</f>
        <v>0</v>
      </c>
      <c r="M2812" t="str">
        <f>IF(Table4[[#This Row],[Performance_Deviation]] &lt; 0, "Underperforming", "Outperforming")</f>
        <v>Outperforming</v>
      </c>
      <c r="N2812">
        <f>IF(Table4[[#This Row],[Performance_Ratio]] &lt; 0.85, Table4[[#This Row],[Performance_Deviation]] * 50 / 1000, 0)</f>
        <v>0</v>
      </c>
    </row>
    <row r="2813" spans="1:14" x14ac:dyDescent="0.3">
      <c r="A2813" s="6" t="s">
        <v>9</v>
      </c>
      <c r="B2813" s="5">
        <v>45316.125</v>
      </c>
      <c r="C2813" s="6">
        <v>0</v>
      </c>
      <c r="D2813" s="6">
        <v>0</v>
      </c>
      <c r="E2813" s="6">
        <v>0</v>
      </c>
      <c r="F2813" s="6">
        <v>50.016432165410798</v>
      </c>
      <c r="G2813" s="6" t="str">
        <f t="shared" si="86"/>
        <v>OK</v>
      </c>
      <c r="H2813" s="6" t="str">
        <f t="shared" si="87"/>
        <v>ZERO</v>
      </c>
      <c r="I2813">
        <v>0</v>
      </c>
      <c r="J2813">
        <f>IFERROR(Table4[[#This Row],[energy_kwh]]/Table4[[#This Row],[expected_kwh]],0)</f>
        <v>0</v>
      </c>
      <c r="K2813" t="str">
        <f>IF(Table4[[#This Row],[Performance_Ratio]] &lt; 0.85, "Underperforming", "Performing")</f>
        <v>Underperforming</v>
      </c>
      <c r="L2813">
        <f>Table4[[#This Row],[energy_kwh]] - Table4[[#This Row],[expected_kwh]]</f>
        <v>0</v>
      </c>
      <c r="M2813" t="str">
        <f>IF(Table4[[#This Row],[Performance_Deviation]] &lt; 0, "Underperforming", "Outperforming")</f>
        <v>Outperforming</v>
      </c>
      <c r="N2813">
        <f>IF(Table4[[#This Row],[Performance_Ratio]] &lt; 0.85, Table4[[#This Row],[Performance_Deviation]] * 50 / 1000, 0)</f>
        <v>0</v>
      </c>
    </row>
    <row r="2814" spans="1:14" x14ac:dyDescent="0.3">
      <c r="A2814" s="4" t="s">
        <v>9</v>
      </c>
      <c r="B2814" s="3">
        <v>45316.166666666664</v>
      </c>
      <c r="C2814" s="4">
        <v>0</v>
      </c>
      <c r="D2814" s="4">
        <v>0</v>
      </c>
      <c r="E2814" s="4">
        <v>0</v>
      </c>
      <c r="F2814" s="4">
        <v>24.533519223895201</v>
      </c>
      <c r="G2814" s="4" t="str">
        <f t="shared" si="86"/>
        <v>OK</v>
      </c>
      <c r="H2814" s="4" t="str">
        <f t="shared" si="87"/>
        <v>ZERO</v>
      </c>
      <c r="I2814">
        <v>0</v>
      </c>
      <c r="J2814">
        <f>IFERROR(Table4[[#This Row],[energy_kwh]]/Table4[[#This Row],[expected_kwh]],0)</f>
        <v>0</v>
      </c>
      <c r="K2814" t="str">
        <f>IF(Table4[[#This Row],[Performance_Ratio]] &lt; 0.85, "Underperforming", "Performing")</f>
        <v>Underperforming</v>
      </c>
      <c r="L2814">
        <f>Table4[[#This Row],[energy_kwh]] - Table4[[#This Row],[expected_kwh]]</f>
        <v>0</v>
      </c>
      <c r="M2814" t="str">
        <f>IF(Table4[[#This Row],[Performance_Deviation]] &lt; 0, "Underperforming", "Outperforming")</f>
        <v>Outperforming</v>
      </c>
      <c r="N2814">
        <f>IF(Table4[[#This Row],[Performance_Ratio]] &lt; 0.85, Table4[[#This Row],[Performance_Deviation]] * 50 / 1000, 0)</f>
        <v>0</v>
      </c>
    </row>
    <row r="2815" spans="1:14" x14ac:dyDescent="0.3">
      <c r="A2815" s="6" t="s">
        <v>9</v>
      </c>
      <c r="B2815" s="5">
        <v>45316.208333333336</v>
      </c>
      <c r="C2815" s="6">
        <v>0</v>
      </c>
      <c r="D2815" s="6">
        <v>0</v>
      </c>
      <c r="E2815" s="6">
        <v>0</v>
      </c>
      <c r="F2815" s="6">
        <v>53.591850863334699</v>
      </c>
      <c r="G2815" s="6" t="str">
        <f t="shared" si="86"/>
        <v>OK</v>
      </c>
      <c r="H2815" s="6" t="str">
        <f t="shared" si="87"/>
        <v>ZERO</v>
      </c>
      <c r="I2815">
        <v>0</v>
      </c>
      <c r="J2815">
        <f>IFERROR(Table4[[#This Row],[energy_kwh]]/Table4[[#This Row],[expected_kwh]],0)</f>
        <v>0</v>
      </c>
      <c r="K2815" t="str">
        <f>IF(Table4[[#This Row],[Performance_Ratio]] &lt; 0.85, "Underperforming", "Performing")</f>
        <v>Underperforming</v>
      </c>
      <c r="L2815">
        <f>Table4[[#This Row],[energy_kwh]] - Table4[[#This Row],[expected_kwh]]</f>
        <v>0</v>
      </c>
      <c r="M2815" t="str">
        <f>IF(Table4[[#This Row],[Performance_Deviation]] &lt; 0, "Underperforming", "Outperforming")</f>
        <v>Outperforming</v>
      </c>
      <c r="N2815">
        <f>IF(Table4[[#This Row],[Performance_Ratio]] &lt; 0.85, Table4[[#This Row],[Performance_Deviation]] * 50 / 1000, 0)</f>
        <v>0</v>
      </c>
    </row>
    <row r="2816" spans="1:14" x14ac:dyDescent="0.3">
      <c r="A2816" s="4" t="s">
        <v>9</v>
      </c>
      <c r="B2816" s="3">
        <v>45316.25</v>
      </c>
      <c r="C2816" s="4">
        <v>0</v>
      </c>
      <c r="D2816" s="4">
        <v>0</v>
      </c>
      <c r="E2816" s="4">
        <v>0</v>
      </c>
      <c r="F2816" s="4">
        <v>60.792027236948002</v>
      </c>
      <c r="G2816" s="4" t="str">
        <f t="shared" si="86"/>
        <v>OK</v>
      </c>
      <c r="H2816" s="4" t="str">
        <f t="shared" si="87"/>
        <v>ZERO</v>
      </c>
      <c r="I2816">
        <v>0</v>
      </c>
      <c r="J2816">
        <f>IFERROR(Table4[[#This Row],[energy_kwh]]/Table4[[#This Row],[expected_kwh]],0)</f>
        <v>0</v>
      </c>
      <c r="K2816" t="str">
        <f>IF(Table4[[#This Row],[Performance_Ratio]] &lt; 0.85, "Underperforming", "Performing")</f>
        <v>Underperforming</v>
      </c>
      <c r="L2816">
        <f>Table4[[#This Row],[energy_kwh]] - Table4[[#This Row],[expected_kwh]]</f>
        <v>0</v>
      </c>
      <c r="M2816" t="str">
        <f>IF(Table4[[#This Row],[Performance_Deviation]] &lt; 0, "Underperforming", "Outperforming")</f>
        <v>Outperforming</v>
      </c>
      <c r="N2816">
        <f>IF(Table4[[#This Row],[Performance_Ratio]] &lt; 0.85, Table4[[#This Row],[Performance_Deviation]] * 50 / 1000, 0)</f>
        <v>0</v>
      </c>
    </row>
    <row r="2817" spans="1:14" x14ac:dyDescent="0.3">
      <c r="A2817" s="6" t="s">
        <v>9</v>
      </c>
      <c r="B2817" s="5">
        <v>45316.291666666664</v>
      </c>
      <c r="C2817" s="6">
        <v>201.898209786173</v>
      </c>
      <c r="D2817" s="6">
        <v>194.61904024831</v>
      </c>
      <c r="E2817" s="6">
        <v>194.61904024831</v>
      </c>
      <c r="F2817" s="6">
        <v>37.869681000494701</v>
      </c>
      <c r="G2817" s="6" t="str">
        <f t="shared" si="86"/>
        <v>OK</v>
      </c>
      <c r="H2817" s="6" t="str">
        <f t="shared" si="87"/>
        <v>NON-ZERO</v>
      </c>
      <c r="I2817">
        <v>248.466283298419</v>
      </c>
      <c r="J2817">
        <f>IFERROR(Table4[[#This Row],[energy_kwh]]/Table4[[#This Row],[expected_kwh]],0)</f>
        <v>0.78328148859764579</v>
      </c>
      <c r="K2817" t="str">
        <f>IF(Table4[[#This Row],[Performance_Ratio]] &lt; 0.85, "Underperforming", "Performing")</f>
        <v>Underperforming</v>
      </c>
      <c r="L2817">
        <f>Table4[[#This Row],[energy_kwh]] - Table4[[#This Row],[expected_kwh]]</f>
        <v>-53.847243050109</v>
      </c>
      <c r="M2817" t="str">
        <f>IF(Table4[[#This Row],[Performance_Deviation]] &lt; 0, "Underperforming", "Outperforming")</f>
        <v>Underperforming</v>
      </c>
      <c r="N2817">
        <f>IF(Table4[[#This Row],[Performance_Ratio]] &lt; 0.85, Table4[[#This Row],[Performance_Deviation]] * 50 / 1000, 0)</f>
        <v>-2.6923621525054502</v>
      </c>
    </row>
    <row r="2818" spans="1:14" x14ac:dyDescent="0.3">
      <c r="A2818" s="4" t="s">
        <v>9</v>
      </c>
      <c r="B2818" s="3">
        <v>45316.333333333336</v>
      </c>
      <c r="C2818" s="4">
        <v>462.30703745709798</v>
      </c>
      <c r="D2818" s="4">
        <v>445.63917642077899</v>
      </c>
      <c r="E2818" s="4">
        <v>445.63917642077899</v>
      </c>
      <c r="F2818" s="4">
        <v>46.828757370681998</v>
      </c>
      <c r="G2818" s="4" t="str">
        <f t="shared" ref="G2818:G2881" si="88">IF(D2818 &gt; C2818, "ERROR", "OK")</f>
        <v>OK</v>
      </c>
      <c r="H2818" s="4" t="str">
        <f t="shared" ref="H2818:H2881" si="89">IF(E2818=0,"ZERO","NON-ZERO")</f>
        <v>NON-ZERO</v>
      </c>
      <c r="I2818">
        <v>479.99999999999898</v>
      </c>
      <c r="J2818">
        <f>IFERROR(Table4[[#This Row],[energy_kwh]]/Table4[[#This Row],[expected_kwh]],0)</f>
        <v>0.92841495087662484</v>
      </c>
      <c r="K2818" t="str">
        <f>IF(Table4[[#This Row],[Performance_Ratio]] &lt; 0.85, "Underperforming", "Performing")</f>
        <v>Performing</v>
      </c>
      <c r="L2818">
        <f>Table4[[#This Row],[energy_kwh]] - Table4[[#This Row],[expected_kwh]]</f>
        <v>-34.360823579219982</v>
      </c>
      <c r="M2818" t="str">
        <f>IF(Table4[[#This Row],[Performance_Deviation]] &lt; 0, "Underperforming", "Outperforming")</f>
        <v>Underperforming</v>
      </c>
      <c r="N2818">
        <f>IF(Table4[[#This Row],[Performance_Ratio]] &lt; 0.85, Table4[[#This Row],[Performance_Deviation]] * 50 / 1000, 0)</f>
        <v>0</v>
      </c>
    </row>
    <row r="2819" spans="1:14" x14ac:dyDescent="0.3">
      <c r="A2819" s="6" t="s">
        <v>9</v>
      </c>
      <c r="B2819" s="5">
        <v>45316.375</v>
      </c>
      <c r="C2819" s="6">
        <v>699.61077242291105</v>
      </c>
      <c r="D2819" s="6">
        <v>674.38724305940104</v>
      </c>
      <c r="E2819" s="6">
        <v>674.38724305940104</v>
      </c>
      <c r="F2819" s="6">
        <v>74.483101858056202</v>
      </c>
      <c r="G2819" s="6" t="str">
        <f t="shared" si="88"/>
        <v>OK</v>
      </c>
      <c r="H2819" s="6" t="str">
        <f t="shared" si="89"/>
        <v>NON-ZERO</v>
      </c>
      <c r="I2819">
        <v>678.82250993908497</v>
      </c>
      <c r="J2819">
        <f>IFERROR(Table4[[#This Row],[energy_kwh]]/Table4[[#This Row],[expected_kwh]],0)</f>
        <v>0.99346623481875707</v>
      </c>
      <c r="K2819" t="str">
        <f>IF(Table4[[#This Row],[Performance_Ratio]] &lt; 0.85, "Underperforming", "Performing")</f>
        <v>Performing</v>
      </c>
      <c r="L2819">
        <f>Table4[[#This Row],[energy_kwh]] - Table4[[#This Row],[expected_kwh]]</f>
        <v>-4.4352668796839225</v>
      </c>
      <c r="M2819" t="str">
        <f>IF(Table4[[#This Row],[Performance_Deviation]] &lt; 0, "Underperforming", "Outperforming")</f>
        <v>Underperforming</v>
      </c>
      <c r="N2819">
        <f>IF(Table4[[#This Row],[Performance_Ratio]] &lt; 0.85, Table4[[#This Row],[Performance_Deviation]] * 50 / 1000, 0)</f>
        <v>0</v>
      </c>
    </row>
    <row r="2820" spans="1:14" x14ac:dyDescent="0.3">
      <c r="A2820" s="4" t="s">
        <v>9</v>
      </c>
      <c r="B2820" s="3">
        <v>45316.416666666664</v>
      </c>
      <c r="C2820" s="4">
        <v>777.51866472362997</v>
      </c>
      <c r="D2820" s="4">
        <v>749.486270650547</v>
      </c>
      <c r="E2820" s="4">
        <v>749.486270650547</v>
      </c>
      <c r="F2820" s="4">
        <v>31.9955601775196</v>
      </c>
      <c r="G2820" s="4" t="str">
        <f t="shared" si="88"/>
        <v>OK</v>
      </c>
      <c r="H2820" s="4" t="str">
        <f t="shared" si="89"/>
        <v>NON-ZERO</v>
      </c>
      <c r="I2820">
        <v>831.38438763306101</v>
      </c>
      <c r="J2820">
        <f>IFERROR(Table4[[#This Row],[energy_kwh]]/Table4[[#This Row],[expected_kwh]],0)</f>
        <v>0.90149187523754593</v>
      </c>
      <c r="K2820" t="str">
        <f>IF(Table4[[#This Row],[Performance_Ratio]] &lt; 0.85, "Underperforming", "Performing")</f>
        <v>Performing</v>
      </c>
      <c r="L2820">
        <f>Table4[[#This Row],[energy_kwh]] - Table4[[#This Row],[expected_kwh]]</f>
        <v>-81.898116982514011</v>
      </c>
      <c r="M2820" t="str">
        <f>IF(Table4[[#This Row],[Performance_Deviation]] &lt; 0, "Underperforming", "Outperforming")</f>
        <v>Underperforming</v>
      </c>
      <c r="N2820">
        <f>IF(Table4[[#This Row],[Performance_Ratio]] &lt; 0.85, Table4[[#This Row],[Performance_Deviation]] * 50 / 1000, 0)</f>
        <v>0</v>
      </c>
    </row>
    <row r="2821" spans="1:14" x14ac:dyDescent="0.3">
      <c r="A2821" s="6" t="s">
        <v>9</v>
      </c>
      <c r="B2821" s="5">
        <v>45316.458333333336</v>
      </c>
      <c r="C2821" s="6">
        <v>827.57332764255204</v>
      </c>
      <c r="D2821" s="6">
        <v>797.73627973953398</v>
      </c>
      <c r="E2821" s="6">
        <v>797.73627973953398</v>
      </c>
      <c r="F2821" s="6">
        <v>68.777417037158401</v>
      </c>
      <c r="G2821" s="6" t="str">
        <f t="shared" si="88"/>
        <v>OK</v>
      </c>
      <c r="H2821" s="6" t="str">
        <f t="shared" si="89"/>
        <v>NON-ZERO</v>
      </c>
      <c r="I2821">
        <v>927.28879323750505</v>
      </c>
      <c r="J2821">
        <f>IFERROR(Table4[[#This Row],[energy_kwh]]/Table4[[#This Row],[expected_kwh]],0)</f>
        <v>0.86028892569093196</v>
      </c>
      <c r="K2821" t="str">
        <f>IF(Table4[[#This Row],[Performance_Ratio]] &lt; 0.85, "Underperforming", "Performing")</f>
        <v>Performing</v>
      </c>
      <c r="L2821">
        <f>Table4[[#This Row],[energy_kwh]] - Table4[[#This Row],[expected_kwh]]</f>
        <v>-129.55251349797106</v>
      </c>
      <c r="M2821" t="str">
        <f>IF(Table4[[#This Row],[Performance_Deviation]] &lt; 0, "Underperforming", "Outperforming")</f>
        <v>Underperforming</v>
      </c>
      <c r="N2821">
        <f>IF(Table4[[#This Row],[Performance_Ratio]] &lt; 0.85, Table4[[#This Row],[Performance_Deviation]] * 50 / 1000, 0)</f>
        <v>0</v>
      </c>
    </row>
    <row r="2822" spans="1:14" x14ac:dyDescent="0.3">
      <c r="A2822" s="4" t="s">
        <v>9</v>
      </c>
      <c r="B2822" s="3">
        <v>45316.5</v>
      </c>
      <c r="C2822" s="4">
        <v>966.06775152156899</v>
      </c>
      <c r="D2822" s="4">
        <v>931.23747266057603</v>
      </c>
      <c r="E2822" s="4">
        <v>931.23747266057603</v>
      </c>
      <c r="F2822" s="4">
        <v>52.780856206810597</v>
      </c>
      <c r="G2822" s="4" t="str">
        <f t="shared" si="88"/>
        <v>OK</v>
      </c>
      <c r="H2822" s="4" t="str">
        <f t="shared" si="89"/>
        <v>NON-ZERO</v>
      </c>
      <c r="I2822">
        <v>960</v>
      </c>
      <c r="J2822">
        <f>IFERROR(Table4[[#This Row],[energy_kwh]]/Table4[[#This Row],[expected_kwh]],0)</f>
        <v>0.97003903402143332</v>
      </c>
      <c r="K2822" t="str">
        <f>IF(Table4[[#This Row],[Performance_Ratio]] &lt; 0.85, "Underperforming", "Performing")</f>
        <v>Performing</v>
      </c>
      <c r="L2822">
        <f>Table4[[#This Row],[energy_kwh]] - Table4[[#This Row],[expected_kwh]]</f>
        <v>-28.762527339423968</v>
      </c>
      <c r="M2822" t="str">
        <f>IF(Table4[[#This Row],[Performance_Deviation]] &lt; 0, "Underperforming", "Outperforming")</f>
        <v>Underperforming</v>
      </c>
      <c r="N2822">
        <f>IF(Table4[[#This Row],[Performance_Ratio]] &lt; 0.85, Table4[[#This Row],[Performance_Deviation]] * 50 / 1000, 0)</f>
        <v>0</v>
      </c>
    </row>
    <row r="2823" spans="1:14" x14ac:dyDescent="0.3">
      <c r="A2823" s="6" t="s">
        <v>9</v>
      </c>
      <c r="B2823" s="5">
        <v>45316.541666666664</v>
      </c>
      <c r="C2823" s="6">
        <v>934.71286066166499</v>
      </c>
      <c r="D2823" s="6">
        <v>901.01304039489298</v>
      </c>
      <c r="E2823" s="6">
        <v>901.01304039489298</v>
      </c>
      <c r="F2823" s="6">
        <v>91.422603845083003</v>
      </c>
      <c r="G2823" s="6" t="str">
        <f t="shared" si="88"/>
        <v>OK</v>
      </c>
      <c r="H2823" s="6" t="str">
        <f t="shared" si="89"/>
        <v>NON-ZERO</v>
      </c>
      <c r="I2823">
        <v>927.28879323750505</v>
      </c>
      <c r="J2823">
        <f>IFERROR(Table4[[#This Row],[energy_kwh]]/Table4[[#This Row],[expected_kwh]],0)</f>
        <v>0.97166389474968873</v>
      </c>
      <c r="K2823" t="str">
        <f>IF(Table4[[#This Row],[Performance_Ratio]] &lt; 0.85, "Underperforming", "Performing")</f>
        <v>Performing</v>
      </c>
      <c r="L2823">
        <f>Table4[[#This Row],[energy_kwh]] - Table4[[#This Row],[expected_kwh]]</f>
        <v>-26.275752842612064</v>
      </c>
      <c r="M2823" t="str">
        <f>IF(Table4[[#This Row],[Performance_Deviation]] &lt; 0, "Underperforming", "Outperforming")</f>
        <v>Underperforming</v>
      </c>
      <c r="N2823">
        <f>IF(Table4[[#This Row],[Performance_Ratio]] &lt; 0.85, Table4[[#This Row],[Performance_Deviation]] * 50 / 1000, 0)</f>
        <v>0</v>
      </c>
    </row>
    <row r="2824" spans="1:14" x14ac:dyDescent="0.3">
      <c r="A2824" s="4" t="s">
        <v>9</v>
      </c>
      <c r="B2824" s="3">
        <v>45316.583333333336</v>
      </c>
      <c r="C2824" s="4">
        <v>811.15758918894096</v>
      </c>
      <c r="D2824" s="4">
        <v>781.91238874915598</v>
      </c>
      <c r="E2824" s="4">
        <v>781.91238874915598</v>
      </c>
      <c r="F2824" s="4">
        <v>52.125709582622001</v>
      </c>
      <c r="G2824" s="4" t="str">
        <f t="shared" si="88"/>
        <v>OK</v>
      </c>
      <c r="H2824" s="4" t="str">
        <f t="shared" si="89"/>
        <v>NON-ZERO</v>
      </c>
      <c r="I2824">
        <v>831.38438763306101</v>
      </c>
      <c r="J2824">
        <f>IFERROR(Table4[[#This Row],[energy_kwh]]/Table4[[#This Row],[expected_kwh]],0)</f>
        <v>0.94049443359797613</v>
      </c>
      <c r="K2824" t="str">
        <f>IF(Table4[[#This Row],[Performance_Ratio]] &lt; 0.85, "Underperforming", "Performing")</f>
        <v>Performing</v>
      </c>
      <c r="L2824">
        <f>Table4[[#This Row],[energy_kwh]] - Table4[[#This Row],[expected_kwh]]</f>
        <v>-49.47199888390503</v>
      </c>
      <c r="M2824" t="str">
        <f>IF(Table4[[#This Row],[Performance_Deviation]] &lt; 0, "Underperforming", "Outperforming")</f>
        <v>Underperforming</v>
      </c>
      <c r="N2824">
        <f>IF(Table4[[#This Row],[Performance_Ratio]] &lt; 0.85, Table4[[#This Row],[Performance_Deviation]] * 50 / 1000, 0)</f>
        <v>0</v>
      </c>
    </row>
    <row r="2825" spans="1:14" x14ac:dyDescent="0.3">
      <c r="A2825" s="6" t="s">
        <v>9</v>
      </c>
      <c r="B2825" s="5">
        <v>45316.625</v>
      </c>
      <c r="C2825" s="6">
        <v>709.75647175068798</v>
      </c>
      <c r="D2825" s="6">
        <v>684.16715278673905</v>
      </c>
      <c r="E2825" s="6">
        <v>684.16715278673905</v>
      </c>
      <c r="F2825" s="6">
        <v>84.758235013274998</v>
      </c>
      <c r="G2825" s="6" t="str">
        <f t="shared" si="88"/>
        <v>OK</v>
      </c>
      <c r="H2825" s="6" t="str">
        <f t="shared" si="89"/>
        <v>NON-ZERO</v>
      </c>
      <c r="I2825">
        <v>678.82250993908497</v>
      </c>
      <c r="J2825">
        <f>IFERROR(Table4[[#This Row],[energy_kwh]]/Table4[[#This Row],[expected_kwh]],0)</f>
        <v>1.0078734025012426</v>
      </c>
      <c r="K2825" t="str">
        <f>IF(Table4[[#This Row],[Performance_Ratio]] &lt; 0.85, "Underperforming", "Performing")</f>
        <v>Performing</v>
      </c>
      <c r="L2825">
        <f>Table4[[#This Row],[energy_kwh]] - Table4[[#This Row],[expected_kwh]]</f>
        <v>5.3446428476540859</v>
      </c>
      <c r="M2825" t="str">
        <f>IF(Table4[[#This Row],[Performance_Deviation]] &lt; 0, "Underperforming", "Outperforming")</f>
        <v>Outperforming</v>
      </c>
      <c r="N2825">
        <f>IF(Table4[[#This Row],[Performance_Ratio]] &lt; 0.85, Table4[[#This Row],[Performance_Deviation]] * 50 / 1000, 0)</f>
        <v>0</v>
      </c>
    </row>
    <row r="2826" spans="1:14" x14ac:dyDescent="0.3">
      <c r="A2826" s="4" t="s">
        <v>9</v>
      </c>
      <c r="B2826" s="3">
        <v>45316.666666666664</v>
      </c>
      <c r="C2826" s="4">
        <v>442.40291602867501</v>
      </c>
      <c r="D2826" s="4">
        <v>426.45267143151699</v>
      </c>
      <c r="E2826" s="4">
        <v>426.45267143151699</v>
      </c>
      <c r="F2826" s="4">
        <v>91.836449285994405</v>
      </c>
      <c r="G2826" s="4" t="str">
        <f t="shared" si="88"/>
        <v>OK</v>
      </c>
      <c r="H2826" s="4" t="str">
        <f t="shared" si="89"/>
        <v>NON-ZERO</v>
      </c>
      <c r="I2826">
        <v>479.99999999999898</v>
      </c>
      <c r="J2826">
        <f>IFERROR(Table4[[#This Row],[energy_kwh]]/Table4[[#This Row],[expected_kwh]],0)</f>
        <v>0.88844306548232899</v>
      </c>
      <c r="K2826" t="str">
        <f>IF(Table4[[#This Row],[Performance_Ratio]] &lt; 0.85, "Underperforming", "Performing")</f>
        <v>Performing</v>
      </c>
      <c r="L2826">
        <f>Table4[[#This Row],[energy_kwh]] - Table4[[#This Row],[expected_kwh]]</f>
        <v>-53.547328568481987</v>
      </c>
      <c r="M2826" t="str">
        <f>IF(Table4[[#This Row],[Performance_Deviation]] &lt; 0, "Underperforming", "Outperforming")</f>
        <v>Underperforming</v>
      </c>
      <c r="N2826">
        <f>IF(Table4[[#This Row],[Performance_Ratio]] &lt; 0.85, Table4[[#This Row],[Performance_Deviation]] * 50 / 1000, 0)</f>
        <v>0</v>
      </c>
    </row>
    <row r="2827" spans="1:14" x14ac:dyDescent="0.3">
      <c r="A2827" s="6" t="s">
        <v>9</v>
      </c>
      <c r="B2827" s="5">
        <v>45316.708333333336</v>
      </c>
      <c r="C2827" s="6">
        <v>201.65575169834301</v>
      </c>
      <c r="D2827" s="6">
        <v>194.385323662096</v>
      </c>
      <c r="E2827" s="6">
        <v>194.385323662096</v>
      </c>
      <c r="F2827" s="6">
        <v>34.201717076049803</v>
      </c>
      <c r="G2827" s="6" t="str">
        <f t="shared" si="88"/>
        <v>OK</v>
      </c>
      <c r="H2827" s="6" t="str">
        <f t="shared" si="89"/>
        <v>NON-ZERO</v>
      </c>
      <c r="I2827">
        <v>248.46628329842</v>
      </c>
      <c r="J2827">
        <f>IFERROR(Table4[[#This Row],[energy_kwh]]/Table4[[#This Row],[expected_kwh]],0)</f>
        <v>0.7823408515699084</v>
      </c>
      <c r="K2827" t="str">
        <f>IF(Table4[[#This Row],[Performance_Ratio]] &lt; 0.85, "Underperforming", "Performing")</f>
        <v>Underperforming</v>
      </c>
      <c r="L2827">
        <f>Table4[[#This Row],[energy_kwh]] - Table4[[#This Row],[expected_kwh]]</f>
        <v>-54.080959636323996</v>
      </c>
      <c r="M2827" t="str">
        <f>IF(Table4[[#This Row],[Performance_Deviation]] &lt; 0, "Underperforming", "Outperforming")</f>
        <v>Underperforming</v>
      </c>
      <c r="N2827">
        <f>IF(Table4[[#This Row],[Performance_Ratio]] &lt; 0.85, Table4[[#This Row],[Performance_Deviation]] * 50 / 1000, 0)</f>
        <v>-2.7040479818162</v>
      </c>
    </row>
    <row r="2828" spans="1:14" x14ac:dyDescent="0.3">
      <c r="A2828" s="4" t="s">
        <v>9</v>
      </c>
      <c r="B2828" s="3">
        <v>45316.75</v>
      </c>
      <c r="C2828" s="7">
        <v>1.08249536964742E-13</v>
      </c>
      <c r="D2828" s="7">
        <v>1.04346744895431E-13</v>
      </c>
      <c r="E2828" s="7">
        <v>1.04346744895431E-13</v>
      </c>
      <c r="F2828" s="4">
        <v>66.919218760231402</v>
      </c>
      <c r="G2828" s="4" t="str">
        <f t="shared" si="88"/>
        <v>OK</v>
      </c>
      <c r="H2828" s="4" t="str">
        <f t="shared" si="89"/>
        <v>NON-ZERO</v>
      </c>
      <c r="I2828" s="2">
        <v>1.1756609271814501E-13</v>
      </c>
      <c r="J2828">
        <f>IFERROR(Table4[[#This Row],[energy_kwh]]/Table4[[#This Row],[expected_kwh]],0)</f>
        <v>0.88755815969485097</v>
      </c>
      <c r="K2828" t="str">
        <f>IF(Table4[[#This Row],[Performance_Ratio]] &lt; 0.85, "Underperforming", "Performing")</f>
        <v>Performing</v>
      </c>
      <c r="L2828">
        <f>Table4[[#This Row],[energy_kwh]] - Table4[[#This Row],[expected_kwh]]</f>
        <v>-1.321934782271401E-14</v>
      </c>
      <c r="M2828" t="str">
        <f>IF(Table4[[#This Row],[Performance_Deviation]] &lt; 0, "Underperforming", "Outperforming")</f>
        <v>Underperforming</v>
      </c>
      <c r="N2828">
        <f>IF(Table4[[#This Row],[Performance_Ratio]] &lt; 0.85, Table4[[#This Row],[Performance_Deviation]] * 50 / 1000, 0)</f>
        <v>0</v>
      </c>
    </row>
    <row r="2829" spans="1:14" x14ac:dyDescent="0.3">
      <c r="A2829" s="6" t="s">
        <v>9</v>
      </c>
      <c r="B2829" s="5">
        <v>45316.791666666664</v>
      </c>
      <c r="C2829" s="6">
        <v>0</v>
      </c>
      <c r="D2829" s="6">
        <v>0</v>
      </c>
      <c r="E2829" s="6">
        <v>0</v>
      </c>
      <c r="F2829" s="6">
        <v>25.574815426518501</v>
      </c>
      <c r="G2829" s="6" t="str">
        <f t="shared" si="88"/>
        <v>OK</v>
      </c>
      <c r="H2829" s="6" t="str">
        <f t="shared" si="89"/>
        <v>ZERO</v>
      </c>
      <c r="I2829">
        <v>0</v>
      </c>
      <c r="J2829">
        <f>IFERROR(Table4[[#This Row],[energy_kwh]]/Table4[[#This Row],[expected_kwh]],0)</f>
        <v>0</v>
      </c>
      <c r="K2829" t="str">
        <f>IF(Table4[[#This Row],[Performance_Ratio]] &lt; 0.85, "Underperforming", "Performing")</f>
        <v>Underperforming</v>
      </c>
      <c r="L2829">
        <f>Table4[[#This Row],[energy_kwh]] - Table4[[#This Row],[expected_kwh]]</f>
        <v>0</v>
      </c>
      <c r="M2829" t="str">
        <f>IF(Table4[[#This Row],[Performance_Deviation]] &lt; 0, "Underperforming", "Outperforming")</f>
        <v>Outperforming</v>
      </c>
      <c r="N2829">
        <f>IF(Table4[[#This Row],[Performance_Ratio]] &lt; 0.85, Table4[[#This Row],[Performance_Deviation]] * 50 / 1000, 0)</f>
        <v>0</v>
      </c>
    </row>
    <row r="2830" spans="1:14" x14ac:dyDescent="0.3">
      <c r="A2830" s="4" t="s">
        <v>9</v>
      </c>
      <c r="B2830" s="3">
        <v>45316.833333333336</v>
      </c>
      <c r="C2830" s="4">
        <v>0</v>
      </c>
      <c r="D2830" s="4">
        <v>0</v>
      </c>
      <c r="E2830" s="4">
        <v>0</v>
      </c>
      <c r="F2830" s="4">
        <v>61.193845353341999</v>
      </c>
      <c r="G2830" s="4" t="str">
        <f t="shared" si="88"/>
        <v>OK</v>
      </c>
      <c r="H2830" s="4" t="str">
        <f t="shared" si="89"/>
        <v>ZERO</v>
      </c>
      <c r="I2830">
        <v>0</v>
      </c>
      <c r="J2830">
        <f>IFERROR(Table4[[#This Row],[energy_kwh]]/Table4[[#This Row],[expected_kwh]],0)</f>
        <v>0</v>
      </c>
      <c r="K2830" t="str">
        <f>IF(Table4[[#This Row],[Performance_Ratio]] &lt; 0.85, "Underperforming", "Performing")</f>
        <v>Underperforming</v>
      </c>
      <c r="L2830">
        <f>Table4[[#This Row],[energy_kwh]] - Table4[[#This Row],[expected_kwh]]</f>
        <v>0</v>
      </c>
      <c r="M2830" t="str">
        <f>IF(Table4[[#This Row],[Performance_Deviation]] &lt; 0, "Underperforming", "Outperforming")</f>
        <v>Outperforming</v>
      </c>
      <c r="N2830">
        <f>IF(Table4[[#This Row],[Performance_Ratio]] &lt; 0.85, Table4[[#This Row],[Performance_Deviation]] * 50 / 1000, 0)</f>
        <v>0</v>
      </c>
    </row>
    <row r="2831" spans="1:14" x14ac:dyDescent="0.3">
      <c r="A2831" s="6" t="s">
        <v>9</v>
      </c>
      <c r="B2831" s="5">
        <v>45316.875</v>
      </c>
      <c r="C2831" s="6">
        <v>0</v>
      </c>
      <c r="D2831" s="6">
        <v>0</v>
      </c>
      <c r="E2831" s="6">
        <v>0</v>
      </c>
      <c r="F2831" s="6">
        <v>30.279476265243499</v>
      </c>
      <c r="G2831" s="6" t="str">
        <f t="shared" si="88"/>
        <v>OK</v>
      </c>
      <c r="H2831" s="6" t="str">
        <f t="shared" si="89"/>
        <v>ZERO</v>
      </c>
      <c r="I2831">
        <v>0</v>
      </c>
      <c r="J2831">
        <f>IFERROR(Table4[[#This Row],[energy_kwh]]/Table4[[#This Row],[expected_kwh]],0)</f>
        <v>0</v>
      </c>
      <c r="K2831" t="str">
        <f>IF(Table4[[#This Row],[Performance_Ratio]] &lt; 0.85, "Underperforming", "Performing")</f>
        <v>Underperforming</v>
      </c>
      <c r="L2831">
        <f>Table4[[#This Row],[energy_kwh]] - Table4[[#This Row],[expected_kwh]]</f>
        <v>0</v>
      </c>
      <c r="M2831" t="str">
        <f>IF(Table4[[#This Row],[Performance_Deviation]] &lt; 0, "Underperforming", "Outperforming")</f>
        <v>Outperforming</v>
      </c>
      <c r="N2831">
        <f>IF(Table4[[#This Row],[Performance_Ratio]] &lt; 0.85, Table4[[#This Row],[Performance_Deviation]] * 50 / 1000, 0)</f>
        <v>0</v>
      </c>
    </row>
    <row r="2832" spans="1:14" x14ac:dyDescent="0.3">
      <c r="A2832" s="4" t="s">
        <v>9</v>
      </c>
      <c r="B2832" s="3">
        <v>45316.916666666664</v>
      </c>
      <c r="C2832" s="4">
        <v>0</v>
      </c>
      <c r="D2832" s="4">
        <v>0</v>
      </c>
      <c r="E2832" s="4">
        <v>0</v>
      </c>
      <c r="F2832" s="4">
        <v>85.477670114460196</v>
      </c>
      <c r="G2832" s="4" t="str">
        <f t="shared" si="88"/>
        <v>OK</v>
      </c>
      <c r="H2832" s="4" t="str">
        <f t="shared" si="89"/>
        <v>ZERO</v>
      </c>
      <c r="I2832">
        <v>0</v>
      </c>
      <c r="J2832">
        <f>IFERROR(Table4[[#This Row],[energy_kwh]]/Table4[[#This Row],[expected_kwh]],0)</f>
        <v>0</v>
      </c>
      <c r="K2832" t="str">
        <f>IF(Table4[[#This Row],[Performance_Ratio]] &lt; 0.85, "Underperforming", "Performing")</f>
        <v>Underperforming</v>
      </c>
      <c r="L2832">
        <f>Table4[[#This Row],[energy_kwh]] - Table4[[#This Row],[expected_kwh]]</f>
        <v>0</v>
      </c>
      <c r="M2832" t="str">
        <f>IF(Table4[[#This Row],[Performance_Deviation]] &lt; 0, "Underperforming", "Outperforming")</f>
        <v>Outperforming</v>
      </c>
      <c r="N2832">
        <f>IF(Table4[[#This Row],[Performance_Ratio]] &lt; 0.85, Table4[[#This Row],[Performance_Deviation]] * 50 / 1000, 0)</f>
        <v>0</v>
      </c>
    </row>
    <row r="2833" spans="1:14" x14ac:dyDescent="0.3">
      <c r="A2833" s="6" t="s">
        <v>9</v>
      </c>
      <c r="B2833" s="5">
        <v>45316.958333333336</v>
      </c>
      <c r="C2833" s="6">
        <v>0</v>
      </c>
      <c r="D2833" s="6">
        <v>0</v>
      </c>
      <c r="E2833" s="6">
        <v>0</v>
      </c>
      <c r="F2833" s="6">
        <v>50.514808065447397</v>
      </c>
      <c r="G2833" s="6" t="str">
        <f t="shared" si="88"/>
        <v>OK</v>
      </c>
      <c r="H2833" s="6" t="str">
        <f t="shared" si="89"/>
        <v>ZERO</v>
      </c>
      <c r="I2833">
        <v>0</v>
      </c>
      <c r="J2833">
        <f>IFERROR(Table4[[#This Row],[energy_kwh]]/Table4[[#This Row],[expected_kwh]],0)</f>
        <v>0</v>
      </c>
      <c r="K2833" t="str">
        <f>IF(Table4[[#This Row],[Performance_Ratio]] &lt; 0.85, "Underperforming", "Performing")</f>
        <v>Underperforming</v>
      </c>
      <c r="L2833">
        <f>Table4[[#This Row],[energy_kwh]] - Table4[[#This Row],[expected_kwh]]</f>
        <v>0</v>
      </c>
      <c r="M2833" t="str">
        <f>IF(Table4[[#This Row],[Performance_Deviation]] &lt; 0, "Underperforming", "Outperforming")</f>
        <v>Outperforming</v>
      </c>
      <c r="N2833">
        <f>IF(Table4[[#This Row],[Performance_Ratio]] &lt; 0.85, Table4[[#This Row],[Performance_Deviation]] * 50 / 1000, 0)</f>
        <v>0</v>
      </c>
    </row>
    <row r="2834" spans="1:14" x14ac:dyDescent="0.3">
      <c r="A2834" s="4" t="s">
        <v>9</v>
      </c>
      <c r="B2834" s="3">
        <v>45317</v>
      </c>
      <c r="C2834" s="4">
        <v>0</v>
      </c>
      <c r="D2834" s="4">
        <v>0</v>
      </c>
      <c r="E2834" s="4">
        <v>0</v>
      </c>
      <c r="F2834" s="4">
        <v>42.281041240849802</v>
      </c>
      <c r="G2834" s="4" t="str">
        <f t="shared" si="88"/>
        <v>OK</v>
      </c>
      <c r="H2834" s="4" t="str">
        <f t="shared" si="89"/>
        <v>ZERO</v>
      </c>
      <c r="I2834">
        <v>0</v>
      </c>
      <c r="J2834">
        <f>IFERROR(Table4[[#This Row],[energy_kwh]]/Table4[[#This Row],[expected_kwh]],0)</f>
        <v>0</v>
      </c>
      <c r="K2834" t="str">
        <f>IF(Table4[[#This Row],[Performance_Ratio]] &lt; 0.85, "Underperforming", "Performing")</f>
        <v>Underperforming</v>
      </c>
      <c r="L2834">
        <f>Table4[[#This Row],[energy_kwh]] - Table4[[#This Row],[expected_kwh]]</f>
        <v>0</v>
      </c>
      <c r="M2834" t="str">
        <f>IF(Table4[[#This Row],[Performance_Deviation]] &lt; 0, "Underperforming", "Outperforming")</f>
        <v>Outperforming</v>
      </c>
      <c r="N2834">
        <f>IF(Table4[[#This Row],[Performance_Ratio]] &lt; 0.85, Table4[[#This Row],[Performance_Deviation]] * 50 / 1000, 0)</f>
        <v>0</v>
      </c>
    </row>
    <row r="2835" spans="1:14" x14ac:dyDescent="0.3">
      <c r="A2835" s="6" t="s">
        <v>9</v>
      </c>
      <c r="B2835" s="5">
        <v>45317.041666666664</v>
      </c>
      <c r="C2835" s="6">
        <v>0</v>
      </c>
      <c r="D2835" s="6">
        <v>0</v>
      </c>
      <c r="E2835" s="6">
        <v>0</v>
      </c>
      <c r="F2835" s="6">
        <v>28.3289333283582</v>
      </c>
      <c r="G2835" s="6" t="str">
        <f t="shared" si="88"/>
        <v>OK</v>
      </c>
      <c r="H2835" s="6" t="str">
        <f t="shared" si="89"/>
        <v>ZERO</v>
      </c>
      <c r="I2835">
        <v>0</v>
      </c>
      <c r="J2835">
        <f>IFERROR(Table4[[#This Row],[energy_kwh]]/Table4[[#This Row],[expected_kwh]],0)</f>
        <v>0</v>
      </c>
      <c r="K2835" t="str">
        <f>IF(Table4[[#This Row],[Performance_Ratio]] &lt; 0.85, "Underperforming", "Performing")</f>
        <v>Underperforming</v>
      </c>
      <c r="L2835">
        <f>Table4[[#This Row],[energy_kwh]] - Table4[[#This Row],[expected_kwh]]</f>
        <v>0</v>
      </c>
      <c r="M2835" t="str">
        <f>IF(Table4[[#This Row],[Performance_Deviation]] &lt; 0, "Underperforming", "Outperforming")</f>
        <v>Outperforming</v>
      </c>
      <c r="N2835">
        <f>IF(Table4[[#This Row],[Performance_Ratio]] &lt; 0.85, Table4[[#This Row],[Performance_Deviation]] * 50 / 1000, 0)</f>
        <v>0</v>
      </c>
    </row>
    <row r="2836" spans="1:14" x14ac:dyDescent="0.3">
      <c r="A2836" s="4" t="s">
        <v>9</v>
      </c>
      <c r="B2836" s="3">
        <v>45317.083333333336</v>
      </c>
      <c r="C2836" s="4">
        <v>0</v>
      </c>
      <c r="D2836" s="4">
        <v>0</v>
      </c>
      <c r="E2836" s="4">
        <v>0</v>
      </c>
      <c r="F2836" s="4">
        <v>25.7464860447236</v>
      </c>
      <c r="G2836" s="4" t="str">
        <f t="shared" si="88"/>
        <v>OK</v>
      </c>
      <c r="H2836" s="4" t="str">
        <f t="shared" si="89"/>
        <v>ZERO</v>
      </c>
      <c r="I2836">
        <v>0</v>
      </c>
      <c r="J2836">
        <f>IFERROR(Table4[[#This Row],[energy_kwh]]/Table4[[#This Row],[expected_kwh]],0)</f>
        <v>0</v>
      </c>
      <c r="K2836" t="str">
        <f>IF(Table4[[#This Row],[Performance_Ratio]] &lt; 0.85, "Underperforming", "Performing")</f>
        <v>Underperforming</v>
      </c>
      <c r="L2836">
        <f>Table4[[#This Row],[energy_kwh]] - Table4[[#This Row],[expected_kwh]]</f>
        <v>0</v>
      </c>
      <c r="M2836" t="str">
        <f>IF(Table4[[#This Row],[Performance_Deviation]] &lt; 0, "Underperforming", "Outperforming")</f>
        <v>Outperforming</v>
      </c>
      <c r="N2836">
        <f>IF(Table4[[#This Row],[Performance_Ratio]] &lt; 0.85, Table4[[#This Row],[Performance_Deviation]] * 50 / 1000, 0)</f>
        <v>0</v>
      </c>
    </row>
    <row r="2837" spans="1:14" x14ac:dyDescent="0.3">
      <c r="A2837" s="6" t="s">
        <v>9</v>
      </c>
      <c r="B2837" s="5">
        <v>45317.125</v>
      </c>
      <c r="C2837" s="6">
        <v>0</v>
      </c>
      <c r="D2837" s="6">
        <v>0</v>
      </c>
      <c r="E2837" s="6">
        <v>0</v>
      </c>
      <c r="F2837" s="6">
        <v>79.171317240592501</v>
      </c>
      <c r="G2837" s="6" t="str">
        <f t="shared" si="88"/>
        <v>OK</v>
      </c>
      <c r="H2837" s="6" t="str">
        <f t="shared" si="89"/>
        <v>ZERO</v>
      </c>
      <c r="I2837">
        <v>0</v>
      </c>
      <c r="J2837">
        <f>IFERROR(Table4[[#This Row],[energy_kwh]]/Table4[[#This Row],[expected_kwh]],0)</f>
        <v>0</v>
      </c>
      <c r="K2837" t="str">
        <f>IF(Table4[[#This Row],[Performance_Ratio]] &lt; 0.85, "Underperforming", "Performing")</f>
        <v>Underperforming</v>
      </c>
      <c r="L2837">
        <f>Table4[[#This Row],[energy_kwh]] - Table4[[#This Row],[expected_kwh]]</f>
        <v>0</v>
      </c>
      <c r="M2837" t="str">
        <f>IF(Table4[[#This Row],[Performance_Deviation]] &lt; 0, "Underperforming", "Outperforming")</f>
        <v>Outperforming</v>
      </c>
      <c r="N2837">
        <f>IF(Table4[[#This Row],[Performance_Ratio]] &lt; 0.85, Table4[[#This Row],[Performance_Deviation]] * 50 / 1000, 0)</f>
        <v>0</v>
      </c>
    </row>
    <row r="2838" spans="1:14" x14ac:dyDescent="0.3">
      <c r="A2838" s="4" t="s">
        <v>9</v>
      </c>
      <c r="B2838" s="3">
        <v>45317.166666666664</v>
      </c>
      <c r="C2838" s="4">
        <v>0</v>
      </c>
      <c r="D2838" s="4">
        <v>0</v>
      </c>
      <c r="E2838" s="4">
        <v>0</v>
      </c>
      <c r="F2838" s="4">
        <v>93.045543767994204</v>
      </c>
      <c r="G2838" s="4" t="str">
        <f t="shared" si="88"/>
        <v>OK</v>
      </c>
      <c r="H2838" s="4" t="str">
        <f t="shared" si="89"/>
        <v>ZERO</v>
      </c>
      <c r="I2838">
        <v>0</v>
      </c>
      <c r="J2838">
        <f>IFERROR(Table4[[#This Row],[energy_kwh]]/Table4[[#This Row],[expected_kwh]],0)</f>
        <v>0</v>
      </c>
      <c r="K2838" t="str">
        <f>IF(Table4[[#This Row],[Performance_Ratio]] &lt; 0.85, "Underperforming", "Performing")</f>
        <v>Underperforming</v>
      </c>
      <c r="L2838">
        <f>Table4[[#This Row],[energy_kwh]] - Table4[[#This Row],[expected_kwh]]</f>
        <v>0</v>
      </c>
      <c r="M2838" t="str">
        <f>IF(Table4[[#This Row],[Performance_Deviation]] &lt; 0, "Underperforming", "Outperforming")</f>
        <v>Outperforming</v>
      </c>
      <c r="N2838">
        <f>IF(Table4[[#This Row],[Performance_Ratio]] &lt; 0.85, Table4[[#This Row],[Performance_Deviation]] * 50 / 1000, 0)</f>
        <v>0</v>
      </c>
    </row>
    <row r="2839" spans="1:14" x14ac:dyDescent="0.3">
      <c r="A2839" s="6" t="s">
        <v>9</v>
      </c>
      <c r="B2839" s="5">
        <v>45317.208333333336</v>
      </c>
      <c r="C2839" s="6">
        <v>0</v>
      </c>
      <c r="D2839" s="6">
        <v>0</v>
      </c>
      <c r="E2839" s="6">
        <v>0</v>
      </c>
      <c r="F2839" s="6">
        <v>40.201768863536998</v>
      </c>
      <c r="G2839" s="6" t="str">
        <f t="shared" si="88"/>
        <v>OK</v>
      </c>
      <c r="H2839" s="6" t="str">
        <f t="shared" si="89"/>
        <v>ZERO</v>
      </c>
      <c r="I2839">
        <v>0</v>
      </c>
      <c r="J2839">
        <f>IFERROR(Table4[[#This Row],[energy_kwh]]/Table4[[#This Row],[expected_kwh]],0)</f>
        <v>0</v>
      </c>
      <c r="K2839" t="str">
        <f>IF(Table4[[#This Row],[Performance_Ratio]] &lt; 0.85, "Underperforming", "Performing")</f>
        <v>Underperforming</v>
      </c>
      <c r="L2839">
        <f>Table4[[#This Row],[energy_kwh]] - Table4[[#This Row],[expected_kwh]]</f>
        <v>0</v>
      </c>
      <c r="M2839" t="str">
        <f>IF(Table4[[#This Row],[Performance_Deviation]] &lt; 0, "Underperforming", "Outperforming")</f>
        <v>Outperforming</v>
      </c>
      <c r="N2839">
        <f>IF(Table4[[#This Row],[Performance_Ratio]] &lt; 0.85, Table4[[#This Row],[Performance_Deviation]] * 50 / 1000, 0)</f>
        <v>0</v>
      </c>
    </row>
    <row r="2840" spans="1:14" x14ac:dyDescent="0.3">
      <c r="A2840" s="4" t="s">
        <v>9</v>
      </c>
      <c r="B2840" s="3">
        <v>45317.25</v>
      </c>
      <c r="C2840" s="4">
        <v>0</v>
      </c>
      <c r="D2840" s="4">
        <v>0</v>
      </c>
      <c r="E2840" s="4">
        <v>0</v>
      </c>
      <c r="F2840" s="4">
        <v>28.516590788262</v>
      </c>
      <c r="G2840" s="4" t="str">
        <f t="shared" si="88"/>
        <v>OK</v>
      </c>
      <c r="H2840" s="4" t="str">
        <f t="shared" si="89"/>
        <v>ZERO</v>
      </c>
      <c r="I2840">
        <v>0</v>
      </c>
      <c r="J2840">
        <f>IFERROR(Table4[[#This Row],[energy_kwh]]/Table4[[#This Row],[expected_kwh]],0)</f>
        <v>0</v>
      </c>
      <c r="K2840" t="str">
        <f>IF(Table4[[#This Row],[Performance_Ratio]] &lt; 0.85, "Underperforming", "Performing")</f>
        <v>Underperforming</v>
      </c>
      <c r="L2840">
        <f>Table4[[#This Row],[energy_kwh]] - Table4[[#This Row],[expected_kwh]]</f>
        <v>0</v>
      </c>
      <c r="M2840" t="str">
        <f>IF(Table4[[#This Row],[Performance_Deviation]] &lt; 0, "Underperforming", "Outperforming")</f>
        <v>Outperforming</v>
      </c>
      <c r="N2840">
        <f>IF(Table4[[#This Row],[Performance_Ratio]] &lt; 0.85, Table4[[#This Row],[Performance_Deviation]] * 50 / 1000, 0)</f>
        <v>0</v>
      </c>
    </row>
    <row r="2841" spans="1:14" x14ac:dyDescent="0.3">
      <c r="A2841" s="6" t="s">
        <v>9</v>
      </c>
      <c r="B2841" s="5">
        <v>45317.291666666664</v>
      </c>
      <c r="C2841" s="6">
        <v>223.280645137541</v>
      </c>
      <c r="D2841" s="6">
        <v>215.230560532032</v>
      </c>
      <c r="E2841" s="6">
        <v>215.230560532032</v>
      </c>
      <c r="F2841" s="6">
        <v>77.214160842227798</v>
      </c>
      <c r="G2841" s="6" t="str">
        <f t="shared" si="88"/>
        <v>OK</v>
      </c>
      <c r="H2841" s="6" t="str">
        <f t="shared" si="89"/>
        <v>NON-ZERO</v>
      </c>
      <c r="I2841">
        <v>248.466283298419</v>
      </c>
      <c r="J2841">
        <f>IFERROR(Table4[[#This Row],[energy_kwh]]/Table4[[#This Row],[expected_kwh]],0)</f>
        <v>0.86623648760234628</v>
      </c>
      <c r="K2841" t="str">
        <f>IF(Table4[[#This Row],[Performance_Ratio]] &lt; 0.85, "Underperforming", "Performing")</f>
        <v>Performing</v>
      </c>
      <c r="L2841">
        <f>Table4[[#This Row],[energy_kwh]] - Table4[[#This Row],[expected_kwh]]</f>
        <v>-33.235722766386999</v>
      </c>
      <c r="M2841" t="str">
        <f>IF(Table4[[#This Row],[Performance_Deviation]] &lt; 0, "Underperforming", "Outperforming")</f>
        <v>Underperforming</v>
      </c>
      <c r="N2841">
        <f>IF(Table4[[#This Row],[Performance_Ratio]] &lt; 0.85, Table4[[#This Row],[Performance_Deviation]] * 50 / 1000, 0)</f>
        <v>0</v>
      </c>
    </row>
    <row r="2842" spans="1:14" x14ac:dyDescent="0.3">
      <c r="A2842" s="4" t="s">
        <v>9</v>
      </c>
      <c r="B2842" s="3">
        <v>45317.333333333336</v>
      </c>
      <c r="C2842" s="4">
        <v>427.43549078868699</v>
      </c>
      <c r="D2842" s="4">
        <v>412.024876661669</v>
      </c>
      <c r="E2842" s="4">
        <v>412.024876661669</v>
      </c>
      <c r="F2842" s="4">
        <v>92.064168258858402</v>
      </c>
      <c r="G2842" s="4" t="str">
        <f t="shared" si="88"/>
        <v>OK</v>
      </c>
      <c r="H2842" s="4" t="str">
        <f t="shared" si="89"/>
        <v>NON-ZERO</v>
      </c>
      <c r="I2842">
        <v>479.99999999999898</v>
      </c>
      <c r="J2842">
        <f>IFERROR(Table4[[#This Row],[energy_kwh]]/Table4[[#This Row],[expected_kwh]],0)</f>
        <v>0.85838515971181228</v>
      </c>
      <c r="K2842" t="str">
        <f>IF(Table4[[#This Row],[Performance_Ratio]] &lt; 0.85, "Underperforming", "Performing")</f>
        <v>Performing</v>
      </c>
      <c r="L2842">
        <f>Table4[[#This Row],[energy_kwh]] - Table4[[#This Row],[expected_kwh]]</f>
        <v>-67.975123338329979</v>
      </c>
      <c r="M2842" t="str">
        <f>IF(Table4[[#This Row],[Performance_Deviation]] &lt; 0, "Underperforming", "Outperforming")</f>
        <v>Underperforming</v>
      </c>
      <c r="N2842">
        <f>IF(Table4[[#This Row],[Performance_Ratio]] &lt; 0.85, Table4[[#This Row],[Performance_Deviation]] * 50 / 1000, 0)</f>
        <v>0</v>
      </c>
    </row>
    <row r="2843" spans="1:14" x14ac:dyDescent="0.3">
      <c r="A2843" s="6" t="s">
        <v>9</v>
      </c>
      <c r="B2843" s="5">
        <v>45317.375</v>
      </c>
      <c r="C2843" s="6">
        <v>655.85639196664499</v>
      </c>
      <c r="D2843" s="6">
        <v>632.21036818727396</v>
      </c>
      <c r="E2843" s="6">
        <v>632.21036818727396</v>
      </c>
      <c r="F2843" s="6">
        <v>55.533752173086597</v>
      </c>
      <c r="G2843" s="6" t="str">
        <f t="shared" si="88"/>
        <v>OK</v>
      </c>
      <c r="H2843" s="6" t="str">
        <f t="shared" si="89"/>
        <v>NON-ZERO</v>
      </c>
      <c r="I2843">
        <v>678.82250993908497</v>
      </c>
      <c r="J2843">
        <f>IFERROR(Table4[[#This Row],[energy_kwh]]/Table4[[#This Row],[expected_kwh]],0)</f>
        <v>0.93133383017013704</v>
      </c>
      <c r="K2843" t="str">
        <f>IF(Table4[[#This Row],[Performance_Ratio]] &lt; 0.85, "Underperforming", "Performing")</f>
        <v>Performing</v>
      </c>
      <c r="L2843">
        <f>Table4[[#This Row],[energy_kwh]] - Table4[[#This Row],[expected_kwh]]</f>
        <v>-46.612141751811009</v>
      </c>
      <c r="M2843" t="str">
        <f>IF(Table4[[#This Row],[Performance_Deviation]] &lt; 0, "Underperforming", "Outperforming")</f>
        <v>Underperforming</v>
      </c>
      <c r="N2843">
        <f>IF(Table4[[#This Row],[Performance_Ratio]] &lt; 0.85, Table4[[#This Row],[Performance_Deviation]] * 50 / 1000, 0)</f>
        <v>0</v>
      </c>
    </row>
    <row r="2844" spans="1:14" x14ac:dyDescent="0.3">
      <c r="A2844" s="4" t="s">
        <v>9</v>
      </c>
      <c r="B2844" s="3">
        <v>45317.416666666664</v>
      </c>
      <c r="C2844" s="4">
        <v>778.19879367028295</v>
      </c>
      <c r="D2844" s="4">
        <v>750.14187845897095</v>
      </c>
      <c r="E2844" s="4">
        <v>750.14187845897095</v>
      </c>
      <c r="F2844" s="4">
        <v>38.874832628410303</v>
      </c>
      <c r="G2844" s="4" t="str">
        <f t="shared" si="88"/>
        <v>OK</v>
      </c>
      <c r="H2844" s="4" t="str">
        <f t="shared" si="89"/>
        <v>NON-ZERO</v>
      </c>
      <c r="I2844">
        <v>831.38438763306101</v>
      </c>
      <c r="J2844">
        <f>IFERROR(Table4[[#This Row],[energy_kwh]]/Table4[[#This Row],[expected_kwh]],0)</f>
        <v>0.90228044887228842</v>
      </c>
      <c r="K2844" t="str">
        <f>IF(Table4[[#This Row],[Performance_Ratio]] &lt; 0.85, "Underperforming", "Performing")</f>
        <v>Performing</v>
      </c>
      <c r="L2844">
        <f>Table4[[#This Row],[energy_kwh]] - Table4[[#This Row],[expected_kwh]]</f>
        <v>-81.24250917409006</v>
      </c>
      <c r="M2844" t="str">
        <f>IF(Table4[[#This Row],[Performance_Deviation]] &lt; 0, "Underperforming", "Outperforming")</f>
        <v>Underperforming</v>
      </c>
      <c r="N2844">
        <f>IF(Table4[[#This Row],[Performance_Ratio]] &lt; 0.85, Table4[[#This Row],[Performance_Deviation]] * 50 / 1000, 0)</f>
        <v>0</v>
      </c>
    </row>
    <row r="2845" spans="1:14" x14ac:dyDescent="0.3">
      <c r="A2845" s="6" t="s">
        <v>9</v>
      </c>
      <c r="B2845" s="5">
        <v>45317.458333333336</v>
      </c>
      <c r="C2845" s="6">
        <v>885.00289433613204</v>
      </c>
      <c r="D2845" s="6">
        <v>853.09530032529403</v>
      </c>
      <c r="E2845" s="6">
        <v>853.09530032529403</v>
      </c>
      <c r="F2845" s="6">
        <v>30.352070670342201</v>
      </c>
      <c r="G2845" s="6" t="str">
        <f t="shared" si="88"/>
        <v>OK</v>
      </c>
      <c r="H2845" s="6" t="str">
        <f t="shared" si="89"/>
        <v>NON-ZERO</v>
      </c>
      <c r="I2845">
        <v>927.28879323750505</v>
      </c>
      <c r="J2845">
        <f>IFERROR(Table4[[#This Row],[energy_kwh]]/Table4[[#This Row],[expected_kwh]],0)</f>
        <v>0.91998879588183702</v>
      </c>
      <c r="K2845" t="str">
        <f>IF(Table4[[#This Row],[Performance_Ratio]] &lt; 0.85, "Underperforming", "Performing")</f>
        <v>Performing</v>
      </c>
      <c r="L2845">
        <f>Table4[[#This Row],[energy_kwh]] - Table4[[#This Row],[expected_kwh]]</f>
        <v>-74.193492912211013</v>
      </c>
      <c r="M2845" t="str">
        <f>IF(Table4[[#This Row],[Performance_Deviation]] &lt; 0, "Underperforming", "Outperforming")</f>
        <v>Underperforming</v>
      </c>
      <c r="N2845">
        <f>IF(Table4[[#This Row],[Performance_Ratio]] &lt; 0.85, Table4[[#This Row],[Performance_Deviation]] * 50 / 1000, 0)</f>
        <v>0</v>
      </c>
    </row>
    <row r="2846" spans="1:14" x14ac:dyDescent="0.3">
      <c r="A2846" s="4" t="s">
        <v>9</v>
      </c>
      <c r="B2846" s="3">
        <v>45317.5</v>
      </c>
      <c r="C2846" s="4">
        <v>974.68100804483299</v>
      </c>
      <c r="D2846" s="4">
        <v>939.54018975621295</v>
      </c>
      <c r="E2846" s="4">
        <v>939.54018975621295</v>
      </c>
      <c r="F2846" s="4">
        <v>25.8235936514968</v>
      </c>
      <c r="G2846" s="4" t="str">
        <f t="shared" si="88"/>
        <v>OK</v>
      </c>
      <c r="H2846" s="4" t="str">
        <f t="shared" si="89"/>
        <v>NON-ZERO</v>
      </c>
      <c r="I2846">
        <v>960</v>
      </c>
      <c r="J2846">
        <f>IFERROR(Table4[[#This Row],[energy_kwh]]/Table4[[#This Row],[expected_kwh]],0)</f>
        <v>0.97868769766272179</v>
      </c>
      <c r="K2846" t="str">
        <f>IF(Table4[[#This Row],[Performance_Ratio]] &lt; 0.85, "Underperforming", "Performing")</f>
        <v>Performing</v>
      </c>
      <c r="L2846">
        <f>Table4[[#This Row],[energy_kwh]] - Table4[[#This Row],[expected_kwh]]</f>
        <v>-20.459810243787047</v>
      </c>
      <c r="M2846" t="str">
        <f>IF(Table4[[#This Row],[Performance_Deviation]] &lt; 0, "Underperforming", "Outperforming")</f>
        <v>Underperforming</v>
      </c>
      <c r="N2846">
        <f>IF(Table4[[#This Row],[Performance_Ratio]] &lt; 0.85, Table4[[#This Row],[Performance_Deviation]] * 50 / 1000, 0)</f>
        <v>0</v>
      </c>
    </row>
    <row r="2847" spans="1:14" x14ac:dyDescent="0.3">
      <c r="A2847" s="6" t="s">
        <v>9</v>
      </c>
      <c r="B2847" s="5">
        <v>45317.541666666664</v>
      </c>
      <c r="C2847" s="6">
        <v>990.12177683200196</v>
      </c>
      <c r="D2847" s="6">
        <v>954.42426230563103</v>
      </c>
      <c r="E2847" s="6">
        <v>954.42426230563103</v>
      </c>
      <c r="F2847" s="6">
        <v>48.261470461097801</v>
      </c>
      <c r="G2847" s="6" t="str">
        <f t="shared" si="88"/>
        <v>OK</v>
      </c>
      <c r="H2847" s="6" t="str">
        <f t="shared" si="89"/>
        <v>NON-ZERO</v>
      </c>
      <c r="I2847">
        <v>927.28879323750505</v>
      </c>
      <c r="J2847">
        <f>IFERROR(Table4[[#This Row],[energy_kwh]]/Table4[[#This Row],[expected_kwh]],0)</f>
        <v>1.0292632341359222</v>
      </c>
      <c r="K2847" t="str">
        <f>IF(Table4[[#This Row],[Performance_Ratio]] &lt; 0.85, "Underperforming", "Performing")</f>
        <v>Performing</v>
      </c>
      <c r="L2847">
        <f>Table4[[#This Row],[energy_kwh]] - Table4[[#This Row],[expected_kwh]]</f>
        <v>27.135469068125985</v>
      </c>
      <c r="M2847" t="str">
        <f>IF(Table4[[#This Row],[Performance_Deviation]] &lt; 0, "Underperforming", "Outperforming")</f>
        <v>Outperforming</v>
      </c>
      <c r="N2847">
        <f>IF(Table4[[#This Row],[Performance_Ratio]] &lt; 0.85, Table4[[#This Row],[Performance_Deviation]] * 50 / 1000, 0)</f>
        <v>0</v>
      </c>
    </row>
    <row r="2848" spans="1:14" x14ac:dyDescent="0.3">
      <c r="A2848" s="4" t="s">
        <v>9</v>
      </c>
      <c r="B2848" s="3">
        <v>45317.583333333336</v>
      </c>
      <c r="C2848" s="4">
        <v>835.65952236457895</v>
      </c>
      <c r="D2848" s="4">
        <v>805.53093754124802</v>
      </c>
      <c r="E2848" s="4">
        <v>805.53093754124802</v>
      </c>
      <c r="F2848" s="4">
        <v>66.052339883648798</v>
      </c>
      <c r="G2848" s="4" t="str">
        <f t="shared" si="88"/>
        <v>OK</v>
      </c>
      <c r="H2848" s="4" t="str">
        <f t="shared" si="89"/>
        <v>NON-ZERO</v>
      </c>
      <c r="I2848">
        <v>831.38438763306101</v>
      </c>
      <c r="J2848">
        <f>IFERROR(Table4[[#This Row],[energy_kwh]]/Table4[[#This Row],[expected_kwh]],0)</f>
        <v>0.96890313256252336</v>
      </c>
      <c r="K2848" t="str">
        <f>IF(Table4[[#This Row],[Performance_Ratio]] &lt; 0.85, "Underperforming", "Performing")</f>
        <v>Performing</v>
      </c>
      <c r="L2848">
        <f>Table4[[#This Row],[energy_kwh]] - Table4[[#This Row],[expected_kwh]]</f>
        <v>-25.853450091812988</v>
      </c>
      <c r="M2848" t="str">
        <f>IF(Table4[[#This Row],[Performance_Deviation]] &lt; 0, "Underperforming", "Outperforming")</f>
        <v>Underperforming</v>
      </c>
      <c r="N2848">
        <f>IF(Table4[[#This Row],[Performance_Ratio]] &lt; 0.85, Table4[[#This Row],[Performance_Deviation]] * 50 / 1000, 0)</f>
        <v>0</v>
      </c>
    </row>
    <row r="2849" spans="1:14" x14ac:dyDescent="0.3">
      <c r="A2849" s="6" t="s">
        <v>9</v>
      </c>
      <c r="B2849" s="5">
        <v>45317.625</v>
      </c>
      <c r="C2849" s="6">
        <v>746.45550684924399</v>
      </c>
      <c r="D2849" s="6">
        <v>719.54305332832496</v>
      </c>
      <c r="E2849" s="6">
        <v>719.54305332832496</v>
      </c>
      <c r="F2849" s="6">
        <v>61.505002012506097</v>
      </c>
      <c r="G2849" s="6" t="str">
        <f t="shared" si="88"/>
        <v>OK</v>
      </c>
      <c r="H2849" s="6" t="str">
        <f t="shared" si="89"/>
        <v>NON-ZERO</v>
      </c>
      <c r="I2849">
        <v>678.82250993908497</v>
      </c>
      <c r="J2849">
        <f>IFERROR(Table4[[#This Row],[energy_kwh]]/Table4[[#This Row],[expected_kwh]],0)</f>
        <v>1.0599870257586097</v>
      </c>
      <c r="K2849" t="str">
        <f>IF(Table4[[#This Row],[Performance_Ratio]] &lt; 0.85, "Underperforming", "Performing")</f>
        <v>Performing</v>
      </c>
      <c r="L2849">
        <f>Table4[[#This Row],[energy_kwh]] - Table4[[#This Row],[expected_kwh]]</f>
        <v>40.720543389239992</v>
      </c>
      <c r="M2849" t="str">
        <f>IF(Table4[[#This Row],[Performance_Deviation]] &lt; 0, "Underperforming", "Outperforming")</f>
        <v>Outperforming</v>
      </c>
      <c r="N2849">
        <f>IF(Table4[[#This Row],[Performance_Ratio]] &lt; 0.85, Table4[[#This Row],[Performance_Deviation]] * 50 / 1000, 0)</f>
        <v>0</v>
      </c>
    </row>
    <row r="2850" spans="1:14" x14ac:dyDescent="0.3">
      <c r="A2850" s="4" t="s">
        <v>9</v>
      </c>
      <c r="B2850" s="3">
        <v>45317.666666666664</v>
      </c>
      <c r="C2850" s="4">
        <v>410.08605962665098</v>
      </c>
      <c r="D2850" s="4">
        <v>395.300956002909</v>
      </c>
      <c r="E2850" s="4">
        <v>395.300956002909</v>
      </c>
      <c r="F2850" s="4">
        <v>94.0986983315195</v>
      </c>
      <c r="G2850" s="4" t="str">
        <f t="shared" si="88"/>
        <v>OK</v>
      </c>
      <c r="H2850" s="4" t="str">
        <f t="shared" si="89"/>
        <v>NON-ZERO</v>
      </c>
      <c r="I2850">
        <v>479.99999999999898</v>
      </c>
      <c r="J2850">
        <f>IFERROR(Table4[[#This Row],[energy_kwh]]/Table4[[#This Row],[expected_kwh]],0)</f>
        <v>0.82354365833939547</v>
      </c>
      <c r="K2850" t="str">
        <f>IF(Table4[[#This Row],[Performance_Ratio]] &lt; 0.85, "Underperforming", "Performing")</f>
        <v>Underperforming</v>
      </c>
      <c r="L2850">
        <f>Table4[[#This Row],[energy_kwh]] - Table4[[#This Row],[expected_kwh]]</f>
        <v>-84.699043997089973</v>
      </c>
      <c r="M2850" t="str">
        <f>IF(Table4[[#This Row],[Performance_Deviation]] &lt; 0, "Underperforming", "Outperforming")</f>
        <v>Underperforming</v>
      </c>
      <c r="N2850">
        <f>IF(Table4[[#This Row],[Performance_Ratio]] &lt; 0.85, Table4[[#This Row],[Performance_Deviation]] * 50 / 1000, 0)</f>
        <v>-4.234952199854499</v>
      </c>
    </row>
    <row r="2851" spans="1:14" x14ac:dyDescent="0.3">
      <c r="A2851" s="6" t="s">
        <v>9</v>
      </c>
      <c r="B2851" s="5">
        <v>45317.708333333336</v>
      </c>
      <c r="C2851" s="6">
        <v>211.79038403972501</v>
      </c>
      <c r="D2851" s="6">
        <v>204.15456540841001</v>
      </c>
      <c r="E2851" s="6">
        <v>204.15456540841001</v>
      </c>
      <c r="F2851" s="6">
        <v>22.849837797855599</v>
      </c>
      <c r="G2851" s="6" t="str">
        <f t="shared" si="88"/>
        <v>OK</v>
      </c>
      <c r="H2851" s="6" t="str">
        <f t="shared" si="89"/>
        <v>NON-ZERO</v>
      </c>
      <c r="I2851">
        <v>248.46628329842</v>
      </c>
      <c r="J2851">
        <f>IFERROR(Table4[[#This Row],[energy_kwh]]/Table4[[#This Row],[expected_kwh]],0)</f>
        <v>0.82165903034501675</v>
      </c>
      <c r="K2851" t="str">
        <f>IF(Table4[[#This Row],[Performance_Ratio]] &lt; 0.85, "Underperforming", "Performing")</f>
        <v>Underperforming</v>
      </c>
      <c r="L2851">
        <f>Table4[[#This Row],[energy_kwh]] - Table4[[#This Row],[expected_kwh]]</f>
        <v>-44.311717890009987</v>
      </c>
      <c r="M2851" t="str">
        <f>IF(Table4[[#This Row],[Performance_Deviation]] &lt; 0, "Underperforming", "Outperforming")</f>
        <v>Underperforming</v>
      </c>
      <c r="N2851">
        <f>IF(Table4[[#This Row],[Performance_Ratio]] &lt; 0.85, Table4[[#This Row],[Performance_Deviation]] * 50 / 1000, 0)</f>
        <v>-2.2155858945004994</v>
      </c>
    </row>
    <row r="2852" spans="1:14" x14ac:dyDescent="0.3">
      <c r="A2852" s="4" t="s">
        <v>9</v>
      </c>
      <c r="B2852" s="3">
        <v>45317.75</v>
      </c>
      <c r="C2852" s="7">
        <v>1.08766696423594E-13</v>
      </c>
      <c r="D2852" s="7">
        <v>1.04845258862661E-13</v>
      </c>
      <c r="E2852" s="7">
        <v>1.04845258862661E-13</v>
      </c>
      <c r="F2852" s="4">
        <v>86.773584216023806</v>
      </c>
      <c r="G2852" s="4" t="str">
        <f t="shared" si="88"/>
        <v>OK</v>
      </c>
      <c r="H2852" s="4" t="str">
        <f t="shared" si="89"/>
        <v>NON-ZERO</v>
      </c>
      <c r="I2852" s="2">
        <v>1.1756609271814501E-13</v>
      </c>
      <c r="J2852">
        <f>IFERROR(Table4[[#This Row],[energy_kwh]]/Table4[[#This Row],[expected_kwh]],0)</f>
        <v>0.89179844663221763</v>
      </c>
      <c r="K2852" t="str">
        <f>IF(Table4[[#This Row],[Performance_Ratio]] &lt; 0.85, "Underperforming", "Performing")</f>
        <v>Performing</v>
      </c>
      <c r="L2852">
        <f>Table4[[#This Row],[energy_kwh]] - Table4[[#This Row],[expected_kwh]]</f>
        <v>-1.2720833855484011E-14</v>
      </c>
      <c r="M2852" t="str">
        <f>IF(Table4[[#This Row],[Performance_Deviation]] &lt; 0, "Underperforming", "Outperforming")</f>
        <v>Underperforming</v>
      </c>
      <c r="N2852">
        <f>IF(Table4[[#This Row],[Performance_Ratio]] &lt; 0.85, Table4[[#This Row],[Performance_Deviation]] * 50 / 1000, 0)</f>
        <v>0</v>
      </c>
    </row>
    <row r="2853" spans="1:14" x14ac:dyDescent="0.3">
      <c r="A2853" s="6" t="s">
        <v>9</v>
      </c>
      <c r="B2853" s="5">
        <v>45317.791666666664</v>
      </c>
      <c r="C2853" s="6">
        <v>0</v>
      </c>
      <c r="D2853" s="6">
        <v>0</v>
      </c>
      <c r="E2853" s="6">
        <v>0</v>
      </c>
      <c r="F2853" s="6">
        <v>25.4511616880608</v>
      </c>
      <c r="G2853" s="6" t="str">
        <f t="shared" si="88"/>
        <v>OK</v>
      </c>
      <c r="H2853" s="6" t="str">
        <f t="shared" si="89"/>
        <v>ZERO</v>
      </c>
      <c r="I2853">
        <v>0</v>
      </c>
      <c r="J2853">
        <f>IFERROR(Table4[[#This Row],[energy_kwh]]/Table4[[#This Row],[expected_kwh]],0)</f>
        <v>0</v>
      </c>
      <c r="K2853" t="str">
        <f>IF(Table4[[#This Row],[Performance_Ratio]] &lt; 0.85, "Underperforming", "Performing")</f>
        <v>Underperforming</v>
      </c>
      <c r="L2853">
        <f>Table4[[#This Row],[energy_kwh]] - Table4[[#This Row],[expected_kwh]]</f>
        <v>0</v>
      </c>
      <c r="M2853" t="str">
        <f>IF(Table4[[#This Row],[Performance_Deviation]] &lt; 0, "Underperforming", "Outperforming")</f>
        <v>Outperforming</v>
      </c>
      <c r="N2853">
        <f>IF(Table4[[#This Row],[Performance_Ratio]] &lt; 0.85, Table4[[#This Row],[Performance_Deviation]] * 50 / 1000, 0)</f>
        <v>0</v>
      </c>
    </row>
    <row r="2854" spans="1:14" x14ac:dyDescent="0.3">
      <c r="A2854" s="4" t="s">
        <v>9</v>
      </c>
      <c r="B2854" s="3">
        <v>45317.833333333336</v>
      </c>
      <c r="C2854" s="4">
        <v>0</v>
      </c>
      <c r="D2854" s="4">
        <v>0</v>
      </c>
      <c r="E2854" s="4">
        <v>0</v>
      </c>
      <c r="F2854" s="4">
        <v>52.533830165552899</v>
      </c>
      <c r="G2854" s="4" t="str">
        <f t="shared" si="88"/>
        <v>OK</v>
      </c>
      <c r="H2854" s="4" t="str">
        <f t="shared" si="89"/>
        <v>ZERO</v>
      </c>
      <c r="I2854">
        <v>0</v>
      </c>
      <c r="J2854">
        <f>IFERROR(Table4[[#This Row],[energy_kwh]]/Table4[[#This Row],[expected_kwh]],0)</f>
        <v>0</v>
      </c>
      <c r="K2854" t="str">
        <f>IF(Table4[[#This Row],[Performance_Ratio]] &lt; 0.85, "Underperforming", "Performing")</f>
        <v>Underperforming</v>
      </c>
      <c r="L2854">
        <f>Table4[[#This Row],[energy_kwh]] - Table4[[#This Row],[expected_kwh]]</f>
        <v>0</v>
      </c>
      <c r="M2854" t="str">
        <f>IF(Table4[[#This Row],[Performance_Deviation]] &lt; 0, "Underperforming", "Outperforming")</f>
        <v>Outperforming</v>
      </c>
      <c r="N2854">
        <f>IF(Table4[[#This Row],[Performance_Ratio]] &lt; 0.85, Table4[[#This Row],[Performance_Deviation]] * 50 / 1000, 0)</f>
        <v>0</v>
      </c>
    </row>
    <row r="2855" spans="1:14" x14ac:dyDescent="0.3">
      <c r="A2855" s="6" t="s">
        <v>9</v>
      </c>
      <c r="B2855" s="5">
        <v>45317.875</v>
      </c>
      <c r="C2855" s="6">
        <v>0</v>
      </c>
      <c r="D2855" s="6">
        <v>0</v>
      </c>
      <c r="E2855" s="6">
        <v>0</v>
      </c>
      <c r="F2855" s="6">
        <v>90.594429813323501</v>
      </c>
      <c r="G2855" s="6" t="str">
        <f t="shared" si="88"/>
        <v>OK</v>
      </c>
      <c r="H2855" s="6" t="str">
        <f t="shared" si="89"/>
        <v>ZERO</v>
      </c>
      <c r="I2855">
        <v>0</v>
      </c>
      <c r="J2855">
        <f>IFERROR(Table4[[#This Row],[energy_kwh]]/Table4[[#This Row],[expected_kwh]],0)</f>
        <v>0</v>
      </c>
      <c r="K2855" t="str">
        <f>IF(Table4[[#This Row],[Performance_Ratio]] &lt; 0.85, "Underperforming", "Performing")</f>
        <v>Underperforming</v>
      </c>
      <c r="L2855">
        <f>Table4[[#This Row],[energy_kwh]] - Table4[[#This Row],[expected_kwh]]</f>
        <v>0</v>
      </c>
      <c r="M2855" t="str">
        <f>IF(Table4[[#This Row],[Performance_Deviation]] &lt; 0, "Underperforming", "Outperforming")</f>
        <v>Outperforming</v>
      </c>
      <c r="N2855">
        <f>IF(Table4[[#This Row],[Performance_Ratio]] &lt; 0.85, Table4[[#This Row],[Performance_Deviation]] * 50 / 1000, 0)</f>
        <v>0</v>
      </c>
    </row>
    <row r="2856" spans="1:14" x14ac:dyDescent="0.3">
      <c r="A2856" s="4" t="s">
        <v>9</v>
      </c>
      <c r="B2856" s="3">
        <v>45317.916666666664</v>
      </c>
      <c r="C2856" s="4">
        <v>0</v>
      </c>
      <c r="D2856" s="4">
        <v>0</v>
      </c>
      <c r="E2856" s="4">
        <v>0</v>
      </c>
      <c r="F2856" s="4">
        <v>32.121204554772298</v>
      </c>
      <c r="G2856" s="4" t="str">
        <f t="shared" si="88"/>
        <v>OK</v>
      </c>
      <c r="H2856" s="4" t="str">
        <f t="shared" si="89"/>
        <v>ZERO</v>
      </c>
      <c r="I2856">
        <v>0</v>
      </c>
      <c r="J2856">
        <f>IFERROR(Table4[[#This Row],[energy_kwh]]/Table4[[#This Row],[expected_kwh]],0)</f>
        <v>0</v>
      </c>
      <c r="K2856" t="str">
        <f>IF(Table4[[#This Row],[Performance_Ratio]] &lt; 0.85, "Underperforming", "Performing")</f>
        <v>Underperforming</v>
      </c>
      <c r="L2856">
        <f>Table4[[#This Row],[energy_kwh]] - Table4[[#This Row],[expected_kwh]]</f>
        <v>0</v>
      </c>
      <c r="M2856" t="str">
        <f>IF(Table4[[#This Row],[Performance_Deviation]] &lt; 0, "Underperforming", "Outperforming")</f>
        <v>Outperforming</v>
      </c>
      <c r="N2856">
        <f>IF(Table4[[#This Row],[Performance_Ratio]] &lt; 0.85, Table4[[#This Row],[Performance_Deviation]] * 50 / 1000, 0)</f>
        <v>0</v>
      </c>
    </row>
    <row r="2857" spans="1:14" x14ac:dyDescent="0.3">
      <c r="A2857" s="6" t="s">
        <v>9</v>
      </c>
      <c r="B2857" s="5">
        <v>45317.958333333336</v>
      </c>
      <c r="C2857" s="6">
        <v>0</v>
      </c>
      <c r="D2857" s="6">
        <v>0</v>
      </c>
      <c r="E2857" s="6">
        <v>0</v>
      </c>
      <c r="F2857" s="6">
        <v>43.661690486166698</v>
      </c>
      <c r="G2857" s="6" t="str">
        <f t="shared" si="88"/>
        <v>OK</v>
      </c>
      <c r="H2857" s="6" t="str">
        <f t="shared" si="89"/>
        <v>ZERO</v>
      </c>
      <c r="I2857">
        <v>0</v>
      </c>
      <c r="J2857">
        <f>IFERROR(Table4[[#This Row],[energy_kwh]]/Table4[[#This Row],[expected_kwh]],0)</f>
        <v>0</v>
      </c>
      <c r="K2857" t="str">
        <f>IF(Table4[[#This Row],[Performance_Ratio]] &lt; 0.85, "Underperforming", "Performing")</f>
        <v>Underperforming</v>
      </c>
      <c r="L2857">
        <f>Table4[[#This Row],[energy_kwh]] - Table4[[#This Row],[expected_kwh]]</f>
        <v>0</v>
      </c>
      <c r="M2857" t="str">
        <f>IF(Table4[[#This Row],[Performance_Deviation]] &lt; 0, "Underperforming", "Outperforming")</f>
        <v>Outperforming</v>
      </c>
      <c r="N2857">
        <f>IF(Table4[[#This Row],[Performance_Ratio]] &lt; 0.85, Table4[[#This Row],[Performance_Deviation]] * 50 / 1000, 0)</f>
        <v>0</v>
      </c>
    </row>
    <row r="2858" spans="1:14" x14ac:dyDescent="0.3">
      <c r="A2858" s="4" t="s">
        <v>9</v>
      </c>
      <c r="B2858" s="3">
        <v>45318</v>
      </c>
      <c r="C2858" s="4">
        <v>0</v>
      </c>
      <c r="D2858" s="4">
        <v>0</v>
      </c>
      <c r="E2858" s="4">
        <v>0</v>
      </c>
      <c r="F2858" s="4">
        <v>20.9444459500621</v>
      </c>
      <c r="G2858" s="4" t="str">
        <f t="shared" si="88"/>
        <v>OK</v>
      </c>
      <c r="H2858" s="4" t="str">
        <f t="shared" si="89"/>
        <v>ZERO</v>
      </c>
      <c r="I2858">
        <v>0</v>
      </c>
      <c r="J2858">
        <f>IFERROR(Table4[[#This Row],[energy_kwh]]/Table4[[#This Row],[expected_kwh]],0)</f>
        <v>0</v>
      </c>
      <c r="K2858" t="str">
        <f>IF(Table4[[#This Row],[Performance_Ratio]] &lt; 0.85, "Underperforming", "Performing")</f>
        <v>Underperforming</v>
      </c>
      <c r="L2858">
        <f>Table4[[#This Row],[energy_kwh]] - Table4[[#This Row],[expected_kwh]]</f>
        <v>0</v>
      </c>
      <c r="M2858" t="str">
        <f>IF(Table4[[#This Row],[Performance_Deviation]] &lt; 0, "Underperforming", "Outperforming")</f>
        <v>Outperforming</v>
      </c>
      <c r="N2858">
        <f>IF(Table4[[#This Row],[Performance_Ratio]] &lt; 0.85, Table4[[#This Row],[Performance_Deviation]] * 50 / 1000, 0)</f>
        <v>0</v>
      </c>
    </row>
    <row r="2859" spans="1:14" x14ac:dyDescent="0.3">
      <c r="A2859" s="6" t="s">
        <v>9</v>
      </c>
      <c r="B2859" s="5">
        <v>45318.041666666664</v>
      </c>
      <c r="C2859" s="6">
        <v>0</v>
      </c>
      <c r="D2859" s="6">
        <v>0</v>
      </c>
      <c r="E2859" s="6">
        <v>0</v>
      </c>
      <c r="F2859" s="6">
        <v>46.387017281510801</v>
      </c>
      <c r="G2859" s="6" t="str">
        <f t="shared" si="88"/>
        <v>OK</v>
      </c>
      <c r="H2859" s="6" t="str">
        <f t="shared" si="89"/>
        <v>ZERO</v>
      </c>
      <c r="I2859">
        <v>0</v>
      </c>
      <c r="J2859">
        <f>IFERROR(Table4[[#This Row],[energy_kwh]]/Table4[[#This Row],[expected_kwh]],0)</f>
        <v>0</v>
      </c>
      <c r="K2859" t="str">
        <f>IF(Table4[[#This Row],[Performance_Ratio]] &lt; 0.85, "Underperforming", "Performing")</f>
        <v>Underperforming</v>
      </c>
      <c r="L2859">
        <f>Table4[[#This Row],[energy_kwh]] - Table4[[#This Row],[expected_kwh]]</f>
        <v>0</v>
      </c>
      <c r="M2859" t="str">
        <f>IF(Table4[[#This Row],[Performance_Deviation]] &lt; 0, "Underperforming", "Outperforming")</f>
        <v>Outperforming</v>
      </c>
      <c r="N2859">
        <f>IF(Table4[[#This Row],[Performance_Ratio]] &lt; 0.85, Table4[[#This Row],[Performance_Deviation]] * 50 / 1000, 0)</f>
        <v>0</v>
      </c>
    </row>
    <row r="2860" spans="1:14" x14ac:dyDescent="0.3">
      <c r="A2860" s="4" t="s">
        <v>9</v>
      </c>
      <c r="B2860" s="3">
        <v>45318.083333333336</v>
      </c>
      <c r="C2860" s="4">
        <v>0</v>
      </c>
      <c r="D2860" s="4">
        <v>0</v>
      </c>
      <c r="E2860" s="4">
        <v>0</v>
      </c>
      <c r="F2860" s="4">
        <v>93.7411989990309</v>
      </c>
      <c r="G2860" s="4" t="str">
        <f t="shared" si="88"/>
        <v>OK</v>
      </c>
      <c r="H2860" s="4" t="str">
        <f t="shared" si="89"/>
        <v>ZERO</v>
      </c>
      <c r="I2860">
        <v>0</v>
      </c>
      <c r="J2860">
        <f>IFERROR(Table4[[#This Row],[energy_kwh]]/Table4[[#This Row],[expected_kwh]],0)</f>
        <v>0</v>
      </c>
      <c r="K2860" t="str">
        <f>IF(Table4[[#This Row],[Performance_Ratio]] &lt; 0.85, "Underperforming", "Performing")</f>
        <v>Underperforming</v>
      </c>
      <c r="L2860">
        <f>Table4[[#This Row],[energy_kwh]] - Table4[[#This Row],[expected_kwh]]</f>
        <v>0</v>
      </c>
      <c r="M2860" t="str">
        <f>IF(Table4[[#This Row],[Performance_Deviation]] &lt; 0, "Underperforming", "Outperforming")</f>
        <v>Outperforming</v>
      </c>
      <c r="N2860">
        <f>IF(Table4[[#This Row],[Performance_Ratio]] &lt; 0.85, Table4[[#This Row],[Performance_Deviation]] * 50 / 1000, 0)</f>
        <v>0</v>
      </c>
    </row>
    <row r="2861" spans="1:14" x14ac:dyDescent="0.3">
      <c r="A2861" s="6" t="s">
        <v>9</v>
      </c>
      <c r="B2861" s="5">
        <v>45318.125</v>
      </c>
      <c r="C2861" s="6">
        <v>0</v>
      </c>
      <c r="D2861" s="6">
        <v>0</v>
      </c>
      <c r="E2861" s="6">
        <v>0</v>
      </c>
      <c r="F2861" s="6">
        <v>56.835572685099599</v>
      </c>
      <c r="G2861" s="6" t="str">
        <f t="shared" si="88"/>
        <v>OK</v>
      </c>
      <c r="H2861" s="6" t="str">
        <f t="shared" si="89"/>
        <v>ZERO</v>
      </c>
      <c r="I2861">
        <v>0</v>
      </c>
      <c r="J2861">
        <f>IFERROR(Table4[[#This Row],[energy_kwh]]/Table4[[#This Row],[expected_kwh]],0)</f>
        <v>0</v>
      </c>
      <c r="K2861" t="str">
        <f>IF(Table4[[#This Row],[Performance_Ratio]] &lt; 0.85, "Underperforming", "Performing")</f>
        <v>Underperforming</v>
      </c>
      <c r="L2861">
        <f>Table4[[#This Row],[energy_kwh]] - Table4[[#This Row],[expected_kwh]]</f>
        <v>0</v>
      </c>
      <c r="M2861" t="str">
        <f>IF(Table4[[#This Row],[Performance_Deviation]] &lt; 0, "Underperforming", "Outperforming")</f>
        <v>Outperforming</v>
      </c>
      <c r="N2861">
        <f>IF(Table4[[#This Row],[Performance_Ratio]] &lt; 0.85, Table4[[#This Row],[Performance_Deviation]] * 50 / 1000, 0)</f>
        <v>0</v>
      </c>
    </row>
    <row r="2862" spans="1:14" x14ac:dyDescent="0.3">
      <c r="A2862" s="4" t="s">
        <v>9</v>
      </c>
      <c r="B2862" s="3">
        <v>45318.166666666664</v>
      </c>
      <c r="C2862" s="4">
        <v>0</v>
      </c>
      <c r="D2862" s="4">
        <v>0</v>
      </c>
      <c r="E2862" s="4">
        <v>0</v>
      </c>
      <c r="F2862" s="4">
        <v>25.502056963768901</v>
      </c>
      <c r="G2862" s="4" t="str">
        <f t="shared" si="88"/>
        <v>OK</v>
      </c>
      <c r="H2862" s="4" t="str">
        <f t="shared" si="89"/>
        <v>ZERO</v>
      </c>
      <c r="I2862">
        <v>0</v>
      </c>
      <c r="J2862">
        <f>IFERROR(Table4[[#This Row],[energy_kwh]]/Table4[[#This Row],[expected_kwh]],0)</f>
        <v>0</v>
      </c>
      <c r="K2862" t="str">
        <f>IF(Table4[[#This Row],[Performance_Ratio]] &lt; 0.85, "Underperforming", "Performing")</f>
        <v>Underperforming</v>
      </c>
      <c r="L2862">
        <f>Table4[[#This Row],[energy_kwh]] - Table4[[#This Row],[expected_kwh]]</f>
        <v>0</v>
      </c>
      <c r="M2862" t="str">
        <f>IF(Table4[[#This Row],[Performance_Deviation]] &lt; 0, "Underperforming", "Outperforming")</f>
        <v>Outperforming</v>
      </c>
      <c r="N2862">
        <f>IF(Table4[[#This Row],[Performance_Ratio]] &lt; 0.85, Table4[[#This Row],[Performance_Deviation]] * 50 / 1000, 0)</f>
        <v>0</v>
      </c>
    </row>
    <row r="2863" spans="1:14" x14ac:dyDescent="0.3">
      <c r="A2863" s="6" t="s">
        <v>9</v>
      </c>
      <c r="B2863" s="5">
        <v>45318.208333333336</v>
      </c>
      <c r="C2863" s="6">
        <v>0</v>
      </c>
      <c r="D2863" s="6">
        <v>0</v>
      </c>
      <c r="E2863" s="6">
        <v>0</v>
      </c>
      <c r="F2863" s="6">
        <v>78.858074087209204</v>
      </c>
      <c r="G2863" s="6" t="str">
        <f t="shared" si="88"/>
        <v>OK</v>
      </c>
      <c r="H2863" s="6" t="str">
        <f t="shared" si="89"/>
        <v>ZERO</v>
      </c>
      <c r="I2863">
        <v>0</v>
      </c>
      <c r="J2863">
        <f>IFERROR(Table4[[#This Row],[energy_kwh]]/Table4[[#This Row],[expected_kwh]],0)</f>
        <v>0</v>
      </c>
      <c r="K2863" t="str">
        <f>IF(Table4[[#This Row],[Performance_Ratio]] &lt; 0.85, "Underperforming", "Performing")</f>
        <v>Underperforming</v>
      </c>
      <c r="L2863">
        <f>Table4[[#This Row],[energy_kwh]] - Table4[[#This Row],[expected_kwh]]</f>
        <v>0</v>
      </c>
      <c r="M2863" t="str">
        <f>IF(Table4[[#This Row],[Performance_Deviation]] &lt; 0, "Underperforming", "Outperforming")</f>
        <v>Outperforming</v>
      </c>
      <c r="N2863">
        <f>IF(Table4[[#This Row],[Performance_Ratio]] &lt; 0.85, Table4[[#This Row],[Performance_Deviation]] * 50 / 1000, 0)</f>
        <v>0</v>
      </c>
    </row>
    <row r="2864" spans="1:14" x14ac:dyDescent="0.3">
      <c r="A2864" s="4" t="s">
        <v>9</v>
      </c>
      <c r="B2864" s="3">
        <v>45318.25</v>
      </c>
      <c r="C2864" s="4">
        <v>0</v>
      </c>
      <c r="D2864" s="4">
        <v>0</v>
      </c>
      <c r="E2864" s="4">
        <v>0</v>
      </c>
      <c r="F2864" s="4">
        <v>40.345143986238199</v>
      </c>
      <c r="G2864" s="4" t="str">
        <f t="shared" si="88"/>
        <v>OK</v>
      </c>
      <c r="H2864" s="4" t="str">
        <f t="shared" si="89"/>
        <v>ZERO</v>
      </c>
      <c r="I2864">
        <v>0</v>
      </c>
      <c r="J2864">
        <f>IFERROR(Table4[[#This Row],[energy_kwh]]/Table4[[#This Row],[expected_kwh]],0)</f>
        <v>0</v>
      </c>
      <c r="K2864" t="str">
        <f>IF(Table4[[#This Row],[Performance_Ratio]] &lt; 0.85, "Underperforming", "Performing")</f>
        <v>Underperforming</v>
      </c>
      <c r="L2864">
        <f>Table4[[#This Row],[energy_kwh]] - Table4[[#This Row],[expected_kwh]]</f>
        <v>0</v>
      </c>
      <c r="M2864" t="str">
        <f>IF(Table4[[#This Row],[Performance_Deviation]] &lt; 0, "Underperforming", "Outperforming")</f>
        <v>Outperforming</v>
      </c>
      <c r="N2864">
        <f>IF(Table4[[#This Row],[Performance_Ratio]] &lt; 0.85, Table4[[#This Row],[Performance_Deviation]] * 50 / 1000, 0)</f>
        <v>0</v>
      </c>
    </row>
    <row r="2865" spans="1:14" x14ac:dyDescent="0.3">
      <c r="A2865" s="6" t="s">
        <v>9</v>
      </c>
      <c r="B2865" s="5">
        <v>45318.291666666664</v>
      </c>
      <c r="C2865" s="6">
        <v>232.82793338809401</v>
      </c>
      <c r="D2865" s="6">
        <v>224.43363409204201</v>
      </c>
      <c r="E2865" s="6">
        <v>224.43363409204201</v>
      </c>
      <c r="F2865" s="6">
        <v>28.348574110816202</v>
      </c>
      <c r="G2865" s="6" t="str">
        <f t="shared" si="88"/>
        <v>OK</v>
      </c>
      <c r="H2865" s="6" t="str">
        <f t="shared" si="89"/>
        <v>NON-ZERO</v>
      </c>
      <c r="I2865">
        <v>248.466283298419</v>
      </c>
      <c r="J2865">
        <f>IFERROR(Table4[[#This Row],[energy_kwh]]/Table4[[#This Row],[expected_kwh]],0)</f>
        <v>0.90327601440589544</v>
      </c>
      <c r="K2865" t="str">
        <f>IF(Table4[[#This Row],[Performance_Ratio]] &lt; 0.85, "Underperforming", "Performing")</f>
        <v>Performing</v>
      </c>
      <c r="L2865">
        <f>Table4[[#This Row],[energy_kwh]] - Table4[[#This Row],[expected_kwh]]</f>
        <v>-24.032649206376988</v>
      </c>
      <c r="M2865" t="str">
        <f>IF(Table4[[#This Row],[Performance_Deviation]] &lt; 0, "Underperforming", "Outperforming")</f>
        <v>Underperforming</v>
      </c>
      <c r="N2865">
        <f>IF(Table4[[#This Row],[Performance_Ratio]] &lt; 0.85, Table4[[#This Row],[Performance_Deviation]] * 50 / 1000, 0)</f>
        <v>0</v>
      </c>
    </row>
    <row r="2866" spans="1:14" x14ac:dyDescent="0.3">
      <c r="A2866" s="4" t="s">
        <v>9</v>
      </c>
      <c r="B2866" s="3">
        <v>45318.333333333336</v>
      </c>
      <c r="C2866" s="4">
        <v>451.37189907166498</v>
      </c>
      <c r="D2866" s="4">
        <v>435.09828980366001</v>
      </c>
      <c r="E2866" s="4">
        <v>435.09828980366001</v>
      </c>
      <c r="F2866" s="4">
        <v>87.367189487212201</v>
      </c>
      <c r="G2866" s="4" t="str">
        <f t="shared" si="88"/>
        <v>OK</v>
      </c>
      <c r="H2866" s="4" t="str">
        <f t="shared" si="89"/>
        <v>NON-ZERO</v>
      </c>
      <c r="I2866">
        <v>479.99999999999898</v>
      </c>
      <c r="J2866">
        <f>IFERROR(Table4[[#This Row],[energy_kwh]]/Table4[[#This Row],[expected_kwh]],0)</f>
        <v>0.90645477042429357</v>
      </c>
      <c r="K2866" t="str">
        <f>IF(Table4[[#This Row],[Performance_Ratio]] &lt; 0.85, "Underperforming", "Performing")</f>
        <v>Performing</v>
      </c>
      <c r="L2866">
        <f>Table4[[#This Row],[energy_kwh]] - Table4[[#This Row],[expected_kwh]]</f>
        <v>-44.901710196338968</v>
      </c>
      <c r="M2866" t="str">
        <f>IF(Table4[[#This Row],[Performance_Deviation]] &lt; 0, "Underperforming", "Outperforming")</f>
        <v>Underperforming</v>
      </c>
      <c r="N2866">
        <f>IF(Table4[[#This Row],[Performance_Ratio]] &lt; 0.85, Table4[[#This Row],[Performance_Deviation]] * 50 / 1000, 0)</f>
        <v>0</v>
      </c>
    </row>
    <row r="2867" spans="1:14" x14ac:dyDescent="0.3">
      <c r="A2867" s="6" t="s">
        <v>9</v>
      </c>
      <c r="B2867" s="5">
        <v>45318.375</v>
      </c>
      <c r="C2867" s="6">
        <v>574.85193429028095</v>
      </c>
      <c r="D2867" s="6">
        <v>554.12641773766302</v>
      </c>
      <c r="E2867" s="6">
        <v>554.12641773766302</v>
      </c>
      <c r="F2867" s="6">
        <v>27.712461204811799</v>
      </c>
      <c r="G2867" s="6" t="str">
        <f t="shared" si="88"/>
        <v>OK</v>
      </c>
      <c r="H2867" s="6" t="str">
        <f t="shared" si="89"/>
        <v>NON-ZERO</v>
      </c>
      <c r="I2867">
        <v>678.82250993908497</v>
      </c>
      <c r="J2867">
        <f>IFERROR(Table4[[#This Row],[energy_kwh]]/Table4[[#This Row],[expected_kwh]],0)</f>
        <v>0.81630530753523223</v>
      </c>
      <c r="K2867" t="str">
        <f>IF(Table4[[#This Row],[Performance_Ratio]] &lt; 0.85, "Underperforming", "Performing")</f>
        <v>Underperforming</v>
      </c>
      <c r="L2867">
        <f>Table4[[#This Row],[energy_kwh]] - Table4[[#This Row],[expected_kwh]]</f>
        <v>-124.69609220142195</v>
      </c>
      <c r="M2867" t="str">
        <f>IF(Table4[[#This Row],[Performance_Deviation]] &lt; 0, "Underperforming", "Outperforming")</f>
        <v>Underperforming</v>
      </c>
      <c r="N2867">
        <f>IF(Table4[[#This Row],[Performance_Ratio]] &lt; 0.85, Table4[[#This Row],[Performance_Deviation]] * 50 / 1000, 0)</f>
        <v>-6.2348046100710972</v>
      </c>
    </row>
    <row r="2868" spans="1:14" x14ac:dyDescent="0.3">
      <c r="A2868" s="4" t="s">
        <v>9</v>
      </c>
      <c r="B2868" s="3">
        <v>45318.416666666664</v>
      </c>
      <c r="C2868" s="4">
        <v>780.40589654182304</v>
      </c>
      <c r="D2868" s="4">
        <v>752.26940719260006</v>
      </c>
      <c r="E2868" s="4">
        <v>752.26940719260006</v>
      </c>
      <c r="F2868" s="4">
        <v>78.3914769138906</v>
      </c>
      <c r="G2868" s="4" t="str">
        <f t="shared" si="88"/>
        <v>OK</v>
      </c>
      <c r="H2868" s="4" t="str">
        <f t="shared" si="89"/>
        <v>NON-ZERO</v>
      </c>
      <c r="I2868">
        <v>831.38438763306101</v>
      </c>
      <c r="J2868">
        <f>IFERROR(Table4[[#This Row],[energy_kwh]]/Table4[[#This Row],[expected_kwh]],0)</f>
        <v>0.90483946822034977</v>
      </c>
      <c r="K2868" t="str">
        <f>IF(Table4[[#This Row],[Performance_Ratio]] &lt; 0.85, "Underperforming", "Performing")</f>
        <v>Performing</v>
      </c>
      <c r="L2868">
        <f>Table4[[#This Row],[energy_kwh]] - Table4[[#This Row],[expected_kwh]]</f>
        <v>-79.114980440460954</v>
      </c>
      <c r="M2868" t="str">
        <f>IF(Table4[[#This Row],[Performance_Deviation]] &lt; 0, "Underperforming", "Outperforming")</f>
        <v>Underperforming</v>
      </c>
      <c r="N2868">
        <f>IF(Table4[[#This Row],[Performance_Ratio]] &lt; 0.85, Table4[[#This Row],[Performance_Deviation]] * 50 / 1000, 0)</f>
        <v>0</v>
      </c>
    </row>
    <row r="2869" spans="1:14" x14ac:dyDescent="0.3">
      <c r="A2869" s="6" t="s">
        <v>9</v>
      </c>
      <c r="B2869" s="5">
        <v>45318.458333333336</v>
      </c>
      <c r="C2869" s="6">
        <v>866.64063298474298</v>
      </c>
      <c r="D2869" s="6">
        <v>835.39506571310699</v>
      </c>
      <c r="E2869" s="6">
        <v>835.39506571310699</v>
      </c>
      <c r="F2869" s="6">
        <v>79.811673328476203</v>
      </c>
      <c r="G2869" s="6" t="str">
        <f t="shared" si="88"/>
        <v>OK</v>
      </c>
      <c r="H2869" s="6" t="str">
        <f t="shared" si="89"/>
        <v>NON-ZERO</v>
      </c>
      <c r="I2869">
        <v>927.28879323750505</v>
      </c>
      <c r="J2869">
        <f>IFERROR(Table4[[#This Row],[energy_kwh]]/Table4[[#This Row],[expected_kwh]],0)</f>
        <v>0.90090063829676692</v>
      </c>
      <c r="K2869" t="str">
        <f>IF(Table4[[#This Row],[Performance_Ratio]] &lt; 0.85, "Underperforming", "Performing")</f>
        <v>Performing</v>
      </c>
      <c r="L2869">
        <f>Table4[[#This Row],[energy_kwh]] - Table4[[#This Row],[expected_kwh]]</f>
        <v>-91.893727524398059</v>
      </c>
      <c r="M2869" t="str">
        <f>IF(Table4[[#This Row],[Performance_Deviation]] &lt; 0, "Underperforming", "Outperforming")</f>
        <v>Underperforming</v>
      </c>
      <c r="N2869">
        <f>IF(Table4[[#This Row],[Performance_Ratio]] &lt; 0.85, Table4[[#This Row],[Performance_Deviation]] * 50 / 1000, 0)</f>
        <v>0</v>
      </c>
    </row>
    <row r="2870" spans="1:14" x14ac:dyDescent="0.3">
      <c r="A2870" s="4" t="s">
        <v>9</v>
      </c>
      <c r="B2870" s="3">
        <v>45318.5</v>
      </c>
      <c r="C2870" s="4">
        <v>800.39931392860603</v>
      </c>
      <c r="D2870" s="4">
        <v>771.54198869404399</v>
      </c>
      <c r="E2870" s="4">
        <v>771.54198869404399</v>
      </c>
      <c r="F2870" s="4">
        <v>81.758979031948996</v>
      </c>
      <c r="G2870" s="4" t="str">
        <f t="shared" si="88"/>
        <v>OK</v>
      </c>
      <c r="H2870" s="4" t="str">
        <f t="shared" si="89"/>
        <v>NON-ZERO</v>
      </c>
      <c r="I2870">
        <v>960</v>
      </c>
      <c r="J2870">
        <f>IFERROR(Table4[[#This Row],[energy_kwh]]/Table4[[#This Row],[expected_kwh]],0)</f>
        <v>0.80368957155629583</v>
      </c>
      <c r="K2870" t="str">
        <f>IF(Table4[[#This Row],[Performance_Ratio]] &lt; 0.85, "Underperforming", "Performing")</f>
        <v>Underperforming</v>
      </c>
      <c r="L2870">
        <f>Table4[[#This Row],[energy_kwh]] - Table4[[#This Row],[expected_kwh]]</f>
        <v>-188.45801130595601</v>
      </c>
      <c r="M2870" t="str">
        <f>IF(Table4[[#This Row],[Performance_Deviation]] &lt; 0, "Underperforming", "Outperforming")</f>
        <v>Underperforming</v>
      </c>
      <c r="N2870">
        <f>IF(Table4[[#This Row],[Performance_Ratio]] &lt; 0.85, Table4[[#This Row],[Performance_Deviation]] * 50 / 1000, 0)</f>
        <v>-9.4229005652978017</v>
      </c>
    </row>
    <row r="2871" spans="1:14" x14ac:dyDescent="0.3">
      <c r="A2871" s="6" t="s">
        <v>9</v>
      </c>
      <c r="B2871" s="5">
        <v>45318.541666666664</v>
      </c>
      <c r="C2871" s="6">
        <v>936.61398208801199</v>
      </c>
      <c r="D2871" s="6">
        <v>902.84561943451399</v>
      </c>
      <c r="E2871" s="6">
        <v>902.84561943451399</v>
      </c>
      <c r="F2871" s="6">
        <v>77.254300883101905</v>
      </c>
      <c r="G2871" s="6" t="str">
        <f t="shared" si="88"/>
        <v>OK</v>
      </c>
      <c r="H2871" s="6" t="str">
        <f t="shared" si="89"/>
        <v>NON-ZERO</v>
      </c>
      <c r="I2871">
        <v>927.28879323750505</v>
      </c>
      <c r="J2871">
        <f>IFERROR(Table4[[#This Row],[energy_kwh]]/Table4[[#This Row],[expected_kwh]],0)</f>
        <v>0.97364017123764546</v>
      </c>
      <c r="K2871" t="str">
        <f>IF(Table4[[#This Row],[Performance_Ratio]] &lt; 0.85, "Underperforming", "Performing")</f>
        <v>Performing</v>
      </c>
      <c r="L2871">
        <f>Table4[[#This Row],[energy_kwh]] - Table4[[#This Row],[expected_kwh]]</f>
        <v>-24.443173802991055</v>
      </c>
      <c r="M2871" t="str">
        <f>IF(Table4[[#This Row],[Performance_Deviation]] &lt; 0, "Underperforming", "Outperforming")</f>
        <v>Underperforming</v>
      </c>
      <c r="N2871">
        <f>IF(Table4[[#This Row],[Performance_Ratio]] &lt; 0.85, Table4[[#This Row],[Performance_Deviation]] * 50 / 1000, 0)</f>
        <v>0</v>
      </c>
    </row>
    <row r="2872" spans="1:14" x14ac:dyDescent="0.3">
      <c r="A2872" s="4" t="s">
        <v>9</v>
      </c>
      <c r="B2872" s="3">
        <v>45318.583333333336</v>
      </c>
      <c r="C2872" s="4">
        <v>800.70869971618799</v>
      </c>
      <c r="D2872" s="4">
        <v>771.84021999143499</v>
      </c>
      <c r="E2872" s="4">
        <v>771.84021999143499</v>
      </c>
      <c r="F2872" s="4">
        <v>47.2434633921632</v>
      </c>
      <c r="G2872" s="4" t="str">
        <f t="shared" si="88"/>
        <v>OK</v>
      </c>
      <c r="H2872" s="4" t="str">
        <f t="shared" si="89"/>
        <v>NON-ZERO</v>
      </c>
      <c r="I2872">
        <v>831.38438763306101</v>
      </c>
      <c r="J2872">
        <f>IFERROR(Table4[[#This Row],[energy_kwh]]/Table4[[#This Row],[expected_kwh]],0)</f>
        <v>0.92837949746548964</v>
      </c>
      <c r="K2872" t="str">
        <f>IF(Table4[[#This Row],[Performance_Ratio]] &lt; 0.85, "Underperforming", "Performing")</f>
        <v>Performing</v>
      </c>
      <c r="L2872">
        <f>Table4[[#This Row],[energy_kwh]] - Table4[[#This Row],[expected_kwh]]</f>
        <v>-59.544167641626018</v>
      </c>
      <c r="M2872" t="str">
        <f>IF(Table4[[#This Row],[Performance_Deviation]] &lt; 0, "Underperforming", "Outperforming")</f>
        <v>Underperforming</v>
      </c>
      <c r="N2872">
        <f>IF(Table4[[#This Row],[Performance_Ratio]] &lt; 0.85, Table4[[#This Row],[Performance_Deviation]] * 50 / 1000, 0)</f>
        <v>0</v>
      </c>
    </row>
    <row r="2873" spans="1:14" x14ac:dyDescent="0.3">
      <c r="A2873" s="6" t="s">
        <v>9</v>
      </c>
      <c r="B2873" s="5">
        <v>45318.625</v>
      </c>
      <c r="C2873" s="6">
        <v>632.02185752811295</v>
      </c>
      <c r="D2873" s="6">
        <v>609.23515596471395</v>
      </c>
      <c r="E2873" s="6">
        <v>609.23515596471395</v>
      </c>
      <c r="F2873" s="6">
        <v>89.302586932269094</v>
      </c>
      <c r="G2873" s="6" t="str">
        <f t="shared" si="88"/>
        <v>OK</v>
      </c>
      <c r="H2873" s="6" t="str">
        <f t="shared" si="89"/>
        <v>NON-ZERO</v>
      </c>
      <c r="I2873">
        <v>678.82250993908497</v>
      </c>
      <c r="J2873">
        <f>IFERROR(Table4[[#This Row],[energy_kwh]]/Table4[[#This Row],[expected_kwh]],0)</f>
        <v>0.89748814608311156</v>
      </c>
      <c r="K2873" t="str">
        <f>IF(Table4[[#This Row],[Performance_Ratio]] &lt; 0.85, "Underperforming", "Performing")</f>
        <v>Performing</v>
      </c>
      <c r="L2873">
        <f>Table4[[#This Row],[energy_kwh]] - Table4[[#This Row],[expected_kwh]]</f>
        <v>-69.587353974371013</v>
      </c>
      <c r="M2873" t="str">
        <f>IF(Table4[[#This Row],[Performance_Deviation]] &lt; 0, "Underperforming", "Outperforming")</f>
        <v>Underperforming</v>
      </c>
      <c r="N2873">
        <f>IF(Table4[[#This Row],[Performance_Ratio]] &lt; 0.85, Table4[[#This Row],[Performance_Deviation]] * 50 / 1000, 0)</f>
        <v>0</v>
      </c>
    </row>
    <row r="2874" spans="1:14" x14ac:dyDescent="0.3">
      <c r="A2874" s="4" t="s">
        <v>9</v>
      </c>
      <c r="B2874" s="3">
        <v>45318.666666666664</v>
      </c>
      <c r="C2874" s="4">
        <v>422.314466751711</v>
      </c>
      <c r="D2874" s="4">
        <v>407.08848428741101</v>
      </c>
      <c r="E2874" s="4">
        <v>407.08848428741101</v>
      </c>
      <c r="F2874" s="4">
        <v>65.110332566090506</v>
      </c>
      <c r="G2874" s="4" t="str">
        <f t="shared" si="88"/>
        <v>OK</v>
      </c>
      <c r="H2874" s="4" t="str">
        <f t="shared" si="89"/>
        <v>NON-ZERO</v>
      </c>
      <c r="I2874">
        <v>479.99999999999898</v>
      </c>
      <c r="J2874">
        <f>IFERROR(Table4[[#This Row],[energy_kwh]]/Table4[[#This Row],[expected_kwh]],0)</f>
        <v>0.84810100893210805</v>
      </c>
      <c r="K2874" t="str">
        <f>IF(Table4[[#This Row],[Performance_Ratio]] &lt; 0.85, "Underperforming", "Performing")</f>
        <v>Underperforming</v>
      </c>
      <c r="L2874">
        <f>Table4[[#This Row],[energy_kwh]] - Table4[[#This Row],[expected_kwh]]</f>
        <v>-72.91151571258797</v>
      </c>
      <c r="M2874" t="str">
        <f>IF(Table4[[#This Row],[Performance_Deviation]] &lt; 0, "Underperforming", "Outperforming")</f>
        <v>Underperforming</v>
      </c>
      <c r="N2874">
        <f>IF(Table4[[#This Row],[Performance_Ratio]] &lt; 0.85, Table4[[#This Row],[Performance_Deviation]] * 50 / 1000, 0)</f>
        <v>-3.6455757856293984</v>
      </c>
    </row>
    <row r="2875" spans="1:14" x14ac:dyDescent="0.3">
      <c r="A2875" s="6" t="s">
        <v>9</v>
      </c>
      <c r="B2875" s="5">
        <v>45318.708333333336</v>
      </c>
      <c r="C2875" s="6">
        <v>257.253172051283</v>
      </c>
      <c r="D2875" s="6">
        <v>247.97825348961001</v>
      </c>
      <c r="E2875" s="6">
        <v>247.97825348961001</v>
      </c>
      <c r="F2875" s="6">
        <v>56.586011135569898</v>
      </c>
      <c r="G2875" s="6" t="str">
        <f t="shared" si="88"/>
        <v>OK</v>
      </c>
      <c r="H2875" s="6" t="str">
        <f t="shared" si="89"/>
        <v>NON-ZERO</v>
      </c>
      <c r="I2875">
        <v>248.46628329842</v>
      </c>
      <c r="J2875">
        <f>IFERROR(Table4[[#This Row],[energy_kwh]]/Table4[[#This Row],[expected_kwh]],0)</f>
        <v>0.99803583084863134</v>
      </c>
      <c r="K2875" t="str">
        <f>IF(Table4[[#This Row],[Performance_Ratio]] &lt; 0.85, "Underperforming", "Performing")</f>
        <v>Performing</v>
      </c>
      <c r="L2875">
        <f>Table4[[#This Row],[energy_kwh]] - Table4[[#This Row],[expected_kwh]]</f>
        <v>-0.48802980880998348</v>
      </c>
      <c r="M2875" t="str">
        <f>IF(Table4[[#This Row],[Performance_Deviation]] &lt; 0, "Underperforming", "Outperforming")</f>
        <v>Underperforming</v>
      </c>
      <c r="N2875">
        <f>IF(Table4[[#This Row],[Performance_Ratio]] &lt; 0.85, Table4[[#This Row],[Performance_Deviation]] * 50 / 1000, 0)</f>
        <v>0</v>
      </c>
    </row>
    <row r="2876" spans="1:14" x14ac:dyDescent="0.3">
      <c r="A2876" s="4" t="s">
        <v>9</v>
      </c>
      <c r="B2876" s="3">
        <v>45318.75</v>
      </c>
      <c r="C2876" s="7">
        <v>9.7960646469738905E-14</v>
      </c>
      <c r="D2876" s="7">
        <v>9.4428806566616001E-14</v>
      </c>
      <c r="E2876" s="7">
        <v>9.4428806566616001E-14</v>
      </c>
      <c r="F2876" s="4">
        <v>41.9334095748046</v>
      </c>
      <c r="G2876" s="4" t="str">
        <f t="shared" si="88"/>
        <v>OK</v>
      </c>
      <c r="H2876" s="4" t="str">
        <f t="shared" si="89"/>
        <v>NON-ZERO</v>
      </c>
      <c r="I2876" s="2">
        <v>1.1756609271814501E-13</v>
      </c>
      <c r="J2876">
        <f>IFERROR(Table4[[#This Row],[energy_kwh]]/Table4[[#This Row],[expected_kwh]],0)</f>
        <v>0.80319762597708555</v>
      </c>
      <c r="K2876" t="str">
        <f>IF(Table4[[#This Row],[Performance_Ratio]] &lt; 0.85, "Underperforming", "Performing")</f>
        <v>Underperforming</v>
      </c>
      <c r="L2876">
        <f>Table4[[#This Row],[energy_kwh]] - Table4[[#This Row],[expected_kwh]]</f>
        <v>-2.3137286151529009E-14</v>
      </c>
      <c r="M2876" t="str">
        <f>IF(Table4[[#This Row],[Performance_Deviation]] &lt; 0, "Underperforming", "Outperforming")</f>
        <v>Underperforming</v>
      </c>
      <c r="N2876">
        <f>IF(Table4[[#This Row],[Performance_Ratio]] &lt; 0.85, Table4[[#This Row],[Performance_Deviation]] * 50 / 1000, 0)</f>
        <v>-1.1568643075764503E-15</v>
      </c>
    </row>
    <row r="2877" spans="1:14" x14ac:dyDescent="0.3">
      <c r="A2877" s="6" t="s">
        <v>9</v>
      </c>
      <c r="B2877" s="5">
        <v>45318.791666666664</v>
      </c>
      <c r="C2877" s="6">
        <v>0</v>
      </c>
      <c r="D2877" s="6">
        <v>0</v>
      </c>
      <c r="E2877" s="6">
        <v>0</v>
      </c>
      <c r="F2877" s="6">
        <v>52.058789993186402</v>
      </c>
      <c r="G2877" s="6" t="str">
        <f t="shared" si="88"/>
        <v>OK</v>
      </c>
      <c r="H2877" s="6" t="str">
        <f t="shared" si="89"/>
        <v>ZERO</v>
      </c>
      <c r="I2877">
        <v>0</v>
      </c>
      <c r="J2877">
        <f>IFERROR(Table4[[#This Row],[energy_kwh]]/Table4[[#This Row],[expected_kwh]],0)</f>
        <v>0</v>
      </c>
      <c r="K2877" t="str">
        <f>IF(Table4[[#This Row],[Performance_Ratio]] &lt; 0.85, "Underperforming", "Performing")</f>
        <v>Underperforming</v>
      </c>
      <c r="L2877">
        <f>Table4[[#This Row],[energy_kwh]] - Table4[[#This Row],[expected_kwh]]</f>
        <v>0</v>
      </c>
      <c r="M2877" t="str">
        <f>IF(Table4[[#This Row],[Performance_Deviation]] &lt; 0, "Underperforming", "Outperforming")</f>
        <v>Outperforming</v>
      </c>
      <c r="N2877">
        <f>IF(Table4[[#This Row],[Performance_Ratio]] &lt; 0.85, Table4[[#This Row],[Performance_Deviation]] * 50 / 1000, 0)</f>
        <v>0</v>
      </c>
    </row>
    <row r="2878" spans="1:14" x14ac:dyDescent="0.3">
      <c r="A2878" s="4" t="s">
        <v>9</v>
      </c>
      <c r="B2878" s="3">
        <v>45318.833333333336</v>
      </c>
      <c r="C2878" s="4">
        <v>0</v>
      </c>
      <c r="D2878" s="4">
        <v>0</v>
      </c>
      <c r="E2878" s="4">
        <v>0</v>
      </c>
      <c r="F2878" s="4">
        <v>86.842208077359999</v>
      </c>
      <c r="G2878" s="4" t="str">
        <f t="shared" si="88"/>
        <v>OK</v>
      </c>
      <c r="H2878" s="4" t="str">
        <f t="shared" si="89"/>
        <v>ZERO</v>
      </c>
      <c r="I2878">
        <v>0</v>
      </c>
      <c r="J2878">
        <f>IFERROR(Table4[[#This Row],[energy_kwh]]/Table4[[#This Row],[expected_kwh]],0)</f>
        <v>0</v>
      </c>
      <c r="K2878" t="str">
        <f>IF(Table4[[#This Row],[Performance_Ratio]] &lt; 0.85, "Underperforming", "Performing")</f>
        <v>Underperforming</v>
      </c>
      <c r="L2878">
        <f>Table4[[#This Row],[energy_kwh]] - Table4[[#This Row],[expected_kwh]]</f>
        <v>0</v>
      </c>
      <c r="M2878" t="str">
        <f>IF(Table4[[#This Row],[Performance_Deviation]] &lt; 0, "Underperforming", "Outperforming")</f>
        <v>Outperforming</v>
      </c>
      <c r="N2878">
        <f>IF(Table4[[#This Row],[Performance_Ratio]] &lt; 0.85, Table4[[#This Row],[Performance_Deviation]] * 50 / 1000, 0)</f>
        <v>0</v>
      </c>
    </row>
    <row r="2879" spans="1:14" x14ac:dyDescent="0.3">
      <c r="A2879" s="6" t="s">
        <v>9</v>
      </c>
      <c r="B2879" s="5">
        <v>45318.875</v>
      </c>
      <c r="C2879" s="6">
        <v>0</v>
      </c>
      <c r="D2879" s="6">
        <v>0</v>
      </c>
      <c r="E2879" s="6">
        <v>0</v>
      </c>
      <c r="F2879" s="6">
        <v>27.1751532821159</v>
      </c>
      <c r="G2879" s="6" t="str">
        <f t="shared" si="88"/>
        <v>OK</v>
      </c>
      <c r="H2879" s="6" t="str">
        <f t="shared" si="89"/>
        <v>ZERO</v>
      </c>
      <c r="I2879">
        <v>0</v>
      </c>
      <c r="J2879">
        <f>IFERROR(Table4[[#This Row],[energy_kwh]]/Table4[[#This Row],[expected_kwh]],0)</f>
        <v>0</v>
      </c>
      <c r="K2879" t="str">
        <f>IF(Table4[[#This Row],[Performance_Ratio]] &lt; 0.85, "Underperforming", "Performing")</f>
        <v>Underperforming</v>
      </c>
      <c r="L2879">
        <f>Table4[[#This Row],[energy_kwh]] - Table4[[#This Row],[expected_kwh]]</f>
        <v>0</v>
      </c>
      <c r="M2879" t="str">
        <f>IF(Table4[[#This Row],[Performance_Deviation]] &lt; 0, "Underperforming", "Outperforming")</f>
        <v>Outperforming</v>
      </c>
      <c r="N2879">
        <f>IF(Table4[[#This Row],[Performance_Ratio]] &lt; 0.85, Table4[[#This Row],[Performance_Deviation]] * 50 / 1000, 0)</f>
        <v>0</v>
      </c>
    </row>
    <row r="2880" spans="1:14" x14ac:dyDescent="0.3">
      <c r="A2880" s="4" t="s">
        <v>9</v>
      </c>
      <c r="B2880" s="3">
        <v>45318.916666666664</v>
      </c>
      <c r="C2880" s="4">
        <v>0</v>
      </c>
      <c r="D2880" s="4">
        <v>0</v>
      </c>
      <c r="E2880" s="4">
        <v>0</v>
      </c>
      <c r="F2880" s="4">
        <v>66.925038547369397</v>
      </c>
      <c r="G2880" s="4" t="str">
        <f t="shared" si="88"/>
        <v>OK</v>
      </c>
      <c r="H2880" s="4" t="str">
        <f t="shared" si="89"/>
        <v>ZERO</v>
      </c>
      <c r="I2880">
        <v>0</v>
      </c>
      <c r="J2880">
        <f>IFERROR(Table4[[#This Row],[energy_kwh]]/Table4[[#This Row],[expected_kwh]],0)</f>
        <v>0</v>
      </c>
      <c r="K2880" t="str">
        <f>IF(Table4[[#This Row],[Performance_Ratio]] &lt; 0.85, "Underperforming", "Performing")</f>
        <v>Underperforming</v>
      </c>
      <c r="L2880">
        <f>Table4[[#This Row],[energy_kwh]] - Table4[[#This Row],[expected_kwh]]</f>
        <v>0</v>
      </c>
      <c r="M2880" t="str">
        <f>IF(Table4[[#This Row],[Performance_Deviation]] &lt; 0, "Underperforming", "Outperforming")</f>
        <v>Outperforming</v>
      </c>
      <c r="N2880">
        <f>IF(Table4[[#This Row],[Performance_Ratio]] &lt; 0.85, Table4[[#This Row],[Performance_Deviation]] * 50 / 1000, 0)</f>
        <v>0</v>
      </c>
    </row>
    <row r="2881" spans="1:14" x14ac:dyDescent="0.3">
      <c r="A2881" s="6" t="s">
        <v>9</v>
      </c>
      <c r="B2881" s="5">
        <v>45318.958333333336</v>
      </c>
      <c r="C2881" s="6">
        <v>0</v>
      </c>
      <c r="D2881" s="6">
        <v>0</v>
      </c>
      <c r="E2881" s="6">
        <v>0</v>
      </c>
      <c r="F2881" s="6">
        <v>57.8837538853005</v>
      </c>
      <c r="G2881" s="6" t="str">
        <f t="shared" si="88"/>
        <v>OK</v>
      </c>
      <c r="H2881" s="6" t="str">
        <f t="shared" si="89"/>
        <v>ZERO</v>
      </c>
      <c r="I2881">
        <v>0</v>
      </c>
      <c r="J2881">
        <f>IFERROR(Table4[[#This Row],[energy_kwh]]/Table4[[#This Row],[expected_kwh]],0)</f>
        <v>0</v>
      </c>
      <c r="K2881" t="str">
        <f>IF(Table4[[#This Row],[Performance_Ratio]] &lt; 0.85, "Underperforming", "Performing")</f>
        <v>Underperforming</v>
      </c>
      <c r="L2881">
        <f>Table4[[#This Row],[energy_kwh]] - Table4[[#This Row],[expected_kwh]]</f>
        <v>0</v>
      </c>
      <c r="M2881" t="str">
        <f>IF(Table4[[#This Row],[Performance_Deviation]] &lt; 0, "Underperforming", "Outperforming")</f>
        <v>Outperforming</v>
      </c>
      <c r="N2881">
        <f>IF(Table4[[#This Row],[Performance_Ratio]] &lt; 0.85, Table4[[#This Row],[Performance_Deviation]] * 50 / 1000, 0)</f>
        <v>0</v>
      </c>
    </row>
    <row r="2882" spans="1:14" x14ac:dyDescent="0.3">
      <c r="A2882" s="4" t="s">
        <v>9</v>
      </c>
      <c r="B2882" s="3">
        <v>45319</v>
      </c>
      <c r="C2882" s="4">
        <v>0</v>
      </c>
      <c r="D2882" s="4">
        <v>0</v>
      </c>
      <c r="E2882" s="4">
        <v>0</v>
      </c>
      <c r="F2882" s="4">
        <v>43.540953011282298</v>
      </c>
      <c r="G2882" s="4" t="str">
        <f t="shared" ref="G2882:G2945" si="90">IF(D2882 &gt; C2882, "ERROR", "OK")</f>
        <v>OK</v>
      </c>
      <c r="H2882" s="4" t="str">
        <f t="shared" ref="H2882:H2945" si="91">IF(E2882=0,"ZERO","NON-ZERO")</f>
        <v>ZERO</v>
      </c>
      <c r="I2882">
        <v>0</v>
      </c>
      <c r="J2882">
        <f>IFERROR(Table4[[#This Row],[energy_kwh]]/Table4[[#This Row],[expected_kwh]],0)</f>
        <v>0</v>
      </c>
      <c r="K2882" t="str">
        <f>IF(Table4[[#This Row],[Performance_Ratio]] &lt; 0.85, "Underperforming", "Performing")</f>
        <v>Underperforming</v>
      </c>
      <c r="L2882">
        <f>Table4[[#This Row],[energy_kwh]] - Table4[[#This Row],[expected_kwh]]</f>
        <v>0</v>
      </c>
      <c r="M2882" t="str">
        <f>IF(Table4[[#This Row],[Performance_Deviation]] &lt; 0, "Underperforming", "Outperforming")</f>
        <v>Outperforming</v>
      </c>
      <c r="N2882">
        <f>IF(Table4[[#This Row],[Performance_Ratio]] &lt; 0.85, Table4[[#This Row],[Performance_Deviation]] * 50 / 1000, 0)</f>
        <v>0</v>
      </c>
    </row>
    <row r="2883" spans="1:14" x14ac:dyDescent="0.3">
      <c r="A2883" s="6" t="s">
        <v>9</v>
      </c>
      <c r="B2883" s="5">
        <v>45319.041666666664</v>
      </c>
      <c r="C2883" s="6">
        <v>0</v>
      </c>
      <c r="D2883" s="6">
        <v>0</v>
      </c>
      <c r="E2883" s="6">
        <v>0</v>
      </c>
      <c r="F2883" s="6">
        <v>51.474105864425297</v>
      </c>
      <c r="G2883" s="6" t="str">
        <f t="shared" si="90"/>
        <v>OK</v>
      </c>
      <c r="H2883" s="6" t="str">
        <f t="shared" si="91"/>
        <v>ZERO</v>
      </c>
      <c r="I2883">
        <v>0</v>
      </c>
      <c r="J2883">
        <f>IFERROR(Table4[[#This Row],[energy_kwh]]/Table4[[#This Row],[expected_kwh]],0)</f>
        <v>0</v>
      </c>
      <c r="K2883" t="str">
        <f>IF(Table4[[#This Row],[Performance_Ratio]] &lt; 0.85, "Underperforming", "Performing")</f>
        <v>Underperforming</v>
      </c>
      <c r="L2883">
        <f>Table4[[#This Row],[energy_kwh]] - Table4[[#This Row],[expected_kwh]]</f>
        <v>0</v>
      </c>
      <c r="M2883" t="str">
        <f>IF(Table4[[#This Row],[Performance_Deviation]] &lt; 0, "Underperforming", "Outperforming")</f>
        <v>Outperforming</v>
      </c>
      <c r="N2883">
        <f>IF(Table4[[#This Row],[Performance_Ratio]] &lt; 0.85, Table4[[#This Row],[Performance_Deviation]] * 50 / 1000, 0)</f>
        <v>0</v>
      </c>
    </row>
    <row r="2884" spans="1:14" x14ac:dyDescent="0.3">
      <c r="A2884" s="4" t="s">
        <v>9</v>
      </c>
      <c r="B2884" s="3">
        <v>45319.083333333336</v>
      </c>
      <c r="C2884" s="4">
        <v>0</v>
      </c>
      <c r="D2884" s="4">
        <v>0</v>
      </c>
      <c r="E2884" s="4">
        <v>0</v>
      </c>
      <c r="F2884" s="4">
        <v>64.052508459311397</v>
      </c>
      <c r="G2884" s="4" t="str">
        <f t="shared" si="90"/>
        <v>OK</v>
      </c>
      <c r="H2884" s="4" t="str">
        <f t="shared" si="91"/>
        <v>ZERO</v>
      </c>
      <c r="I2884">
        <v>0</v>
      </c>
      <c r="J2884">
        <f>IFERROR(Table4[[#This Row],[energy_kwh]]/Table4[[#This Row],[expected_kwh]],0)</f>
        <v>0</v>
      </c>
      <c r="K2884" t="str">
        <f>IF(Table4[[#This Row],[Performance_Ratio]] &lt; 0.85, "Underperforming", "Performing")</f>
        <v>Underperforming</v>
      </c>
      <c r="L2884">
        <f>Table4[[#This Row],[energy_kwh]] - Table4[[#This Row],[expected_kwh]]</f>
        <v>0</v>
      </c>
      <c r="M2884" t="str">
        <f>IF(Table4[[#This Row],[Performance_Deviation]] &lt; 0, "Underperforming", "Outperforming")</f>
        <v>Outperforming</v>
      </c>
      <c r="N2884">
        <f>IF(Table4[[#This Row],[Performance_Ratio]] &lt; 0.85, Table4[[#This Row],[Performance_Deviation]] * 50 / 1000, 0)</f>
        <v>0</v>
      </c>
    </row>
    <row r="2885" spans="1:14" x14ac:dyDescent="0.3">
      <c r="A2885" s="6" t="s">
        <v>9</v>
      </c>
      <c r="B2885" s="5">
        <v>45319.125</v>
      </c>
      <c r="C2885" s="6">
        <v>0</v>
      </c>
      <c r="D2885" s="6">
        <v>0</v>
      </c>
      <c r="E2885" s="6">
        <v>0</v>
      </c>
      <c r="F2885" s="6">
        <v>78.777724157073095</v>
      </c>
      <c r="G2885" s="6" t="str">
        <f t="shared" si="90"/>
        <v>OK</v>
      </c>
      <c r="H2885" s="6" t="str">
        <f t="shared" si="91"/>
        <v>ZERO</v>
      </c>
      <c r="I2885">
        <v>0</v>
      </c>
      <c r="J2885">
        <f>IFERROR(Table4[[#This Row],[energy_kwh]]/Table4[[#This Row],[expected_kwh]],0)</f>
        <v>0</v>
      </c>
      <c r="K2885" t="str">
        <f>IF(Table4[[#This Row],[Performance_Ratio]] &lt; 0.85, "Underperforming", "Performing")</f>
        <v>Underperforming</v>
      </c>
      <c r="L2885">
        <f>Table4[[#This Row],[energy_kwh]] - Table4[[#This Row],[expected_kwh]]</f>
        <v>0</v>
      </c>
      <c r="M2885" t="str">
        <f>IF(Table4[[#This Row],[Performance_Deviation]] &lt; 0, "Underperforming", "Outperforming")</f>
        <v>Outperforming</v>
      </c>
      <c r="N2885">
        <f>IF(Table4[[#This Row],[Performance_Ratio]] &lt; 0.85, Table4[[#This Row],[Performance_Deviation]] * 50 / 1000, 0)</f>
        <v>0</v>
      </c>
    </row>
    <row r="2886" spans="1:14" x14ac:dyDescent="0.3">
      <c r="A2886" s="4" t="s">
        <v>9</v>
      </c>
      <c r="B2886" s="3">
        <v>45319.166666666664</v>
      </c>
      <c r="C2886" s="4">
        <v>0</v>
      </c>
      <c r="D2886" s="4">
        <v>0</v>
      </c>
      <c r="E2886" s="4">
        <v>0</v>
      </c>
      <c r="F2886" s="4">
        <v>91.7422946420876</v>
      </c>
      <c r="G2886" s="4" t="str">
        <f t="shared" si="90"/>
        <v>OK</v>
      </c>
      <c r="H2886" s="4" t="str">
        <f t="shared" si="91"/>
        <v>ZERO</v>
      </c>
      <c r="I2886">
        <v>0</v>
      </c>
      <c r="J2886">
        <f>IFERROR(Table4[[#This Row],[energy_kwh]]/Table4[[#This Row],[expected_kwh]],0)</f>
        <v>0</v>
      </c>
      <c r="K2886" t="str">
        <f>IF(Table4[[#This Row],[Performance_Ratio]] &lt; 0.85, "Underperforming", "Performing")</f>
        <v>Underperforming</v>
      </c>
      <c r="L2886">
        <f>Table4[[#This Row],[energy_kwh]] - Table4[[#This Row],[expected_kwh]]</f>
        <v>0</v>
      </c>
      <c r="M2886" t="str">
        <f>IF(Table4[[#This Row],[Performance_Deviation]] &lt; 0, "Underperforming", "Outperforming")</f>
        <v>Outperforming</v>
      </c>
      <c r="N2886">
        <f>IF(Table4[[#This Row],[Performance_Ratio]] &lt; 0.85, Table4[[#This Row],[Performance_Deviation]] * 50 / 1000, 0)</f>
        <v>0</v>
      </c>
    </row>
    <row r="2887" spans="1:14" x14ac:dyDescent="0.3">
      <c r="A2887" s="6" t="s">
        <v>9</v>
      </c>
      <c r="B2887" s="5">
        <v>45319.208333333336</v>
      </c>
      <c r="C2887" s="6">
        <v>0</v>
      </c>
      <c r="D2887" s="6">
        <v>0</v>
      </c>
      <c r="E2887" s="6">
        <v>0</v>
      </c>
      <c r="F2887" s="6">
        <v>34.126015496708703</v>
      </c>
      <c r="G2887" s="6" t="str">
        <f t="shared" si="90"/>
        <v>OK</v>
      </c>
      <c r="H2887" s="6" t="str">
        <f t="shared" si="91"/>
        <v>ZERO</v>
      </c>
      <c r="I2887">
        <v>0</v>
      </c>
      <c r="J2887">
        <f>IFERROR(Table4[[#This Row],[energy_kwh]]/Table4[[#This Row],[expected_kwh]],0)</f>
        <v>0</v>
      </c>
      <c r="K2887" t="str">
        <f>IF(Table4[[#This Row],[Performance_Ratio]] &lt; 0.85, "Underperforming", "Performing")</f>
        <v>Underperforming</v>
      </c>
      <c r="L2887">
        <f>Table4[[#This Row],[energy_kwh]] - Table4[[#This Row],[expected_kwh]]</f>
        <v>0</v>
      </c>
      <c r="M2887" t="str">
        <f>IF(Table4[[#This Row],[Performance_Deviation]] &lt; 0, "Underperforming", "Outperforming")</f>
        <v>Outperforming</v>
      </c>
      <c r="N2887">
        <f>IF(Table4[[#This Row],[Performance_Ratio]] &lt; 0.85, Table4[[#This Row],[Performance_Deviation]] * 50 / 1000, 0)</f>
        <v>0</v>
      </c>
    </row>
    <row r="2888" spans="1:14" x14ac:dyDescent="0.3">
      <c r="A2888" s="4" t="s">
        <v>9</v>
      </c>
      <c r="B2888" s="3">
        <v>45319.25</v>
      </c>
      <c r="C2888" s="4">
        <v>0</v>
      </c>
      <c r="D2888" s="4">
        <v>0</v>
      </c>
      <c r="E2888" s="4">
        <v>0</v>
      </c>
      <c r="F2888" s="4">
        <v>44.268320302963303</v>
      </c>
      <c r="G2888" s="4" t="str">
        <f t="shared" si="90"/>
        <v>OK</v>
      </c>
      <c r="H2888" s="4" t="str">
        <f t="shared" si="91"/>
        <v>ZERO</v>
      </c>
      <c r="I2888">
        <v>0</v>
      </c>
      <c r="J2888">
        <f>IFERROR(Table4[[#This Row],[energy_kwh]]/Table4[[#This Row],[expected_kwh]],0)</f>
        <v>0</v>
      </c>
      <c r="K2888" t="str">
        <f>IF(Table4[[#This Row],[Performance_Ratio]] &lt; 0.85, "Underperforming", "Performing")</f>
        <v>Underperforming</v>
      </c>
      <c r="L2888">
        <f>Table4[[#This Row],[energy_kwh]] - Table4[[#This Row],[expected_kwh]]</f>
        <v>0</v>
      </c>
      <c r="M2888" t="str">
        <f>IF(Table4[[#This Row],[Performance_Deviation]] &lt; 0, "Underperforming", "Outperforming")</f>
        <v>Outperforming</v>
      </c>
      <c r="N2888">
        <f>IF(Table4[[#This Row],[Performance_Ratio]] &lt; 0.85, Table4[[#This Row],[Performance_Deviation]] * 50 / 1000, 0)</f>
        <v>0</v>
      </c>
    </row>
    <row r="2889" spans="1:14" x14ac:dyDescent="0.3">
      <c r="A2889" s="6" t="s">
        <v>9</v>
      </c>
      <c r="B2889" s="5">
        <v>45319.291666666664</v>
      </c>
      <c r="C2889" s="6">
        <v>236.08585641765899</v>
      </c>
      <c r="D2889" s="6">
        <v>227.57409707033401</v>
      </c>
      <c r="E2889" s="6">
        <v>227.57409707033401</v>
      </c>
      <c r="F2889" s="6">
        <v>55.024956464991497</v>
      </c>
      <c r="G2889" s="6" t="str">
        <f t="shared" si="90"/>
        <v>OK</v>
      </c>
      <c r="H2889" s="6" t="str">
        <f t="shared" si="91"/>
        <v>NON-ZERO</v>
      </c>
      <c r="I2889">
        <v>248.466283298419</v>
      </c>
      <c r="J2889">
        <f>IFERROR(Table4[[#This Row],[energy_kwh]]/Table4[[#This Row],[expected_kwh]],0)</f>
        <v>0.91591540731104926</v>
      </c>
      <c r="K2889" t="str">
        <f>IF(Table4[[#This Row],[Performance_Ratio]] &lt; 0.85, "Underperforming", "Performing")</f>
        <v>Performing</v>
      </c>
      <c r="L2889">
        <f>Table4[[#This Row],[energy_kwh]] - Table4[[#This Row],[expected_kwh]]</f>
        <v>-20.892186228084995</v>
      </c>
      <c r="M2889" t="str">
        <f>IF(Table4[[#This Row],[Performance_Deviation]] &lt; 0, "Underperforming", "Outperforming")</f>
        <v>Underperforming</v>
      </c>
      <c r="N2889">
        <f>IF(Table4[[#This Row],[Performance_Ratio]] &lt; 0.85, Table4[[#This Row],[Performance_Deviation]] * 50 / 1000, 0)</f>
        <v>0</v>
      </c>
    </row>
    <row r="2890" spans="1:14" x14ac:dyDescent="0.3">
      <c r="A2890" s="4" t="s">
        <v>9</v>
      </c>
      <c r="B2890" s="3">
        <v>45319.333333333336</v>
      </c>
      <c r="C2890" s="4">
        <v>442.49023768282001</v>
      </c>
      <c r="D2890" s="4">
        <v>426.53684482037897</v>
      </c>
      <c r="E2890" s="4">
        <v>426.53684482037897</v>
      </c>
      <c r="F2890" s="4">
        <v>34.5540410184203</v>
      </c>
      <c r="G2890" s="4" t="str">
        <f t="shared" si="90"/>
        <v>OK</v>
      </c>
      <c r="H2890" s="4" t="str">
        <f t="shared" si="91"/>
        <v>NON-ZERO</v>
      </c>
      <c r="I2890">
        <v>479.99999999999898</v>
      </c>
      <c r="J2890">
        <f>IFERROR(Table4[[#This Row],[energy_kwh]]/Table4[[#This Row],[expected_kwh]],0)</f>
        <v>0.88861842670912472</v>
      </c>
      <c r="K2890" t="str">
        <f>IF(Table4[[#This Row],[Performance_Ratio]] &lt; 0.85, "Underperforming", "Performing")</f>
        <v>Performing</v>
      </c>
      <c r="L2890">
        <f>Table4[[#This Row],[energy_kwh]] - Table4[[#This Row],[expected_kwh]]</f>
        <v>-53.463155179620003</v>
      </c>
      <c r="M2890" t="str">
        <f>IF(Table4[[#This Row],[Performance_Deviation]] &lt; 0, "Underperforming", "Outperforming")</f>
        <v>Underperforming</v>
      </c>
      <c r="N2890">
        <f>IF(Table4[[#This Row],[Performance_Ratio]] &lt; 0.85, Table4[[#This Row],[Performance_Deviation]] * 50 / 1000, 0)</f>
        <v>0</v>
      </c>
    </row>
    <row r="2891" spans="1:14" x14ac:dyDescent="0.3">
      <c r="A2891" s="6" t="s">
        <v>9</v>
      </c>
      <c r="B2891" s="5">
        <v>45319.375</v>
      </c>
      <c r="C2891" s="6">
        <v>662.20754481623203</v>
      </c>
      <c r="D2891" s="6">
        <v>638.33253872739999</v>
      </c>
      <c r="E2891" s="6">
        <v>638.33253872739999</v>
      </c>
      <c r="F2891" s="6">
        <v>38.950972080451102</v>
      </c>
      <c r="G2891" s="6" t="str">
        <f t="shared" si="90"/>
        <v>OK</v>
      </c>
      <c r="H2891" s="6" t="str">
        <f t="shared" si="91"/>
        <v>NON-ZERO</v>
      </c>
      <c r="I2891">
        <v>678.82250993908497</v>
      </c>
      <c r="J2891">
        <f>IFERROR(Table4[[#This Row],[energy_kwh]]/Table4[[#This Row],[expected_kwh]],0)</f>
        <v>0.94035263913785294</v>
      </c>
      <c r="K2891" t="str">
        <f>IF(Table4[[#This Row],[Performance_Ratio]] &lt; 0.85, "Underperforming", "Performing")</f>
        <v>Performing</v>
      </c>
      <c r="L2891">
        <f>Table4[[#This Row],[energy_kwh]] - Table4[[#This Row],[expected_kwh]]</f>
        <v>-40.489971211684974</v>
      </c>
      <c r="M2891" t="str">
        <f>IF(Table4[[#This Row],[Performance_Deviation]] &lt; 0, "Underperforming", "Outperforming")</f>
        <v>Underperforming</v>
      </c>
      <c r="N2891">
        <f>IF(Table4[[#This Row],[Performance_Ratio]] &lt; 0.85, Table4[[#This Row],[Performance_Deviation]] * 50 / 1000, 0)</f>
        <v>0</v>
      </c>
    </row>
    <row r="2892" spans="1:14" x14ac:dyDescent="0.3">
      <c r="A2892" s="4" t="s">
        <v>9</v>
      </c>
      <c r="B2892" s="3">
        <v>45319.416666666664</v>
      </c>
      <c r="C2892" s="4">
        <v>814.74249899690597</v>
      </c>
      <c r="D2892" s="4">
        <v>785.36804943550806</v>
      </c>
      <c r="E2892" s="4">
        <v>785.36804943550806</v>
      </c>
      <c r="F2892" s="4">
        <v>78.022748375432002</v>
      </c>
      <c r="G2892" s="4" t="str">
        <f t="shared" si="90"/>
        <v>OK</v>
      </c>
      <c r="H2892" s="4" t="str">
        <f t="shared" si="91"/>
        <v>NON-ZERO</v>
      </c>
      <c r="I2892">
        <v>831.38438763306101</v>
      </c>
      <c r="J2892">
        <f>IFERROR(Table4[[#This Row],[energy_kwh]]/Table4[[#This Row],[expected_kwh]],0)</f>
        <v>0.94465094740525402</v>
      </c>
      <c r="K2892" t="str">
        <f>IF(Table4[[#This Row],[Performance_Ratio]] &lt; 0.85, "Underperforming", "Performing")</f>
        <v>Performing</v>
      </c>
      <c r="L2892">
        <f>Table4[[#This Row],[energy_kwh]] - Table4[[#This Row],[expected_kwh]]</f>
        <v>-46.016338197552955</v>
      </c>
      <c r="M2892" t="str">
        <f>IF(Table4[[#This Row],[Performance_Deviation]] &lt; 0, "Underperforming", "Outperforming")</f>
        <v>Underperforming</v>
      </c>
      <c r="N2892">
        <f>IF(Table4[[#This Row],[Performance_Ratio]] &lt; 0.85, Table4[[#This Row],[Performance_Deviation]] * 50 / 1000, 0)</f>
        <v>0</v>
      </c>
    </row>
    <row r="2893" spans="1:14" x14ac:dyDescent="0.3">
      <c r="A2893" s="6" t="s">
        <v>9</v>
      </c>
      <c r="B2893" s="5">
        <v>45319.458333333336</v>
      </c>
      <c r="C2893" s="6">
        <v>751.49373259894696</v>
      </c>
      <c r="D2893" s="6">
        <v>724.39963259666104</v>
      </c>
      <c r="E2893" s="6">
        <v>724.39963259666104</v>
      </c>
      <c r="F2893" s="6">
        <v>78.112082499096601</v>
      </c>
      <c r="G2893" s="6" t="str">
        <f t="shared" si="90"/>
        <v>OK</v>
      </c>
      <c r="H2893" s="6" t="str">
        <f t="shared" si="91"/>
        <v>NON-ZERO</v>
      </c>
      <c r="I2893">
        <v>927.28879323750505</v>
      </c>
      <c r="J2893">
        <f>IFERROR(Table4[[#This Row],[energy_kwh]]/Table4[[#This Row],[expected_kwh]],0)</f>
        <v>0.78120175492201993</v>
      </c>
      <c r="K2893" t="str">
        <f>IF(Table4[[#This Row],[Performance_Ratio]] &lt; 0.85, "Underperforming", "Performing")</f>
        <v>Underperforming</v>
      </c>
      <c r="L2893">
        <f>Table4[[#This Row],[energy_kwh]] - Table4[[#This Row],[expected_kwh]]</f>
        <v>-202.88916064084401</v>
      </c>
      <c r="M2893" t="str">
        <f>IF(Table4[[#This Row],[Performance_Deviation]] &lt; 0, "Underperforming", "Outperforming")</f>
        <v>Underperforming</v>
      </c>
      <c r="N2893">
        <f>IF(Table4[[#This Row],[Performance_Ratio]] &lt; 0.85, Table4[[#This Row],[Performance_Deviation]] * 50 / 1000, 0)</f>
        <v>-10.1444580320422</v>
      </c>
    </row>
    <row r="2894" spans="1:14" x14ac:dyDescent="0.3">
      <c r="A2894" s="4" t="s">
        <v>9</v>
      </c>
      <c r="B2894" s="3">
        <v>45319.5</v>
      </c>
      <c r="C2894" s="4">
        <v>991.23217448423804</v>
      </c>
      <c r="D2894" s="4">
        <v>955.49462605774602</v>
      </c>
      <c r="E2894" s="4">
        <v>955.49462605774602</v>
      </c>
      <c r="F2894" s="4">
        <v>31.448973500045501</v>
      </c>
      <c r="G2894" s="4" t="str">
        <f t="shared" si="90"/>
        <v>OK</v>
      </c>
      <c r="H2894" s="4" t="str">
        <f t="shared" si="91"/>
        <v>NON-ZERO</v>
      </c>
      <c r="I2894">
        <v>960</v>
      </c>
      <c r="J2894">
        <f>IFERROR(Table4[[#This Row],[energy_kwh]]/Table4[[#This Row],[expected_kwh]],0)</f>
        <v>0.99530690214348538</v>
      </c>
      <c r="K2894" t="str">
        <f>IF(Table4[[#This Row],[Performance_Ratio]] &lt; 0.85, "Underperforming", "Performing")</f>
        <v>Performing</v>
      </c>
      <c r="L2894">
        <f>Table4[[#This Row],[energy_kwh]] - Table4[[#This Row],[expected_kwh]]</f>
        <v>-4.505373942253982</v>
      </c>
      <c r="M2894" t="str">
        <f>IF(Table4[[#This Row],[Performance_Deviation]] &lt; 0, "Underperforming", "Outperforming")</f>
        <v>Underperforming</v>
      </c>
      <c r="N2894">
        <f>IF(Table4[[#This Row],[Performance_Ratio]] &lt; 0.85, Table4[[#This Row],[Performance_Deviation]] * 50 / 1000, 0)</f>
        <v>0</v>
      </c>
    </row>
    <row r="2895" spans="1:14" x14ac:dyDescent="0.3">
      <c r="A2895" s="6" t="s">
        <v>9</v>
      </c>
      <c r="B2895" s="5">
        <v>45319.541666666664</v>
      </c>
      <c r="C2895" s="6">
        <v>787.39374615519705</v>
      </c>
      <c r="D2895" s="6">
        <v>759.00531924746497</v>
      </c>
      <c r="E2895" s="6">
        <v>759.00531924746497</v>
      </c>
      <c r="F2895" s="6">
        <v>41.116539704614603</v>
      </c>
      <c r="G2895" s="6" t="str">
        <f t="shared" si="90"/>
        <v>OK</v>
      </c>
      <c r="H2895" s="6" t="str">
        <f t="shared" si="91"/>
        <v>NON-ZERO</v>
      </c>
      <c r="I2895">
        <v>927.28879323750505</v>
      </c>
      <c r="J2895">
        <f>IFERROR(Table4[[#This Row],[energy_kwh]]/Table4[[#This Row],[expected_kwh]],0)</f>
        <v>0.81852096648067885</v>
      </c>
      <c r="K2895" t="str">
        <f>IF(Table4[[#This Row],[Performance_Ratio]] &lt; 0.85, "Underperforming", "Performing")</f>
        <v>Underperforming</v>
      </c>
      <c r="L2895">
        <f>Table4[[#This Row],[energy_kwh]] - Table4[[#This Row],[expected_kwh]]</f>
        <v>-168.28347399004008</v>
      </c>
      <c r="M2895" t="str">
        <f>IF(Table4[[#This Row],[Performance_Deviation]] &lt; 0, "Underperforming", "Outperforming")</f>
        <v>Underperforming</v>
      </c>
      <c r="N2895">
        <f>IF(Table4[[#This Row],[Performance_Ratio]] &lt; 0.85, Table4[[#This Row],[Performance_Deviation]] * 50 / 1000, 0)</f>
        <v>-8.4141736995020029</v>
      </c>
    </row>
    <row r="2896" spans="1:14" x14ac:dyDescent="0.3">
      <c r="A2896" s="4" t="s">
        <v>9</v>
      </c>
      <c r="B2896" s="3">
        <v>45319.583333333336</v>
      </c>
      <c r="C2896" s="4">
        <v>694.18594760398901</v>
      </c>
      <c r="D2896" s="4">
        <v>669.15800303348897</v>
      </c>
      <c r="E2896" s="4">
        <v>669.15800303348897</v>
      </c>
      <c r="F2896" s="4">
        <v>76.319629513754094</v>
      </c>
      <c r="G2896" s="4" t="str">
        <f t="shared" si="90"/>
        <v>OK</v>
      </c>
      <c r="H2896" s="4" t="str">
        <f t="shared" si="91"/>
        <v>NON-ZERO</v>
      </c>
      <c r="I2896">
        <v>831.38438763306101</v>
      </c>
      <c r="J2896">
        <f>IFERROR(Table4[[#This Row],[energy_kwh]]/Table4[[#This Row],[expected_kwh]],0)</f>
        <v>0.80487198579536945</v>
      </c>
      <c r="K2896" t="str">
        <f>IF(Table4[[#This Row],[Performance_Ratio]] &lt; 0.85, "Underperforming", "Performing")</f>
        <v>Underperforming</v>
      </c>
      <c r="L2896">
        <f>Table4[[#This Row],[energy_kwh]] - Table4[[#This Row],[expected_kwh]]</f>
        <v>-162.22638459957204</v>
      </c>
      <c r="M2896" t="str">
        <f>IF(Table4[[#This Row],[Performance_Deviation]] &lt; 0, "Underperforming", "Outperforming")</f>
        <v>Underperforming</v>
      </c>
      <c r="N2896">
        <f>IF(Table4[[#This Row],[Performance_Ratio]] &lt; 0.85, Table4[[#This Row],[Performance_Deviation]] * 50 / 1000, 0)</f>
        <v>-8.1113192299786032</v>
      </c>
    </row>
    <row r="2897" spans="1:14" x14ac:dyDescent="0.3">
      <c r="A2897" s="6" t="s">
        <v>9</v>
      </c>
      <c r="B2897" s="5">
        <v>45319.625</v>
      </c>
      <c r="C2897" s="6">
        <v>582.78060636870998</v>
      </c>
      <c r="D2897" s="6">
        <v>561.76923216371199</v>
      </c>
      <c r="E2897" s="6">
        <v>561.76923216371199</v>
      </c>
      <c r="F2897" s="6">
        <v>59.547434984659503</v>
      </c>
      <c r="G2897" s="6" t="str">
        <f t="shared" si="90"/>
        <v>OK</v>
      </c>
      <c r="H2897" s="6" t="str">
        <f t="shared" si="91"/>
        <v>NON-ZERO</v>
      </c>
      <c r="I2897">
        <v>678.82250993908497</v>
      </c>
      <c r="J2897">
        <f>IFERROR(Table4[[#This Row],[energy_kwh]]/Table4[[#This Row],[expected_kwh]],0)</f>
        <v>0.82756423651025224</v>
      </c>
      <c r="K2897" t="str">
        <f>IF(Table4[[#This Row],[Performance_Ratio]] &lt; 0.85, "Underperforming", "Performing")</f>
        <v>Underperforming</v>
      </c>
      <c r="L2897">
        <f>Table4[[#This Row],[energy_kwh]] - Table4[[#This Row],[expected_kwh]]</f>
        <v>-117.05327777537298</v>
      </c>
      <c r="M2897" t="str">
        <f>IF(Table4[[#This Row],[Performance_Deviation]] &lt; 0, "Underperforming", "Outperforming")</f>
        <v>Underperforming</v>
      </c>
      <c r="N2897">
        <f>IF(Table4[[#This Row],[Performance_Ratio]] &lt; 0.85, Table4[[#This Row],[Performance_Deviation]] * 50 / 1000, 0)</f>
        <v>-5.8526638887686486</v>
      </c>
    </row>
    <row r="2898" spans="1:14" x14ac:dyDescent="0.3">
      <c r="A2898" s="4" t="s">
        <v>9</v>
      </c>
      <c r="B2898" s="3">
        <v>45319.666666666664</v>
      </c>
      <c r="C2898" s="4">
        <v>446.05534774806699</v>
      </c>
      <c r="D2898" s="4">
        <v>429.97341961721702</v>
      </c>
      <c r="E2898" s="4">
        <v>429.97341961721702</v>
      </c>
      <c r="F2898" s="4">
        <v>56.717067967070399</v>
      </c>
      <c r="G2898" s="4" t="str">
        <f t="shared" si="90"/>
        <v>OK</v>
      </c>
      <c r="H2898" s="4" t="str">
        <f t="shared" si="91"/>
        <v>NON-ZERO</v>
      </c>
      <c r="I2898">
        <v>479.99999999999898</v>
      </c>
      <c r="J2898">
        <f>IFERROR(Table4[[#This Row],[energy_kwh]]/Table4[[#This Row],[expected_kwh]],0)</f>
        <v>0.89577795753587075</v>
      </c>
      <c r="K2898" t="str">
        <f>IF(Table4[[#This Row],[Performance_Ratio]] &lt; 0.85, "Underperforming", "Performing")</f>
        <v>Performing</v>
      </c>
      <c r="L2898">
        <f>Table4[[#This Row],[energy_kwh]] - Table4[[#This Row],[expected_kwh]]</f>
        <v>-50.026580382781958</v>
      </c>
      <c r="M2898" t="str">
        <f>IF(Table4[[#This Row],[Performance_Deviation]] &lt; 0, "Underperforming", "Outperforming")</f>
        <v>Underperforming</v>
      </c>
      <c r="N2898">
        <f>IF(Table4[[#This Row],[Performance_Ratio]] &lt; 0.85, Table4[[#This Row],[Performance_Deviation]] * 50 / 1000, 0)</f>
        <v>0</v>
      </c>
    </row>
    <row r="2899" spans="1:14" x14ac:dyDescent="0.3">
      <c r="A2899" s="6" t="s">
        <v>9</v>
      </c>
      <c r="B2899" s="5">
        <v>45319.708333333336</v>
      </c>
      <c r="C2899" s="6">
        <v>247.07484113385701</v>
      </c>
      <c r="D2899" s="6">
        <v>238.16688866088299</v>
      </c>
      <c r="E2899" s="6">
        <v>238.16688866088299</v>
      </c>
      <c r="F2899" s="6">
        <v>76.678244186929405</v>
      </c>
      <c r="G2899" s="6" t="str">
        <f t="shared" si="90"/>
        <v>OK</v>
      </c>
      <c r="H2899" s="6" t="str">
        <f t="shared" si="91"/>
        <v>NON-ZERO</v>
      </c>
      <c r="I2899">
        <v>248.46628329842</v>
      </c>
      <c r="J2899">
        <f>IFERROR(Table4[[#This Row],[energy_kwh]]/Table4[[#This Row],[expected_kwh]],0)</f>
        <v>0.95854811968524944</v>
      </c>
      <c r="K2899" t="str">
        <f>IF(Table4[[#This Row],[Performance_Ratio]] &lt; 0.85, "Underperforming", "Performing")</f>
        <v>Performing</v>
      </c>
      <c r="L2899">
        <f>Table4[[#This Row],[energy_kwh]] - Table4[[#This Row],[expected_kwh]]</f>
        <v>-10.299394637537006</v>
      </c>
      <c r="M2899" t="str">
        <f>IF(Table4[[#This Row],[Performance_Deviation]] &lt; 0, "Underperforming", "Outperforming")</f>
        <v>Underperforming</v>
      </c>
      <c r="N2899">
        <f>IF(Table4[[#This Row],[Performance_Ratio]] &lt; 0.85, Table4[[#This Row],[Performance_Deviation]] * 50 / 1000, 0)</f>
        <v>0</v>
      </c>
    </row>
    <row r="2900" spans="1:14" x14ac:dyDescent="0.3">
      <c r="A2900" s="4" t="s">
        <v>9</v>
      </c>
      <c r="B2900" s="3">
        <v>45319.75</v>
      </c>
      <c r="C2900" s="7">
        <v>1.1634634556566499E-13</v>
      </c>
      <c r="D2900" s="7">
        <v>1.12151633906853E-13</v>
      </c>
      <c r="E2900" s="7">
        <v>1.12151633906853E-13</v>
      </c>
      <c r="F2900" s="4">
        <v>90.553780972933097</v>
      </c>
      <c r="G2900" s="4" t="str">
        <f t="shared" si="90"/>
        <v>OK</v>
      </c>
      <c r="H2900" s="4" t="str">
        <f t="shared" si="91"/>
        <v>NON-ZERO</v>
      </c>
      <c r="I2900" s="2">
        <v>1.1756609271814501E-13</v>
      </c>
      <c r="J2900">
        <f>IFERROR(Table4[[#This Row],[energy_kwh]]/Table4[[#This Row],[expected_kwh]],0)</f>
        <v>0.95394540478373535</v>
      </c>
      <c r="K2900" t="str">
        <f>IF(Table4[[#This Row],[Performance_Ratio]] &lt; 0.85, "Underperforming", "Performing")</f>
        <v>Performing</v>
      </c>
      <c r="L2900">
        <f>Table4[[#This Row],[energy_kwh]] - Table4[[#This Row],[expected_kwh]]</f>
        <v>-5.4144588112920116E-15</v>
      </c>
      <c r="M2900" t="str">
        <f>IF(Table4[[#This Row],[Performance_Deviation]] &lt; 0, "Underperforming", "Outperforming")</f>
        <v>Underperforming</v>
      </c>
      <c r="N2900">
        <f>IF(Table4[[#This Row],[Performance_Ratio]] &lt; 0.85, Table4[[#This Row],[Performance_Deviation]] * 50 / 1000, 0)</f>
        <v>0</v>
      </c>
    </row>
    <row r="2901" spans="1:14" x14ac:dyDescent="0.3">
      <c r="A2901" s="6" t="s">
        <v>9</v>
      </c>
      <c r="B2901" s="5">
        <v>45319.791666666664</v>
      </c>
      <c r="C2901" s="6">
        <v>0</v>
      </c>
      <c r="D2901" s="6">
        <v>0</v>
      </c>
      <c r="E2901" s="6">
        <v>0</v>
      </c>
      <c r="F2901" s="6">
        <v>82.061071981775399</v>
      </c>
      <c r="G2901" s="6" t="str">
        <f t="shared" si="90"/>
        <v>OK</v>
      </c>
      <c r="H2901" s="6" t="str">
        <f t="shared" si="91"/>
        <v>ZERO</v>
      </c>
      <c r="I2901">
        <v>0</v>
      </c>
      <c r="J2901">
        <f>IFERROR(Table4[[#This Row],[energy_kwh]]/Table4[[#This Row],[expected_kwh]],0)</f>
        <v>0</v>
      </c>
      <c r="K2901" t="str">
        <f>IF(Table4[[#This Row],[Performance_Ratio]] &lt; 0.85, "Underperforming", "Performing")</f>
        <v>Underperforming</v>
      </c>
      <c r="L2901">
        <f>Table4[[#This Row],[energy_kwh]] - Table4[[#This Row],[expected_kwh]]</f>
        <v>0</v>
      </c>
      <c r="M2901" t="str">
        <f>IF(Table4[[#This Row],[Performance_Deviation]] &lt; 0, "Underperforming", "Outperforming")</f>
        <v>Outperforming</v>
      </c>
      <c r="N2901">
        <f>IF(Table4[[#This Row],[Performance_Ratio]] &lt; 0.85, Table4[[#This Row],[Performance_Deviation]] * 50 / 1000, 0)</f>
        <v>0</v>
      </c>
    </row>
    <row r="2902" spans="1:14" x14ac:dyDescent="0.3">
      <c r="A2902" s="4" t="s">
        <v>9</v>
      </c>
      <c r="B2902" s="3">
        <v>45319.833333333336</v>
      </c>
      <c r="C2902" s="4">
        <v>0</v>
      </c>
      <c r="D2902" s="4">
        <v>0</v>
      </c>
      <c r="E2902" s="4">
        <v>0</v>
      </c>
      <c r="F2902" s="4">
        <v>37.281647886075199</v>
      </c>
      <c r="G2902" s="4" t="str">
        <f t="shared" si="90"/>
        <v>OK</v>
      </c>
      <c r="H2902" s="4" t="str">
        <f t="shared" si="91"/>
        <v>ZERO</v>
      </c>
      <c r="I2902">
        <v>0</v>
      </c>
      <c r="J2902">
        <f>IFERROR(Table4[[#This Row],[energy_kwh]]/Table4[[#This Row],[expected_kwh]],0)</f>
        <v>0</v>
      </c>
      <c r="K2902" t="str">
        <f>IF(Table4[[#This Row],[Performance_Ratio]] &lt; 0.85, "Underperforming", "Performing")</f>
        <v>Underperforming</v>
      </c>
      <c r="L2902">
        <f>Table4[[#This Row],[energy_kwh]] - Table4[[#This Row],[expected_kwh]]</f>
        <v>0</v>
      </c>
      <c r="M2902" t="str">
        <f>IF(Table4[[#This Row],[Performance_Deviation]] &lt; 0, "Underperforming", "Outperforming")</f>
        <v>Outperforming</v>
      </c>
      <c r="N2902">
        <f>IF(Table4[[#This Row],[Performance_Ratio]] &lt; 0.85, Table4[[#This Row],[Performance_Deviation]] * 50 / 1000, 0)</f>
        <v>0</v>
      </c>
    </row>
    <row r="2903" spans="1:14" x14ac:dyDescent="0.3">
      <c r="A2903" s="6" t="s">
        <v>9</v>
      </c>
      <c r="B2903" s="5">
        <v>45319.875</v>
      </c>
      <c r="C2903" s="6">
        <v>0</v>
      </c>
      <c r="D2903" s="6">
        <v>0</v>
      </c>
      <c r="E2903" s="6">
        <v>0</v>
      </c>
      <c r="F2903" s="6">
        <v>50.8420521973745</v>
      </c>
      <c r="G2903" s="6" t="str">
        <f t="shared" si="90"/>
        <v>OK</v>
      </c>
      <c r="H2903" s="6" t="str">
        <f t="shared" si="91"/>
        <v>ZERO</v>
      </c>
      <c r="I2903">
        <v>0</v>
      </c>
      <c r="J2903">
        <f>IFERROR(Table4[[#This Row],[energy_kwh]]/Table4[[#This Row],[expected_kwh]],0)</f>
        <v>0</v>
      </c>
      <c r="K2903" t="str">
        <f>IF(Table4[[#This Row],[Performance_Ratio]] &lt; 0.85, "Underperforming", "Performing")</f>
        <v>Underperforming</v>
      </c>
      <c r="L2903">
        <f>Table4[[#This Row],[energy_kwh]] - Table4[[#This Row],[expected_kwh]]</f>
        <v>0</v>
      </c>
      <c r="M2903" t="str">
        <f>IF(Table4[[#This Row],[Performance_Deviation]] &lt; 0, "Underperforming", "Outperforming")</f>
        <v>Outperforming</v>
      </c>
      <c r="N2903">
        <f>IF(Table4[[#This Row],[Performance_Ratio]] &lt; 0.85, Table4[[#This Row],[Performance_Deviation]] * 50 / 1000, 0)</f>
        <v>0</v>
      </c>
    </row>
    <row r="2904" spans="1:14" x14ac:dyDescent="0.3">
      <c r="A2904" s="4" t="s">
        <v>9</v>
      </c>
      <c r="B2904" s="3">
        <v>45319.916666666664</v>
      </c>
      <c r="C2904" s="4">
        <v>0</v>
      </c>
      <c r="D2904" s="4">
        <v>0</v>
      </c>
      <c r="E2904" s="4">
        <v>0</v>
      </c>
      <c r="F2904" s="4">
        <v>27.584389113624301</v>
      </c>
      <c r="G2904" s="4" t="str">
        <f t="shared" si="90"/>
        <v>OK</v>
      </c>
      <c r="H2904" s="4" t="str">
        <f t="shared" si="91"/>
        <v>ZERO</v>
      </c>
      <c r="I2904">
        <v>0</v>
      </c>
      <c r="J2904">
        <f>IFERROR(Table4[[#This Row],[energy_kwh]]/Table4[[#This Row],[expected_kwh]],0)</f>
        <v>0</v>
      </c>
      <c r="K2904" t="str">
        <f>IF(Table4[[#This Row],[Performance_Ratio]] &lt; 0.85, "Underperforming", "Performing")</f>
        <v>Underperforming</v>
      </c>
      <c r="L2904">
        <f>Table4[[#This Row],[energy_kwh]] - Table4[[#This Row],[expected_kwh]]</f>
        <v>0</v>
      </c>
      <c r="M2904" t="str">
        <f>IF(Table4[[#This Row],[Performance_Deviation]] &lt; 0, "Underperforming", "Outperforming")</f>
        <v>Outperforming</v>
      </c>
      <c r="N2904">
        <f>IF(Table4[[#This Row],[Performance_Ratio]] &lt; 0.85, Table4[[#This Row],[Performance_Deviation]] * 50 / 1000, 0)</f>
        <v>0</v>
      </c>
    </row>
    <row r="2905" spans="1:14" x14ac:dyDescent="0.3">
      <c r="A2905" s="6" t="s">
        <v>9</v>
      </c>
      <c r="B2905" s="5">
        <v>45319.958333333336</v>
      </c>
      <c r="C2905" s="6">
        <v>0</v>
      </c>
      <c r="D2905" s="6">
        <v>0</v>
      </c>
      <c r="E2905" s="6">
        <v>0</v>
      </c>
      <c r="F2905" s="6">
        <v>78.5730800538539</v>
      </c>
      <c r="G2905" s="6" t="str">
        <f t="shared" si="90"/>
        <v>OK</v>
      </c>
      <c r="H2905" s="6" t="str">
        <f t="shared" si="91"/>
        <v>ZERO</v>
      </c>
      <c r="I2905">
        <v>0</v>
      </c>
      <c r="J2905">
        <f>IFERROR(Table4[[#This Row],[energy_kwh]]/Table4[[#This Row],[expected_kwh]],0)</f>
        <v>0</v>
      </c>
      <c r="K2905" t="str">
        <f>IF(Table4[[#This Row],[Performance_Ratio]] &lt; 0.85, "Underperforming", "Performing")</f>
        <v>Underperforming</v>
      </c>
      <c r="L2905">
        <f>Table4[[#This Row],[energy_kwh]] - Table4[[#This Row],[expected_kwh]]</f>
        <v>0</v>
      </c>
      <c r="M2905" t="str">
        <f>IF(Table4[[#This Row],[Performance_Deviation]] &lt; 0, "Underperforming", "Outperforming")</f>
        <v>Outperforming</v>
      </c>
      <c r="N2905">
        <f>IF(Table4[[#This Row],[Performance_Ratio]] &lt; 0.85, Table4[[#This Row],[Performance_Deviation]] * 50 / 1000, 0)</f>
        <v>0</v>
      </c>
    </row>
    <row r="2906" spans="1:14" x14ac:dyDescent="0.3">
      <c r="A2906" s="4" t="s">
        <v>9</v>
      </c>
      <c r="B2906" s="3">
        <v>45320</v>
      </c>
      <c r="C2906" s="4">
        <v>0</v>
      </c>
      <c r="D2906" s="4">
        <v>0</v>
      </c>
      <c r="E2906" s="4">
        <v>0</v>
      </c>
      <c r="F2906" s="4">
        <v>54.947506113960202</v>
      </c>
      <c r="G2906" s="4" t="str">
        <f t="shared" si="90"/>
        <v>OK</v>
      </c>
      <c r="H2906" s="4" t="str">
        <f t="shared" si="91"/>
        <v>ZERO</v>
      </c>
      <c r="I2906">
        <v>0</v>
      </c>
      <c r="J2906">
        <f>IFERROR(Table4[[#This Row],[energy_kwh]]/Table4[[#This Row],[expected_kwh]],0)</f>
        <v>0</v>
      </c>
      <c r="K2906" t="str">
        <f>IF(Table4[[#This Row],[Performance_Ratio]] &lt; 0.85, "Underperforming", "Performing")</f>
        <v>Underperforming</v>
      </c>
      <c r="L2906">
        <f>Table4[[#This Row],[energy_kwh]] - Table4[[#This Row],[expected_kwh]]</f>
        <v>0</v>
      </c>
      <c r="M2906" t="str">
        <f>IF(Table4[[#This Row],[Performance_Deviation]] &lt; 0, "Underperforming", "Outperforming")</f>
        <v>Outperforming</v>
      </c>
      <c r="N2906">
        <f>IF(Table4[[#This Row],[Performance_Ratio]] &lt; 0.85, Table4[[#This Row],[Performance_Deviation]] * 50 / 1000, 0)</f>
        <v>0</v>
      </c>
    </row>
    <row r="2907" spans="1:14" x14ac:dyDescent="0.3">
      <c r="A2907" s="6" t="s">
        <v>9</v>
      </c>
      <c r="B2907" s="5">
        <v>45320.041666666664</v>
      </c>
      <c r="C2907" s="6">
        <v>0</v>
      </c>
      <c r="D2907" s="6">
        <v>0</v>
      </c>
      <c r="E2907" s="6">
        <v>0</v>
      </c>
      <c r="F2907" s="6">
        <v>54.407621746744397</v>
      </c>
      <c r="G2907" s="6" t="str">
        <f t="shared" si="90"/>
        <v>OK</v>
      </c>
      <c r="H2907" s="6" t="str">
        <f t="shared" si="91"/>
        <v>ZERO</v>
      </c>
      <c r="I2907">
        <v>0</v>
      </c>
      <c r="J2907">
        <f>IFERROR(Table4[[#This Row],[energy_kwh]]/Table4[[#This Row],[expected_kwh]],0)</f>
        <v>0</v>
      </c>
      <c r="K2907" t="str">
        <f>IF(Table4[[#This Row],[Performance_Ratio]] &lt; 0.85, "Underperforming", "Performing")</f>
        <v>Underperforming</v>
      </c>
      <c r="L2907">
        <f>Table4[[#This Row],[energy_kwh]] - Table4[[#This Row],[expected_kwh]]</f>
        <v>0</v>
      </c>
      <c r="M2907" t="str">
        <f>IF(Table4[[#This Row],[Performance_Deviation]] &lt; 0, "Underperforming", "Outperforming")</f>
        <v>Outperforming</v>
      </c>
      <c r="N2907">
        <f>IF(Table4[[#This Row],[Performance_Ratio]] &lt; 0.85, Table4[[#This Row],[Performance_Deviation]] * 50 / 1000, 0)</f>
        <v>0</v>
      </c>
    </row>
    <row r="2908" spans="1:14" x14ac:dyDescent="0.3">
      <c r="A2908" s="4" t="s">
        <v>9</v>
      </c>
      <c r="B2908" s="3">
        <v>45320.083333333336</v>
      </c>
      <c r="C2908" s="4">
        <v>0</v>
      </c>
      <c r="D2908" s="4">
        <v>0</v>
      </c>
      <c r="E2908" s="4">
        <v>0</v>
      </c>
      <c r="F2908" s="4">
        <v>23.679017944084499</v>
      </c>
      <c r="G2908" s="4" t="str">
        <f t="shared" si="90"/>
        <v>OK</v>
      </c>
      <c r="H2908" s="4" t="str">
        <f t="shared" si="91"/>
        <v>ZERO</v>
      </c>
      <c r="I2908">
        <v>0</v>
      </c>
      <c r="J2908">
        <f>IFERROR(Table4[[#This Row],[energy_kwh]]/Table4[[#This Row],[expected_kwh]],0)</f>
        <v>0</v>
      </c>
      <c r="K2908" t="str">
        <f>IF(Table4[[#This Row],[Performance_Ratio]] &lt; 0.85, "Underperforming", "Performing")</f>
        <v>Underperforming</v>
      </c>
      <c r="L2908">
        <f>Table4[[#This Row],[energy_kwh]] - Table4[[#This Row],[expected_kwh]]</f>
        <v>0</v>
      </c>
      <c r="M2908" t="str">
        <f>IF(Table4[[#This Row],[Performance_Deviation]] &lt; 0, "Underperforming", "Outperforming")</f>
        <v>Outperforming</v>
      </c>
      <c r="N2908">
        <f>IF(Table4[[#This Row],[Performance_Ratio]] &lt; 0.85, Table4[[#This Row],[Performance_Deviation]] * 50 / 1000, 0)</f>
        <v>0</v>
      </c>
    </row>
    <row r="2909" spans="1:14" x14ac:dyDescent="0.3">
      <c r="A2909" s="6" t="s">
        <v>9</v>
      </c>
      <c r="B2909" s="5">
        <v>45320.125</v>
      </c>
      <c r="C2909" s="6">
        <v>0</v>
      </c>
      <c r="D2909" s="6">
        <v>0</v>
      </c>
      <c r="E2909" s="6">
        <v>0</v>
      </c>
      <c r="F2909" s="6">
        <v>38.907399467172397</v>
      </c>
      <c r="G2909" s="6" t="str">
        <f t="shared" si="90"/>
        <v>OK</v>
      </c>
      <c r="H2909" s="6" t="str">
        <f t="shared" si="91"/>
        <v>ZERO</v>
      </c>
      <c r="I2909">
        <v>0</v>
      </c>
      <c r="J2909">
        <f>IFERROR(Table4[[#This Row],[energy_kwh]]/Table4[[#This Row],[expected_kwh]],0)</f>
        <v>0</v>
      </c>
      <c r="K2909" t="str">
        <f>IF(Table4[[#This Row],[Performance_Ratio]] &lt; 0.85, "Underperforming", "Performing")</f>
        <v>Underperforming</v>
      </c>
      <c r="L2909">
        <f>Table4[[#This Row],[energy_kwh]] - Table4[[#This Row],[expected_kwh]]</f>
        <v>0</v>
      </c>
      <c r="M2909" t="str">
        <f>IF(Table4[[#This Row],[Performance_Deviation]] &lt; 0, "Underperforming", "Outperforming")</f>
        <v>Outperforming</v>
      </c>
      <c r="N2909">
        <f>IF(Table4[[#This Row],[Performance_Ratio]] &lt; 0.85, Table4[[#This Row],[Performance_Deviation]] * 50 / 1000, 0)</f>
        <v>0</v>
      </c>
    </row>
    <row r="2910" spans="1:14" x14ac:dyDescent="0.3">
      <c r="A2910" s="4" t="s">
        <v>9</v>
      </c>
      <c r="B2910" s="3">
        <v>45320.166666666664</v>
      </c>
      <c r="C2910" s="4">
        <v>0</v>
      </c>
      <c r="D2910" s="4">
        <v>0</v>
      </c>
      <c r="E2910" s="4">
        <v>0</v>
      </c>
      <c r="F2910" s="4">
        <v>38.3339157692496</v>
      </c>
      <c r="G2910" s="4" t="str">
        <f t="shared" si="90"/>
        <v>OK</v>
      </c>
      <c r="H2910" s="4" t="str">
        <f t="shared" si="91"/>
        <v>ZERO</v>
      </c>
      <c r="I2910">
        <v>0</v>
      </c>
      <c r="J2910">
        <f>IFERROR(Table4[[#This Row],[energy_kwh]]/Table4[[#This Row],[expected_kwh]],0)</f>
        <v>0</v>
      </c>
      <c r="K2910" t="str">
        <f>IF(Table4[[#This Row],[Performance_Ratio]] &lt; 0.85, "Underperforming", "Performing")</f>
        <v>Underperforming</v>
      </c>
      <c r="L2910">
        <f>Table4[[#This Row],[energy_kwh]] - Table4[[#This Row],[expected_kwh]]</f>
        <v>0</v>
      </c>
      <c r="M2910" t="str">
        <f>IF(Table4[[#This Row],[Performance_Deviation]] &lt; 0, "Underperforming", "Outperforming")</f>
        <v>Outperforming</v>
      </c>
      <c r="N2910">
        <f>IF(Table4[[#This Row],[Performance_Ratio]] &lt; 0.85, Table4[[#This Row],[Performance_Deviation]] * 50 / 1000, 0)</f>
        <v>0</v>
      </c>
    </row>
    <row r="2911" spans="1:14" x14ac:dyDescent="0.3">
      <c r="A2911" s="6" t="s">
        <v>9</v>
      </c>
      <c r="B2911" s="5">
        <v>45320.208333333336</v>
      </c>
      <c r="C2911" s="6">
        <v>0</v>
      </c>
      <c r="D2911" s="6">
        <v>0</v>
      </c>
      <c r="E2911" s="6">
        <v>0</v>
      </c>
      <c r="F2911" s="6">
        <v>88.493421461623697</v>
      </c>
      <c r="G2911" s="6" t="str">
        <f t="shared" si="90"/>
        <v>OK</v>
      </c>
      <c r="H2911" s="6" t="str">
        <f t="shared" si="91"/>
        <v>ZERO</v>
      </c>
      <c r="I2911">
        <v>0</v>
      </c>
      <c r="J2911">
        <f>IFERROR(Table4[[#This Row],[energy_kwh]]/Table4[[#This Row],[expected_kwh]],0)</f>
        <v>0</v>
      </c>
      <c r="K2911" t="str">
        <f>IF(Table4[[#This Row],[Performance_Ratio]] &lt; 0.85, "Underperforming", "Performing")</f>
        <v>Underperforming</v>
      </c>
      <c r="L2911">
        <f>Table4[[#This Row],[energy_kwh]] - Table4[[#This Row],[expected_kwh]]</f>
        <v>0</v>
      </c>
      <c r="M2911" t="str">
        <f>IF(Table4[[#This Row],[Performance_Deviation]] &lt; 0, "Underperforming", "Outperforming")</f>
        <v>Outperforming</v>
      </c>
      <c r="N2911">
        <f>IF(Table4[[#This Row],[Performance_Ratio]] &lt; 0.85, Table4[[#This Row],[Performance_Deviation]] * 50 / 1000, 0)</f>
        <v>0</v>
      </c>
    </row>
    <row r="2912" spans="1:14" x14ac:dyDescent="0.3">
      <c r="A2912" s="4" t="s">
        <v>9</v>
      </c>
      <c r="B2912" s="3">
        <v>45320.25</v>
      </c>
      <c r="C2912" s="4">
        <v>0</v>
      </c>
      <c r="D2912" s="4">
        <v>0</v>
      </c>
      <c r="E2912" s="4">
        <v>0</v>
      </c>
      <c r="F2912" s="4">
        <v>94.873019778649095</v>
      </c>
      <c r="G2912" s="4" t="str">
        <f t="shared" si="90"/>
        <v>OK</v>
      </c>
      <c r="H2912" s="4" t="str">
        <f t="shared" si="91"/>
        <v>ZERO</v>
      </c>
      <c r="I2912">
        <v>0</v>
      </c>
      <c r="J2912">
        <f>IFERROR(Table4[[#This Row],[energy_kwh]]/Table4[[#This Row],[expected_kwh]],0)</f>
        <v>0</v>
      </c>
      <c r="K2912" t="str">
        <f>IF(Table4[[#This Row],[Performance_Ratio]] &lt; 0.85, "Underperforming", "Performing")</f>
        <v>Underperforming</v>
      </c>
      <c r="L2912">
        <f>Table4[[#This Row],[energy_kwh]] - Table4[[#This Row],[expected_kwh]]</f>
        <v>0</v>
      </c>
      <c r="M2912" t="str">
        <f>IF(Table4[[#This Row],[Performance_Deviation]] &lt; 0, "Underperforming", "Outperforming")</f>
        <v>Outperforming</v>
      </c>
      <c r="N2912">
        <f>IF(Table4[[#This Row],[Performance_Ratio]] &lt; 0.85, Table4[[#This Row],[Performance_Deviation]] * 50 / 1000, 0)</f>
        <v>0</v>
      </c>
    </row>
    <row r="2913" spans="1:14" x14ac:dyDescent="0.3">
      <c r="A2913" s="6" t="s">
        <v>9</v>
      </c>
      <c r="B2913" s="5">
        <v>45320.291666666664</v>
      </c>
      <c r="C2913" s="6">
        <v>230.55812749584501</v>
      </c>
      <c r="D2913" s="6">
        <v>222.24566301113299</v>
      </c>
      <c r="E2913" s="6">
        <v>222.24566301113299</v>
      </c>
      <c r="F2913" s="6">
        <v>85.764393726962794</v>
      </c>
      <c r="G2913" s="6" t="str">
        <f t="shared" si="90"/>
        <v>OK</v>
      </c>
      <c r="H2913" s="6" t="str">
        <f t="shared" si="91"/>
        <v>NON-ZERO</v>
      </c>
      <c r="I2913">
        <v>248.466283298419</v>
      </c>
      <c r="J2913">
        <f>IFERROR(Table4[[#This Row],[energy_kwh]]/Table4[[#This Row],[expected_kwh]],0)</f>
        <v>0.89447010701329688</v>
      </c>
      <c r="K2913" t="str">
        <f>IF(Table4[[#This Row],[Performance_Ratio]] &lt; 0.85, "Underperforming", "Performing")</f>
        <v>Performing</v>
      </c>
      <c r="L2913">
        <f>Table4[[#This Row],[energy_kwh]] - Table4[[#This Row],[expected_kwh]]</f>
        <v>-26.22062028728601</v>
      </c>
      <c r="M2913" t="str">
        <f>IF(Table4[[#This Row],[Performance_Deviation]] &lt; 0, "Underperforming", "Outperforming")</f>
        <v>Underperforming</v>
      </c>
      <c r="N2913">
        <f>IF(Table4[[#This Row],[Performance_Ratio]] &lt; 0.85, Table4[[#This Row],[Performance_Deviation]] * 50 / 1000, 0)</f>
        <v>0</v>
      </c>
    </row>
    <row r="2914" spans="1:14" x14ac:dyDescent="0.3">
      <c r="A2914" s="4" t="s">
        <v>9</v>
      </c>
      <c r="B2914" s="3">
        <v>45320.333333333336</v>
      </c>
      <c r="C2914" s="4">
        <v>436.74616087926898</v>
      </c>
      <c r="D2914" s="4">
        <v>420.999863012547</v>
      </c>
      <c r="E2914" s="4">
        <v>420.999863012547</v>
      </c>
      <c r="F2914" s="4">
        <v>55.143485328135398</v>
      </c>
      <c r="G2914" s="4" t="str">
        <f t="shared" si="90"/>
        <v>OK</v>
      </c>
      <c r="H2914" s="4" t="str">
        <f t="shared" si="91"/>
        <v>NON-ZERO</v>
      </c>
      <c r="I2914">
        <v>479.99999999999898</v>
      </c>
      <c r="J2914">
        <f>IFERROR(Table4[[#This Row],[energy_kwh]]/Table4[[#This Row],[expected_kwh]],0)</f>
        <v>0.87708304794280811</v>
      </c>
      <c r="K2914" t="str">
        <f>IF(Table4[[#This Row],[Performance_Ratio]] &lt; 0.85, "Underperforming", "Performing")</f>
        <v>Performing</v>
      </c>
      <c r="L2914">
        <f>Table4[[#This Row],[energy_kwh]] - Table4[[#This Row],[expected_kwh]]</f>
        <v>-59.000136987451981</v>
      </c>
      <c r="M2914" t="str">
        <f>IF(Table4[[#This Row],[Performance_Deviation]] &lt; 0, "Underperforming", "Outperforming")</f>
        <v>Underperforming</v>
      </c>
      <c r="N2914">
        <f>IF(Table4[[#This Row],[Performance_Ratio]] &lt; 0.85, Table4[[#This Row],[Performance_Deviation]] * 50 / 1000, 0)</f>
        <v>0</v>
      </c>
    </row>
    <row r="2915" spans="1:14" x14ac:dyDescent="0.3">
      <c r="A2915" s="6" t="s">
        <v>9</v>
      </c>
      <c r="B2915" s="5">
        <v>45320.375</v>
      </c>
      <c r="C2915" s="6">
        <v>688.13433762154</v>
      </c>
      <c r="D2915" s="6">
        <v>663.32457574362502</v>
      </c>
      <c r="E2915" s="6">
        <v>663.32457574362502</v>
      </c>
      <c r="F2915" s="6">
        <v>32.916374165527401</v>
      </c>
      <c r="G2915" s="6" t="str">
        <f t="shared" si="90"/>
        <v>OK</v>
      </c>
      <c r="H2915" s="6" t="str">
        <f t="shared" si="91"/>
        <v>NON-ZERO</v>
      </c>
      <c r="I2915">
        <v>678.82250993908497</v>
      </c>
      <c r="J2915">
        <f>IFERROR(Table4[[#This Row],[energy_kwh]]/Table4[[#This Row],[expected_kwh]],0)</f>
        <v>0.97716938674168208</v>
      </c>
      <c r="K2915" t="str">
        <f>IF(Table4[[#This Row],[Performance_Ratio]] &lt; 0.85, "Underperforming", "Performing")</f>
        <v>Performing</v>
      </c>
      <c r="L2915">
        <f>Table4[[#This Row],[energy_kwh]] - Table4[[#This Row],[expected_kwh]]</f>
        <v>-15.497934195459948</v>
      </c>
      <c r="M2915" t="str">
        <f>IF(Table4[[#This Row],[Performance_Deviation]] &lt; 0, "Underperforming", "Outperforming")</f>
        <v>Underperforming</v>
      </c>
      <c r="N2915">
        <f>IF(Table4[[#This Row],[Performance_Ratio]] &lt; 0.85, Table4[[#This Row],[Performance_Deviation]] * 50 / 1000, 0)</f>
        <v>0</v>
      </c>
    </row>
    <row r="2916" spans="1:14" x14ac:dyDescent="0.3">
      <c r="A2916" s="4" t="s">
        <v>9</v>
      </c>
      <c r="B2916" s="3">
        <v>45320.416666666664</v>
      </c>
      <c r="C2916" s="4">
        <v>747.78889932321101</v>
      </c>
      <c r="D2916" s="4">
        <v>720.82837212254697</v>
      </c>
      <c r="E2916" s="4">
        <v>720.82837212254697</v>
      </c>
      <c r="F2916" s="4">
        <v>30.252130586677701</v>
      </c>
      <c r="G2916" s="4" t="str">
        <f t="shared" si="90"/>
        <v>OK</v>
      </c>
      <c r="H2916" s="4" t="str">
        <f t="shared" si="91"/>
        <v>NON-ZERO</v>
      </c>
      <c r="I2916">
        <v>831.38438763306101</v>
      </c>
      <c r="J2916">
        <f>IFERROR(Table4[[#This Row],[energy_kwh]]/Table4[[#This Row],[expected_kwh]],0)</f>
        <v>0.86702178059265056</v>
      </c>
      <c r="K2916" t="str">
        <f>IF(Table4[[#This Row],[Performance_Ratio]] &lt; 0.85, "Underperforming", "Performing")</f>
        <v>Performing</v>
      </c>
      <c r="L2916">
        <f>Table4[[#This Row],[energy_kwh]] - Table4[[#This Row],[expected_kwh]]</f>
        <v>-110.55601551051404</v>
      </c>
      <c r="M2916" t="str">
        <f>IF(Table4[[#This Row],[Performance_Deviation]] &lt; 0, "Underperforming", "Outperforming")</f>
        <v>Underperforming</v>
      </c>
      <c r="N2916">
        <f>IF(Table4[[#This Row],[Performance_Ratio]] &lt; 0.85, Table4[[#This Row],[Performance_Deviation]] * 50 / 1000, 0)</f>
        <v>0</v>
      </c>
    </row>
    <row r="2917" spans="1:14" x14ac:dyDescent="0.3">
      <c r="A2917" s="6" t="s">
        <v>9</v>
      </c>
      <c r="B2917" s="5">
        <v>45320.458333333336</v>
      </c>
      <c r="C2917" s="6">
        <v>944.73435059986195</v>
      </c>
      <c r="D2917" s="6">
        <v>910.67321893582903</v>
      </c>
      <c r="E2917" s="6">
        <v>910.67321893582903</v>
      </c>
      <c r="F2917" s="6">
        <v>72.912699549735294</v>
      </c>
      <c r="G2917" s="6" t="str">
        <f t="shared" si="90"/>
        <v>OK</v>
      </c>
      <c r="H2917" s="6" t="str">
        <f t="shared" si="91"/>
        <v>NON-ZERO</v>
      </c>
      <c r="I2917">
        <v>927.28879323750505</v>
      </c>
      <c r="J2917">
        <f>IFERROR(Table4[[#This Row],[energy_kwh]]/Table4[[#This Row],[expected_kwh]],0)</f>
        <v>0.98208155385587592</v>
      </c>
      <c r="K2917" t="str">
        <f>IF(Table4[[#This Row],[Performance_Ratio]] &lt; 0.85, "Underperforming", "Performing")</f>
        <v>Performing</v>
      </c>
      <c r="L2917">
        <f>Table4[[#This Row],[energy_kwh]] - Table4[[#This Row],[expected_kwh]]</f>
        <v>-16.61557430167602</v>
      </c>
      <c r="M2917" t="str">
        <f>IF(Table4[[#This Row],[Performance_Deviation]] &lt; 0, "Underperforming", "Outperforming")</f>
        <v>Underperforming</v>
      </c>
      <c r="N2917">
        <f>IF(Table4[[#This Row],[Performance_Ratio]] &lt; 0.85, Table4[[#This Row],[Performance_Deviation]] * 50 / 1000, 0)</f>
        <v>0</v>
      </c>
    </row>
    <row r="2918" spans="1:14" x14ac:dyDescent="0.3">
      <c r="A2918" s="4" t="s">
        <v>9</v>
      </c>
      <c r="B2918" s="3">
        <v>45320.5</v>
      </c>
      <c r="C2918" s="4">
        <v>833.50455681835194</v>
      </c>
      <c r="D2918" s="4">
        <v>803.45366639149904</v>
      </c>
      <c r="E2918" s="4">
        <v>803.45366639149904</v>
      </c>
      <c r="F2918" s="4">
        <v>46.208573058772103</v>
      </c>
      <c r="G2918" s="4" t="str">
        <f t="shared" si="90"/>
        <v>OK</v>
      </c>
      <c r="H2918" s="4" t="str">
        <f t="shared" si="91"/>
        <v>NON-ZERO</v>
      </c>
      <c r="I2918">
        <v>960</v>
      </c>
      <c r="J2918">
        <f>IFERROR(Table4[[#This Row],[energy_kwh]]/Table4[[#This Row],[expected_kwh]],0)</f>
        <v>0.83693090249114488</v>
      </c>
      <c r="K2918" t="str">
        <f>IF(Table4[[#This Row],[Performance_Ratio]] &lt; 0.85, "Underperforming", "Performing")</f>
        <v>Underperforming</v>
      </c>
      <c r="L2918">
        <f>Table4[[#This Row],[energy_kwh]] - Table4[[#This Row],[expected_kwh]]</f>
        <v>-156.54633360850096</v>
      </c>
      <c r="M2918" t="str">
        <f>IF(Table4[[#This Row],[Performance_Deviation]] &lt; 0, "Underperforming", "Outperforming")</f>
        <v>Underperforming</v>
      </c>
      <c r="N2918">
        <f>IF(Table4[[#This Row],[Performance_Ratio]] &lt; 0.85, Table4[[#This Row],[Performance_Deviation]] * 50 / 1000, 0)</f>
        <v>-7.8273166804250476</v>
      </c>
    </row>
    <row r="2919" spans="1:14" x14ac:dyDescent="0.3">
      <c r="A2919" s="6" t="s">
        <v>9</v>
      </c>
      <c r="B2919" s="5">
        <v>45320.541666666664</v>
      </c>
      <c r="C2919" s="6">
        <v>946.72170259149198</v>
      </c>
      <c r="D2919" s="6">
        <v>912.58891961319705</v>
      </c>
      <c r="E2919" s="6">
        <v>912.58891961319705</v>
      </c>
      <c r="F2919" s="6">
        <v>40.4063118183483</v>
      </c>
      <c r="G2919" s="6" t="str">
        <f t="shared" si="90"/>
        <v>OK</v>
      </c>
      <c r="H2919" s="6" t="str">
        <f t="shared" si="91"/>
        <v>NON-ZERO</v>
      </c>
      <c r="I2919">
        <v>927.28879323750505</v>
      </c>
      <c r="J2919">
        <f>IFERROR(Table4[[#This Row],[energy_kwh]]/Table4[[#This Row],[expected_kwh]],0)</f>
        <v>0.98414746977262024</v>
      </c>
      <c r="K2919" t="str">
        <f>IF(Table4[[#This Row],[Performance_Ratio]] &lt; 0.85, "Underperforming", "Performing")</f>
        <v>Performing</v>
      </c>
      <c r="L2919">
        <f>Table4[[#This Row],[energy_kwh]] - Table4[[#This Row],[expected_kwh]]</f>
        <v>-14.699873624307997</v>
      </c>
      <c r="M2919" t="str">
        <f>IF(Table4[[#This Row],[Performance_Deviation]] &lt; 0, "Underperforming", "Outperforming")</f>
        <v>Underperforming</v>
      </c>
      <c r="N2919">
        <f>IF(Table4[[#This Row],[Performance_Ratio]] &lt; 0.85, Table4[[#This Row],[Performance_Deviation]] * 50 / 1000, 0)</f>
        <v>0</v>
      </c>
    </row>
    <row r="2920" spans="1:14" x14ac:dyDescent="0.3">
      <c r="A2920" s="4" t="s">
        <v>9</v>
      </c>
      <c r="B2920" s="3">
        <v>45320.583333333336</v>
      </c>
      <c r="C2920" s="4">
        <v>766.52915495237505</v>
      </c>
      <c r="D2920" s="4">
        <v>738.89297293509696</v>
      </c>
      <c r="E2920" s="4">
        <v>738.89297293509696</v>
      </c>
      <c r="F2920" s="4">
        <v>35.864646939756</v>
      </c>
      <c r="G2920" s="4" t="str">
        <f t="shared" si="90"/>
        <v>OK</v>
      </c>
      <c r="H2920" s="4" t="str">
        <f t="shared" si="91"/>
        <v>NON-ZERO</v>
      </c>
      <c r="I2920">
        <v>831.38438763306101</v>
      </c>
      <c r="J2920">
        <f>IFERROR(Table4[[#This Row],[energy_kwh]]/Table4[[#This Row],[expected_kwh]],0)</f>
        <v>0.88875011838833573</v>
      </c>
      <c r="K2920" t="str">
        <f>IF(Table4[[#This Row],[Performance_Ratio]] &lt; 0.85, "Underperforming", "Performing")</f>
        <v>Performing</v>
      </c>
      <c r="L2920">
        <f>Table4[[#This Row],[energy_kwh]] - Table4[[#This Row],[expected_kwh]]</f>
        <v>-92.491414697964046</v>
      </c>
      <c r="M2920" t="str">
        <f>IF(Table4[[#This Row],[Performance_Deviation]] &lt; 0, "Underperforming", "Outperforming")</f>
        <v>Underperforming</v>
      </c>
      <c r="N2920">
        <f>IF(Table4[[#This Row],[Performance_Ratio]] &lt; 0.85, Table4[[#This Row],[Performance_Deviation]] * 50 / 1000, 0)</f>
        <v>0</v>
      </c>
    </row>
    <row r="2921" spans="1:14" x14ac:dyDescent="0.3">
      <c r="A2921" s="6" t="s">
        <v>9</v>
      </c>
      <c r="B2921" s="5">
        <v>45320.625</v>
      </c>
      <c r="C2921" s="6">
        <v>668.83748243602201</v>
      </c>
      <c r="D2921" s="6">
        <v>644.72344282623305</v>
      </c>
      <c r="E2921" s="6">
        <v>644.72344282623305</v>
      </c>
      <c r="F2921" s="6">
        <v>36.970218856882603</v>
      </c>
      <c r="G2921" s="6" t="str">
        <f t="shared" si="90"/>
        <v>OK</v>
      </c>
      <c r="H2921" s="6" t="str">
        <f t="shared" si="91"/>
        <v>NON-ZERO</v>
      </c>
      <c r="I2921">
        <v>678.82250993908497</v>
      </c>
      <c r="J2921">
        <f>IFERROR(Table4[[#This Row],[energy_kwh]]/Table4[[#This Row],[expected_kwh]],0)</f>
        <v>0.94976733002576497</v>
      </c>
      <c r="K2921" t="str">
        <f>IF(Table4[[#This Row],[Performance_Ratio]] &lt; 0.85, "Underperforming", "Performing")</f>
        <v>Performing</v>
      </c>
      <c r="L2921">
        <f>Table4[[#This Row],[energy_kwh]] - Table4[[#This Row],[expected_kwh]]</f>
        <v>-34.099067112851912</v>
      </c>
      <c r="M2921" t="str">
        <f>IF(Table4[[#This Row],[Performance_Deviation]] &lt; 0, "Underperforming", "Outperforming")</f>
        <v>Underperforming</v>
      </c>
      <c r="N2921">
        <f>IF(Table4[[#This Row],[Performance_Ratio]] &lt; 0.85, Table4[[#This Row],[Performance_Deviation]] * 50 / 1000, 0)</f>
        <v>0</v>
      </c>
    </row>
    <row r="2922" spans="1:14" x14ac:dyDescent="0.3">
      <c r="A2922" s="4" t="s">
        <v>9</v>
      </c>
      <c r="B2922" s="3">
        <v>45320.666666666664</v>
      </c>
      <c r="C2922" s="4">
        <v>475.881715619874</v>
      </c>
      <c r="D2922" s="4">
        <v>458.72443774388501</v>
      </c>
      <c r="E2922" s="4">
        <v>458.72443774388501</v>
      </c>
      <c r="F2922" s="4">
        <v>30.067881432030699</v>
      </c>
      <c r="G2922" s="4" t="str">
        <f t="shared" si="90"/>
        <v>OK</v>
      </c>
      <c r="H2922" s="4" t="str">
        <f t="shared" si="91"/>
        <v>NON-ZERO</v>
      </c>
      <c r="I2922">
        <v>479.99999999999898</v>
      </c>
      <c r="J2922">
        <f>IFERROR(Table4[[#This Row],[energy_kwh]]/Table4[[#This Row],[expected_kwh]],0)</f>
        <v>0.95567591196642909</v>
      </c>
      <c r="K2922" t="str">
        <f>IF(Table4[[#This Row],[Performance_Ratio]] &lt; 0.85, "Underperforming", "Performing")</f>
        <v>Performing</v>
      </c>
      <c r="L2922">
        <f>Table4[[#This Row],[energy_kwh]] - Table4[[#This Row],[expected_kwh]]</f>
        <v>-21.275562256113972</v>
      </c>
      <c r="M2922" t="str">
        <f>IF(Table4[[#This Row],[Performance_Deviation]] &lt; 0, "Underperforming", "Outperforming")</f>
        <v>Underperforming</v>
      </c>
      <c r="N2922">
        <f>IF(Table4[[#This Row],[Performance_Ratio]] &lt; 0.85, Table4[[#This Row],[Performance_Deviation]] * 50 / 1000, 0)</f>
        <v>0</v>
      </c>
    </row>
    <row r="2923" spans="1:14" x14ac:dyDescent="0.3">
      <c r="A2923" s="6" t="s">
        <v>9</v>
      </c>
      <c r="B2923" s="5">
        <v>45320.708333333336</v>
      </c>
      <c r="C2923" s="6">
        <v>245.94588877215</v>
      </c>
      <c r="D2923" s="6">
        <v>237.07863916449401</v>
      </c>
      <c r="E2923" s="6">
        <v>237.07863916449401</v>
      </c>
      <c r="F2923" s="6">
        <v>69.169546343362896</v>
      </c>
      <c r="G2923" s="6" t="str">
        <f t="shared" si="90"/>
        <v>OK</v>
      </c>
      <c r="H2923" s="6" t="str">
        <f t="shared" si="91"/>
        <v>NON-ZERO</v>
      </c>
      <c r="I2923">
        <v>248.46628329842</v>
      </c>
      <c r="J2923">
        <f>IFERROR(Table4[[#This Row],[energy_kwh]]/Table4[[#This Row],[expected_kwh]],0)</f>
        <v>0.95416825179354869</v>
      </c>
      <c r="K2923" t="str">
        <f>IF(Table4[[#This Row],[Performance_Ratio]] &lt; 0.85, "Underperforming", "Performing")</f>
        <v>Performing</v>
      </c>
      <c r="L2923">
        <f>Table4[[#This Row],[energy_kwh]] - Table4[[#This Row],[expected_kwh]]</f>
        <v>-11.387644133925988</v>
      </c>
      <c r="M2923" t="str">
        <f>IF(Table4[[#This Row],[Performance_Deviation]] &lt; 0, "Underperforming", "Outperforming")</f>
        <v>Underperforming</v>
      </c>
      <c r="N2923">
        <f>IF(Table4[[#This Row],[Performance_Ratio]] &lt; 0.85, Table4[[#This Row],[Performance_Deviation]] * 50 / 1000, 0)</f>
        <v>0</v>
      </c>
    </row>
    <row r="2924" spans="1:14" x14ac:dyDescent="0.3">
      <c r="A2924" s="4" t="s">
        <v>9</v>
      </c>
      <c r="B2924" s="3">
        <v>45320.75</v>
      </c>
      <c r="C2924" s="7">
        <v>1.2449394638293799E-13</v>
      </c>
      <c r="D2924" s="7">
        <v>1.20005483889294E-13</v>
      </c>
      <c r="E2924" s="7">
        <v>1.20005483889294E-13</v>
      </c>
      <c r="F2924" s="4">
        <v>21.240458696740699</v>
      </c>
      <c r="G2924" s="4" t="str">
        <f t="shared" si="90"/>
        <v>OK</v>
      </c>
      <c r="H2924" s="4" t="str">
        <f t="shared" si="91"/>
        <v>NON-ZERO</v>
      </c>
      <c r="I2924" s="2">
        <v>1.1756609271814501E-13</v>
      </c>
      <c r="J2924">
        <f>IFERROR(Table4[[#This Row],[energy_kwh]]/Table4[[#This Row],[expected_kwh]],0)</f>
        <v>1.020749104735472</v>
      </c>
      <c r="K2924" t="str">
        <f>IF(Table4[[#This Row],[Performance_Ratio]] &lt; 0.85, "Underperforming", "Performing")</f>
        <v>Performing</v>
      </c>
      <c r="L2924">
        <f>Table4[[#This Row],[energy_kwh]] - Table4[[#This Row],[expected_kwh]]</f>
        <v>2.4393911711489926E-15</v>
      </c>
      <c r="M2924" t="str">
        <f>IF(Table4[[#This Row],[Performance_Deviation]] &lt; 0, "Underperforming", "Outperforming")</f>
        <v>Outperforming</v>
      </c>
      <c r="N2924">
        <f>IF(Table4[[#This Row],[Performance_Ratio]] &lt; 0.85, Table4[[#This Row],[Performance_Deviation]] * 50 / 1000, 0)</f>
        <v>0</v>
      </c>
    </row>
    <row r="2925" spans="1:14" x14ac:dyDescent="0.3">
      <c r="A2925" s="6" t="s">
        <v>9</v>
      </c>
      <c r="B2925" s="5">
        <v>45320.791666666664</v>
      </c>
      <c r="C2925" s="6">
        <v>0</v>
      </c>
      <c r="D2925" s="6">
        <v>0</v>
      </c>
      <c r="E2925" s="6">
        <v>0</v>
      </c>
      <c r="F2925" s="6">
        <v>48.1819510852972</v>
      </c>
      <c r="G2925" s="6" t="str">
        <f t="shared" si="90"/>
        <v>OK</v>
      </c>
      <c r="H2925" s="6" t="str">
        <f t="shared" si="91"/>
        <v>ZERO</v>
      </c>
      <c r="I2925">
        <v>0</v>
      </c>
      <c r="J2925">
        <f>IFERROR(Table4[[#This Row],[energy_kwh]]/Table4[[#This Row],[expected_kwh]],0)</f>
        <v>0</v>
      </c>
      <c r="K2925" t="str">
        <f>IF(Table4[[#This Row],[Performance_Ratio]] &lt; 0.85, "Underperforming", "Performing")</f>
        <v>Underperforming</v>
      </c>
      <c r="L2925">
        <f>Table4[[#This Row],[energy_kwh]] - Table4[[#This Row],[expected_kwh]]</f>
        <v>0</v>
      </c>
      <c r="M2925" t="str">
        <f>IF(Table4[[#This Row],[Performance_Deviation]] &lt; 0, "Underperforming", "Outperforming")</f>
        <v>Outperforming</v>
      </c>
      <c r="N2925">
        <f>IF(Table4[[#This Row],[Performance_Ratio]] &lt; 0.85, Table4[[#This Row],[Performance_Deviation]] * 50 / 1000, 0)</f>
        <v>0</v>
      </c>
    </row>
    <row r="2926" spans="1:14" x14ac:dyDescent="0.3">
      <c r="A2926" s="4" t="s">
        <v>9</v>
      </c>
      <c r="B2926" s="3">
        <v>45320.833333333336</v>
      </c>
      <c r="C2926" s="4">
        <v>0</v>
      </c>
      <c r="D2926" s="4">
        <v>0</v>
      </c>
      <c r="E2926" s="4">
        <v>0</v>
      </c>
      <c r="F2926" s="4">
        <v>58.725486412874403</v>
      </c>
      <c r="G2926" s="4" t="str">
        <f t="shared" si="90"/>
        <v>OK</v>
      </c>
      <c r="H2926" s="4" t="str">
        <f t="shared" si="91"/>
        <v>ZERO</v>
      </c>
      <c r="I2926">
        <v>0</v>
      </c>
      <c r="J2926">
        <f>IFERROR(Table4[[#This Row],[energy_kwh]]/Table4[[#This Row],[expected_kwh]],0)</f>
        <v>0</v>
      </c>
      <c r="K2926" t="str">
        <f>IF(Table4[[#This Row],[Performance_Ratio]] &lt; 0.85, "Underperforming", "Performing")</f>
        <v>Underperforming</v>
      </c>
      <c r="L2926">
        <f>Table4[[#This Row],[energy_kwh]] - Table4[[#This Row],[expected_kwh]]</f>
        <v>0</v>
      </c>
      <c r="M2926" t="str">
        <f>IF(Table4[[#This Row],[Performance_Deviation]] &lt; 0, "Underperforming", "Outperforming")</f>
        <v>Outperforming</v>
      </c>
      <c r="N2926">
        <f>IF(Table4[[#This Row],[Performance_Ratio]] &lt; 0.85, Table4[[#This Row],[Performance_Deviation]] * 50 / 1000, 0)</f>
        <v>0</v>
      </c>
    </row>
    <row r="2927" spans="1:14" x14ac:dyDescent="0.3">
      <c r="A2927" s="6" t="s">
        <v>9</v>
      </c>
      <c r="B2927" s="5">
        <v>45320.875</v>
      </c>
      <c r="C2927" s="6">
        <v>0</v>
      </c>
      <c r="D2927" s="6">
        <v>0</v>
      </c>
      <c r="E2927" s="6">
        <v>0</v>
      </c>
      <c r="F2927" s="6">
        <v>55.1063045140735</v>
      </c>
      <c r="G2927" s="6" t="str">
        <f t="shared" si="90"/>
        <v>OK</v>
      </c>
      <c r="H2927" s="6" t="str">
        <f t="shared" si="91"/>
        <v>ZERO</v>
      </c>
      <c r="I2927">
        <v>0</v>
      </c>
      <c r="J2927">
        <f>IFERROR(Table4[[#This Row],[energy_kwh]]/Table4[[#This Row],[expected_kwh]],0)</f>
        <v>0</v>
      </c>
      <c r="K2927" t="str">
        <f>IF(Table4[[#This Row],[Performance_Ratio]] &lt; 0.85, "Underperforming", "Performing")</f>
        <v>Underperforming</v>
      </c>
      <c r="L2927">
        <f>Table4[[#This Row],[energy_kwh]] - Table4[[#This Row],[expected_kwh]]</f>
        <v>0</v>
      </c>
      <c r="M2927" t="str">
        <f>IF(Table4[[#This Row],[Performance_Deviation]] &lt; 0, "Underperforming", "Outperforming")</f>
        <v>Outperforming</v>
      </c>
      <c r="N2927">
        <f>IF(Table4[[#This Row],[Performance_Ratio]] &lt; 0.85, Table4[[#This Row],[Performance_Deviation]] * 50 / 1000, 0)</f>
        <v>0</v>
      </c>
    </row>
    <row r="2928" spans="1:14" x14ac:dyDescent="0.3">
      <c r="A2928" s="4" t="s">
        <v>9</v>
      </c>
      <c r="B2928" s="3">
        <v>45320.916666666664</v>
      </c>
      <c r="C2928" s="4">
        <v>0</v>
      </c>
      <c r="D2928" s="4">
        <v>0</v>
      </c>
      <c r="E2928" s="4">
        <v>0</v>
      </c>
      <c r="F2928" s="4">
        <v>83.165756015769503</v>
      </c>
      <c r="G2928" s="4" t="str">
        <f t="shared" si="90"/>
        <v>OK</v>
      </c>
      <c r="H2928" s="4" t="str">
        <f t="shared" si="91"/>
        <v>ZERO</v>
      </c>
      <c r="I2928">
        <v>0</v>
      </c>
      <c r="J2928">
        <f>IFERROR(Table4[[#This Row],[energy_kwh]]/Table4[[#This Row],[expected_kwh]],0)</f>
        <v>0</v>
      </c>
      <c r="K2928" t="str">
        <f>IF(Table4[[#This Row],[Performance_Ratio]] &lt; 0.85, "Underperforming", "Performing")</f>
        <v>Underperforming</v>
      </c>
      <c r="L2928">
        <f>Table4[[#This Row],[energy_kwh]] - Table4[[#This Row],[expected_kwh]]</f>
        <v>0</v>
      </c>
      <c r="M2928" t="str">
        <f>IF(Table4[[#This Row],[Performance_Deviation]] &lt; 0, "Underperforming", "Outperforming")</f>
        <v>Outperforming</v>
      </c>
      <c r="N2928">
        <f>IF(Table4[[#This Row],[Performance_Ratio]] &lt; 0.85, Table4[[#This Row],[Performance_Deviation]] * 50 / 1000, 0)</f>
        <v>0</v>
      </c>
    </row>
    <row r="2929" spans="1:14" x14ac:dyDescent="0.3">
      <c r="A2929" s="6" t="s">
        <v>9</v>
      </c>
      <c r="B2929" s="5">
        <v>45320.958333333336</v>
      </c>
      <c r="C2929" s="6">
        <v>0</v>
      </c>
      <c r="D2929" s="6">
        <v>0</v>
      </c>
      <c r="E2929" s="6">
        <v>0</v>
      </c>
      <c r="F2929" s="6">
        <v>21.212715496588899</v>
      </c>
      <c r="G2929" s="6" t="str">
        <f t="shared" si="90"/>
        <v>OK</v>
      </c>
      <c r="H2929" s="6" t="str">
        <f t="shared" si="91"/>
        <v>ZERO</v>
      </c>
      <c r="I2929">
        <v>0</v>
      </c>
      <c r="J2929">
        <f>IFERROR(Table4[[#This Row],[energy_kwh]]/Table4[[#This Row],[expected_kwh]],0)</f>
        <v>0</v>
      </c>
      <c r="K2929" t="str">
        <f>IF(Table4[[#This Row],[Performance_Ratio]] &lt; 0.85, "Underperforming", "Performing")</f>
        <v>Underperforming</v>
      </c>
      <c r="L2929">
        <f>Table4[[#This Row],[energy_kwh]] - Table4[[#This Row],[expected_kwh]]</f>
        <v>0</v>
      </c>
      <c r="M2929" t="str">
        <f>IF(Table4[[#This Row],[Performance_Deviation]] &lt; 0, "Underperforming", "Outperforming")</f>
        <v>Outperforming</v>
      </c>
      <c r="N2929">
        <f>IF(Table4[[#This Row],[Performance_Ratio]] &lt; 0.85, Table4[[#This Row],[Performance_Deviation]] * 50 / 1000, 0)</f>
        <v>0</v>
      </c>
    </row>
    <row r="2930" spans="1:14" x14ac:dyDescent="0.3">
      <c r="A2930" s="4" t="s">
        <v>9</v>
      </c>
      <c r="B2930" s="3">
        <v>45321</v>
      </c>
      <c r="C2930" s="4">
        <v>0</v>
      </c>
      <c r="D2930" s="4">
        <v>0</v>
      </c>
      <c r="E2930" s="4">
        <v>0</v>
      </c>
      <c r="F2930" s="4">
        <v>34.176280050091499</v>
      </c>
      <c r="G2930" s="4" t="str">
        <f t="shared" si="90"/>
        <v>OK</v>
      </c>
      <c r="H2930" s="4" t="str">
        <f t="shared" si="91"/>
        <v>ZERO</v>
      </c>
      <c r="I2930">
        <v>0</v>
      </c>
      <c r="J2930">
        <f>IFERROR(Table4[[#This Row],[energy_kwh]]/Table4[[#This Row],[expected_kwh]],0)</f>
        <v>0</v>
      </c>
      <c r="K2930" t="str">
        <f>IF(Table4[[#This Row],[Performance_Ratio]] &lt; 0.85, "Underperforming", "Performing")</f>
        <v>Underperforming</v>
      </c>
      <c r="L2930">
        <f>Table4[[#This Row],[energy_kwh]] - Table4[[#This Row],[expected_kwh]]</f>
        <v>0</v>
      </c>
      <c r="M2930" t="str">
        <f>IF(Table4[[#This Row],[Performance_Deviation]] &lt; 0, "Underperforming", "Outperforming")</f>
        <v>Outperforming</v>
      </c>
      <c r="N2930">
        <f>IF(Table4[[#This Row],[Performance_Ratio]] &lt; 0.85, Table4[[#This Row],[Performance_Deviation]] * 50 / 1000, 0)</f>
        <v>0</v>
      </c>
    </row>
    <row r="2931" spans="1:14" x14ac:dyDescent="0.3">
      <c r="A2931" s="6" t="s">
        <v>9</v>
      </c>
      <c r="B2931" s="5">
        <v>45321.041666666664</v>
      </c>
      <c r="C2931" s="6">
        <v>0</v>
      </c>
      <c r="D2931" s="6">
        <v>0</v>
      </c>
      <c r="E2931" s="6">
        <v>0</v>
      </c>
      <c r="F2931" s="6">
        <v>24.027289095453</v>
      </c>
      <c r="G2931" s="6" t="str">
        <f t="shared" si="90"/>
        <v>OK</v>
      </c>
      <c r="H2931" s="6" t="str">
        <f t="shared" si="91"/>
        <v>ZERO</v>
      </c>
      <c r="I2931">
        <v>0</v>
      </c>
      <c r="J2931">
        <f>IFERROR(Table4[[#This Row],[energy_kwh]]/Table4[[#This Row],[expected_kwh]],0)</f>
        <v>0</v>
      </c>
      <c r="K2931" t="str">
        <f>IF(Table4[[#This Row],[Performance_Ratio]] &lt; 0.85, "Underperforming", "Performing")</f>
        <v>Underperforming</v>
      </c>
      <c r="L2931">
        <f>Table4[[#This Row],[energy_kwh]] - Table4[[#This Row],[expected_kwh]]</f>
        <v>0</v>
      </c>
      <c r="M2931" t="str">
        <f>IF(Table4[[#This Row],[Performance_Deviation]] &lt; 0, "Underperforming", "Outperforming")</f>
        <v>Outperforming</v>
      </c>
      <c r="N2931">
        <f>IF(Table4[[#This Row],[Performance_Ratio]] &lt; 0.85, Table4[[#This Row],[Performance_Deviation]] * 50 / 1000, 0)</f>
        <v>0</v>
      </c>
    </row>
    <row r="2932" spans="1:14" x14ac:dyDescent="0.3">
      <c r="A2932" s="4" t="s">
        <v>9</v>
      </c>
      <c r="B2932" s="3">
        <v>45321.083333333336</v>
      </c>
      <c r="C2932" s="4">
        <v>0</v>
      </c>
      <c r="D2932" s="4">
        <v>0</v>
      </c>
      <c r="E2932" s="4">
        <v>0</v>
      </c>
      <c r="F2932" s="4">
        <v>74.085189019928194</v>
      </c>
      <c r="G2932" s="4" t="str">
        <f t="shared" si="90"/>
        <v>OK</v>
      </c>
      <c r="H2932" s="4" t="str">
        <f t="shared" si="91"/>
        <v>ZERO</v>
      </c>
      <c r="I2932">
        <v>0</v>
      </c>
      <c r="J2932">
        <f>IFERROR(Table4[[#This Row],[energy_kwh]]/Table4[[#This Row],[expected_kwh]],0)</f>
        <v>0</v>
      </c>
      <c r="K2932" t="str">
        <f>IF(Table4[[#This Row],[Performance_Ratio]] &lt; 0.85, "Underperforming", "Performing")</f>
        <v>Underperforming</v>
      </c>
      <c r="L2932">
        <f>Table4[[#This Row],[energy_kwh]] - Table4[[#This Row],[expected_kwh]]</f>
        <v>0</v>
      </c>
      <c r="M2932" t="str">
        <f>IF(Table4[[#This Row],[Performance_Deviation]] &lt; 0, "Underperforming", "Outperforming")</f>
        <v>Outperforming</v>
      </c>
      <c r="N2932">
        <f>IF(Table4[[#This Row],[Performance_Ratio]] &lt; 0.85, Table4[[#This Row],[Performance_Deviation]] * 50 / 1000, 0)</f>
        <v>0</v>
      </c>
    </row>
    <row r="2933" spans="1:14" x14ac:dyDescent="0.3">
      <c r="A2933" s="6" t="s">
        <v>9</v>
      </c>
      <c r="B2933" s="5">
        <v>45321.125</v>
      </c>
      <c r="C2933" s="6">
        <v>0</v>
      </c>
      <c r="D2933" s="6">
        <v>0</v>
      </c>
      <c r="E2933" s="6">
        <v>0</v>
      </c>
      <c r="F2933" s="6">
        <v>25.9012742706423</v>
      </c>
      <c r="G2933" s="6" t="str">
        <f t="shared" si="90"/>
        <v>OK</v>
      </c>
      <c r="H2933" s="6" t="str">
        <f t="shared" si="91"/>
        <v>ZERO</v>
      </c>
      <c r="I2933">
        <v>0</v>
      </c>
      <c r="J2933">
        <f>IFERROR(Table4[[#This Row],[energy_kwh]]/Table4[[#This Row],[expected_kwh]],0)</f>
        <v>0</v>
      </c>
      <c r="K2933" t="str">
        <f>IF(Table4[[#This Row],[Performance_Ratio]] &lt; 0.85, "Underperforming", "Performing")</f>
        <v>Underperforming</v>
      </c>
      <c r="L2933">
        <f>Table4[[#This Row],[energy_kwh]] - Table4[[#This Row],[expected_kwh]]</f>
        <v>0</v>
      </c>
      <c r="M2933" t="str">
        <f>IF(Table4[[#This Row],[Performance_Deviation]] &lt; 0, "Underperforming", "Outperforming")</f>
        <v>Outperforming</v>
      </c>
      <c r="N2933">
        <f>IF(Table4[[#This Row],[Performance_Ratio]] &lt; 0.85, Table4[[#This Row],[Performance_Deviation]] * 50 / 1000, 0)</f>
        <v>0</v>
      </c>
    </row>
    <row r="2934" spans="1:14" x14ac:dyDescent="0.3">
      <c r="A2934" s="4" t="s">
        <v>9</v>
      </c>
      <c r="B2934" s="3">
        <v>45321.166666666664</v>
      </c>
      <c r="C2934" s="4">
        <v>0</v>
      </c>
      <c r="D2934" s="4">
        <v>0</v>
      </c>
      <c r="E2934" s="4">
        <v>0</v>
      </c>
      <c r="F2934" s="4">
        <v>27.566660157939399</v>
      </c>
      <c r="G2934" s="4" t="str">
        <f t="shared" si="90"/>
        <v>OK</v>
      </c>
      <c r="H2934" s="4" t="str">
        <f t="shared" si="91"/>
        <v>ZERO</v>
      </c>
      <c r="I2934">
        <v>0</v>
      </c>
      <c r="J2934">
        <f>IFERROR(Table4[[#This Row],[energy_kwh]]/Table4[[#This Row],[expected_kwh]],0)</f>
        <v>0</v>
      </c>
      <c r="K2934" t="str">
        <f>IF(Table4[[#This Row],[Performance_Ratio]] &lt; 0.85, "Underperforming", "Performing")</f>
        <v>Underperforming</v>
      </c>
      <c r="L2934">
        <f>Table4[[#This Row],[energy_kwh]] - Table4[[#This Row],[expected_kwh]]</f>
        <v>0</v>
      </c>
      <c r="M2934" t="str">
        <f>IF(Table4[[#This Row],[Performance_Deviation]] &lt; 0, "Underperforming", "Outperforming")</f>
        <v>Outperforming</v>
      </c>
      <c r="N2934">
        <f>IF(Table4[[#This Row],[Performance_Ratio]] &lt; 0.85, Table4[[#This Row],[Performance_Deviation]] * 50 / 1000, 0)</f>
        <v>0</v>
      </c>
    </row>
    <row r="2935" spans="1:14" x14ac:dyDescent="0.3">
      <c r="A2935" s="6" t="s">
        <v>9</v>
      </c>
      <c r="B2935" s="5">
        <v>45321.208333333336</v>
      </c>
      <c r="C2935" s="6">
        <v>0</v>
      </c>
      <c r="D2935" s="6">
        <v>0</v>
      </c>
      <c r="E2935" s="6">
        <v>0</v>
      </c>
      <c r="F2935" s="6">
        <v>68.219840612056998</v>
      </c>
      <c r="G2935" s="6" t="str">
        <f t="shared" si="90"/>
        <v>OK</v>
      </c>
      <c r="H2935" s="6" t="str">
        <f t="shared" si="91"/>
        <v>ZERO</v>
      </c>
      <c r="I2935">
        <v>0</v>
      </c>
      <c r="J2935">
        <f>IFERROR(Table4[[#This Row],[energy_kwh]]/Table4[[#This Row],[expected_kwh]],0)</f>
        <v>0</v>
      </c>
      <c r="K2935" t="str">
        <f>IF(Table4[[#This Row],[Performance_Ratio]] &lt; 0.85, "Underperforming", "Performing")</f>
        <v>Underperforming</v>
      </c>
      <c r="L2935">
        <f>Table4[[#This Row],[energy_kwh]] - Table4[[#This Row],[expected_kwh]]</f>
        <v>0</v>
      </c>
      <c r="M2935" t="str">
        <f>IF(Table4[[#This Row],[Performance_Deviation]] &lt; 0, "Underperforming", "Outperforming")</f>
        <v>Outperforming</v>
      </c>
      <c r="N2935">
        <f>IF(Table4[[#This Row],[Performance_Ratio]] &lt; 0.85, Table4[[#This Row],[Performance_Deviation]] * 50 / 1000, 0)</f>
        <v>0</v>
      </c>
    </row>
    <row r="2936" spans="1:14" x14ac:dyDescent="0.3">
      <c r="A2936" s="4" t="s">
        <v>9</v>
      </c>
      <c r="B2936" s="3">
        <v>45321.25</v>
      </c>
      <c r="C2936" s="4">
        <v>0</v>
      </c>
      <c r="D2936" s="4">
        <v>0</v>
      </c>
      <c r="E2936" s="4">
        <v>0</v>
      </c>
      <c r="F2936" s="4">
        <v>69.682248006601299</v>
      </c>
      <c r="G2936" s="4" t="str">
        <f t="shared" si="90"/>
        <v>OK</v>
      </c>
      <c r="H2936" s="4" t="str">
        <f t="shared" si="91"/>
        <v>ZERO</v>
      </c>
      <c r="I2936">
        <v>0</v>
      </c>
      <c r="J2936">
        <f>IFERROR(Table4[[#This Row],[energy_kwh]]/Table4[[#This Row],[expected_kwh]],0)</f>
        <v>0</v>
      </c>
      <c r="K2936" t="str">
        <f>IF(Table4[[#This Row],[Performance_Ratio]] &lt; 0.85, "Underperforming", "Performing")</f>
        <v>Underperforming</v>
      </c>
      <c r="L2936">
        <f>Table4[[#This Row],[energy_kwh]] - Table4[[#This Row],[expected_kwh]]</f>
        <v>0</v>
      </c>
      <c r="M2936" t="str">
        <f>IF(Table4[[#This Row],[Performance_Deviation]] &lt; 0, "Underperforming", "Outperforming")</f>
        <v>Outperforming</v>
      </c>
      <c r="N2936">
        <f>IF(Table4[[#This Row],[Performance_Ratio]] &lt; 0.85, Table4[[#This Row],[Performance_Deviation]] * 50 / 1000, 0)</f>
        <v>0</v>
      </c>
    </row>
    <row r="2937" spans="1:14" x14ac:dyDescent="0.3">
      <c r="A2937" s="6" t="s">
        <v>9</v>
      </c>
      <c r="B2937" s="5">
        <v>45321.291666666664</v>
      </c>
      <c r="C2937" s="6">
        <v>255.84937364158799</v>
      </c>
      <c r="D2937" s="6">
        <v>246.625067151374</v>
      </c>
      <c r="E2937" s="6">
        <v>246.625067151374</v>
      </c>
      <c r="F2937" s="6">
        <v>71.222331401651502</v>
      </c>
      <c r="G2937" s="6" t="str">
        <f t="shared" si="90"/>
        <v>OK</v>
      </c>
      <c r="H2937" s="6" t="str">
        <f t="shared" si="91"/>
        <v>NON-ZERO</v>
      </c>
      <c r="I2937">
        <v>248.466283298419</v>
      </c>
      <c r="J2937">
        <f>IFERROR(Table4[[#This Row],[energy_kwh]]/Table4[[#This Row],[expected_kwh]],0)</f>
        <v>0.99258967404911991</v>
      </c>
      <c r="K2937" t="str">
        <f>IF(Table4[[#This Row],[Performance_Ratio]] &lt; 0.85, "Underperforming", "Performing")</f>
        <v>Performing</v>
      </c>
      <c r="L2937">
        <f>Table4[[#This Row],[energy_kwh]] - Table4[[#This Row],[expected_kwh]]</f>
        <v>-1.841216147045003</v>
      </c>
      <c r="M2937" t="str">
        <f>IF(Table4[[#This Row],[Performance_Deviation]] &lt; 0, "Underperforming", "Outperforming")</f>
        <v>Underperforming</v>
      </c>
      <c r="N2937">
        <f>IF(Table4[[#This Row],[Performance_Ratio]] &lt; 0.85, Table4[[#This Row],[Performance_Deviation]] * 50 / 1000, 0)</f>
        <v>0</v>
      </c>
    </row>
    <row r="2938" spans="1:14" x14ac:dyDescent="0.3">
      <c r="A2938" s="4" t="s">
        <v>9</v>
      </c>
      <c r="B2938" s="3">
        <v>45321.333333333336</v>
      </c>
      <c r="C2938" s="4">
        <v>484.96690927837102</v>
      </c>
      <c r="D2938" s="4">
        <v>467.48207691344101</v>
      </c>
      <c r="E2938" s="4">
        <v>467.48207691344101</v>
      </c>
      <c r="F2938" s="4">
        <v>38.653036697485</v>
      </c>
      <c r="G2938" s="4" t="str">
        <f t="shared" si="90"/>
        <v>OK</v>
      </c>
      <c r="H2938" s="4" t="str">
        <f t="shared" si="91"/>
        <v>NON-ZERO</v>
      </c>
      <c r="I2938">
        <v>479.99999999999898</v>
      </c>
      <c r="J2938">
        <f>IFERROR(Table4[[#This Row],[energy_kwh]]/Table4[[#This Row],[expected_kwh]],0)</f>
        <v>0.97392099356967088</v>
      </c>
      <c r="K2938" t="str">
        <f>IF(Table4[[#This Row],[Performance_Ratio]] &lt; 0.85, "Underperforming", "Performing")</f>
        <v>Performing</v>
      </c>
      <c r="L2938">
        <f>Table4[[#This Row],[energy_kwh]] - Table4[[#This Row],[expected_kwh]]</f>
        <v>-12.517923086557971</v>
      </c>
      <c r="M2938" t="str">
        <f>IF(Table4[[#This Row],[Performance_Deviation]] &lt; 0, "Underperforming", "Outperforming")</f>
        <v>Underperforming</v>
      </c>
      <c r="N2938">
        <f>IF(Table4[[#This Row],[Performance_Ratio]] &lt; 0.85, Table4[[#This Row],[Performance_Deviation]] * 50 / 1000, 0)</f>
        <v>0</v>
      </c>
    </row>
    <row r="2939" spans="1:14" x14ac:dyDescent="0.3">
      <c r="A2939" s="6" t="s">
        <v>9</v>
      </c>
      <c r="B2939" s="5">
        <v>45321.375</v>
      </c>
      <c r="C2939" s="6">
        <v>659.64116210817099</v>
      </c>
      <c r="D2939" s="6">
        <v>635.85868351054603</v>
      </c>
      <c r="E2939" s="6">
        <v>635.85868351054603</v>
      </c>
      <c r="F2939" s="6">
        <v>48.929924592487403</v>
      </c>
      <c r="G2939" s="6" t="str">
        <f t="shared" si="90"/>
        <v>OK</v>
      </c>
      <c r="H2939" s="6" t="str">
        <f t="shared" si="91"/>
        <v>NON-ZERO</v>
      </c>
      <c r="I2939">
        <v>678.82250993908497</v>
      </c>
      <c r="J2939">
        <f>IFERROR(Table4[[#This Row],[energy_kwh]]/Table4[[#This Row],[expected_kwh]],0)</f>
        <v>0.9367083062222048</v>
      </c>
      <c r="K2939" t="str">
        <f>IF(Table4[[#This Row],[Performance_Ratio]] &lt; 0.85, "Underperforming", "Performing")</f>
        <v>Performing</v>
      </c>
      <c r="L2939">
        <f>Table4[[#This Row],[energy_kwh]] - Table4[[#This Row],[expected_kwh]]</f>
        <v>-42.963826428538937</v>
      </c>
      <c r="M2939" t="str">
        <f>IF(Table4[[#This Row],[Performance_Deviation]] &lt; 0, "Underperforming", "Outperforming")</f>
        <v>Underperforming</v>
      </c>
      <c r="N2939">
        <f>IF(Table4[[#This Row],[Performance_Ratio]] &lt; 0.85, Table4[[#This Row],[Performance_Deviation]] * 50 / 1000, 0)</f>
        <v>0</v>
      </c>
    </row>
    <row r="2940" spans="1:14" x14ac:dyDescent="0.3">
      <c r="A2940" s="4" t="s">
        <v>9</v>
      </c>
      <c r="B2940" s="3">
        <v>45321.416666666664</v>
      </c>
      <c r="C2940" s="4">
        <v>831.94814280578703</v>
      </c>
      <c r="D2940" s="4">
        <v>801.95336680154605</v>
      </c>
      <c r="E2940" s="4">
        <v>801.95336680154605</v>
      </c>
      <c r="F2940" s="4">
        <v>29.764201190060099</v>
      </c>
      <c r="G2940" s="4" t="str">
        <f t="shared" si="90"/>
        <v>OK</v>
      </c>
      <c r="H2940" s="4" t="str">
        <f t="shared" si="91"/>
        <v>NON-ZERO</v>
      </c>
      <c r="I2940">
        <v>831.38438763306101</v>
      </c>
      <c r="J2940">
        <f>IFERROR(Table4[[#This Row],[energy_kwh]]/Table4[[#This Row],[expected_kwh]],0)</f>
        <v>0.964599983750832</v>
      </c>
      <c r="K2940" t="str">
        <f>IF(Table4[[#This Row],[Performance_Ratio]] &lt; 0.85, "Underperforming", "Performing")</f>
        <v>Performing</v>
      </c>
      <c r="L2940">
        <f>Table4[[#This Row],[energy_kwh]] - Table4[[#This Row],[expected_kwh]]</f>
        <v>-29.431020831514957</v>
      </c>
      <c r="M2940" t="str">
        <f>IF(Table4[[#This Row],[Performance_Deviation]] &lt; 0, "Underperforming", "Outperforming")</f>
        <v>Underperforming</v>
      </c>
      <c r="N2940">
        <f>IF(Table4[[#This Row],[Performance_Ratio]] &lt; 0.85, Table4[[#This Row],[Performance_Deviation]] * 50 / 1000, 0)</f>
        <v>0</v>
      </c>
    </row>
    <row r="2941" spans="1:14" x14ac:dyDescent="0.3">
      <c r="A2941" s="6" t="s">
        <v>9</v>
      </c>
      <c r="B2941" s="5">
        <v>45321.458333333336</v>
      </c>
      <c r="C2941" s="6">
        <v>939.27235466580896</v>
      </c>
      <c r="D2941" s="6">
        <v>905.40814794955702</v>
      </c>
      <c r="E2941" s="6">
        <v>905.40814794955702</v>
      </c>
      <c r="F2941" s="6">
        <v>28.229285093533999</v>
      </c>
      <c r="G2941" s="6" t="str">
        <f t="shared" si="90"/>
        <v>OK</v>
      </c>
      <c r="H2941" s="6" t="str">
        <f t="shared" si="91"/>
        <v>NON-ZERO</v>
      </c>
      <c r="I2941">
        <v>927.28879323750505</v>
      </c>
      <c r="J2941">
        <f>IFERROR(Table4[[#This Row],[energy_kwh]]/Table4[[#This Row],[expected_kwh]],0)</f>
        <v>0.97640363450144296</v>
      </c>
      <c r="K2941" t="str">
        <f>IF(Table4[[#This Row],[Performance_Ratio]] &lt; 0.85, "Underperforming", "Performing")</f>
        <v>Performing</v>
      </c>
      <c r="L2941">
        <f>Table4[[#This Row],[energy_kwh]] - Table4[[#This Row],[expected_kwh]]</f>
        <v>-21.880645287948028</v>
      </c>
      <c r="M2941" t="str">
        <f>IF(Table4[[#This Row],[Performance_Deviation]] &lt; 0, "Underperforming", "Outperforming")</f>
        <v>Underperforming</v>
      </c>
      <c r="N2941">
        <f>IF(Table4[[#This Row],[Performance_Ratio]] &lt; 0.85, Table4[[#This Row],[Performance_Deviation]] * 50 / 1000, 0)</f>
        <v>0</v>
      </c>
    </row>
    <row r="2942" spans="1:14" x14ac:dyDescent="0.3">
      <c r="A2942" s="4" t="s">
        <v>9</v>
      </c>
      <c r="B2942" s="3">
        <v>45321.5</v>
      </c>
      <c r="C2942" s="4">
        <v>928.24498233338898</v>
      </c>
      <c r="D2942" s="4">
        <v>894.77835275687403</v>
      </c>
      <c r="E2942" s="4">
        <v>894.77835275687403</v>
      </c>
      <c r="F2942" s="4">
        <v>60.623113087478899</v>
      </c>
      <c r="G2942" s="4" t="str">
        <f t="shared" si="90"/>
        <v>OK</v>
      </c>
      <c r="H2942" s="4" t="str">
        <f t="shared" si="91"/>
        <v>NON-ZERO</v>
      </c>
      <c r="I2942">
        <v>960</v>
      </c>
      <c r="J2942">
        <f>IFERROR(Table4[[#This Row],[energy_kwh]]/Table4[[#This Row],[expected_kwh]],0)</f>
        <v>0.93206078412174376</v>
      </c>
      <c r="K2942" t="str">
        <f>IF(Table4[[#This Row],[Performance_Ratio]] &lt; 0.85, "Underperforming", "Performing")</f>
        <v>Performing</v>
      </c>
      <c r="L2942">
        <f>Table4[[#This Row],[energy_kwh]] - Table4[[#This Row],[expected_kwh]]</f>
        <v>-65.221647243125972</v>
      </c>
      <c r="M2942" t="str">
        <f>IF(Table4[[#This Row],[Performance_Deviation]] &lt; 0, "Underperforming", "Outperforming")</f>
        <v>Underperforming</v>
      </c>
      <c r="N2942">
        <f>IF(Table4[[#This Row],[Performance_Ratio]] &lt; 0.85, Table4[[#This Row],[Performance_Deviation]] * 50 / 1000, 0)</f>
        <v>0</v>
      </c>
    </row>
    <row r="2943" spans="1:14" x14ac:dyDescent="0.3">
      <c r="A2943" s="6" t="s">
        <v>9</v>
      </c>
      <c r="B2943" s="5">
        <v>45321.541666666664</v>
      </c>
      <c r="C2943" s="6">
        <v>818.10000011574903</v>
      </c>
      <c r="D2943" s="6">
        <v>788.60450034843996</v>
      </c>
      <c r="E2943" s="6">
        <v>788.60450034843996</v>
      </c>
      <c r="F2943" s="6">
        <v>80.144029419198702</v>
      </c>
      <c r="G2943" s="6" t="str">
        <f t="shared" si="90"/>
        <v>OK</v>
      </c>
      <c r="H2943" s="6" t="str">
        <f t="shared" si="91"/>
        <v>NON-ZERO</v>
      </c>
      <c r="I2943">
        <v>927.28879323750505</v>
      </c>
      <c r="J2943">
        <f>IFERROR(Table4[[#This Row],[energy_kwh]]/Table4[[#This Row],[expected_kwh]],0)</f>
        <v>0.8504410989322243</v>
      </c>
      <c r="K2943" t="str">
        <f>IF(Table4[[#This Row],[Performance_Ratio]] &lt; 0.85, "Underperforming", "Performing")</f>
        <v>Performing</v>
      </c>
      <c r="L2943">
        <f>Table4[[#This Row],[energy_kwh]] - Table4[[#This Row],[expected_kwh]]</f>
        <v>-138.68429288906509</v>
      </c>
      <c r="M2943" t="str">
        <f>IF(Table4[[#This Row],[Performance_Deviation]] &lt; 0, "Underperforming", "Outperforming")</f>
        <v>Underperforming</v>
      </c>
      <c r="N2943">
        <f>IF(Table4[[#This Row],[Performance_Ratio]] &lt; 0.85, Table4[[#This Row],[Performance_Deviation]] * 50 / 1000, 0)</f>
        <v>0</v>
      </c>
    </row>
    <row r="2944" spans="1:14" x14ac:dyDescent="0.3">
      <c r="A2944" s="4" t="s">
        <v>9</v>
      </c>
      <c r="B2944" s="3">
        <v>45321.583333333336</v>
      </c>
      <c r="C2944" s="4">
        <v>799.36038964856698</v>
      </c>
      <c r="D2944" s="4">
        <v>770.54052143742001</v>
      </c>
      <c r="E2944" s="4">
        <v>770.54052143742001</v>
      </c>
      <c r="F2944" s="4">
        <v>39.767971318895</v>
      </c>
      <c r="G2944" s="4" t="str">
        <f t="shared" si="90"/>
        <v>OK</v>
      </c>
      <c r="H2944" s="4" t="str">
        <f t="shared" si="91"/>
        <v>NON-ZERO</v>
      </c>
      <c r="I2944">
        <v>831.38438763306101</v>
      </c>
      <c r="J2944">
        <f>IFERROR(Table4[[#This Row],[energy_kwh]]/Table4[[#This Row],[expected_kwh]],0)</f>
        <v>0.92681620306960233</v>
      </c>
      <c r="K2944" t="str">
        <f>IF(Table4[[#This Row],[Performance_Ratio]] &lt; 0.85, "Underperforming", "Performing")</f>
        <v>Performing</v>
      </c>
      <c r="L2944">
        <f>Table4[[#This Row],[energy_kwh]] - Table4[[#This Row],[expected_kwh]]</f>
        <v>-60.843866195640999</v>
      </c>
      <c r="M2944" t="str">
        <f>IF(Table4[[#This Row],[Performance_Deviation]] &lt; 0, "Underperforming", "Outperforming")</f>
        <v>Underperforming</v>
      </c>
      <c r="N2944">
        <f>IF(Table4[[#This Row],[Performance_Ratio]] &lt; 0.85, Table4[[#This Row],[Performance_Deviation]] * 50 / 1000, 0)</f>
        <v>0</v>
      </c>
    </row>
    <row r="2945" spans="1:14" x14ac:dyDescent="0.3">
      <c r="A2945" s="6" t="s">
        <v>9</v>
      </c>
      <c r="B2945" s="5">
        <v>45321.625</v>
      </c>
      <c r="C2945" s="6">
        <v>657.48869395216104</v>
      </c>
      <c r="D2945" s="6">
        <v>633.78381971095496</v>
      </c>
      <c r="E2945" s="6">
        <v>633.78381971095496</v>
      </c>
      <c r="F2945" s="6">
        <v>91.093780920087198</v>
      </c>
      <c r="G2945" s="6" t="str">
        <f t="shared" si="90"/>
        <v>OK</v>
      </c>
      <c r="H2945" s="6" t="str">
        <f t="shared" si="91"/>
        <v>NON-ZERO</v>
      </c>
      <c r="I2945">
        <v>678.82250993908497</v>
      </c>
      <c r="J2945">
        <f>IFERROR(Table4[[#This Row],[energy_kwh]]/Table4[[#This Row],[expected_kwh]],0)</f>
        <v>0.933651743174852</v>
      </c>
      <c r="K2945" t="str">
        <f>IF(Table4[[#This Row],[Performance_Ratio]] &lt; 0.85, "Underperforming", "Performing")</f>
        <v>Performing</v>
      </c>
      <c r="L2945">
        <f>Table4[[#This Row],[energy_kwh]] - Table4[[#This Row],[expected_kwh]]</f>
        <v>-45.038690228130008</v>
      </c>
      <c r="M2945" t="str">
        <f>IF(Table4[[#This Row],[Performance_Deviation]] &lt; 0, "Underperforming", "Outperforming")</f>
        <v>Underperforming</v>
      </c>
      <c r="N2945">
        <f>IF(Table4[[#This Row],[Performance_Ratio]] &lt; 0.85, Table4[[#This Row],[Performance_Deviation]] * 50 / 1000, 0)</f>
        <v>0</v>
      </c>
    </row>
    <row r="2946" spans="1:14" x14ac:dyDescent="0.3">
      <c r="A2946" s="4" t="s">
        <v>9</v>
      </c>
      <c r="B2946" s="3">
        <v>45321.666666666664</v>
      </c>
      <c r="C2946" s="4">
        <v>477.11188953692402</v>
      </c>
      <c r="D2946" s="4">
        <v>459.91025938801101</v>
      </c>
      <c r="E2946" s="4">
        <v>459.91025938801101</v>
      </c>
      <c r="F2946" s="4">
        <v>51.932121119772802</v>
      </c>
      <c r="G2946" s="4" t="str">
        <f t="shared" ref="G2946:G3009" si="92">IF(D2946 &gt; C2946, "ERROR", "OK")</f>
        <v>OK</v>
      </c>
      <c r="H2946" s="4" t="str">
        <f t="shared" ref="H2946:H3009" si="93">IF(E2946=0,"ZERO","NON-ZERO")</f>
        <v>NON-ZERO</v>
      </c>
      <c r="I2946">
        <v>479.99999999999898</v>
      </c>
      <c r="J2946">
        <f>IFERROR(Table4[[#This Row],[energy_kwh]]/Table4[[#This Row],[expected_kwh]],0)</f>
        <v>0.95814637372502498</v>
      </c>
      <c r="K2946" t="str">
        <f>IF(Table4[[#This Row],[Performance_Ratio]] &lt; 0.85, "Underperforming", "Performing")</f>
        <v>Performing</v>
      </c>
      <c r="L2946">
        <f>Table4[[#This Row],[energy_kwh]] - Table4[[#This Row],[expected_kwh]]</f>
        <v>-20.089740611987963</v>
      </c>
      <c r="M2946" t="str">
        <f>IF(Table4[[#This Row],[Performance_Deviation]] &lt; 0, "Underperforming", "Outperforming")</f>
        <v>Underperforming</v>
      </c>
      <c r="N2946">
        <f>IF(Table4[[#This Row],[Performance_Ratio]] &lt; 0.85, Table4[[#This Row],[Performance_Deviation]] * 50 / 1000, 0)</f>
        <v>0</v>
      </c>
    </row>
    <row r="2947" spans="1:14" x14ac:dyDescent="0.3">
      <c r="A2947" s="6" t="s">
        <v>9</v>
      </c>
      <c r="B2947" s="5">
        <v>45321.708333333336</v>
      </c>
      <c r="C2947" s="6">
        <v>242.254954571627</v>
      </c>
      <c r="D2947" s="6">
        <v>233.52077665305299</v>
      </c>
      <c r="E2947" s="6">
        <v>233.52077665305299</v>
      </c>
      <c r="F2947" s="6">
        <v>72.160670314180805</v>
      </c>
      <c r="G2947" s="6" t="str">
        <f t="shared" si="92"/>
        <v>OK</v>
      </c>
      <c r="H2947" s="6" t="str">
        <f t="shared" si="93"/>
        <v>NON-ZERO</v>
      </c>
      <c r="I2947">
        <v>248.46628329842</v>
      </c>
      <c r="J2947">
        <f>IFERROR(Table4[[#This Row],[energy_kwh]]/Table4[[#This Row],[expected_kwh]],0)</f>
        <v>0.93984895476777131</v>
      </c>
      <c r="K2947" t="str">
        <f>IF(Table4[[#This Row],[Performance_Ratio]] &lt; 0.85, "Underperforming", "Performing")</f>
        <v>Performing</v>
      </c>
      <c r="L2947">
        <f>Table4[[#This Row],[energy_kwh]] - Table4[[#This Row],[expected_kwh]]</f>
        <v>-14.945506645367004</v>
      </c>
      <c r="M2947" t="str">
        <f>IF(Table4[[#This Row],[Performance_Deviation]] &lt; 0, "Underperforming", "Outperforming")</f>
        <v>Underperforming</v>
      </c>
      <c r="N2947">
        <f>IF(Table4[[#This Row],[Performance_Ratio]] &lt; 0.85, Table4[[#This Row],[Performance_Deviation]] * 50 / 1000, 0)</f>
        <v>0</v>
      </c>
    </row>
    <row r="2948" spans="1:14" x14ac:dyDescent="0.3">
      <c r="A2948" s="4" t="s">
        <v>9</v>
      </c>
      <c r="B2948" s="3">
        <v>45321.75</v>
      </c>
      <c r="C2948" s="7">
        <v>1.26063195831887E-13</v>
      </c>
      <c r="D2948" s="7">
        <v>1.21518156151164E-13</v>
      </c>
      <c r="E2948" s="7">
        <v>1.21518156151164E-13</v>
      </c>
      <c r="F2948" s="4">
        <v>55.691938312211803</v>
      </c>
      <c r="G2948" s="4" t="str">
        <f t="shared" si="92"/>
        <v>OK</v>
      </c>
      <c r="H2948" s="4" t="str">
        <f t="shared" si="93"/>
        <v>NON-ZERO</v>
      </c>
      <c r="I2948" s="2">
        <v>1.1756609271814501E-13</v>
      </c>
      <c r="J2948">
        <f>IFERROR(Table4[[#This Row],[energy_kwh]]/Table4[[#This Row],[expected_kwh]],0)</f>
        <v>1.033615673887315</v>
      </c>
      <c r="K2948" t="str">
        <f>IF(Table4[[#This Row],[Performance_Ratio]] &lt; 0.85, "Underperforming", "Performing")</f>
        <v>Performing</v>
      </c>
      <c r="L2948">
        <f>Table4[[#This Row],[energy_kwh]] - Table4[[#This Row],[expected_kwh]]</f>
        <v>3.9520634330189903E-15</v>
      </c>
      <c r="M2948" t="str">
        <f>IF(Table4[[#This Row],[Performance_Deviation]] &lt; 0, "Underperforming", "Outperforming")</f>
        <v>Outperforming</v>
      </c>
      <c r="N2948">
        <f>IF(Table4[[#This Row],[Performance_Ratio]] &lt; 0.85, Table4[[#This Row],[Performance_Deviation]] * 50 / 1000, 0)</f>
        <v>0</v>
      </c>
    </row>
    <row r="2949" spans="1:14" x14ac:dyDescent="0.3">
      <c r="A2949" s="6" t="s">
        <v>9</v>
      </c>
      <c r="B2949" s="5">
        <v>45321.791666666664</v>
      </c>
      <c r="C2949" s="6">
        <v>0</v>
      </c>
      <c r="D2949" s="6">
        <v>0</v>
      </c>
      <c r="E2949" s="6">
        <v>0</v>
      </c>
      <c r="F2949" s="6">
        <v>81.550653755080205</v>
      </c>
      <c r="G2949" s="6" t="str">
        <f t="shared" si="92"/>
        <v>OK</v>
      </c>
      <c r="H2949" s="6" t="str">
        <f t="shared" si="93"/>
        <v>ZERO</v>
      </c>
      <c r="I2949">
        <v>0</v>
      </c>
      <c r="J2949">
        <f>IFERROR(Table4[[#This Row],[energy_kwh]]/Table4[[#This Row],[expected_kwh]],0)</f>
        <v>0</v>
      </c>
      <c r="K2949" t="str">
        <f>IF(Table4[[#This Row],[Performance_Ratio]] &lt; 0.85, "Underperforming", "Performing")</f>
        <v>Underperforming</v>
      </c>
      <c r="L2949">
        <f>Table4[[#This Row],[energy_kwh]] - Table4[[#This Row],[expected_kwh]]</f>
        <v>0</v>
      </c>
      <c r="M2949" t="str">
        <f>IF(Table4[[#This Row],[Performance_Deviation]] &lt; 0, "Underperforming", "Outperforming")</f>
        <v>Outperforming</v>
      </c>
      <c r="N2949">
        <f>IF(Table4[[#This Row],[Performance_Ratio]] &lt; 0.85, Table4[[#This Row],[Performance_Deviation]] * 50 / 1000, 0)</f>
        <v>0</v>
      </c>
    </row>
    <row r="2950" spans="1:14" x14ac:dyDescent="0.3">
      <c r="A2950" s="4" t="s">
        <v>9</v>
      </c>
      <c r="B2950" s="3">
        <v>45321.833333333336</v>
      </c>
      <c r="C2950" s="4">
        <v>0</v>
      </c>
      <c r="D2950" s="4">
        <v>0</v>
      </c>
      <c r="E2950" s="4">
        <v>0</v>
      </c>
      <c r="F2950" s="4">
        <v>86.781665283437306</v>
      </c>
      <c r="G2950" s="4" t="str">
        <f t="shared" si="92"/>
        <v>OK</v>
      </c>
      <c r="H2950" s="4" t="str">
        <f t="shared" si="93"/>
        <v>ZERO</v>
      </c>
      <c r="I2950">
        <v>0</v>
      </c>
      <c r="J2950">
        <f>IFERROR(Table4[[#This Row],[energy_kwh]]/Table4[[#This Row],[expected_kwh]],0)</f>
        <v>0</v>
      </c>
      <c r="K2950" t="str">
        <f>IF(Table4[[#This Row],[Performance_Ratio]] &lt; 0.85, "Underperforming", "Performing")</f>
        <v>Underperforming</v>
      </c>
      <c r="L2950">
        <f>Table4[[#This Row],[energy_kwh]] - Table4[[#This Row],[expected_kwh]]</f>
        <v>0</v>
      </c>
      <c r="M2950" t="str">
        <f>IF(Table4[[#This Row],[Performance_Deviation]] &lt; 0, "Underperforming", "Outperforming")</f>
        <v>Outperforming</v>
      </c>
      <c r="N2950">
        <f>IF(Table4[[#This Row],[Performance_Ratio]] &lt; 0.85, Table4[[#This Row],[Performance_Deviation]] * 50 / 1000, 0)</f>
        <v>0</v>
      </c>
    </row>
    <row r="2951" spans="1:14" x14ac:dyDescent="0.3">
      <c r="A2951" s="6" t="s">
        <v>9</v>
      </c>
      <c r="B2951" s="5">
        <v>45321.875</v>
      </c>
      <c r="C2951" s="6">
        <v>0</v>
      </c>
      <c r="D2951" s="6">
        <v>0</v>
      </c>
      <c r="E2951" s="6">
        <v>0</v>
      </c>
      <c r="F2951" s="6">
        <v>39.580009992149598</v>
      </c>
      <c r="G2951" s="6" t="str">
        <f t="shared" si="92"/>
        <v>OK</v>
      </c>
      <c r="H2951" s="6" t="str">
        <f t="shared" si="93"/>
        <v>ZERO</v>
      </c>
      <c r="I2951">
        <v>0</v>
      </c>
      <c r="J2951">
        <f>IFERROR(Table4[[#This Row],[energy_kwh]]/Table4[[#This Row],[expected_kwh]],0)</f>
        <v>0</v>
      </c>
      <c r="K2951" t="str">
        <f>IF(Table4[[#This Row],[Performance_Ratio]] &lt; 0.85, "Underperforming", "Performing")</f>
        <v>Underperforming</v>
      </c>
      <c r="L2951">
        <f>Table4[[#This Row],[energy_kwh]] - Table4[[#This Row],[expected_kwh]]</f>
        <v>0</v>
      </c>
      <c r="M2951" t="str">
        <f>IF(Table4[[#This Row],[Performance_Deviation]] &lt; 0, "Underperforming", "Outperforming")</f>
        <v>Outperforming</v>
      </c>
      <c r="N2951">
        <f>IF(Table4[[#This Row],[Performance_Ratio]] &lt; 0.85, Table4[[#This Row],[Performance_Deviation]] * 50 / 1000, 0)</f>
        <v>0</v>
      </c>
    </row>
    <row r="2952" spans="1:14" x14ac:dyDescent="0.3">
      <c r="A2952" s="4" t="s">
        <v>9</v>
      </c>
      <c r="B2952" s="3">
        <v>45321.916666666664</v>
      </c>
      <c r="C2952" s="4">
        <v>0</v>
      </c>
      <c r="D2952" s="4">
        <v>0</v>
      </c>
      <c r="E2952" s="4">
        <v>0</v>
      </c>
      <c r="F2952" s="4">
        <v>30.1533947008325</v>
      </c>
      <c r="G2952" s="4" t="str">
        <f t="shared" si="92"/>
        <v>OK</v>
      </c>
      <c r="H2952" s="4" t="str">
        <f t="shared" si="93"/>
        <v>ZERO</v>
      </c>
      <c r="I2952">
        <v>0</v>
      </c>
      <c r="J2952">
        <f>IFERROR(Table4[[#This Row],[energy_kwh]]/Table4[[#This Row],[expected_kwh]],0)</f>
        <v>0</v>
      </c>
      <c r="K2952" t="str">
        <f>IF(Table4[[#This Row],[Performance_Ratio]] &lt; 0.85, "Underperforming", "Performing")</f>
        <v>Underperforming</v>
      </c>
      <c r="L2952">
        <f>Table4[[#This Row],[energy_kwh]] - Table4[[#This Row],[expected_kwh]]</f>
        <v>0</v>
      </c>
      <c r="M2952" t="str">
        <f>IF(Table4[[#This Row],[Performance_Deviation]] &lt; 0, "Underperforming", "Outperforming")</f>
        <v>Outperforming</v>
      </c>
      <c r="N2952">
        <f>IF(Table4[[#This Row],[Performance_Ratio]] &lt; 0.85, Table4[[#This Row],[Performance_Deviation]] * 50 / 1000, 0)</f>
        <v>0</v>
      </c>
    </row>
    <row r="2953" spans="1:14" x14ac:dyDescent="0.3">
      <c r="A2953" s="6" t="s">
        <v>9</v>
      </c>
      <c r="B2953" s="5">
        <v>45321.958333333336</v>
      </c>
      <c r="C2953" s="6">
        <v>0</v>
      </c>
      <c r="D2953" s="6">
        <v>0</v>
      </c>
      <c r="E2953" s="6">
        <v>0</v>
      </c>
      <c r="F2953" s="6">
        <v>75.156051913025195</v>
      </c>
      <c r="G2953" s="6" t="str">
        <f t="shared" si="92"/>
        <v>OK</v>
      </c>
      <c r="H2953" s="6" t="str">
        <f t="shared" si="93"/>
        <v>ZERO</v>
      </c>
      <c r="I2953">
        <v>0</v>
      </c>
      <c r="J2953">
        <f>IFERROR(Table4[[#This Row],[energy_kwh]]/Table4[[#This Row],[expected_kwh]],0)</f>
        <v>0</v>
      </c>
      <c r="K2953" t="str">
        <f>IF(Table4[[#This Row],[Performance_Ratio]] &lt; 0.85, "Underperforming", "Performing")</f>
        <v>Underperforming</v>
      </c>
      <c r="L2953">
        <f>Table4[[#This Row],[energy_kwh]] - Table4[[#This Row],[expected_kwh]]</f>
        <v>0</v>
      </c>
      <c r="M2953" t="str">
        <f>IF(Table4[[#This Row],[Performance_Deviation]] &lt; 0, "Underperforming", "Outperforming")</f>
        <v>Outperforming</v>
      </c>
      <c r="N2953">
        <f>IF(Table4[[#This Row],[Performance_Ratio]] &lt; 0.85, Table4[[#This Row],[Performance_Deviation]] * 50 / 1000, 0)</f>
        <v>0</v>
      </c>
    </row>
    <row r="2954" spans="1:14" x14ac:dyDescent="0.3">
      <c r="A2954" s="4" t="s">
        <v>9</v>
      </c>
      <c r="B2954" s="3">
        <v>45322</v>
      </c>
      <c r="C2954" s="4">
        <v>0</v>
      </c>
      <c r="D2954" s="4">
        <v>0</v>
      </c>
      <c r="E2954" s="4">
        <v>0</v>
      </c>
      <c r="F2954" s="4">
        <v>88.599883056781195</v>
      </c>
      <c r="G2954" s="4" t="str">
        <f t="shared" si="92"/>
        <v>OK</v>
      </c>
      <c r="H2954" s="4" t="str">
        <f t="shared" si="93"/>
        <v>ZERO</v>
      </c>
      <c r="I2954">
        <v>0</v>
      </c>
      <c r="J2954">
        <f>IFERROR(Table4[[#This Row],[energy_kwh]]/Table4[[#This Row],[expected_kwh]],0)</f>
        <v>0</v>
      </c>
      <c r="K2954" t="str">
        <f>IF(Table4[[#This Row],[Performance_Ratio]] &lt; 0.85, "Underperforming", "Performing")</f>
        <v>Underperforming</v>
      </c>
      <c r="L2954">
        <f>Table4[[#This Row],[energy_kwh]] - Table4[[#This Row],[expected_kwh]]</f>
        <v>0</v>
      </c>
      <c r="M2954" t="str">
        <f>IF(Table4[[#This Row],[Performance_Deviation]] &lt; 0, "Underperforming", "Outperforming")</f>
        <v>Outperforming</v>
      </c>
      <c r="N2954">
        <f>IF(Table4[[#This Row],[Performance_Ratio]] &lt; 0.85, Table4[[#This Row],[Performance_Deviation]] * 50 / 1000, 0)</f>
        <v>0</v>
      </c>
    </row>
    <row r="2955" spans="1:14" x14ac:dyDescent="0.3">
      <c r="A2955" s="6" t="s">
        <v>9</v>
      </c>
      <c r="B2955" s="5">
        <v>45322.041666666664</v>
      </c>
      <c r="C2955" s="6">
        <v>0</v>
      </c>
      <c r="D2955" s="6">
        <v>0</v>
      </c>
      <c r="E2955" s="6">
        <v>0</v>
      </c>
      <c r="F2955" s="6">
        <v>56.758942709508602</v>
      </c>
      <c r="G2955" s="6" t="str">
        <f t="shared" si="92"/>
        <v>OK</v>
      </c>
      <c r="H2955" s="6" t="str">
        <f t="shared" si="93"/>
        <v>ZERO</v>
      </c>
      <c r="I2955">
        <v>0</v>
      </c>
      <c r="J2955">
        <f>IFERROR(Table4[[#This Row],[energy_kwh]]/Table4[[#This Row],[expected_kwh]],0)</f>
        <v>0</v>
      </c>
      <c r="K2955" t="str">
        <f>IF(Table4[[#This Row],[Performance_Ratio]] &lt; 0.85, "Underperforming", "Performing")</f>
        <v>Underperforming</v>
      </c>
      <c r="L2955">
        <f>Table4[[#This Row],[energy_kwh]] - Table4[[#This Row],[expected_kwh]]</f>
        <v>0</v>
      </c>
      <c r="M2955" t="str">
        <f>IF(Table4[[#This Row],[Performance_Deviation]] &lt; 0, "Underperforming", "Outperforming")</f>
        <v>Outperforming</v>
      </c>
      <c r="N2955">
        <f>IF(Table4[[#This Row],[Performance_Ratio]] &lt; 0.85, Table4[[#This Row],[Performance_Deviation]] * 50 / 1000, 0)</f>
        <v>0</v>
      </c>
    </row>
    <row r="2956" spans="1:14" x14ac:dyDescent="0.3">
      <c r="A2956" s="4" t="s">
        <v>9</v>
      </c>
      <c r="B2956" s="3">
        <v>45322.083333333336</v>
      </c>
      <c r="C2956" s="4">
        <v>0</v>
      </c>
      <c r="D2956" s="4">
        <v>0</v>
      </c>
      <c r="E2956" s="4">
        <v>0</v>
      </c>
      <c r="F2956" s="4">
        <v>80.799933011263406</v>
      </c>
      <c r="G2956" s="4" t="str">
        <f t="shared" si="92"/>
        <v>OK</v>
      </c>
      <c r="H2956" s="4" t="str">
        <f t="shared" si="93"/>
        <v>ZERO</v>
      </c>
      <c r="I2956">
        <v>0</v>
      </c>
      <c r="J2956">
        <f>IFERROR(Table4[[#This Row],[energy_kwh]]/Table4[[#This Row],[expected_kwh]],0)</f>
        <v>0</v>
      </c>
      <c r="K2956" t="str">
        <f>IF(Table4[[#This Row],[Performance_Ratio]] &lt; 0.85, "Underperforming", "Performing")</f>
        <v>Underperforming</v>
      </c>
      <c r="L2956">
        <f>Table4[[#This Row],[energy_kwh]] - Table4[[#This Row],[expected_kwh]]</f>
        <v>0</v>
      </c>
      <c r="M2956" t="str">
        <f>IF(Table4[[#This Row],[Performance_Deviation]] &lt; 0, "Underperforming", "Outperforming")</f>
        <v>Outperforming</v>
      </c>
      <c r="N2956">
        <f>IF(Table4[[#This Row],[Performance_Ratio]] &lt; 0.85, Table4[[#This Row],[Performance_Deviation]] * 50 / 1000, 0)</f>
        <v>0</v>
      </c>
    </row>
    <row r="2957" spans="1:14" x14ac:dyDescent="0.3">
      <c r="A2957" s="6" t="s">
        <v>9</v>
      </c>
      <c r="B2957" s="5">
        <v>45322.125</v>
      </c>
      <c r="C2957" s="6">
        <v>0</v>
      </c>
      <c r="D2957" s="6">
        <v>0</v>
      </c>
      <c r="E2957" s="6">
        <v>0</v>
      </c>
      <c r="F2957" s="6">
        <v>50.302246274634399</v>
      </c>
      <c r="G2957" s="6" t="str">
        <f t="shared" si="92"/>
        <v>OK</v>
      </c>
      <c r="H2957" s="6" t="str">
        <f t="shared" si="93"/>
        <v>ZERO</v>
      </c>
      <c r="I2957">
        <v>0</v>
      </c>
      <c r="J2957">
        <f>IFERROR(Table4[[#This Row],[energy_kwh]]/Table4[[#This Row],[expected_kwh]],0)</f>
        <v>0</v>
      </c>
      <c r="K2957" t="str">
        <f>IF(Table4[[#This Row],[Performance_Ratio]] &lt; 0.85, "Underperforming", "Performing")</f>
        <v>Underperforming</v>
      </c>
      <c r="L2957">
        <f>Table4[[#This Row],[energy_kwh]] - Table4[[#This Row],[expected_kwh]]</f>
        <v>0</v>
      </c>
      <c r="M2957" t="str">
        <f>IF(Table4[[#This Row],[Performance_Deviation]] &lt; 0, "Underperforming", "Outperforming")</f>
        <v>Outperforming</v>
      </c>
      <c r="N2957">
        <f>IF(Table4[[#This Row],[Performance_Ratio]] &lt; 0.85, Table4[[#This Row],[Performance_Deviation]] * 50 / 1000, 0)</f>
        <v>0</v>
      </c>
    </row>
    <row r="2958" spans="1:14" x14ac:dyDescent="0.3">
      <c r="A2958" s="4" t="s">
        <v>9</v>
      </c>
      <c r="B2958" s="3">
        <v>45322.166666666664</v>
      </c>
      <c r="C2958" s="4">
        <v>0</v>
      </c>
      <c r="D2958" s="4">
        <v>0</v>
      </c>
      <c r="E2958" s="4">
        <v>0</v>
      </c>
      <c r="F2958" s="4">
        <v>50.8280585430958</v>
      </c>
      <c r="G2958" s="4" t="str">
        <f t="shared" si="92"/>
        <v>OK</v>
      </c>
      <c r="H2958" s="4" t="str">
        <f t="shared" si="93"/>
        <v>ZERO</v>
      </c>
      <c r="I2958">
        <v>0</v>
      </c>
      <c r="J2958">
        <f>IFERROR(Table4[[#This Row],[energy_kwh]]/Table4[[#This Row],[expected_kwh]],0)</f>
        <v>0</v>
      </c>
      <c r="K2958" t="str">
        <f>IF(Table4[[#This Row],[Performance_Ratio]] &lt; 0.85, "Underperforming", "Performing")</f>
        <v>Underperforming</v>
      </c>
      <c r="L2958">
        <f>Table4[[#This Row],[energy_kwh]] - Table4[[#This Row],[expected_kwh]]</f>
        <v>0</v>
      </c>
      <c r="M2958" t="str">
        <f>IF(Table4[[#This Row],[Performance_Deviation]] &lt; 0, "Underperforming", "Outperforming")</f>
        <v>Outperforming</v>
      </c>
      <c r="N2958">
        <f>IF(Table4[[#This Row],[Performance_Ratio]] &lt; 0.85, Table4[[#This Row],[Performance_Deviation]] * 50 / 1000, 0)</f>
        <v>0</v>
      </c>
    </row>
    <row r="2959" spans="1:14" x14ac:dyDescent="0.3">
      <c r="A2959" s="6" t="s">
        <v>9</v>
      </c>
      <c r="B2959" s="5">
        <v>45322.208333333336</v>
      </c>
      <c r="C2959" s="6">
        <v>0</v>
      </c>
      <c r="D2959" s="6">
        <v>0</v>
      </c>
      <c r="E2959" s="6">
        <v>0</v>
      </c>
      <c r="F2959" s="6">
        <v>72.004625194878301</v>
      </c>
      <c r="G2959" s="6" t="str">
        <f t="shared" si="92"/>
        <v>OK</v>
      </c>
      <c r="H2959" s="6" t="str">
        <f t="shared" si="93"/>
        <v>ZERO</v>
      </c>
      <c r="I2959">
        <v>0</v>
      </c>
      <c r="J2959">
        <f>IFERROR(Table4[[#This Row],[energy_kwh]]/Table4[[#This Row],[expected_kwh]],0)</f>
        <v>0</v>
      </c>
      <c r="K2959" t="str">
        <f>IF(Table4[[#This Row],[Performance_Ratio]] &lt; 0.85, "Underperforming", "Performing")</f>
        <v>Underperforming</v>
      </c>
      <c r="L2959">
        <f>Table4[[#This Row],[energy_kwh]] - Table4[[#This Row],[expected_kwh]]</f>
        <v>0</v>
      </c>
      <c r="M2959" t="str">
        <f>IF(Table4[[#This Row],[Performance_Deviation]] &lt; 0, "Underperforming", "Outperforming")</f>
        <v>Outperforming</v>
      </c>
      <c r="N2959">
        <f>IF(Table4[[#This Row],[Performance_Ratio]] &lt; 0.85, Table4[[#This Row],[Performance_Deviation]] * 50 / 1000, 0)</f>
        <v>0</v>
      </c>
    </row>
    <row r="2960" spans="1:14" x14ac:dyDescent="0.3">
      <c r="A2960" s="4" t="s">
        <v>9</v>
      </c>
      <c r="B2960" s="3">
        <v>45322.25</v>
      </c>
      <c r="C2960" s="4">
        <v>0</v>
      </c>
      <c r="D2960" s="4">
        <v>0</v>
      </c>
      <c r="E2960" s="4">
        <v>0</v>
      </c>
      <c r="F2960" s="4">
        <v>54.128877860610302</v>
      </c>
      <c r="G2960" s="4" t="str">
        <f t="shared" si="92"/>
        <v>OK</v>
      </c>
      <c r="H2960" s="4" t="str">
        <f t="shared" si="93"/>
        <v>ZERO</v>
      </c>
      <c r="I2960">
        <v>0</v>
      </c>
      <c r="J2960">
        <f>IFERROR(Table4[[#This Row],[energy_kwh]]/Table4[[#This Row],[expected_kwh]],0)</f>
        <v>0</v>
      </c>
      <c r="K2960" t="str">
        <f>IF(Table4[[#This Row],[Performance_Ratio]] &lt; 0.85, "Underperforming", "Performing")</f>
        <v>Underperforming</v>
      </c>
      <c r="L2960">
        <f>Table4[[#This Row],[energy_kwh]] - Table4[[#This Row],[expected_kwh]]</f>
        <v>0</v>
      </c>
      <c r="M2960" t="str">
        <f>IF(Table4[[#This Row],[Performance_Deviation]] &lt; 0, "Underperforming", "Outperforming")</f>
        <v>Outperforming</v>
      </c>
      <c r="N2960">
        <f>IF(Table4[[#This Row],[Performance_Ratio]] &lt; 0.85, Table4[[#This Row],[Performance_Deviation]] * 50 / 1000, 0)</f>
        <v>0</v>
      </c>
    </row>
    <row r="2961" spans="1:14" x14ac:dyDescent="0.3">
      <c r="A2961" s="6" t="s">
        <v>9</v>
      </c>
      <c r="B2961" s="5">
        <v>45322.291666666664</v>
      </c>
      <c r="C2961" s="6">
        <v>249.12451183734001</v>
      </c>
      <c r="D2961" s="6">
        <v>240.14266123241501</v>
      </c>
      <c r="E2961" s="6">
        <v>240.14266123241501</v>
      </c>
      <c r="F2961" s="6">
        <v>75.198836656780898</v>
      </c>
      <c r="G2961" s="6" t="str">
        <f t="shared" si="92"/>
        <v>OK</v>
      </c>
      <c r="H2961" s="6" t="str">
        <f t="shared" si="93"/>
        <v>NON-ZERO</v>
      </c>
      <c r="I2961">
        <v>248.466283298419</v>
      </c>
      <c r="J2961">
        <f>IFERROR(Table4[[#This Row],[energy_kwh]]/Table4[[#This Row],[expected_kwh]],0)</f>
        <v>0.96649999365907147</v>
      </c>
      <c r="K2961" t="str">
        <f>IF(Table4[[#This Row],[Performance_Ratio]] &lt; 0.85, "Underperforming", "Performing")</f>
        <v>Performing</v>
      </c>
      <c r="L2961">
        <f>Table4[[#This Row],[energy_kwh]] - Table4[[#This Row],[expected_kwh]]</f>
        <v>-8.3236220660039919</v>
      </c>
      <c r="M2961" t="str">
        <f>IF(Table4[[#This Row],[Performance_Deviation]] &lt; 0, "Underperforming", "Outperforming")</f>
        <v>Underperforming</v>
      </c>
      <c r="N2961">
        <f>IF(Table4[[#This Row],[Performance_Ratio]] &lt; 0.85, Table4[[#This Row],[Performance_Deviation]] * 50 / 1000, 0)</f>
        <v>0</v>
      </c>
    </row>
    <row r="2962" spans="1:14" x14ac:dyDescent="0.3">
      <c r="A2962" s="4" t="s">
        <v>9</v>
      </c>
      <c r="B2962" s="3">
        <v>45322.333333333336</v>
      </c>
      <c r="C2962" s="4">
        <v>456.60050277731398</v>
      </c>
      <c r="D2962" s="4">
        <v>440.13838320572597</v>
      </c>
      <c r="E2962" s="4">
        <v>440.13838320572597</v>
      </c>
      <c r="F2962" s="4">
        <v>65.246863295901306</v>
      </c>
      <c r="G2962" s="4" t="str">
        <f t="shared" si="92"/>
        <v>OK</v>
      </c>
      <c r="H2962" s="4" t="str">
        <f t="shared" si="93"/>
        <v>NON-ZERO</v>
      </c>
      <c r="I2962">
        <v>479.99999999999898</v>
      </c>
      <c r="J2962">
        <f>IFERROR(Table4[[#This Row],[energy_kwh]]/Table4[[#This Row],[expected_kwh]],0)</f>
        <v>0.91695496501193108</v>
      </c>
      <c r="K2962" t="str">
        <f>IF(Table4[[#This Row],[Performance_Ratio]] &lt; 0.85, "Underperforming", "Performing")</f>
        <v>Performing</v>
      </c>
      <c r="L2962">
        <f>Table4[[#This Row],[energy_kwh]] - Table4[[#This Row],[expected_kwh]]</f>
        <v>-39.861616794273004</v>
      </c>
      <c r="M2962" t="str">
        <f>IF(Table4[[#This Row],[Performance_Deviation]] &lt; 0, "Underperforming", "Outperforming")</f>
        <v>Underperforming</v>
      </c>
      <c r="N2962">
        <f>IF(Table4[[#This Row],[Performance_Ratio]] &lt; 0.85, Table4[[#This Row],[Performance_Deviation]] * 50 / 1000, 0)</f>
        <v>0</v>
      </c>
    </row>
    <row r="2963" spans="1:14" x14ac:dyDescent="0.3">
      <c r="A2963" s="6" t="s">
        <v>9</v>
      </c>
      <c r="B2963" s="5">
        <v>45322.375</v>
      </c>
      <c r="C2963" s="6">
        <v>634.22750339797005</v>
      </c>
      <c r="D2963" s="6">
        <v>611.361280226904</v>
      </c>
      <c r="E2963" s="6">
        <v>611.361280226904</v>
      </c>
      <c r="F2963" s="6">
        <v>53.438722564903799</v>
      </c>
      <c r="G2963" s="6" t="str">
        <f t="shared" si="92"/>
        <v>OK</v>
      </c>
      <c r="H2963" s="6" t="str">
        <f t="shared" si="93"/>
        <v>NON-ZERO</v>
      </c>
      <c r="I2963">
        <v>678.82250993908497</v>
      </c>
      <c r="J2963">
        <f>IFERROR(Table4[[#This Row],[energy_kwh]]/Table4[[#This Row],[expected_kwh]],0)</f>
        <v>0.90062022292361121</v>
      </c>
      <c r="K2963" t="str">
        <f>IF(Table4[[#This Row],[Performance_Ratio]] &lt; 0.85, "Underperforming", "Performing")</f>
        <v>Performing</v>
      </c>
      <c r="L2963">
        <f>Table4[[#This Row],[energy_kwh]] - Table4[[#This Row],[expected_kwh]]</f>
        <v>-67.461229712180966</v>
      </c>
      <c r="M2963" t="str">
        <f>IF(Table4[[#This Row],[Performance_Deviation]] &lt; 0, "Underperforming", "Outperforming")</f>
        <v>Underperforming</v>
      </c>
      <c r="N2963">
        <f>IF(Table4[[#This Row],[Performance_Ratio]] &lt; 0.85, Table4[[#This Row],[Performance_Deviation]] * 50 / 1000, 0)</f>
        <v>0</v>
      </c>
    </row>
    <row r="2964" spans="1:14" x14ac:dyDescent="0.3">
      <c r="A2964" s="4" t="s">
        <v>9</v>
      </c>
      <c r="B2964" s="3">
        <v>45322.416666666664</v>
      </c>
      <c r="C2964" s="4">
        <v>848.09372042209895</v>
      </c>
      <c r="D2964" s="4">
        <v>817.51683724176996</v>
      </c>
      <c r="E2964" s="4">
        <v>817.51683724176996</v>
      </c>
      <c r="F2964" s="4">
        <v>27.726439583165401</v>
      </c>
      <c r="G2964" s="4" t="str">
        <f t="shared" si="92"/>
        <v>OK</v>
      </c>
      <c r="H2964" s="4" t="str">
        <f t="shared" si="93"/>
        <v>NON-ZERO</v>
      </c>
      <c r="I2964">
        <v>831.38438763306101</v>
      </c>
      <c r="J2964">
        <f>IFERROR(Table4[[#This Row],[energy_kwh]]/Table4[[#This Row],[expected_kwh]],0)</f>
        <v>0.98331992926789047</v>
      </c>
      <c r="K2964" t="str">
        <f>IF(Table4[[#This Row],[Performance_Ratio]] &lt; 0.85, "Underperforming", "Performing")</f>
        <v>Performing</v>
      </c>
      <c r="L2964">
        <f>Table4[[#This Row],[energy_kwh]] - Table4[[#This Row],[expected_kwh]]</f>
        <v>-13.867550391291047</v>
      </c>
      <c r="M2964" t="str">
        <f>IF(Table4[[#This Row],[Performance_Deviation]] &lt; 0, "Underperforming", "Outperforming")</f>
        <v>Underperforming</v>
      </c>
      <c r="N2964">
        <f>IF(Table4[[#This Row],[Performance_Ratio]] &lt; 0.85, Table4[[#This Row],[Performance_Deviation]] * 50 / 1000, 0)</f>
        <v>0</v>
      </c>
    </row>
    <row r="2965" spans="1:14" x14ac:dyDescent="0.3">
      <c r="A2965" s="6" t="s">
        <v>9</v>
      </c>
      <c r="B2965" s="5">
        <v>45322.458333333336</v>
      </c>
      <c r="C2965" s="6">
        <v>851.23720765653195</v>
      </c>
      <c r="D2965" s="6">
        <v>820.546990254251</v>
      </c>
      <c r="E2965" s="6">
        <v>820.546990254251</v>
      </c>
      <c r="F2965" s="6">
        <v>63.715202089403199</v>
      </c>
      <c r="G2965" s="6" t="str">
        <f t="shared" si="92"/>
        <v>OK</v>
      </c>
      <c r="H2965" s="6" t="str">
        <f t="shared" si="93"/>
        <v>NON-ZERO</v>
      </c>
      <c r="I2965">
        <v>927.28879323750505</v>
      </c>
      <c r="J2965">
        <f>IFERROR(Table4[[#This Row],[energy_kwh]]/Table4[[#This Row],[expected_kwh]],0)</f>
        <v>0.88488828533063657</v>
      </c>
      <c r="K2965" t="str">
        <f>IF(Table4[[#This Row],[Performance_Ratio]] &lt; 0.85, "Underperforming", "Performing")</f>
        <v>Performing</v>
      </c>
      <c r="L2965">
        <f>Table4[[#This Row],[energy_kwh]] - Table4[[#This Row],[expected_kwh]]</f>
        <v>-106.74180298325405</v>
      </c>
      <c r="M2965" t="str">
        <f>IF(Table4[[#This Row],[Performance_Deviation]] &lt; 0, "Underperforming", "Outperforming")</f>
        <v>Underperforming</v>
      </c>
      <c r="N2965">
        <f>IF(Table4[[#This Row],[Performance_Ratio]] &lt; 0.85, Table4[[#This Row],[Performance_Deviation]] * 50 / 1000, 0)</f>
        <v>0</v>
      </c>
    </row>
    <row r="2966" spans="1:14" x14ac:dyDescent="0.3">
      <c r="A2966" s="4" t="s">
        <v>9</v>
      </c>
      <c r="B2966" s="3">
        <v>45322.5</v>
      </c>
      <c r="C2966" s="4">
        <v>902.04707657948904</v>
      </c>
      <c r="D2966" s="4">
        <v>869.52497740629701</v>
      </c>
      <c r="E2966" s="4">
        <v>869.52497740629701</v>
      </c>
      <c r="F2966" s="4">
        <v>77.248105788509704</v>
      </c>
      <c r="G2966" s="4" t="str">
        <f t="shared" si="92"/>
        <v>OK</v>
      </c>
      <c r="H2966" s="4" t="str">
        <f t="shared" si="93"/>
        <v>NON-ZERO</v>
      </c>
      <c r="I2966">
        <v>960</v>
      </c>
      <c r="J2966">
        <f>IFERROR(Table4[[#This Row],[energy_kwh]]/Table4[[#This Row],[expected_kwh]],0)</f>
        <v>0.90575518479822603</v>
      </c>
      <c r="K2966" t="str">
        <f>IF(Table4[[#This Row],[Performance_Ratio]] &lt; 0.85, "Underperforming", "Performing")</f>
        <v>Performing</v>
      </c>
      <c r="L2966">
        <f>Table4[[#This Row],[energy_kwh]] - Table4[[#This Row],[expected_kwh]]</f>
        <v>-90.475022593702988</v>
      </c>
      <c r="M2966" t="str">
        <f>IF(Table4[[#This Row],[Performance_Deviation]] &lt; 0, "Underperforming", "Outperforming")</f>
        <v>Underperforming</v>
      </c>
      <c r="N2966">
        <f>IF(Table4[[#This Row],[Performance_Ratio]] &lt; 0.85, Table4[[#This Row],[Performance_Deviation]] * 50 / 1000, 0)</f>
        <v>0</v>
      </c>
    </row>
    <row r="2967" spans="1:14" x14ac:dyDescent="0.3">
      <c r="A2967" s="6" t="s">
        <v>9</v>
      </c>
      <c r="B2967" s="5">
        <v>45322.541666666664</v>
      </c>
      <c r="C2967" s="6">
        <v>854.49312036519495</v>
      </c>
      <c r="D2967" s="6">
        <v>823.68551539106795</v>
      </c>
      <c r="E2967" s="6">
        <v>823.68551539106795</v>
      </c>
      <c r="F2967" s="6">
        <v>74.661663506955904</v>
      </c>
      <c r="G2967" s="6" t="str">
        <f t="shared" si="92"/>
        <v>OK</v>
      </c>
      <c r="H2967" s="6" t="str">
        <f t="shared" si="93"/>
        <v>NON-ZERO</v>
      </c>
      <c r="I2967">
        <v>927.28879323750505</v>
      </c>
      <c r="J2967">
        <f>IFERROR(Table4[[#This Row],[energy_kwh]]/Table4[[#This Row],[expected_kwh]],0)</f>
        <v>0.88827291065955827</v>
      </c>
      <c r="K2967" t="str">
        <f>IF(Table4[[#This Row],[Performance_Ratio]] &lt; 0.85, "Underperforming", "Performing")</f>
        <v>Performing</v>
      </c>
      <c r="L2967">
        <f>Table4[[#This Row],[energy_kwh]] - Table4[[#This Row],[expected_kwh]]</f>
        <v>-103.60327784643709</v>
      </c>
      <c r="M2967" t="str">
        <f>IF(Table4[[#This Row],[Performance_Deviation]] &lt; 0, "Underperforming", "Outperforming")</f>
        <v>Underperforming</v>
      </c>
      <c r="N2967">
        <f>IF(Table4[[#This Row],[Performance_Ratio]] &lt; 0.85, Table4[[#This Row],[Performance_Deviation]] * 50 / 1000, 0)</f>
        <v>0</v>
      </c>
    </row>
    <row r="2968" spans="1:14" x14ac:dyDescent="0.3">
      <c r="A2968" s="4" t="s">
        <v>9</v>
      </c>
      <c r="B2968" s="3">
        <v>45322.583333333336</v>
      </c>
      <c r="C2968" s="4">
        <v>754.68243615646998</v>
      </c>
      <c r="D2968" s="4">
        <v>727.47337171826405</v>
      </c>
      <c r="E2968" s="4">
        <v>727.47337171826405</v>
      </c>
      <c r="F2968" s="4">
        <v>89.104819100014694</v>
      </c>
      <c r="G2968" s="4" t="str">
        <f t="shared" si="92"/>
        <v>OK</v>
      </c>
      <c r="H2968" s="4" t="str">
        <f t="shared" si="93"/>
        <v>NON-ZERO</v>
      </c>
      <c r="I2968">
        <v>831.38438763306101</v>
      </c>
      <c r="J2968">
        <f>IFERROR(Table4[[#This Row],[energy_kwh]]/Table4[[#This Row],[expected_kwh]],0)</f>
        <v>0.87501447289546763</v>
      </c>
      <c r="K2968" t="str">
        <f>IF(Table4[[#This Row],[Performance_Ratio]] &lt; 0.85, "Underperforming", "Performing")</f>
        <v>Performing</v>
      </c>
      <c r="L2968">
        <f>Table4[[#This Row],[energy_kwh]] - Table4[[#This Row],[expected_kwh]]</f>
        <v>-103.91101591479696</v>
      </c>
      <c r="M2968" t="str">
        <f>IF(Table4[[#This Row],[Performance_Deviation]] &lt; 0, "Underperforming", "Outperforming")</f>
        <v>Underperforming</v>
      </c>
      <c r="N2968">
        <f>IF(Table4[[#This Row],[Performance_Ratio]] &lt; 0.85, Table4[[#This Row],[Performance_Deviation]] * 50 / 1000, 0)</f>
        <v>0</v>
      </c>
    </row>
    <row r="2969" spans="1:14" x14ac:dyDescent="0.3">
      <c r="A2969" s="6" t="s">
        <v>9</v>
      </c>
      <c r="B2969" s="5">
        <v>45322.625</v>
      </c>
      <c r="C2969" s="6">
        <v>714.193253702476</v>
      </c>
      <c r="D2969" s="6">
        <v>688.44397250773795</v>
      </c>
      <c r="E2969" s="6">
        <v>688.44397250773795</v>
      </c>
      <c r="F2969" s="6">
        <v>71.206769355013904</v>
      </c>
      <c r="G2969" s="6" t="str">
        <f t="shared" si="92"/>
        <v>OK</v>
      </c>
      <c r="H2969" s="6" t="str">
        <f t="shared" si="93"/>
        <v>NON-ZERO</v>
      </c>
      <c r="I2969">
        <v>678.82250993908497</v>
      </c>
      <c r="J2969">
        <f>IFERROR(Table4[[#This Row],[energy_kwh]]/Table4[[#This Row],[expected_kwh]],0)</f>
        <v>1.0141737529733896</v>
      </c>
      <c r="K2969" t="str">
        <f>IF(Table4[[#This Row],[Performance_Ratio]] &lt; 0.85, "Underperforming", "Performing")</f>
        <v>Performing</v>
      </c>
      <c r="L2969">
        <f>Table4[[#This Row],[energy_kwh]] - Table4[[#This Row],[expected_kwh]]</f>
        <v>9.6214625686529871</v>
      </c>
      <c r="M2969" t="str">
        <f>IF(Table4[[#This Row],[Performance_Deviation]] &lt; 0, "Underperforming", "Outperforming")</f>
        <v>Outperforming</v>
      </c>
      <c r="N2969">
        <f>IF(Table4[[#This Row],[Performance_Ratio]] &lt; 0.85, Table4[[#This Row],[Performance_Deviation]] * 50 / 1000, 0)</f>
        <v>0</v>
      </c>
    </row>
    <row r="2970" spans="1:14" x14ac:dyDescent="0.3">
      <c r="A2970" s="4" t="s">
        <v>9</v>
      </c>
      <c r="B2970" s="3">
        <v>45322.666666666664</v>
      </c>
      <c r="C2970" s="4">
        <v>519.39384439105299</v>
      </c>
      <c r="D2970" s="4">
        <v>500.66779499096702</v>
      </c>
      <c r="E2970" s="4">
        <v>500.66779499096702</v>
      </c>
      <c r="F2970" s="4">
        <v>81.048798092998098</v>
      </c>
      <c r="G2970" s="4" t="str">
        <f t="shared" si="92"/>
        <v>OK</v>
      </c>
      <c r="H2970" s="4" t="str">
        <f t="shared" si="93"/>
        <v>NON-ZERO</v>
      </c>
      <c r="I2970">
        <v>479.99999999999898</v>
      </c>
      <c r="J2970">
        <f>IFERROR(Table4[[#This Row],[energy_kwh]]/Table4[[#This Row],[expected_kwh]],0)</f>
        <v>1.0430579062311836</v>
      </c>
      <c r="K2970" t="str">
        <f>IF(Table4[[#This Row],[Performance_Ratio]] &lt; 0.85, "Underperforming", "Performing")</f>
        <v>Performing</v>
      </c>
      <c r="L2970">
        <f>Table4[[#This Row],[energy_kwh]] - Table4[[#This Row],[expected_kwh]]</f>
        <v>20.667794990968048</v>
      </c>
      <c r="M2970" t="str">
        <f>IF(Table4[[#This Row],[Performance_Deviation]] &lt; 0, "Underperforming", "Outperforming")</f>
        <v>Outperforming</v>
      </c>
      <c r="N2970">
        <f>IF(Table4[[#This Row],[Performance_Ratio]] &lt; 0.85, Table4[[#This Row],[Performance_Deviation]] * 50 / 1000, 0)</f>
        <v>0</v>
      </c>
    </row>
    <row r="2971" spans="1:14" x14ac:dyDescent="0.3">
      <c r="A2971" s="6" t="s">
        <v>9</v>
      </c>
      <c r="B2971" s="5">
        <v>45322.708333333336</v>
      </c>
      <c r="C2971" s="6">
        <v>209.94366794773401</v>
      </c>
      <c r="D2971" s="6">
        <v>202.37443019168401</v>
      </c>
      <c r="E2971" s="6">
        <v>202.37443019168401</v>
      </c>
      <c r="F2971" s="6">
        <v>31.309461187426301</v>
      </c>
      <c r="G2971" s="6" t="str">
        <f t="shared" si="92"/>
        <v>OK</v>
      </c>
      <c r="H2971" s="6" t="str">
        <f t="shared" si="93"/>
        <v>NON-ZERO</v>
      </c>
      <c r="I2971">
        <v>248.46628329842</v>
      </c>
      <c r="J2971">
        <f>IFERROR(Table4[[#This Row],[energy_kwh]]/Table4[[#This Row],[expected_kwh]],0)</f>
        <v>0.81449453626117374</v>
      </c>
      <c r="K2971" t="str">
        <f>IF(Table4[[#This Row],[Performance_Ratio]] &lt; 0.85, "Underperforming", "Performing")</f>
        <v>Underperforming</v>
      </c>
      <c r="L2971">
        <f>Table4[[#This Row],[energy_kwh]] - Table4[[#This Row],[expected_kwh]]</f>
        <v>-46.091853106735982</v>
      </c>
      <c r="M2971" t="str">
        <f>IF(Table4[[#This Row],[Performance_Deviation]] &lt; 0, "Underperforming", "Outperforming")</f>
        <v>Underperforming</v>
      </c>
      <c r="N2971">
        <f>IF(Table4[[#This Row],[Performance_Ratio]] &lt; 0.85, Table4[[#This Row],[Performance_Deviation]] * 50 / 1000, 0)</f>
        <v>-2.304592655336799</v>
      </c>
    </row>
    <row r="2972" spans="1:14" x14ac:dyDescent="0.3">
      <c r="A2972" s="4" t="s">
        <v>9</v>
      </c>
      <c r="B2972" s="3">
        <v>45322.75</v>
      </c>
      <c r="C2972" s="7">
        <v>1.11386561839709E-13</v>
      </c>
      <c r="D2972" s="7">
        <v>1.07370668540162E-13</v>
      </c>
      <c r="E2972" s="7">
        <v>1.07370668540162E-13</v>
      </c>
      <c r="F2972" s="4">
        <v>74.122222700352495</v>
      </c>
      <c r="G2972" s="4" t="str">
        <f t="shared" si="92"/>
        <v>OK</v>
      </c>
      <c r="H2972" s="4" t="str">
        <f t="shared" si="93"/>
        <v>NON-ZERO</v>
      </c>
      <c r="I2972" s="2">
        <v>1.1756609271814501E-13</v>
      </c>
      <c r="J2972">
        <f>IFERROR(Table4[[#This Row],[energy_kwh]]/Table4[[#This Row],[expected_kwh]],0)</f>
        <v>0.91327921220937658</v>
      </c>
      <c r="K2972" t="str">
        <f>IF(Table4[[#This Row],[Performance_Ratio]] &lt; 0.85, "Underperforming", "Performing")</f>
        <v>Performing</v>
      </c>
      <c r="L2972">
        <f>Table4[[#This Row],[energy_kwh]] - Table4[[#This Row],[expected_kwh]]</f>
        <v>-1.0195424177983012E-14</v>
      </c>
      <c r="M2972" t="str">
        <f>IF(Table4[[#This Row],[Performance_Deviation]] &lt; 0, "Underperforming", "Outperforming")</f>
        <v>Underperforming</v>
      </c>
      <c r="N2972">
        <f>IF(Table4[[#This Row],[Performance_Ratio]] &lt; 0.85, Table4[[#This Row],[Performance_Deviation]] * 50 / 1000, 0)</f>
        <v>0</v>
      </c>
    </row>
    <row r="2973" spans="1:14" x14ac:dyDescent="0.3">
      <c r="A2973" s="6" t="s">
        <v>9</v>
      </c>
      <c r="B2973" s="5">
        <v>45322.791666666664</v>
      </c>
      <c r="C2973" s="6">
        <v>0</v>
      </c>
      <c r="D2973" s="6">
        <v>0</v>
      </c>
      <c r="E2973" s="6">
        <v>0</v>
      </c>
      <c r="F2973" s="6">
        <v>33.572979798350097</v>
      </c>
      <c r="G2973" s="6" t="str">
        <f t="shared" si="92"/>
        <v>OK</v>
      </c>
      <c r="H2973" s="6" t="str">
        <f t="shared" si="93"/>
        <v>ZERO</v>
      </c>
      <c r="I2973">
        <v>0</v>
      </c>
      <c r="J2973">
        <f>IFERROR(Table4[[#This Row],[energy_kwh]]/Table4[[#This Row],[expected_kwh]],0)</f>
        <v>0</v>
      </c>
      <c r="K2973" t="str">
        <f>IF(Table4[[#This Row],[Performance_Ratio]] &lt; 0.85, "Underperforming", "Performing")</f>
        <v>Underperforming</v>
      </c>
      <c r="L2973">
        <f>Table4[[#This Row],[energy_kwh]] - Table4[[#This Row],[expected_kwh]]</f>
        <v>0</v>
      </c>
      <c r="M2973" t="str">
        <f>IF(Table4[[#This Row],[Performance_Deviation]] &lt; 0, "Underperforming", "Outperforming")</f>
        <v>Outperforming</v>
      </c>
      <c r="N2973">
        <f>IF(Table4[[#This Row],[Performance_Ratio]] &lt; 0.85, Table4[[#This Row],[Performance_Deviation]] * 50 / 1000, 0)</f>
        <v>0</v>
      </c>
    </row>
    <row r="2974" spans="1:14" x14ac:dyDescent="0.3">
      <c r="A2974" s="4" t="s">
        <v>9</v>
      </c>
      <c r="B2974" s="3">
        <v>45322.833333333336</v>
      </c>
      <c r="C2974" s="4">
        <v>0</v>
      </c>
      <c r="D2974" s="4">
        <v>0</v>
      </c>
      <c r="E2974" s="4">
        <v>0</v>
      </c>
      <c r="F2974" s="4">
        <v>32.571069210997202</v>
      </c>
      <c r="G2974" s="4" t="str">
        <f t="shared" si="92"/>
        <v>OK</v>
      </c>
      <c r="H2974" s="4" t="str">
        <f t="shared" si="93"/>
        <v>ZERO</v>
      </c>
      <c r="I2974">
        <v>0</v>
      </c>
      <c r="J2974">
        <f>IFERROR(Table4[[#This Row],[energy_kwh]]/Table4[[#This Row],[expected_kwh]],0)</f>
        <v>0</v>
      </c>
      <c r="K2974" t="str">
        <f>IF(Table4[[#This Row],[Performance_Ratio]] &lt; 0.85, "Underperforming", "Performing")</f>
        <v>Underperforming</v>
      </c>
      <c r="L2974">
        <f>Table4[[#This Row],[energy_kwh]] - Table4[[#This Row],[expected_kwh]]</f>
        <v>0</v>
      </c>
      <c r="M2974" t="str">
        <f>IF(Table4[[#This Row],[Performance_Deviation]] &lt; 0, "Underperforming", "Outperforming")</f>
        <v>Outperforming</v>
      </c>
      <c r="N2974">
        <f>IF(Table4[[#This Row],[Performance_Ratio]] &lt; 0.85, Table4[[#This Row],[Performance_Deviation]] * 50 / 1000, 0)</f>
        <v>0</v>
      </c>
    </row>
    <row r="2975" spans="1:14" x14ac:dyDescent="0.3">
      <c r="A2975" s="6" t="s">
        <v>9</v>
      </c>
      <c r="B2975" s="5">
        <v>45322.875</v>
      </c>
      <c r="C2975" s="6">
        <v>0</v>
      </c>
      <c r="D2975" s="6">
        <v>0</v>
      </c>
      <c r="E2975" s="6">
        <v>0</v>
      </c>
      <c r="F2975" s="6">
        <v>29.1564066238424</v>
      </c>
      <c r="G2975" s="6" t="str">
        <f t="shared" si="92"/>
        <v>OK</v>
      </c>
      <c r="H2975" s="6" t="str">
        <f t="shared" si="93"/>
        <v>ZERO</v>
      </c>
      <c r="I2975">
        <v>0</v>
      </c>
      <c r="J2975">
        <f>IFERROR(Table4[[#This Row],[energy_kwh]]/Table4[[#This Row],[expected_kwh]],0)</f>
        <v>0</v>
      </c>
      <c r="K2975" t="str">
        <f>IF(Table4[[#This Row],[Performance_Ratio]] &lt; 0.85, "Underperforming", "Performing")</f>
        <v>Underperforming</v>
      </c>
      <c r="L2975">
        <f>Table4[[#This Row],[energy_kwh]] - Table4[[#This Row],[expected_kwh]]</f>
        <v>0</v>
      </c>
      <c r="M2975" t="str">
        <f>IF(Table4[[#This Row],[Performance_Deviation]] &lt; 0, "Underperforming", "Outperforming")</f>
        <v>Outperforming</v>
      </c>
      <c r="N2975">
        <f>IF(Table4[[#This Row],[Performance_Ratio]] &lt; 0.85, Table4[[#This Row],[Performance_Deviation]] * 50 / 1000, 0)</f>
        <v>0</v>
      </c>
    </row>
    <row r="2976" spans="1:14" x14ac:dyDescent="0.3">
      <c r="A2976" s="4" t="s">
        <v>9</v>
      </c>
      <c r="B2976" s="3">
        <v>45322.916666666664</v>
      </c>
      <c r="C2976" s="4">
        <v>0</v>
      </c>
      <c r="D2976" s="4">
        <v>0</v>
      </c>
      <c r="E2976" s="4">
        <v>0</v>
      </c>
      <c r="F2976" s="4">
        <v>26.350711643201699</v>
      </c>
      <c r="G2976" s="4" t="str">
        <f t="shared" si="92"/>
        <v>OK</v>
      </c>
      <c r="H2976" s="4" t="str">
        <f t="shared" si="93"/>
        <v>ZERO</v>
      </c>
      <c r="I2976">
        <v>0</v>
      </c>
      <c r="J2976">
        <f>IFERROR(Table4[[#This Row],[energy_kwh]]/Table4[[#This Row],[expected_kwh]],0)</f>
        <v>0</v>
      </c>
      <c r="K2976" t="str">
        <f>IF(Table4[[#This Row],[Performance_Ratio]] &lt; 0.85, "Underperforming", "Performing")</f>
        <v>Underperforming</v>
      </c>
      <c r="L2976">
        <f>Table4[[#This Row],[energy_kwh]] - Table4[[#This Row],[expected_kwh]]</f>
        <v>0</v>
      </c>
      <c r="M2976" t="str">
        <f>IF(Table4[[#This Row],[Performance_Deviation]] &lt; 0, "Underperforming", "Outperforming")</f>
        <v>Outperforming</v>
      </c>
      <c r="N2976">
        <f>IF(Table4[[#This Row],[Performance_Ratio]] &lt; 0.85, Table4[[#This Row],[Performance_Deviation]] * 50 / 1000, 0)</f>
        <v>0</v>
      </c>
    </row>
    <row r="2977" spans="1:14" x14ac:dyDescent="0.3">
      <c r="A2977" s="6" t="s">
        <v>9</v>
      </c>
      <c r="B2977" s="5">
        <v>45322.958333333336</v>
      </c>
      <c r="C2977" s="6">
        <v>0</v>
      </c>
      <c r="D2977" s="6">
        <v>0</v>
      </c>
      <c r="E2977" s="6">
        <v>0</v>
      </c>
      <c r="F2977" s="6">
        <v>72.367474235984702</v>
      </c>
      <c r="G2977" s="6" t="str">
        <f t="shared" si="92"/>
        <v>OK</v>
      </c>
      <c r="H2977" s="6" t="str">
        <f t="shared" si="93"/>
        <v>ZERO</v>
      </c>
      <c r="I2977">
        <v>0</v>
      </c>
      <c r="J2977">
        <f>IFERROR(Table4[[#This Row],[energy_kwh]]/Table4[[#This Row],[expected_kwh]],0)</f>
        <v>0</v>
      </c>
      <c r="K2977" t="str">
        <f>IF(Table4[[#This Row],[Performance_Ratio]] &lt; 0.85, "Underperforming", "Performing")</f>
        <v>Underperforming</v>
      </c>
      <c r="L2977">
        <f>Table4[[#This Row],[energy_kwh]] - Table4[[#This Row],[expected_kwh]]</f>
        <v>0</v>
      </c>
      <c r="M2977" t="str">
        <f>IF(Table4[[#This Row],[Performance_Deviation]] &lt; 0, "Underperforming", "Outperforming")</f>
        <v>Outperforming</v>
      </c>
      <c r="N2977">
        <f>IF(Table4[[#This Row],[Performance_Ratio]] &lt; 0.85, Table4[[#This Row],[Performance_Deviation]] * 50 / 1000, 0)</f>
        <v>0</v>
      </c>
    </row>
    <row r="2978" spans="1:14" x14ac:dyDescent="0.3">
      <c r="A2978" s="4" t="s">
        <v>10</v>
      </c>
      <c r="B2978" s="3">
        <v>45292</v>
      </c>
      <c r="C2978" s="4">
        <v>0</v>
      </c>
      <c r="D2978" s="4">
        <v>0</v>
      </c>
      <c r="E2978" s="4">
        <v>0</v>
      </c>
      <c r="F2978" s="4">
        <v>44.540001652919599</v>
      </c>
      <c r="G2978" s="4" t="str">
        <f t="shared" si="92"/>
        <v>OK</v>
      </c>
      <c r="H2978" s="4" t="str">
        <f t="shared" si="93"/>
        <v>ZERO</v>
      </c>
      <c r="I2978">
        <v>0</v>
      </c>
      <c r="J2978">
        <f>IFERROR(Table4[[#This Row],[energy_kwh]]/Table4[[#This Row],[expected_kwh]],0)</f>
        <v>0</v>
      </c>
      <c r="K2978" t="str">
        <f>IF(Table4[[#This Row],[Performance_Ratio]] &lt; 0.85, "Underperforming", "Performing")</f>
        <v>Underperforming</v>
      </c>
      <c r="L2978">
        <f>Table4[[#This Row],[energy_kwh]] - Table4[[#This Row],[expected_kwh]]</f>
        <v>0</v>
      </c>
      <c r="M2978" t="str">
        <f>IF(Table4[[#This Row],[Performance_Deviation]] &lt; 0, "Underperforming", "Outperforming")</f>
        <v>Outperforming</v>
      </c>
      <c r="N2978">
        <f>IF(Table4[[#This Row],[Performance_Ratio]] &lt; 0.85, Table4[[#This Row],[Performance_Deviation]] * 50 / 1000, 0)</f>
        <v>0</v>
      </c>
    </row>
    <row r="2979" spans="1:14" x14ac:dyDescent="0.3">
      <c r="A2979" s="6" t="s">
        <v>10</v>
      </c>
      <c r="B2979" s="5">
        <v>45292.041666666664</v>
      </c>
      <c r="C2979" s="6">
        <v>0</v>
      </c>
      <c r="D2979" s="6">
        <v>0</v>
      </c>
      <c r="E2979" s="6">
        <v>0</v>
      </c>
      <c r="F2979" s="6">
        <v>39.398017747799102</v>
      </c>
      <c r="G2979" s="6" t="str">
        <f t="shared" si="92"/>
        <v>OK</v>
      </c>
      <c r="H2979" s="6" t="str">
        <f t="shared" si="93"/>
        <v>ZERO</v>
      </c>
      <c r="I2979">
        <v>0</v>
      </c>
      <c r="J2979">
        <f>IFERROR(Table4[[#This Row],[energy_kwh]]/Table4[[#This Row],[expected_kwh]],0)</f>
        <v>0</v>
      </c>
      <c r="K2979" t="str">
        <f>IF(Table4[[#This Row],[Performance_Ratio]] &lt; 0.85, "Underperforming", "Performing")</f>
        <v>Underperforming</v>
      </c>
      <c r="L2979">
        <f>Table4[[#This Row],[energy_kwh]] - Table4[[#This Row],[expected_kwh]]</f>
        <v>0</v>
      </c>
      <c r="M2979" t="str">
        <f>IF(Table4[[#This Row],[Performance_Deviation]] &lt; 0, "Underperforming", "Outperforming")</f>
        <v>Outperforming</v>
      </c>
      <c r="N2979">
        <f>IF(Table4[[#This Row],[Performance_Ratio]] &lt; 0.85, Table4[[#This Row],[Performance_Deviation]] * 50 / 1000, 0)</f>
        <v>0</v>
      </c>
    </row>
    <row r="2980" spans="1:14" x14ac:dyDescent="0.3">
      <c r="A2980" s="4" t="s">
        <v>10</v>
      </c>
      <c r="B2980" s="3">
        <v>45292.083333333336</v>
      </c>
      <c r="C2980" s="4">
        <v>0</v>
      </c>
      <c r="D2980" s="4">
        <v>0</v>
      </c>
      <c r="E2980" s="4">
        <v>0</v>
      </c>
      <c r="F2980" s="4">
        <v>76.106702427734405</v>
      </c>
      <c r="G2980" s="4" t="str">
        <f t="shared" si="92"/>
        <v>OK</v>
      </c>
      <c r="H2980" s="4" t="str">
        <f t="shared" si="93"/>
        <v>ZERO</v>
      </c>
      <c r="I2980">
        <v>0</v>
      </c>
      <c r="J2980">
        <f>IFERROR(Table4[[#This Row],[energy_kwh]]/Table4[[#This Row],[expected_kwh]],0)</f>
        <v>0</v>
      </c>
      <c r="K2980" t="str">
        <f>IF(Table4[[#This Row],[Performance_Ratio]] &lt; 0.85, "Underperforming", "Performing")</f>
        <v>Underperforming</v>
      </c>
      <c r="L2980">
        <f>Table4[[#This Row],[energy_kwh]] - Table4[[#This Row],[expected_kwh]]</f>
        <v>0</v>
      </c>
      <c r="M2980" t="str">
        <f>IF(Table4[[#This Row],[Performance_Deviation]] &lt; 0, "Underperforming", "Outperforming")</f>
        <v>Outperforming</v>
      </c>
      <c r="N2980">
        <f>IF(Table4[[#This Row],[Performance_Ratio]] &lt; 0.85, Table4[[#This Row],[Performance_Deviation]] * 50 / 1000, 0)</f>
        <v>0</v>
      </c>
    </row>
    <row r="2981" spans="1:14" x14ac:dyDescent="0.3">
      <c r="A2981" s="6" t="s">
        <v>10</v>
      </c>
      <c r="B2981" s="5">
        <v>45292.125</v>
      </c>
      <c r="C2981" s="6">
        <v>0</v>
      </c>
      <c r="D2981" s="6">
        <v>0</v>
      </c>
      <c r="E2981" s="6">
        <v>0</v>
      </c>
      <c r="F2981" s="6">
        <v>56.596093194279803</v>
      </c>
      <c r="G2981" s="6" t="str">
        <f t="shared" si="92"/>
        <v>OK</v>
      </c>
      <c r="H2981" s="6" t="str">
        <f t="shared" si="93"/>
        <v>ZERO</v>
      </c>
      <c r="I2981">
        <v>0</v>
      </c>
      <c r="J2981">
        <f>IFERROR(Table4[[#This Row],[energy_kwh]]/Table4[[#This Row],[expected_kwh]],0)</f>
        <v>0</v>
      </c>
      <c r="K2981" t="str">
        <f>IF(Table4[[#This Row],[Performance_Ratio]] &lt; 0.85, "Underperforming", "Performing")</f>
        <v>Underperforming</v>
      </c>
      <c r="L2981">
        <f>Table4[[#This Row],[energy_kwh]] - Table4[[#This Row],[expected_kwh]]</f>
        <v>0</v>
      </c>
      <c r="M2981" t="str">
        <f>IF(Table4[[#This Row],[Performance_Deviation]] &lt; 0, "Underperforming", "Outperforming")</f>
        <v>Outperforming</v>
      </c>
      <c r="N2981">
        <f>IF(Table4[[#This Row],[Performance_Ratio]] &lt; 0.85, Table4[[#This Row],[Performance_Deviation]] * 50 / 1000, 0)</f>
        <v>0</v>
      </c>
    </row>
    <row r="2982" spans="1:14" x14ac:dyDescent="0.3">
      <c r="A2982" s="4" t="s">
        <v>10</v>
      </c>
      <c r="B2982" s="3">
        <v>45292.166666666664</v>
      </c>
      <c r="C2982" s="4">
        <v>0</v>
      </c>
      <c r="D2982" s="4">
        <v>0</v>
      </c>
      <c r="E2982" s="4">
        <v>0</v>
      </c>
      <c r="F2982" s="4">
        <v>47.892199965588198</v>
      </c>
      <c r="G2982" s="4" t="str">
        <f t="shared" si="92"/>
        <v>OK</v>
      </c>
      <c r="H2982" s="4" t="str">
        <f t="shared" si="93"/>
        <v>ZERO</v>
      </c>
      <c r="I2982">
        <v>0</v>
      </c>
      <c r="J2982">
        <f>IFERROR(Table4[[#This Row],[energy_kwh]]/Table4[[#This Row],[expected_kwh]],0)</f>
        <v>0</v>
      </c>
      <c r="K2982" t="str">
        <f>IF(Table4[[#This Row],[Performance_Ratio]] &lt; 0.85, "Underperforming", "Performing")</f>
        <v>Underperforming</v>
      </c>
      <c r="L2982">
        <f>Table4[[#This Row],[energy_kwh]] - Table4[[#This Row],[expected_kwh]]</f>
        <v>0</v>
      </c>
      <c r="M2982" t="str">
        <f>IF(Table4[[#This Row],[Performance_Deviation]] &lt; 0, "Underperforming", "Outperforming")</f>
        <v>Outperforming</v>
      </c>
      <c r="N2982">
        <f>IF(Table4[[#This Row],[Performance_Ratio]] &lt; 0.85, Table4[[#This Row],[Performance_Deviation]] * 50 / 1000, 0)</f>
        <v>0</v>
      </c>
    </row>
    <row r="2983" spans="1:14" x14ac:dyDescent="0.3">
      <c r="A2983" s="6" t="s">
        <v>10</v>
      </c>
      <c r="B2983" s="5">
        <v>45292.208333333336</v>
      </c>
      <c r="C2983" s="6">
        <v>0</v>
      </c>
      <c r="D2983" s="6">
        <v>0</v>
      </c>
      <c r="E2983" s="6">
        <v>0</v>
      </c>
      <c r="F2983" s="6">
        <v>32.990272306993397</v>
      </c>
      <c r="G2983" s="6" t="str">
        <f t="shared" si="92"/>
        <v>OK</v>
      </c>
      <c r="H2983" s="6" t="str">
        <f t="shared" si="93"/>
        <v>ZERO</v>
      </c>
      <c r="I2983">
        <v>0</v>
      </c>
      <c r="J2983">
        <f>IFERROR(Table4[[#This Row],[energy_kwh]]/Table4[[#This Row],[expected_kwh]],0)</f>
        <v>0</v>
      </c>
      <c r="K2983" t="str">
        <f>IF(Table4[[#This Row],[Performance_Ratio]] &lt; 0.85, "Underperforming", "Performing")</f>
        <v>Underperforming</v>
      </c>
      <c r="L2983">
        <f>Table4[[#This Row],[energy_kwh]] - Table4[[#This Row],[expected_kwh]]</f>
        <v>0</v>
      </c>
      <c r="M2983" t="str">
        <f>IF(Table4[[#This Row],[Performance_Deviation]] &lt; 0, "Underperforming", "Outperforming")</f>
        <v>Outperforming</v>
      </c>
      <c r="N2983">
        <f>IF(Table4[[#This Row],[Performance_Ratio]] &lt; 0.85, Table4[[#This Row],[Performance_Deviation]] * 50 / 1000, 0)</f>
        <v>0</v>
      </c>
    </row>
    <row r="2984" spans="1:14" x14ac:dyDescent="0.3">
      <c r="A2984" s="4" t="s">
        <v>10</v>
      </c>
      <c r="B2984" s="3">
        <v>45292.25</v>
      </c>
      <c r="C2984" s="4">
        <v>0</v>
      </c>
      <c r="D2984" s="4">
        <v>0</v>
      </c>
      <c r="E2984" s="4">
        <v>0</v>
      </c>
      <c r="F2984" s="4">
        <v>85.593235753865002</v>
      </c>
      <c r="G2984" s="4" t="str">
        <f t="shared" si="92"/>
        <v>OK</v>
      </c>
      <c r="H2984" s="4" t="str">
        <f t="shared" si="93"/>
        <v>ZERO</v>
      </c>
      <c r="I2984">
        <v>0</v>
      </c>
      <c r="J2984">
        <f>IFERROR(Table4[[#This Row],[energy_kwh]]/Table4[[#This Row],[expected_kwh]],0)</f>
        <v>0</v>
      </c>
      <c r="K2984" t="str">
        <f>IF(Table4[[#This Row],[Performance_Ratio]] &lt; 0.85, "Underperforming", "Performing")</f>
        <v>Underperforming</v>
      </c>
      <c r="L2984">
        <f>Table4[[#This Row],[energy_kwh]] - Table4[[#This Row],[expected_kwh]]</f>
        <v>0</v>
      </c>
      <c r="M2984" t="str">
        <f>IF(Table4[[#This Row],[Performance_Deviation]] &lt; 0, "Underperforming", "Outperforming")</f>
        <v>Outperforming</v>
      </c>
      <c r="N2984">
        <f>IF(Table4[[#This Row],[Performance_Ratio]] &lt; 0.85, Table4[[#This Row],[Performance_Deviation]] * 50 / 1000, 0)</f>
        <v>0</v>
      </c>
    </row>
    <row r="2985" spans="1:14" x14ac:dyDescent="0.3">
      <c r="A2985" s="6" t="s">
        <v>10</v>
      </c>
      <c r="B2985" s="5">
        <v>45292.291666666664</v>
      </c>
      <c r="C2985" s="6">
        <v>285.26549129018599</v>
      </c>
      <c r="D2985" s="6">
        <v>269.929831177425</v>
      </c>
      <c r="E2985" s="6">
        <v>269.929831177425</v>
      </c>
      <c r="F2985" s="6">
        <v>31.305274477337601</v>
      </c>
      <c r="G2985" s="6" t="str">
        <f t="shared" si="92"/>
        <v>OK</v>
      </c>
      <c r="H2985" s="6" t="str">
        <f t="shared" si="93"/>
        <v>NON-ZERO</v>
      </c>
      <c r="I2985">
        <v>310.58285412302399</v>
      </c>
      <c r="J2985">
        <f>IFERROR(Table4[[#This Row],[energy_kwh]]/Table4[[#This Row],[expected_kwh]],0)</f>
        <v>0.86910731740041247</v>
      </c>
      <c r="K2985" t="str">
        <f>IF(Table4[[#This Row],[Performance_Ratio]] &lt; 0.85, "Underperforming", "Performing")</f>
        <v>Performing</v>
      </c>
      <c r="L2985">
        <f>Table4[[#This Row],[energy_kwh]] - Table4[[#This Row],[expected_kwh]]</f>
        <v>-40.653022945598991</v>
      </c>
      <c r="M2985" t="str">
        <f>IF(Table4[[#This Row],[Performance_Deviation]] &lt; 0, "Underperforming", "Outperforming")</f>
        <v>Underperforming</v>
      </c>
      <c r="N2985">
        <f>IF(Table4[[#This Row],[Performance_Ratio]] &lt; 0.85, Table4[[#This Row],[Performance_Deviation]] * 50 / 1000, 0)</f>
        <v>0</v>
      </c>
    </row>
    <row r="2986" spans="1:14" x14ac:dyDescent="0.3">
      <c r="A2986" s="4" t="s">
        <v>10</v>
      </c>
      <c r="B2986" s="3">
        <v>45292.333333333336</v>
      </c>
      <c r="C2986" s="4">
        <v>518.23245637539105</v>
      </c>
      <c r="D2986" s="4">
        <v>490.37266592394099</v>
      </c>
      <c r="E2986" s="4">
        <v>490.37266592394099</v>
      </c>
      <c r="F2986" s="4">
        <v>60.927726202471099</v>
      </c>
      <c r="G2986" s="4" t="str">
        <f t="shared" si="92"/>
        <v>OK</v>
      </c>
      <c r="H2986" s="4" t="str">
        <f t="shared" si="93"/>
        <v>NON-ZERO</v>
      </c>
      <c r="I2986">
        <v>600</v>
      </c>
      <c r="J2986">
        <f>IFERROR(Table4[[#This Row],[energy_kwh]]/Table4[[#This Row],[expected_kwh]],0)</f>
        <v>0.81728777653990159</v>
      </c>
      <c r="K2986" t="str">
        <f>IF(Table4[[#This Row],[Performance_Ratio]] &lt; 0.85, "Underperforming", "Performing")</f>
        <v>Underperforming</v>
      </c>
      <c r="L2986">
        <f>Table4[[#This Row],[energy_kwh]] - Table4[[#This Row],[expected_kwh]]</f>
        <v>-109.62733407605901</v>
      </c>
      <c r="M2986" t="str">
        <f>IF(Table4[[#This Row],[Performance_Deviation]] &lt; 0, "Underperforming", "Outperforming")</f>
        <v>Underperforming</v>
      </c>
      <c r="N2986">
        <f>IF(Table4[[#This Row],[Performance_Ratio]] &lt; 0.85, Table4[[#This Row],[Performance_Deviation]] * 50 / 1000, 0)</f>
        <v>-5.4813667038029505</v>
      </c>
    </row>
    <row r="2987" spans="1:14" x14ac:dyDescent="0.3">
      <c r="A2987" s="6" t="s">
        <v>10</v>
      </c>
      <c r="B2987" s="5">
        <v>45292.375</v>
      </c>
      <c r="C2987" s="6">
        <v>916.24945685575699</v>
      </c>
      <c r="D2987" s="6">
        <v>866.99256922700101</v>
      </c>
      <c r="E2987" s="6">
        <v>866.99256922700101</v>
      </c>
      <c r="F2987" s="6">
        <v>42.429823220663202</v>
      </c>
      <c r="G2987" s="6" t="str">
        <f t="shared" si="92"/>
        <v>OK</v>
      </c>
      <c r="H2987" s="6" t="str">
        <f t="shared" si="93"/>
        <v>NON-ZERO</v>
      </c>
      <c r="I2987">
        <v>848.52813742385695</v>
      </c>
      <c r="J2987">
        <f>IFERROR(Table4[[#This Row],[energy_kwh]]/Table4[[#This Row],[expected_kwh]],0)</f>
        <v>1.0217605415645996</v>
      </c>
      <c r="K2987" t="str">
        <f>IF(Table4[[#This Row],[Performance_Ratio]] &lt; 0.85, "Underperforming", "Performing")</f>
        <v>Performing</v>
      </c>
      <c r="L2987">
        <f>Table4[[#This Row],[energy_kwh]] - Table4[[#This Row],[expected_kwh]]</f>
        <v>18.464431803144066</v>
      </c>
      <c r="M2987" t="str">
        <f>IF(Table4[[#This Row],[Performance_Deviation]] &lt; 0, "Underperforming", "Outperforming")</f>
        <v>Outperforming</v>
      </c>
      <c r="N2987">
        <f>IF(Table4[[#This Row],[Performance_Ratio]] &lt; 0.85, Table4[[#This Row],[Performance_Deviation]] * 50 / 1000, 0)</f>
        <v>0</v>
      </c>
    </row>
    <row r="2988" spans="1:14" x14ac:dyDescent="0.3">
      <c r="A2988" s="4" t="s">
        <v>10</v>
      </c>
      <c r="B2988" s="3">
        <v>45292.416666666664</v>
      </c>
      <c r="C2988" s="4">
        <v>1086.2609067635799</v>
      </c>
      <c r="D2988" s="4">
        <v>1027.86433035133</v>
      </c>
      <c r="E2988" s="4">
        <v>1027.86433035133</v>
      </c>
      <c r="F2988" s="4">
        <v>48.211048250786703</v>
      </c>
      <c r="G2988" s="4" t="str">
        <f t="shared" si="92"/>
        <v>OK</v>
      </c>
      <c r="H2988" s="4" t="str">
        <f t="shared" si="93"/>
        <v>NON-ZERO</v>
      </c>
      <c r="I2988">
        <v>1039.23048454132</v>
      </c>
      <c r="J2988">
        <f>IFERROR(Table4[[#This Row],[energy_kwh]]/Table4[[#This Row],[expected_kwh]],0)</f>
        <v>0.98906291303126403</v>
      </c>
      <c r="K2988" t="str">
        <f>IF(Table4[[#This Row],[Performance_Ratio]] &lt; 0.85, "Underperforming", "Performing")</f>
        <v>Performing</v>
      </c>
      <c r="L2988">
        <f>Table4[[#This Row],[energy_kwh]] - Table4[[#This Row],[expected_kwh]]</f>
        <v>-11.366154189990084</v>
      </c>
      <c r="M2988" t="str">
        <f>IF(Table4[[#This Row],[Performance_Deviation]] &lt; 0, "Underperforming", "Outperforming")</f>
        <v>Underperforming</v>
      </c>
      <c r="N2988">
        <f>IF(Table4[[#This Row],[Performance_Ratio]] &lt; 0.85, Table4[[#This Row],[Performance_Deviation]] * 50 / 1000, 0)</f>
        <v>0</v>
      </c>
    </row>
    <row r="2989" spans="1:14" x14ac:dyDescent="0.3">
      <c r="A2989" s="6" t="s">
        <v>10</v>
      </c>
      <c r="B2989" s="5">
        <v>45292.458333333336</v>
      </c>
      <c r="C2989" s="6">
        <v>1029.72855115536</v>
      </c>
      <c r="D2989" s="6">
        <v>974.37111202907897</v>
      </c>
      <c r="E2989" s="6">
        <v>974.37111202907897</v>
      </c>
      <c r="F2989" s="6">
        <v>33.370610624153002</v>
      </c>
      <c r="G2989" s="6" t="str">
        <f t="shared" si="92"/>
        <v>OK</v>
      </c>
      <c r="H2989" s="6" t="str">
        <f t="shared" si="93"/>
        <v>NON-ZERO</v>
      </c>
      <c r="I2989">
        <v>1159.1109915468801</v>
      </c>
      <c r="J2989">
        <f>IFERROR(Table4[[#This Row],[energy_kwh]]/Table4[[#This Row],[expected_kwh]],0)</f>
        <v>0.84061933596949301</v>
      </c>
      <c r="K2989" t="str">
        <f>IF(Table4[[#This Row],[Performance_Ratio]] &lt; 0.85, "Underperforming", "Performing")</f>
        <v>Underperforming</v>
      </c>
      <c r="L2989">
        <f>Table4[[#This Row],[energy_kwh]] - Table4[[#This Row],[expected_kwh]]</f>
        <v>-184.73987951780111</v>
      </c>
      <c r="M2989" t="str">
        <f>IF(Table4[[#This Row],[Performance_Deviation]] &lt; 0, "Underperforming", "Outperforming")</f>
        <v>Underperforming</v>
      </c>
      <c r="N2989">
        <f>IF(Table4[[#This Row],[Performance_Ratio]] &lt; 0.85, Table4[[#This Row],[Performance_Deviation]] * 50 / 1000, 0)</f>
        <v>-9.2369939758900568</v>
      </c>
    </row>
    <row r="2990" spans="1:14" x14ac:dyDescent="0.3">
      <c r="A2990" s="4" t="s">
        <v>10</v>
      </c>
      <c r="B2990" s="3">
        <v>45292.5</v>
      </c>
      <c r="C2990" s="4">
        <v>1144.04785539882</v>
      </c>
      <c r="D2990" s="4">
        <v>1082.5446957149099</v>
      </c>
      <c r="E2990" s="4">
        <v>1082.5446957149099</v>
      </c>
      <c r="F2990" s="4">
        <v>87.296200410164104</v>
      </c>
      <c r="G2990" s="4" t="str">
        <f t="shared" si="92"/>
        <v>OK</v>
      </c>
      <c r="H2990" s="4" t="str">
        <f t="shared" si="93"/>
        <v>NON-ZERO</v>
      </c>
      <c r="I2990">
        <v>1200</v>
      </c>
      <c r="J2990">
        <f>IFERROR(Table4[[#This Row],[energy_kwh]]/Table4[[#This Row],[expected_kwh]],0)</f>
        <v>0.90212057976242499</v>
      </c>
      <c r="K2990" t="str">
        <f>IF(Table4[[#This Row],[Performance_Ratio]] &lt; 0.85, "Underperforming", "Performing")</f>
        <v>Performing</v>
      </c>
      <c r="L2990">
        <f>Table4[[#This Row],[energy_kwh]] - Table4[[#This Row],[expected_kwh]]</f>
        <v>-117.45530428509005</v>
      </c>
      <c r="M2990" t="str">
        <f>IF(Table4[[#This Row],[Performance_Deviation]] &lt; 0, "Underperforming", "Outperforming")</f>
        <v>Underperforming</v>
      </c>
      <c r="N2990">
        <f>IF(Table4[[#This Row],[Performance_Ratio]] &lt; 0.85, Table4[[#This Row],[Performance_Deviation]] * 50 / 1000, 0)</f>
        <v>0</v>
      </c>
    </row>
    <row r="2991" spans="1:14" x14ac:dyDescent="0.3">
      <c r="A2991" s="6" t="s">
        <v>10</v>
      </c>
      <c r="B2991" s="5">
        <v>45292.541666666664</v>
      </c>
      <c r="C2991" s="6">
        <v>1107.48168077627</v>
      </c>
      <c r="D2991" s="6">
        <v>1047.94429137567</v>
      </c>
      <c r="E2991" s="6">
        <v>1047.94429137567</v>
      </c>
      <c r="F2991" s="6">
        <v>60.702593544248302</v>
      </c>
      <c r="G2991" s="6" t="str">
        <f t="shared" si="92"/>
        <v>OK</v>
      </c>
      <c r="H2991" s="6" t="str">
        <f t="shared" si="93"/>
        <v>NON-ZERO</v>
      </c>
      <c r="I2991">
        <v>1159.1109915468801</v>
      </c>
      <c r="J2991">
        <f>IFERROR(Table4[[#This Row],[energy_kwh]]/Table4[[#This Row],[expected_kwh]],0)</f>
        <v>0.90409313604829711</v>
      </c>
      <c r="K2991" t="str">
        <f>IF(Table4[[#This Row],[Performance_Ratio]] &lt; 0.85, "Underperforming", "Performing")</f>
        <v>Performing</v>
      </c>
      <c r="L2991">
        <f>Table4[[#This Row],[energy_kwh]] - Table4[[#This Row],[expected_kwh]]</f>
        <v>-111.1667001712101</v>
      </c>
      <c r="M2991" t="str">
        <f>IF(Table4[[#This Row],[Performance_Deviation]] &lt; 0, "Underperforming", "Outperforming")</f>
        <v>Underperforming</v>
      </c>
      <c r="N2991">
        <f>IF(Table4[[#This Row],[Performance_Ratio]] &lt; 0.85, Table4[[#This Row],[Performance_Deviation]] * 50 / 1000, 0)</f>
        <v>0</v>
      </c>
    </row>
    <row r="2992" spans="1:14" x14ac:dyDescent="0.3">
      <c r="A2992" s="4" t="s">
        <v>10</v>
      </c>
      <c r="B2992" s="3">
        <v>45292.583333333336</v>
      </c>
      <c r="C2992" s="4">
        <v>985.003970274371</v>
      </c>
      <c r="D2992" s="4">
        <v>932.05089126881296</v>
      </c>
      <c r="E2992" s="4">
        <v>932.05089126881296</v>
      </c>
      <c r="F2992" s="4">
        <v>33.076753073815297</v>
      </c>
      <c r="G2992" s="4" t="str">
        <f t="shared" si="92"/>
        <v>OK</v>
      </c>
      <c r="H2992" s="4" t="str">
        <f t="shared" si="93"/>
        <v>NON-ZERO</v>
      </c>
      <c r="I2992">
        <v>1039.23048454132</v>
      </c>
      <c r="J2992">
        <f>IFERROR(Table4[[#This Row],[energy_kwh]]/Table4[[#This Row],[expected_kwh]],0)</f>
        <v>0.89686638828747178</v>
      </c>
      <c r="K2992" t="str">
        <f>IF(Table4[[#This Row],[Performance_Ratio]] &lt; 0.85, "Underperforming", "Performing")</f>
        <v>Performing</v>
      </c>
      <c r="L2992">
        <f>Table4[[#This Row],[energy_kwh]] - Table4[[#This Row],[expected_kwh]]</f>
        <v>-107.17959327250708</v>
      </c>
      <c r="M2992" t="str">
        <f>IF(Table4[[#This Row],[Performance_Deviation]] &lt; 0, "Underperforming", "Outperforming")</f>
        <v>Underperforming</v>
      </c>
      <c r="N2992">
        <f>IF(Table4[[#This Row],[Performance_Ratio]] &lt; 0.85, Table4[[#This Row],[Performance_Deviation]] * 50 / 1000, 0)</f>
        <v>0</v>
      </c>
    </row>
    <row r="2993" spans="1:14" x14ac:dyDescent="0.3">
      <c r="A2993" s="6" t="s">
        <v>10</v>
      </c>
      <c r="B2993" s="5">
        <v>45292.625</v>
      </c>
      <c r="C2993" s="6">
        <v>825.95213502716297</v>
      </c>
      <c r="D2993" s="6">
        <v>781.54956409263195</v>
      </c>
      <c r="E2993" s="6">
        <v>781.54956409263195</v>
      </c>
      <c r="F2993" s="6">
        <v>51.0233566134048</v>
      </c>
      <c r="G2993" s="6" t="str">
        <f t="shared" si="92"/>
        <v>OK</v>
      </c>
      <c r="H2993" s="6" t="str">
        <f t="shared" si="93"/>
        <v>NON-ZERO</v>
      </c>
      <c r="I2993">
        <v>848.52813742385695</v>
      </c>
      <c r="J2993">
        <f>IFERROR(Table4[[#This Row],[energy_kwh]]/Table4[[#This Row],[expected_kwh]],0)</f>
        <v>0.92106499433881728</v>
      </c>
      <c r="K2993" t="str">
        <f>IF(Table4[[#This Row],[Performance_Ratio]] &lt; 0.85, "Underperforming", "Performing")</f>
        <v>Performing</v>
      </c>
      <c r="L2993">
        <f>Table4[[#This Row],[energy_kwh]] - Table4[[#This Row],[expected_kwh]]</f>
        <v>-66.978573331224993</v>
      </c>
      <c r="M2993" t="str">
        <f>IF(Table4[[#This Row],[Performance_Deviation]] &lt; 0, "Underperforming", "Outperforming")</f>
        <v>Underperforming</v>
      </c>
      <c r="N2993">
        <f>IF(Table4[[#This Row],[Performance_Ratio]] &lt; 0.85, Table4[[#This Row],[Performance_Deviation]] * 50 / 1000, 0)</f>
        <v>0</v>
      </c>
    </row>
    <row r="2994" spans="1:14" x14ac:dyDescent="0.3">
      <c r="A2994" s="4" t="s">
        <v>10</v>
      </c>
      <c r="B2994" s="3">
        <v>45292.666666666664</v>
      </c>
      <c r="C2994" s="4">
        <v>655.54863121542405</v>
      </c>
      <c r="D2994" s="4">
        <v>620.30682558994397</v>
      </c>
      <c r="E2994" s="4">
        <v>620.30682558994397</v>
      </c>
      <c r="F2994" s="4">
        <v>24.353475276387702</v>
      </c>
      <c r="G2994" s="4" t="str">
        <f t="shared" si="92"/>
        <v>OK</v>
      </c>
      <c r="H2994" s="4" t="str">
        <f t="shared" si="93"/>
        <v>NON-ZERO</v>
      </c>
      <c r="I2994">
        <v>600</v>
      </c>
      <c r="J2994">
        <f>IFERROR(Table4[[#This Row],[energy_kwh]]/Table4[[#This Row],[expected_kwh]],0)</f>
        <v>1.0338447093165732</v>
      </c>
      <c r="K2994" t="str">
        <f>IF(Table4[[#This Row],[Performance_Ratio]] &lt; 0.85, "Underperforming", "Performing")</f>
        <v>Performing</v>
      </c>
      <c r="L2994">
        <f>Table4[[#This Row],[energy_kwh]] - Table4[[#This Row],[expected_kwh]]</f>
        <v>20.306825589943969</v>
      </c>
      <c r="M2994" t="str">
        <f>IF(Table4[[#This Row],[Performance_Deviation]] &lt; 0, "Underperforming", "Outperforming")</f>
        <v>Outperforming</v>
      </c>
      <c r="N2994">
        <f>IF(Table4[[#This Row],[Performance_Ratio]] &lt; 0.85, Table4[[#This Row],[Performance_Deviation]] * 50 / 1000, 0)</f>
        <v>0</v>
      </c>
    </row>
    <row r="2995" spans="1:14" x14ac:dyDescent="0.3">
      <c r="A2995" s="6" t="s">
        <v>10</v>
      </c>
      <c r="B2995" s="5">
        <v>45292.708333333336</v>
      </c>
      <c r="C2995" s="6">
        <v>290.23192376415102</v>
      </c>
      <c r="D2995" s="6">
        <v>274.62927194464902</v>
      </c>
      <c r="E2995" s="6">
        <v>274.62927194464902</v>
      </c>
      <c r="F2995" s="6">
        <v>81.281371018973701</v>
      </c>
      <c r="G2995" s="6" t="str">
        <f t="shared" si="92"/>
        <v>OK</v>
      </c>
      <c r="H2995" s="6" t="str">
        <f t="shared" si="93"/>
        <v>NON-ZERO</v>
      </c>
      <c r="I2995">
        <v>310.58285412302502</v>
      </c>
      <c r="J2995">
        <f>IFERROR(Table4[[#This Row],[energy_kwh]]/Table4[[#This Row],[expected_kwh]],0)</f>
        <v>0.88423835475433421</v>
      </c>
      <c r="K2995" t="str">
        <f>IF(Table4[[#This Row],[Performance_Ratio]] &lt; 0.85, "Underperforming", "Performing")</f>
        <v>Performing</v>
      </c>
      <c r="L2995">
        <f>Table4[[#This Row],[energy_kwh]] - Table4[[#This Row],[expected_kwh]]</f>
        <v>-35.953582178375996</v>
      </c>
      <c r="M2995" t="str">
        <f>IF(Table4[[#This Row],[Performance_Deviation]] &lt; 0, "Underperforming", "Outperforming")</f>
        <v>Underperforming</v>
      </c>
      <c r="N2995">
        <f>IF(Table4[[#This Row],[Performance_Ratio]] &lt; 0.85, Table4[[#This Row],[Performance_Deviation]] * 50 / 1000, 0)</f>
        <v>0</v>
      </c>
    </row>
    <row r="2996" spans="1:14" x14ac:dyDescent="0.3">
      <c r="A2996" s="4" t="s">
        <v>10</v>
      </c>
      <c r="B2996" s="3">
        <v>45292.75</v>
      </c>
      <c r="C2996" s="7">
        <v>1.3413231190245801E-13</v>
      </c>
      <c r="D2996" s="7">
        <v>1.2692145882600801E-13</v>
      </c>
      <c r="E2996" s="7">
        <v>1.2692145882600801E-13</v>
      </c>
      <c r="F2996" s="4">
        <v>64.749718019936097</v>
      </c>
      <c r="G2996" s="4" t="str">
        <f t="shared" si="92"/>
        <v>OK</v>
      </c>
      <c r="H2996" s="4" t="str">
        <f t="shared" si="93"/>
        <v>NON-ZERO</v>
      </c>
      <c r="I2996" s="2">
        <v>1.46957615897682E-13</v>
      </c>
      <c r="J2996">
        <f>IFERROR(Table4[[#This Row],[energy_kwh]]/Table4[[#This Row],[expected_kwh]],0)</f>
        <v>0.86366030131011384</v>
      </c>
      <c r="K2996" t="str">
        <f>IF(Table4[[#This Row],[Performance_Ratio]] &lt; 0.85, "Underperforming", "Performing")</f>
        <v>Performing</v>
      </c>
      <c r="L2996">
        <f>Table4[[#This Row],[energy_kwh]] - Table4[[#This Row],[expected_kwh]]</f>
        <v>-2.0036157071673996E-14</v>
      </c>
      <c r="M2996" t="str">
        <f>IF(Table4[[#This Row],[Performance_Deviation]] &lt; 0, "Underperforming", "Outperforming")</f>
        <v>Underperforming</v>
      </c>
      <c r="N2996">
        <f>IF(Table4[[#This Row],[Performance_Ratio]] &lt; 0.85, Table4[[#This Row],[Performance_Deviation]] * 50 / 1000, 0)</f>
        <v>0</v>
      </c>
    </row>
    <row r="2997" spans="1:14" x14ac:dyDescent="0.3">
      <c r="A2997" s="6" t="s">
        <v>10</v>
      </c>
      <c r="B2997" s="5">
        <v>45292.791666666664</v>
      </c>
      <c r="C2997" s="6">
        <v>0</v>
      </c>
      <c r="D2997" s="6">
        <v>0</v>
      </c>
      <c r="E2997" s="6">
        <v>0</v>
      </c>
      <c r="F2997" s="6">
        <v>42.3340304921974</v>
      </c>
      <c r="G2997" s="6" t="str">
        <f t="shared" si="92"/>
        <v>OK</v>
      </c>
      <c r="H2997" s="6" t="str">
        <f t="shared" si="93"/>
        <v>ZERO</v>
      </c>
      <c r="I2997">
        <v>0</v>
      </c>
      <c r="J2997">
        <f>IFERROR(Table4[[#This Row],[energy_kwh]]/Table4[[#This Row],[expected_kwh]],0)</f>
        <v>0</v>
      </c>
      <c r="K2997" t="str">
        <f>IF(Table4[[#This Row],[Performance_Ratio]] &lt; 0.85, "Underperforming", "Performing")</f>
        <v>Underperforming</v>
      </c>
      <c r="L2997">
        <f>Table4[[#This Row],[energy_kwh]] - Table4[[#This Row],[expected_kwh]]</f>
        <v>0</v>
      </c>
      <c r="M2997" t="str">
        <f>IF(Table4[[#This Row],[Performance_Deviation]] &lt; 0, "Underperforming", "Outperforming")</f>
        <v>Outperforming</v>
      </c>
      <c r="N2997">
        <f>IF(Table4[[#This Row],[Performance_Ratio]] &lt; 0.85, Table4[[#This Row],[Performance_Deviation]] * 50 / 1000, 0)</f>
        <v>0</v>
      </c>
    </row>
    <row r="2998" spans="1:14" x14ac:dyDescent="0.3">
      <c r="A2998" s="4" t="s">
        <v>10</v>
      </c>
      <c r="B2998" s="3">
        <v>45292.833333333336</v>
      </c>
      <c r="C2998" s="4">
        <v>0</v>
      </c>
      <c r="D2998" s="4">
        <v>0</v>
      </c>
      <c r="E2998" s="4">
        <v>0</v>
      </c>
      <c r="F2998" s="4">
        <v>58.451296508745699</v>
      </c>
      <c r="G2998" s="4" t="str">
        <f t="shared" si="92"/>
        <v>OK</v>
      </c>
      <c r="H2998" s="4" t="str">
        <f t="shared" si="93"/>
        <v>ZERO</v>
      </c>
      <c r="I2998">
        <v>0</v>
      </c>
      <c r="J2998">
        <f>IFERROR(Table4[[#This Row],[energy_kwh]]/Table4[[#This Row],[expected_kwh]],0)</f>
        <v>0</v>
      </c>
      <c r="K2998" t="str">
        <f>IF(Table4[[#This Row],[Performance_Ratio]] &lt; 0.85, "Underperforming", "Performing")</f>
        <v>Underperforming</v>
      </c>
      <c r="L2998">
        <f>Table4[[#This Row],[energy_kwh]] - Table4[[#This Row],[expected_kwh]]</f>
        <v>0</v>
      </c>
      <c r="M2998" t="str">
        <f>IF(Table4[[#This Row],[Performance_Deviation]] &lt; 0, "Underperforming", "Outperforming")</f>
        <v>Outperforming</v>
      </c>
      <c r="N2998">
        <f>IF(Table4[[#This Row],[Performance_Ratio]] &lt; 0.85, Table4[[#This Row],[Performance_Deviation]] * 50 / 1000, 0)</f>
        <v>0</v>
      </c>
    </row>
    <row r="2999" spans="1:14" x14ac:dyDescent="0.3">
      <c r="A2999" s="6" t="s">
        <v>10</v>
      </c>
      <c r="B2999" s="5">
        <v>45292.875</v>
      </c>
      <c r="C2999" s="6">
        <v>0</v>
      </c>
      <c r="D2999" s="6">
        <v>0</v>
      </c>
      <c r="E2999" s="6">
        <v>0</v>
      </c>
      <c r="F2999" s="6">
        <v>30.849117650523201</v>
      </c>
      <c r="G2999" s="6" t="str">
        <f t="shared" si="92"/>
        <v>OK</v>
      </c>
      <c r="H2999" s="6" t="str">
        <f t="shared" si="93"/>
        <v>ZERO</v>
      </c>
      <c r="I2999">
        <v>0</v>
      </c>
      <c r="J2999">
        <f>IFERROR(Table4[[#This Row],[energy_kwh]]/Table4[[#This Row],[expected_kwh]],0)</f>
        <v>0</v>
      </c>
      <c r="K2999" t="str">
        <f>IF(Table4[[#This Row],[Performance_Ratio]] &lt; 0.85, "Underperforming", "Performing")</f>
        <v>Underperforming</v>
      </c>
      <c r="L2999">
        <f>Table4[[#This Row],[energy_kwh]] - Table4[[#This Row],[expected_kwh]]</f>
        <v>0</v>
      </c>
      <c r="M2999" t="str">
        <f>IF(Table4[[#This Row],[Performance_Deviation]] &lt; 0, "Underperforming", "Outperforming")</f>
        <v>Outperforming</v>
      </c>
      <c r="N2999">
        <f>IF(Table4[[#This Row],[Performance_Ratio]] &lt; 0.85, Table4[[#This Row],[Performance_Deviation]] * 50 / 1000, 0)</f>
        <v>0</v>
      </c>
    </row>
    <row r="3000" spans="1:14" x14ac:dyDescent="0.3">
      <c r="A3000" s="4" t="s">
        <v>10</v>
      </c>
      <c r="B3000" s="3">
        <v>45292.916666666664</v>
      </c>
      <c r="C3000" s="4">
        <v>0</v>
      </c>
      <c r="D3000" s="4">
        <v>0</v>
      </c>
      <c r="E3000" s="4">
        <v>0</v>
      </c>
      <c r="F3000" s="4">
        <v>21.762681711374299</v>
      </c>
      <c r="G3000" s="4" t="str">
        <f t="shared" si="92"/>
        <v>OK</v>
      </c>
      <c r="H3000" s="4" t="str">
        <f t="shared" si="93"/>
        <v>ZERO</v>
      </c>
      <c r="I3000">
        <v>0</v>
      </c>
      <c r="J3000">
        <f>IFERROR(Table4[[#This Row],[energy_kwh]]/Table4[[#This Row],[expected_kwh]],0)</f>
        <v>0</v>
      </c>
      <c r="K3000" t="str">
        <f>IF(Table4[[#This Row],[Performance_Ratio]] &lt; 0.85, "Underperforming", "Performing")</f>
        <v>Underperforming</v>
      </c>
      <c r="L3000">
        <f>Table4[[#This Row],[energy_kwh]] - Table4[[#This Row],[expected_kwh]]</f>
        <v>0</v>
      </c>
      <c r="M3000" t="str">
        <f>IF(Table4[[#This Row],[Performance_Deviation]] &lt; 0, "Underperforming", "Outperforming")</f>
        <v>Outperforming</v>
      </c>
      <c r="N3000">
        <f>IF(Table4[[#This Row],[Performance_Ratio]] &lt; 0.85, Table4[[#This Row],[Performance_Deviation]] * 50 / 1000, 0)</f>
        <v>0</v>
      </c>
    </row>
    <row r="3001" spans="1:14" x14ac:dyDescent="0.3">
      <c r="A3001" s="6" t="s">
        <v>10</v>
      </c>
      <c r="B3001" s="5">
        <v>45292.958333333336</v>
      </c>
      <c r="C3001" s="6">
        <v>0</v>
      </c>
      <c r="D3001" s="6">
        <v>0</v>
      </c>
      <c r="E3001" s="6">
        <v>0</v>
      </c>
      <c r="F3001" s="6">
        <v>46.435658119677399</v>
      </c>
      <c r="G3001" s="6" t="str">
        <f t="shared" si="92"/>
        <v>OK</v>
      </c>
      <c r="H3001" s="6" t="str">
        <f t="shared" si="93"/>
        <v>ZERO</v>
      </c>
      <c r="I3001">
        <v>0</v>
      </c>
      <c r="J3001">
        <f>IFERROR(Table4[[#This Row],[energy_kwh]]/Table4[[#This Row],[expected_kwh]],0)</f>
        <v>0</v>
      </c>
      <c r="K3001" t="str">
        <f>IF(Table4[[#This Row],[Performance_Ratio]] &lt; 0.85, "Underperforming", "Performing")</f>
        <v>Underperforming</v>
      </c>
      <c r="L3001">
        <f>Table4[[#This Row],[energy_kwh]] - Table4[[#This Row],[expected_kwh]]</f>
        <v>0</v>
      </c>
      <c r="M3001" t="str">
        <f>IF(Table4[[#This Row],[Performance_Deviation]] &lt; 0, "Underperforming", "Outperforming")</f>
        <v>Outperforming</v>
      </c>
      <c r="N3001">
        <f>IF(Table4[[#This Row],[Performance_Ratio]] &lt; 0.85, Table4[[#This Row],[Performance_Deviation]] * 50 / 1000, 0)</f>
        <v>0</v>
      </c>
    </row>
    <row r="3002" spans="1:14" x14ac:dyDescent="0.3">
      <c r="A3002" s="4" t="s">
        <v>10</v>
      </c>
      <c r="B3002" s="3">
        <v>45293</v>
      </c>
      <c r="C3002" s="4">
        <v>0</v>
      </c>
      <c r="D3002" s="4">
        <v>0</v>
      </c>
      <c r="E3002" s="4">
        <v>0</v>
      </c>
      <c r="F3002" s="4">
        <v>69.246646210484599</v>
      </c>
      <c r="G3002" s="4" t="str">
        <f t="shared" si="92"/>
        <v>OK</v>
      </c>
      <c r="H3002" s="4" t="str">
        <f t="shared" si="93"/>
        <v>ZERO</v>
      </c>
      <c r="I3002">
        <v>0</v>
      </c>
      <c r="J3002">
        <f>IFERROR(Table4[[#This Row],[energy_kwh]]/Table4[[#This Row],[expected_kwh]],0)</f>
        <v>0</v>
      </c>
      <c r="K3002" t="str">
        <f>IF(Table4[[#This Row],[Performance_Ratio]] &lt; 0.85, "Underperforming", "Performing")</f>
        <v>Underperforming</v>
      </c>
      <c r="L3002">
        <f>Table4[[#This Row],[energy_kwh]] - Table4[[#This Row],[expected_kwh]]</f>
        <v>0</v>
      </c>
      <c r="M3002" t="str">
        <f>IF(Table4[[#This Row],[Performance_Deviation]] &lt; 0, "Underperforming", "Outperforming")</f>
        <v>Outperforming</v>
      </c>
      <c r="N3002">
        <f>IF(Table4[[#This Row],[Performance_Ratio]] &lt; 0.85, Table4[[#This Row],[Performance_Deviation]] * 50 / 1000, 0)</f>
        <v>0</v>
      </c>
    </row>
    <row r="3003" spans="1:14" x14ac:dyDescent="0.3">
      <c r="A3003" s="6" t="s">
        <v>10</v>
      </c>
      <c r="B3003" s="5">
        <v>45293.041666666664</v>
      </c>
      <c r="C3003" s="6">
        <v>0</v>
      </c>
      <c r="D3003" s="6">
        <v>0</v>
      </c>
      <c r="E3003" s="6">
        <v>0</v>
      </c>
      <c r="F3003" s="6">
        <v>34.4257367356266</v>
      </c>
      <c r="G3003" s="6" t="str">
        <f t="shared" si="92"/>
        <v>OK</v>
      </c>
      <c r="H3003" s="6" t="str">
        <f t="shared" si="93"/>
        <v>ZERO</v>
      </c>
      <c r="I3003">
        <v>0</v>
      </c>
      <c r="J3003">
        <f>IFERROR(Table4[[#This Row],[energy_kwh]]/Table4[[#This Row],[expected_kwh]],0)</f>
        <v>0</v>
      </c>
      <c r="K3003" t="str">
        <f>IF(Table4[[#This Row],[Performance_Ratio]] &lt; 0.85, "Underperforming", "Performing")</f>
        <v>Underperforming</v>
      </c>
      <c r="L3003">
        <f>Table4[[#This Row],[energy_kwh]] - Table4[[#This Row],[expected_kwh]]</f>
        <v>0</v>
      </c>
      <c r="M3003" t="str">
        <f>IF(Table4[[#This Row],[Performance_Deviation]] &lt; 0, "Underperforming", "Outperforming")</f>
        <v>Outperforming</v>
      </c>
      <c r="N3003">
        <f>IF(Table4[[#This Row],[Performance_Ratio]] &lt; 0.85, Table4[[#This Row],[Performance_Deviation]] * 50 / 1000, 0)</f>
        <v>0</v>
      </c>
    </row>
    <row r="3004" spans="1:14" x14ac:dyDescent="0.3">
      <c r="A3004" s="4" t="s">
        <v>10</v>
      </c>
      <c r="B3004" s="3">
        <v>45293.083333333336</v>
      </c>
      <c r="C3004" s="4">
        <v>0</v>
      </c>
      <c r="D3004" s="4">
        <v>0</v>
      </c>
      <c r="E3004" s="4">
        <v>0</v>
      </c>
      <c r="F3004" s="4">
        <v>31.222754113169501</v>
      </c>
      <c r="G3004" s="4" t="str">
        <f t="shared" si="92"/>
        <v>OK</v>
      </c>
      <c r="H3004" s="4" t="str">
        <f t="shared" si="93"/>
        <v>ZERO</v>
      </c>
      <c r="I3004">
        <v>0</v>
      </c>
      <c r="J3004">
        <f>IFERROR(Table4[[#This Row],[energy_kwh]]/Table4[[#This Row],[expected_kwh]],0)</f>
        <v>0</v>
      </c>
      <c r="K3004" t="str">
        <f>IF(Table4[[#This Row],[Performance_Ratio]] &lt; 0.85, "Underperforming", "Performing")</f>
        <v>Underperforming</v>
      </c>
      <c r="L3004">
        <f>Table4[[#This Row],[energy_kwh]] - Table4[[#This Row],[expected_kwh]]</f>
        <v>0</v>
      </c>
      <c r="M3004" t="str">
        <f>IF(Table4[[#This Row],[Performance_Deviation]] &lt; 0, "Underperforming", "Outperforming")</f>
        <v>Outperforming</v>
      </c>
      <c r="N3004">
        <f>IF(Table4[[#This Row],[Performance_Ratio]] &lt; 0.85, Table4[[#This Row],[Performance_Deviation]] * 50 / 1000, 0)</f>
        <v>0</v>
      </c>
    </row>
    <row r="3005" spans="1:14" x14ac:dyDescent="0.3">
      <c r="A3005" s="6" t="s">
        <v>10</v>
      </c>
      <c r="B3005" s="5">
        <v>45293.125</v>
      </c>
      <c r="C3005" s="6">
        <v>0</v>
      </c>
      <c r="D3005" s="6">
        <v>0</v>
      </c>
      <c r="E3005" s="6">
        <v>0</v>
      </c>
      <c r="F3005" s="6">
        <v>90.737234589001105</v>
      </c>
      <c r="G3005" s="6" t="str">
        <f t="shared" si="92"/>
        <v>OK</v>
      </c>
      <c r="H3005" s="6" t="str">
        <f t="shared" si="93"/>
        <v>ZERO</v>
      </c>
      <c r="I3005">
        <v>0</v>
      </c>
      <c r="J3005">
        <f>IFERROR(Table4[[#This Row],[energy_kwh]]/Table4[[#This Row],[expected_kwh]],0)</f>
        <v>0</v>
      </c>
      <c r="K3005" t="str">
        <f>IF(Table4[[#This Row],[Performance_Ratio]] &lt; 0.85, "Underperforming", "Performing")</f>
        <v>Underperforming</v>
      </c>
      <c r="L3005">
        <f>Table4[[#This Row],[energy_kwh]] - Table4[[#This Row],[expected_kwh]]</f>
        <v>0</v>
      </c>
      <c r="M3005" t="str">
        <f>IF(Table4[[#This Row],[Performance_Deviation]] &lt; 0, "Underperforming", "Outperforming")</f>
        <v>Outperforming</v>
      </c>
      <c r="N3005">
        <f>IF(Table4[[#This Row],[Performance_Ratio]] &lt; 0.85, Table4[[#This Row],[Performance_Deviation]] * 50 / 1000, 0)</f>
        <v>0</v>
      </c>
    </row>
    <row r="3006" spans="1:14" x14ac:dyDescent="0.3">
      <c r="A3006" s="4" t="s">
        <v>10</v>
      </c>
      <c r="B3006" s="3">
        <v>45293.166666666664</v>
      </c>
      <c r="C3006" s="4">
        <v>0</v>
      </c>
      <c r="D3006" s="4">
        <v>0</v>
      </c>
      <c r="E3006" s="4">
        <v>0</v>
      </c>
      <c r="F3006" s="4">
        <v>59.563588991640799</v>
      </c>
      <c r="G3006" s="4" t="str">
        <f t="shared" si="92"/>
        <v>OK</v>
      </c>
      <c r="H3006" s="4" t="str">
        <f t="shared" si="93"/>
        <v>ZERO</v>
      </c>
      <c r="I3006">
        <v>0</v>
      </c>
      <c r="J3006">
        <f>IFERROR(Table4[[#This Row],[energy_kwh]]/Table4[[#This Row],[expected_kwh]],0)</f>
        <v>0</v>
      </c>
      <c r="K3006" t="str">
        <f>IF(Table4[[#This Row],[Performance_Ratio]] &lt; 0.85, "Underperforming", "Performing")</f>
        <v>Underperforming</v>
      </c>
      <c r="L3006">
        <f>Table4[[#This Row],[energy_kwh]] - Table4[[#This Row],[expected_kwh]]</f>
        <v>0</v>
      </c>
      <c r="M3006" t="str">
        <f>IF(Table4[[#This Row],[Performance_Deviation]] &lt; 0, "Underperforming", "Outperforming")</f>
        <v>Outperforming</v>
      </c>
      <c r="N3006">
        <f>IF(Table4[[#This Row],[Performance_Ratio]] &lt; 0.85, Table4[[#This Row],[Performance_Deviation]] * 50 / 1000, 0)</f>
        <v>0</v>
      </c>
    </row>
    <row r="3007" spans="1:14" x14ac:dyDescent="0.3">
      <c r="A3007" s="6" t="s">
        <v>10</v>
      </c>
      <c r="B3007" s="5">
        <v>45293.208333333336</v>
      </c>
      <c r="C3007" s="6">
        <v>0</v>
      </c>
      <c r="D3007" s="6">
        <v>0</v>
      </c>
      <c r="E3007" s="6">
        <v>0</v>
      </c>
      <c r="F3007" s="6">
        <v>80.024364455486605</v>
      </c>
      <c r="G3007" s="6" t="str">
        <f t="shared" si="92"/>
        <v>OK</v>
      </c>
      <c r="H3007" s="6" t="str">
        <f t="shared" si="93"/>
        <v>ZERO</v>
      </c>
      <c r="I3007">
        <v>0</v>
      </c>
      <c r="J3007">
        <f>IFERROR(Table4[[#This Row],[energy_kwh]]/Table4[[#This Row],[expected_kwh]],0)</f>
        <v>0</v>
      </c>
      <c r="K3007" t="str">
        <f>IF(Table4[[#This Row],[Performance_Ratio]] &lt; 0.85, "Underperforming", "Performing")</f>
        <v>Underperforming</v>
      </c>
      <c r="L3007">
        <f>Table4[[#This Row],[energy_kwh]] - Table4[[#This Row],[expected_kwh]]</f>
        <v>0</v>
      </c>
      <c r="M3007" t="str">
        <f>IF(Table4[[#This Row],[Performance_Deviation]] &lt; 0, "Underperforming", "Outperforming")</f>
        <v>Outperforming</v>
      </c>
      <c r="N3007">
        <f>IF(Table4[[#This Row],[Performance_Ratio]] &lt; 0.85, Table4[[#This Row],[Performance_Deviation]] * 50 / 1000, 0)</f>
        <v>0</v>
      </c>
    </row>
    <row r="3008" spans="1:14" x14ac:dyDescent="0.3">
      <c r="A3008" s="4" t="s">
        <v>10</v>
      </c>
      <c r="B3008" s="3">
        <v>45293.25</v>
      </c>
      <c r="C3008" s="4">
        <v>0</v>
      </c>
      <c r="D3008" s="4">
        <v>0</v>
      </c>
      <c r="E3008" s="4">
        <v>0</v>
      </c>
      <c r="F3008" s="4">
        <v>91.988257005388803</v>
      </c>
      <c r="G3008" s="4" t="str">
        <f t="shared" si="92"/>
        <v>OK</v>
      </c>
      <c r="H3008" s="4" t="str">
        <f t="shared" si="93"/>
        <v>ZERO</v>
      </c>
      <c r="I3008">
        <v>0</v>
      </c>
      <c r="J3008">
        <f>IFERROR(Table4[[#This Row],[energy_kwh]]/Table4[[#This Row],[expected_kwh]],0)</f>
        <v>0</v>
      </c>
      <c r="K3008" t="str">
        <f>IF(Table4[[#This Row],[Performance_Ratio]] &lt; 0.85, "Underperforming", "Performing")</f>
        <v>Underperforming</v>
      </c>
      <c r="L3008">
        <f>Table4[[#This Row],[energy_kwh]] - Table4[[#This Row],[expected_kwh]]</f>
        <v>0</v>
      </c>
      <c r="M3008" t="str">
        <f>IF(Table4[[#This Row],[Performance_Deviation]] &lt; 0, "Underperforming", "Outperforming")</f>
        <v>Outperforming</v>
      </c>
      <c r="N3008">
        <f>IF(Table4[[#This Row],[Performance_Ratio]] &lt; 0.85, Table4[[#This Row],[Performance_Deviation]] * 50 / 1000, 0)</f>
        <v>0</v>
      </c>
    </row>
    <row r="3009" spans="1:14" x14ac:dyDescent="0.3">
      <c r="A3009" s="6" t="s">
        <v>10</v>
      </c>
      <c r="B3009" s="5">
        <v>45293.291666666664</v>
      </c>
      <c r="C3009" s="6">
        <v>344.14131319222997</v>
      </c>
      <c r="D3009" s="6">
        <v>325.64053279286998</v>
      </c>
      <c r="E3009" s="6">
        <v>325.64053279286998</v>
      </c>
      <c r="F3009" s="6">
        <v>59.106653176124198</v>
      </c>
      <c r="G3009" s="6" t="str">
        <f t="shared" si="92"/>
        <v>OK</v>
      </c>
      <c r="H3009" s="6" t="str">
        <f t="shared" si="93"/>
        <v>NON-ZERO</v>
      </c>
      <c r="I3009">
        <v>310.58285412302399</v>
      </c>
      <c r="J3009">
        <f>IFERROR(Table4[[#This Row],[energy_kwh]]/Table4[[#This Row],[expected_kwh]],0)</f>
        <v>1.0484820023705543</v>
      </c>
      <c r="K3009" t="str">
        <f>IF(Table4[[#This Row],[Performance_Ratio]] &lt; 0.85, "Underperforming", "Performing")</f>
        <v>Performing</v>
      </c>
      <c r="L3009">
        <f>Table4[[#This Row],[energy_kwh]] - Table4[[#This Row],[expected_kwh]]</f>
        <v>15.057678669845984</v>
      </c>
      <c r="M3009" t="str">
        <f>IF(Table4[[#This Row],[Performance_Deviation]] &lt; 0, "Underperforming", "Outperforming")</f>
        <v>Outperforming</v>
      </c>
      <c r="N3009">
        <f>IF(Table4[[#This Row],[Performance_Ratio]] &lt; 0.85, Table4[[#This Row],[Performance_Deviation]] * 50 / 1000, 0)</f>
        <v>0</v>
      </c>
    </row>
    <row r="3010" spans="1:14" x14ac:dyDescent="0.3">
      <c r="A3010" s="4" t="s">
        <v>10</v>
      </c>
      <c r="B3010" s="3">
        <v>45293.333333333336</v>
      </c>
      <c r="C3010" s="4">
        <v>542.24927675266304</v>
      </c>
      <c r="D3010" s="4">
        <v>513.09835994509695</v>
      </c>
      <c r="E3010" s="4">
        <v>513.09835994509695</v>
      </c>
      <c r="F3010" s="4">
        <v>69.890307761079995</v>
      </c>
      <c r="G3010" s="4" t="str">
        <f t="shared" ref="G3010:G3073" si="94">IF(D3010 &gt; C3010, "ERROR", "OK")</f>
        <v>OK</v>
      </c>
      <c r="H3010" s="4" t="str">
        <f t="shared" ref="H3010:H3073" si="95">IF(E3010=0,"ZERO","NON-ZERO")</f>
        <v>NON-ZERO</v>
      </c>
      <c r="I3010">
        <v>600</v>
      </c>
      <c r="J3010">
        <f>IFERROR(Table4[[#This Row],[energy_kwh]]/Table4[[#This Row],[expected_kwh]],0)</f>
        <v>0.85516393324182827</v>
      </c>
      <c r="K3010" t="str">
        <f>IF(Table4[[#This Row],[Performance_Ratio]] &lt; 0.85, "Underperforming", "Performing")</f>
        <v>Performing</v>
      </c>
      <c r="L3010">
        <f>Table4[[#This Row],[energy_kwh]] - Table4[[#This Row],[expected_kwh]]</f>
        <v>-86.901640054903055</v>
      </c>
      <c r="M3010" t="str">
        <f>IF(Table4[[#This Row],[Performance_Deviation]] &lt; 0, "Underperforming", "Outperforming")</f>
        <v>Underperforming</v>
      </c>
      <c r="N3010">
        <f>IF(Table4[[#This Row],[Performance_Ratio]] &lt; 0.85, Table4[[#This Row],[Performance_Deviation]] * 50 / 1000, 0)</f>
        <v>0</v>
      </c>
    </row>
    <row r="3011" spans="1:14" x14ac:dyDescent="0.3">
      <c r="A3011" s="6" t="s">
        <v>10</v>
      </c>
      <c r="B3011" s="5">
        <v>45293.375</v>
      </c>
      <c r="C3011" s="6">
        <v>874.57978674405604</v>
      </c>
      <c r="D3011" s="6">
        <v>827.56302951086298</v>
      </c>
      <c r="E3011" s="6">
        <v>827.56302951086298</v>
      </c>
      <c r="F3011" s="6">
        <v>47.838059051683402</v>
      </c>
      <c r="G3011" s="6" t="str">
        <f t="shared" si="94"/>
        <v>OK</v>
      </c>
      <c r="H3011" s="6" t="str">
        <f t="shared" si="95"/>
        <v>NON-ZERO</v>
      </c>
      <c r="I3011">
        <v>848.52813742385695</v>
      </c>
      <c r="J3011">
        <f>IFERROR(Table4[[#This Row],[energy_kwh]]/Table4[[#This Row],[expected_kwh]],0)</f>
        <v>0.97529238337735702</v>
      </c>
      <c r="K3011" t="str">
        <f>IF(Table4[[#This Row],[Performance_Ratio]] &lt; 0.85, "Underperforming", "Performing")</f>
        <v>Performing</v>
      </c>
      <c r="L3011">
        <f>Table4[[#This Row],[energy_kwh]] - Table4[[#This Row],[expected_kwh]]</f>
        <v>-20.965107912993972</v>
      </c>
      <c r="M3011" t="str">
        <f>IF(Table4[[#This Row],[Performance_Deviation]] &lt; 0, "Underperforming", "Outperforming")</f>
        <v>Underperforming</v>
      </c>
      <c r="N3011">
        <f>IF(Table4[[#This Row],[Performance_Ratio]] &lt; 0.85, Table4[[#This Row],[Performance_Deviation]] * 50 / 1000, 0)</f>
        <v>0</v>
      </c>
    </row>
    <row r="3012" spans="1:14" x14ac:dyDescent="0.3">
      <c r="A3012" s="4" t="s">
        <v>10</v>
      </c>
      <c r="B3012" s="3">
        <v>45293.416666666664</v>
      </c>
      <c r="C3012" s="4">
        <v>1132.7434658689599</v>
      </c>
      <c r="D3012" s="4">
        <v>1071.8480217374199</v>
      </c>
      <c r="E3012" s="4">
        <v>1071.8480217374199</v>
      </c>
      <c r="F3012" s="4">
        <v>35.394314730220202</v>
      </c>
      <c r="G3012" s="4" t="str">
        <f t="shared" si="94"/>
        <v>OK</v>
      </c>
      <c r="H3012" s="4" t="str">
        <f t="shared" si="95"/>
        <v>NON-ZERO</v>
      </c>
      <c r="I3012">
        <v>1039.23048454132</v>
      </c>
      <c r="J3012">
        <f>IFERROR(Table4[[#This Row],[energy_kwh]]/Table4[[#This Row],[expected_kwh]],0)</f>
        <v>1.0313862398007849</v>
      </c>
      <c r="K3012" t="str">
        <f>IF(Table4[[#This Row],[Performance_Ratio]] &lt; 0.85, "Underperforming", "Performing")</f>
        <v>Performing</v>
      </c>
      <c r="L3012">
        <f>Table4[[#This Row],[energy_kwh]] - Table4[[#This Row],[expected_kwh]]</f>
        <v>32.617537196099875</v>
      </c>
      <c r="M3012" t="str">
        <f>IF(Table4[[#This Row],[Performance_Deviation]] &lt; 0, "Underperforming", "Outperforming")</f>
        <v>Outperforming</v>
      </c>
      <c r="N3012">
        <f>IF(Table4[[#This Row],[Performance_Ratio]] &lt; 0.85, Table4[[#This Row],[Performance_Deviation]] * 50 / 1000, 0)</f>
        <v>0</v>
      </c>
    </row>
    <row r="3013" spans="1:14" x14ac:dyDescent="0.3">
      <c r="A3013" s="6" t="s">
        <v>10</v>
      </c>
      <c r="B3013" s="5">
        <v>45293.458333333336</v>
      </c>
      <c r="C3013" s="6">
        <v>1015.60538481905</v>
      </c>
      <c r="D3013" s="6">
        <v>961.00719658453204</v>
      </c>
      <c r="E3013" s="6">
        <v>961.00719658453204</v>
      </c>
      <c r="F3013" s="6">
        <v>61.473168951307898</v>
      </c>
      <c r="G3013" s="6" t="str">
        <f t="shared" si="94"/>
        <v>OK</v>
      </c>
      <c r="H3013" s="6" t="str">
        <f t="shared" si="95"/>
        <v>NON-ZERO</v>
      </c>
      <c r="I3013">
        <v>1159.1109915468801</v>
      </c>
      <c r="J3013">
        <f>IFERROR(Table4[[#This Row],[energy_kwh]]/Table4[[#This Row],[expected_kwh]],0)</f>
        <v>0.82908988318886478</v>
      </c>
      <c r="K3013" t="str">
        <f>IF(Table4[[#This Row],[Performance_Ratio]] &lt; 0.85, "Underperforming", "Performing")</f>
        <v>Underperforming</v>
      </c>
      <c r="L3013">
        <f>Table4[[#This Row],[energy_kwh]] - Table4[[#This Row],[expected_kwh]]</f>
        <v>-198.10379496234805</v>
      </c>
      <c r="M3013" t="str">
        <f>IF(Table4[[#This Row],[Performance_Deviation]] &lt; 0, "Underperforming", "Outperforming")</f>
        <v>Underperforming</v>
      </c>
      <c r="N3013">
        <f>IF(Table4[[#This Row],[Performance_Ratio]] &lt; 0.85, Table4[[#This Row],[Performance_Deviation]] * 50 / 1000, 0)</f>
        <v>-9.9051897481174027</v>
      </c>
    </row>
    <row r="3014" spans="1:14" x14ac:dyDescent="0.3">
      <c r="A3014" s="4" t="s">
        <v>10</v>
      </c>
      <c r="B3014" s="3">
        <v>45293.5</v>
      </c>
      <c r="C3014" s="4">
        <v>1054.6756167783701</v>
      </c>
      <c r="D3014" s="4">
        <v>997.97704200517001</v>
      </c>
      <c r="E3014" s="4">
        <v>997.97704200517001</v>
      </c>
      <c r="F3014" s="4">
        <v>43.313461663804397</v>
      </c>
      <c r="G3014" s="4" t="str">
        <f t="shared" si="94"/>
        <v>OK</v>
      </c>
      <c r="H3014" s="4" t="str">
        <f t="shared" si="95"/>
        <v>NON-ZERO</v>
      </c>
      <c r="I3014">
        <v>1200</v>
      </c>
      <c r="J3014">
        <f>IFERROR(Table4[[#This Row],[energy_kwh]]/Table4[[#This Row],[expected_kwh]],0)</f>
        <v>0.83164753500430832</v>
      </c>
      <c r="K3014" t="str">
        <f>IF(Table4[[#This Row],[Performance_Ratio]] &lt; 0.85, "Underperforming", "Performing")</f>
        <v>Underperforming</v>
      </c>
      <c r="L3014">
        <f>Table4[[#This Row],[energy_kwh]] - Table4[[#This Row],[expected_kwh]]</f>
        <v>-202.02295799482999</v>
      </c>
      <c r="M3014" t="str">
        <f>IF(Table4[[#This Row],[Performance_Deviation]] &lt; 0, "Underperforming", "Outperforming")</f>
        <v>Underperforming</v>
      </c>
      <c r="N3014">
        <f>IF(Table4[[#This Row],[Performance_Ratio]] &lt; 0.85, Table4[[#This Row],[Performance_Deviation]] * 50 / 1000, 0)</f>
        <v>-10.1011478997415</v>
      </c>
    </row>
    <row r="3015" spans="1:14" x14ac:dyDescent="0.3">
      <c r="A3015" s="6" t="s">
        <v>10</v>
      </c>
      <c r="B3015" s="5">
        <v>45293.541666666664</v>
      </c>
      <c r="C3015" s="6">
        <v>1098.71346227345</v>
      </c>
      <c r="D3015" s="6">
        <v>1039.6474457618301</v>
      </c>
      <c r="E3015" s="6">
        <v>1039.6474457618301</v>
      </c>
      <c r="F3015" s="6">
        <v>69.494322144429503</v>
      </c>
      <c r="G3015" s="6" t="str">
        <f t="shared" si="94"/>
        <v>OK</v>
      </c>
      <c r="H3015" s="6" t="str">
        <f t="shared" si="95"/>
        <v>NON-ZERO</v>
      </c>
      <c r="I3015">
        <v>1159.1109915468801</v>
      </c>
      <c r="J3015">
        <f>IFERROR(Table4[[#This Row],[energy_kwh]]/Table4[[#This Row],[expected_kwh]],0)</f>
        <v>0.89693519718450687</v>
      </c>
      <c r="K3015" t="str">
        <f>IF(Table4[[#This Row],[Performance_Ratio]] &lt; 0.85, "Underperforming", "Performing")</f>
        <v>Performing</v>
      </c>
      <c r="L3015">
        <f>Table4[[#This Row],[energy_kwh]] - Table4[[#This Row],[expected_kwh]]</f>
        <v>-119.46354578504997</v>
      </c>
      <c r="M3015" t="str">
        <f>IF(Table4[[#This Row],[Performance_Deviation]] &lt; 0, "Underperforming", "Outperforming")</f>
        <v>Underperforming</v>
      </c>
      <c r="N3015">
        <f>IF(Table4[[#This Row],[Performance_Ratio]] &lt; 0.85, Table4[[#This Row],[Performance_Deviation]] * 50 / 1000, 0)</f>
        <v>0</v>
      </c>
    </row>
    <row r="3016" spans="1:14" x14ac:dyDescent="0.3">
      <c r="A3016" s="4" t="s">
        <v>10</v>
      </c>
      <c r="B3016" s="3">
        <v>45293.583333333336</v>
      </c>
      <c r="C3016" s="4">
        <v>894.67546809314899</v>
      </c>
      <c r="D3016" s="4">
        <v>846.57838201432401</v>
      </c>
      <c r="E3016" s="4">
        <v>846.57838201432401</v>
      </c>
      <c r="F3016" s="4">
        <v>28.0194201835433</v>
      </c>
      <c r="G3016" s="4" t="str">
        <f t="shared" si="94"/>
        <v>OK</v>
      </c>
      <c r="H3016" s="4" t="str">
        <f t="shared" si="95"/>
        <v>NON-ZERO</v>
      </c>
      <c r="I3016">
        <v>1039.23048454132</v>
      </c>
      <c r="J3016">
        <f>IFERROR(Table4[[#This Row],[energy_kwh]]/Table4[[#This Row],[expected_kwh]],0)</f>
        <v>0.81462042791015132</v>
      </c>
      <c r="K3016" t="str">
        <f>IF(Table4[[#This Row],[Performance_Ratio]] &lt; 0.85, "Underperforming", "Performing")</f>
        <v>Underperforming</v>
      </c>
      <c r="L3016">
        <f>Table4[[#This Row],[energy_kwh]] - Table4[[#This Row],[expected_kwh]]</f>
        <v>-192.65210252699603</v>
      </c>
      <c r="M3016" t="str">
        <f>IF(Table4[[#This Row],[Performance_Deviation]] &lt; 0, "Underperforming", "Outperforming")</f>
        <v>Underperforming</v>
      </c>
      <c r="N3016">
        <f>IF(Table4[[#This Row],[Performance_Ratio]] &lt; 0.85, Table4[[#This Row],[Performance_Deviation]] * 50 / 1000, 0)</f>
        <v>-9.6326051263498016</v>
      </c>
    </row>
    <row r="3017" spans="1:14" x14ac:dyDescent="0.3">
      <c r="A3017" s="6" t="s">
        <v>10</v>
      </c>
      <c r="B3017" s="5">
        <v>45293.625</v>
      </c>
      <c r="C3017" s="6">
        <v>810.11287110829699</v>
      </c>
      <c r="D3017" s="6">
        <v>766.56180719200802</v>
      </c>
      <c r="E3017" s="6">
        <v>766.56180719200802</v>
      </c>
      <c r="F3017" s="6">
        <v>86.546825133299706</v>
      </c>
      <c r="G3017" s="6" t="str">
        <f t="shared" si="94"/>
        <v>OK</v>
      </c>
      <c r="H3017" s="6" t="str">
        <f t="shared" si="95"/>
        <v>NON-ZERO</v>
      </c>
      <c r="I3017">
        <v>848.52813742385695</v>
      </c>
      <c r="J3017">
        <f>IFERROR(Table4[[#This Row],[energy_kwh]]/Table4[[#This Row],[expected_kwh]],0)</f>
        <v>0.90340175344013951</v>
      </c>
      <c r="K3017" t="str">
        <f>IF(Table4[[#This Row],[Performance_Ratio]] &lt; 0.85, "Underperforming", "Performing")</f>
        <v>Performing</v>
      </c>
      <c r="L3017">
        <f>Table4[[#This Row],[energy_kwh]] - Table4[[#This Row],[expected_kwh]]</f>
        <v>-81.966330231848929</v>
      </c>
      <c r="M3017" t="str">
        <f>IF(Table4[[#This Row],[Performance_Deviation]] &lt; 0, "Underperforming", "Outperforming")</f>
        <v>Underperforming</v>
      </c>
      <c r="N3017">
        <f>IF(Table4[[#This Row],[Performance_Ratio]] &lt; 0.85, Table4[[#This Row],[Performance_Deviation]] * 50 / 1000, 0)</f>
        <v>0</v>
      </c>
    </row>
    <row r="3018" spans="1:14" x14ac:dyDescent="0.3">
      <c r="A3018" s="4" t="s">
        <v>10</v>
      </c>
      <c r="B3018" s="3">
        <v>45293.666666666664</v>
      </c>
      <c r="C3018" s="4">
        <v>631.09948048556396</v>
      </c>
      <c r="D3018" s="4">
        <v>597.17204297360195</v>
      </c>
      <c r="E3018" s="4">
        <v>597.17204297360195</v>
      </c>
      <c r="F3018" s="4">
        <v>86.757910508202798</v>
      </c>
      <c r="G3018" s="4" t="str">
        <f t="shared" si="94"/>
        <v>OK</v>
      </c>
      <c r="H3018" s="4" t="str">
        <f t="shared" si="95"/>
        <v>NON-ZERO</v>
      </c>
      <c r="I3018">
        <v>600</v>
      </c>
      <c r="J3018">
        <f>IFERROR(Table4[[#This Row],[energy_kwh]]/Table4[[#This Row],[expected_kwh]],0)</f>
        <v>0.99528673828933656</v>
      </c>
      <c r="K3018" t="str">
        <f>IF(Table4[[#This Row],[Performance_Ratio]] &lt; 0.85, "Underperforming", "Performing")</f>
        <v>Performing</v>
      </c>
      <c r="L3018">
        <f>Table4[[#This Row],[energy_kwh]] - Table4[[#This Row],[expected_kwh]]</f>
        <v>-2.8279570263980531</v>
      </c>
      <c r="M3018" t="str">
        <f>IF(Table4[[#This Row],[Performance_Deviation]] &lt; 0, "Underperforming", "Outperforming")</f>
        <v>Underperforming</v>
      </c>
      <c r="N3018">
        <f>IF(Table4[[#This Row],[Performance_Ratio]] &lt; 0.85, Table4[[#This Row],[Performance_Deviation]] * 50 / 1000, 0)</f>
        <v>0</v>
      </c>
    </row>
    <row r="3019" spans="1:14" x14ac:dyDescent="0.3">
      <c r="A3019" s="6" t="s">
        <v>10</v>
      </c>
      <c r="B3019" s="5">
        <v>45293.708333333336</v>
      </c>
      <c r="C3019" s="6">
        <v>335.94296294666498</v>
      </c>
      <c r="D3019" s="6">
        <v>317.88291974367098</v>
      </c>
      <c r="E3019" s="6">
        <v>317.88291974367098</v>
      </c>
      <c r="F3019" s="6">
        <v>94.711012320000293</v>
      </c>
      <c r="G3019" s="6" t="str">
        <f t="shared" si="94"/>
        <v>OK</v>
      </c>
      <c r="H3019" s="6" t="str">
        <f t="shared" si="95"/>
        <v>NON-ZERO</v>
      </c>
      <c r="I3019">
        <v>310.58285412302502</v>
      </c>
      <c r="J3019">
        <f>IFERROR(Table4[[#This Row],[energy_kwh]]/Table4[[#This Row],[expected_kwh]],0)</f>
        <v>1.0235044063886229</v>
      </c>
      <c r="K3019" t="str">
        <f>IF(Table4[[#This Row],[Performance_Ratio]] &lt; 0.85, "Underperforming", "Performing")</f>
        <v>Performing</v>
      </c>
      <c r="L3019">
        <f>Table4[[#This Row],[energy_kwh]] - Table4[[#This Row],[expected_kwh]]</f>
        <v>7.3000656206459666</v>
      </c>
      <c r="M3019" t="str">
        <f>IF(Table4[[#This Row],[Performance_Deviation]] &lt; 0, "Underperforming", "Outperforming")</f>
        <v>Outperforming</v>
      </c>
      <c r="N3019">
        <f>IF(Table4[[#This Row],[Performance_Ratio]] &lt; 0.85, Table4[[#This Row],[Performance_Deviation]] * 50 / 1000, 0)</f>
        <v>0</v>
      </c>
    </row>
    <row r="3020" spans="1:14" x14ac:dyDescent="0.3">
      <c r="A3020" s="4" t="s">
        <v>10</v>
      </c>
      <c r="B3020" s="3">
        <v>45293.75</v>
      </c>
      <c r="C3020" s="7">
        <v>1.14477018448415E-13</v>
      </c>
      <c r="D3020" s="7">
        <v>1.08322819292719E-13</v>
      </c>
      <c r="E3020" s="7">
        <v>1.08322819292719E-13</v>
      </c>
      <c r="F3020" s="4">
        <v>57.984583907530897</v>
      </c>
      <c r="G3020" s="4" t="str">
        <f t="shared" si="94"/>
        <v>OK</v>
      </c>
      <c r="H3020" s="4" t="str">
        <f t="shared" si="95"/>
        <v>NON-ZERO</v>
      </c>
      <c r="I3020" s="2">
        <v>1.46957615897682E-13</v>
      </c>
      <c r="J3020">
        <f>IFERROR(Table4[[#This Row],[energy_kwh]]/Table4[[#This Row],[expected_kwh]],0)</f>
        <v>0.73710245386763651</v>
      </c>
      <c r="K3020" t="str">
        <f>IF(Table4[[#This Row],[Performance_Ratio]] &lt; 0.85, "Underperforming", "Performing")</f>
        <v>Underperforming</v>
      </c>
      <c r="L3020">
        <f>Table4[[#This Row],[energy_kwh]] - Table4[[#This Row],[expected_kwh]]</f>
        <v>-3.8634796604963004E-14</v>
      </c>
      <c r="M3020" t="str">
        <f>IF(Table4[[#This Row],[Performance_Deviation]] &lt; 0, "Underperforming", "Outperforming")</f>
        <v>Underperforming</v>
      </c>
      <c r="N3020">
        <f>IF(Table4[[#This Row],[Performance_Ratio]] &lt; 0.85, Table4[[#This Row],[Performance_Deviation]] * 50 / 1000, 0)</f>
        <v>-1.9317398302481501E-15</v>
      </c>
    </row>
    <row r="3021" spans="1:14" x14ac:dyDescent="0.3">
      <c r="A3021" s="6" t="s">
        <v>10</v>
      </c>
      <c r="B3021" s="5">
        <v>45293.791666666664</v>
      </c>
      <c r="C3021" s="6">
        <v>0</v>
      </c>
      <c r="D3021" s="6">
        <v>0</v>
      </c>
      <c r="E3021" s="6">
        <v>0</v>
      </c>
      <c r="F3021" s="6">
        <v>51.979242107706803</v>
      </c>
      <c r="G3021" s="6" t="str">
        <f t="shared" si="94"/>
        <v>OK</v>
      </c>
      <c r="H3021" s="6" t="str">
        <f t="shared" si="95"/>
        <v>ZERO</v>
      </c>
      <c r="I3021">
        <v>0</v>
      </c>
      <c r="J3021">
        <f>IFERROR(Table4[[#This Row],[energy_kwh]]/Table4[[#This Row],[expected_kwh]],0)</f>
        <v>0</v>
      </c>
      <c r="K3021" t="str">
        <f>IF(Table4[[#This Row],[Performance_Ratio]] &lt; 0.85, "Underperforming", "Performing")</f>
        <v>Underperforming</v>
      </c>
      <c r="L3021">
        <f>Table4[[#This Row],[energy_kwh]] - Table4[[#This Row],[expected_kwh]]</f>
        <v>0</v>
      </c>
      <c r="M3021" t="str">
        <f>IF(Table4[[#This Row],[Performance_Deviation]] &lt; 0, "Underperforming", "Outperforming")</f>
        <v>Outperforming</v>
      </c>
      <c r="N3021">
        <f>IF(Table4[[#This Row],[Performance_Ratio]] &lt; 0.85, Table4[[#This Row],[Performance_Deviation]] * 50 / 1000, 0)</f>
        <v>0</v>
      </c>
    </row>
    <row r="3022" spans="1:14" x14ac:dyDescent="0.3">
      <c r="A3022" s="4" t="s">
        <v>10</v>
      </c>
      <c r="B3022" s="3">
        <v>45293.833333333336</v>
      </c>
      <c r="C3022" s="4">
        <v>0</v>
      </c>
      <c r="D3022" s="4">
        <v>0</v>
      </c>
      <c r="E3022" s="4">
        <v>0</v>
      </c>
      <c r="F3022" s="4">
        <v>58.958957488816701</v>
      </c>
      <c r="G3022" s="4" t="str">
        <f t="shared" si="94"/>
        <v>OK</v>
      </c>
      <c r="H3022" s="4" t="str">
        <f t="shared" si="95"/>
        <v>ZERO</v>
      </c>
      <c r="I3022">
        <v>0</v>
      </c>
      <c r="J3022">
        <f>IFERROR(Table4[[#This Row],[energy_kwh]]/Table4[[#This Row],[expected_kwh]],0)</f>
        <v>0</v>
      </c>
      <c r="K3022" t="str">
        <f>IF(Table4[[#This Row],[Performance_Ratio]] &lt; 0.85, "Underperforming", "Performing")</f>
        <v>Underperforming</v>
      </c>
      <c r="L3022">
        <f>Table4[[#This Row],[energy_kwh]] - Table4[[#This Row],[expected_kwh]]</f>
        <v>0</v>
      </c>
      <c r="M3022" t="str">
        <f>IF(Table4[[#This Row],[Performance_Deviation]] &lt; 0, "Underperforming", "Outperforming")</f>
        <v>Outperforming</v>
      </c>
      <c r="N3022">
        <f>IF(Table4[[#This Row],[Performance_Ratio]] &lt; 0.85, Table4[[#This Row],[Performance_Deviation]] * 50 / 1000, 0)</f>
        <v>0</v>
      </c>
    </row>
    <row r="3023" spans="1:14" x14ac:dyDescent="0.3">
      <c r="A3023" s="6" t="s">
        <v>10</v>
      </c>
      <c r="B3023" s="5">
        <v>45293.875</v>
      </c>
      <c r="C3023" s="6">
        <v>0</v>
      </c>
      <c r="D3023" s="6">
        <v>0</v>
      </c>
      <c r="E3023" s="6">
        <v>0</v>
      </c>
      <c r="F3023" s="6">
        <v>53.907665432323498</v>
      </c>
      <c r="G3023" s="6" t="str">
        <f t="shared" si="94"/>
        <v>OK</v>
      </c>
      <c r="H3023" s="6" t="str">
        <f t="shared" si="95"/>
        <v>ZERO</v>
      </c>
      <c r="I3023">
        <v>0</v>
      </c>
      <c r="J3023">
        <f>IFERROR(Table4[[#This Row],[energy_kwh]]/Table4[[#This Row],[expected_kwh]],0)</f>
        <v>0</v>
      </c>
      <c r="K3023" t="str">
        <f>IF(Table4[[#This Row],[Performance_Ratio]] &lt; 0.85, "Underperforming", "Performing")</f>
        <v>Underperforming</v>
      </c>
      <c r="L3023">
        <f>Table4[[#This Row],[energy_kwh]] - Table4[[#This Row],[expected_kwh]]</f>
        <v>0</v>
      </c>
      <c r="M3023" t="str">
        <f>IF(Table4[[#This Row],[Performance_Deviation]] &lt; 0, "Underperforming", "Outperforming")</f>
        <v>Outperforming</v>
      </c>
      <c r="N3023">
        <f>IF(Table4[[#This Row],[Performance_Ratio]] &lt; 0.85, Table4[[#This Row],[Performance_Deviation]] * 50 / 1000, 0)</f>
        <v>0</v>
      </c>
    </row>
    <row r="3024" spans="1:14" x14ac:dyDescent="0.3">
      <c r="A3024" s="4" t="s">
        <v>10</v>
      </c>
      <c r="B3024" s="3">
        <v>45293.916666666664</v>
      </c>
      <c r="C3024" s="4">
        <v>0</v>
      </c>
      <c r="D3024" s="4">
        <v>0</v>
      </c>
      <c r="E3024" s="4">
        <v>0</v>
      </c>
      <c r="F3024" s="4">
        <v>73.829169105761807</v>
      </c>
      <c r="G3024" s="4" t="str">
        <f t="shared" si="94"/>
        <v>OK</v>
      </c>
      <c r="H3024" s="4" t="str">
        <f t="shared" si="95"/>
        <v>ZERO</v>
      </c>
      <c r="I3024">
        <v>0</v>
      </c>
      <c r="J3024">
        <f>IFERROR(Table4[[#This Row],[energy_kwh]]/Table4[[#This Row],[expected_kwh]],0)</f>
        <v>0</v>
      </c>
      <c r="K3024" t="str">
        <f>IF(Table4[[#This Row],[Performance_Ratio]] &lt; 0.85, "Underperforming", "Performing")</f>
        <v>Underperforming</v>
      </c>
      <c r="L3024">
        <f>Table4[[#This Row],[energy_kwh]] - Table4[[#This Row],[expected_kwh]]</f>
        <v>0</v>
      </c>
      <c r="M3024" t="str">
        <f>IF(Table4[[#This Row],[Performance_Deviation]] &lt; 0, "Underperforming", "Outperforming")</f>
        <v>Outperforming</v>
      </c>
      <c r="N3024">
        <f>IF(Table4[[#This Row],[Performance_Ratio]] &lt; 0.85, Table4[[#This Row],[Performance_Deviation]] * 50 / 1000, 0)</f>
        <v>0</v>
      </c>
    </row>
    <row r="3025" spans="1:14" x14ac:dyDescent="0.3">
      <c r="A3025" s="6" t="s">
        <v>10</v>
      </c>
      <c r="B3025" s="5">
        <v>45293.958333333336</v>
      </c>
      <c r="C3025" s="6">
        <v>0</v>
      </c>
      <c r="D3025" s="6">
        <v>0</v>
      </c>
      <c r="E3025" s="6">
        <v>0</v>
      </c>
      <c r="F3025" s="6">
        <v>32.741215637061799</v>
      </c>
      <c r="G3025" s="6" t="str">
        <f t="shared" si="94"/>
        <v>OK</v>
      </c>
      <c r="H3025" s="6" t="str">
        <f t="shared" si="95"/>
        <v>ZERO</v>
      </c>
      <c r="I3025">
        <v>0</v>
      </c>
      <c r="J3025">
        <f>IFERROR(Table4[[#This Row],[energy_kwh]]/Table4[[#This Row],[expected_kwh]],0)</f>
        <v>0</v>
      </c>
      <c r="K3025" t="str">
        <f>IF(Table4[[#This Row],[Performance_Ratio]] &lt; 0.85, "Underperforming", "Performing")</f>
        <v>Underperforming</v>
      </c>
      <c r="L3025">
        <f>Table4[[#This Row],[energy_kwh]] - Table4[[#This Row],[expected_kwh]]</f>
        <v>0</v>
      </c>
      <c r="M3025" t="str">
        <f>IF(Table4[[#This Row],[Performance_Deviation]] &lt; 0, "Underperforming", "Outperforming")</f>
        <v>Outperforming</v>
      </c>
      <c r="N3025">
        <f>IF(Table4[[#This Row],[Performance_Ratio]] &lt; 0.85, Table4[[#This Row],[Performance_Deviation]] * 50 / 1000, 0)</f>
        <v>0</v>
      </c>
    </row>
    <row r="3026" spans="1:14" x14ac:dyDescent="0.3">
      <c r="A3026" s="4" t="s">
        <v>10</v>
      </c>
      <c r="B3026" s="3">
        <v>45294</v>
      </c>
      <c r="C3026" s="4">
        <v>0</v>
      </c>
      <c r="D3026" s="4">
        <v>0</v>
      </c>
      <c r="E3026" s="4">
        <v>0</v>
      </c>
      <c r="F3026" s="4">
        <v>76.676133278713905</v>
      </c>
      <c r="G3026" s="4" t="str">
        <f t="shared" si="94"/>
        <v>OK</v>
      </c>
      <c r="H3026" s="4" t="str">
        <f t="shared" si="95"/>
        <v>ZERO</v>
      </c>
      <c r="I3026">
        <v>0</v>
      </c>
      <c r="J3026">
        <f>IFERROR(Table4[[#This Row],[energy_kwh]]/Table4[[#This Row],[expected_kwh]],0)</f>
        <v>0</v>
      </c>
      <c r="K3026" t="str">
        <f>IF(Table4[[#This Row],[Performance_Ratio]] &lt; 0.85, "Underperforming", "Performing")</f>
        <v>Underperforming</v>
      </c>
      <c r="L3026">
        <f>Table4[[#This Row],[energy_kwh]] - Table4[[#This Row],[expected_kwh]]</f>
        <v>0</v>
      </c>
      <c r="M3026" t="str">
        <f>IF(Table4[[#This Row],[Performance_Deviation]] &lt; 0, "Underperforming", "Outperforming")</f>
        <v>Outperforming</v>
      </c>
      <c r="N3026">
        <f>IF(Table4[[#This Row],[Performance_Ratio]] &lt; 0.85, Table4[[#This Row],[Performance_Deviation]] * 50 / 1000, 0)</f>
        <v>0</v>
      </c>
    </row>
    <row r="3027" spans="1:14" x14ac:dyDescent="0.3">
      <c r="A3027" s="6" t="s">
        <v>10</v>
      </c>
      <c r="B3027" s="5">
        <v>45294.041666666664</v>
      </c>
      <c r="C3027" s="6">
        <v>0</v>
      </c>
      <c r="D3027" s="6">
        <v>0</v>
      </c>
      <c r="E3027" s="6">
        <v>0</v>
      </c>
      <c r="F3027" s="6">
        <v>59.593237095794301</v>
      </c>
      <c r="G3027" s="6" t="str">
        <f t="shared" si="94"/>
        <v>OK</v>
      </c>
      <c r="H3027" s="6" t="str">
        <f t="shared" si="95"/>
        <v>ZERO</v>
      </c>
      <c r="I3027">
        <v>0</v>
      </c>
      <c r="J3027">
        <f>IFERROR(Table4[[#This Row],[energy_kwh]]/Table4[[#This Row],[expected_kwh]],0)</f>
        <v>0</v>
      </c>
      <c r="K3027" t="str">
        <f>IF(Table4[[#This Row],[Performance_Ratio]] &lt; 0.85, "Underperforming", "Performing")</f>
        <v>Underperforming</v>
      </c>
      <c r="L3027">
        <f>Table4[[#This Row],[energy_kwh]] - Table4[[#This Row],[expected_kwh]]</f>
        <v>0</v>
      </c>
      <c r="M3027" t="str">
        <f>IF(Table4[[#This Row],[Performance_Deviation]] &lt; 0, "Underperforming", "Outperforming")</f>
        <v>Outperforming</v>
      </c>
      <c r="N3027">
        <f>IF(Table4[[#This Row],[Performance_Ratio]] &lt; 0.85, Table4[[#This Row],[Performance_Deviation]] * 50 / 1000, 0)</f>
        <v>0</v>
      </c>
    </row>
    <row r="3028" spans="1:14" x14ac:dyDescent="0.3">
      <c r="A3028" s="4" t="s">
        <v>10</v>
      </c>
      <c r="B3028" s="3">
        <v>45294.083333333336</v>
      </c>
      <c r="C3028" s="4">
        <v>0</v>
      </c>
      <c r="D3028" s="4">
        <v>0</v>
      </c>
      <c r="E3028" s="4">
        <v>0</v>
      </c>
      <c r="F3028" s="4">
        <v>83.706670209116695</v>
      </c>
      <c r="G3028" s="4" t="str">
        <f t="shared" si="94"/>
        <v>OK</v>
      </c>
      <c r="H3028" s="4" t="str">
        <f t="shared" si="95"/>
        <v>ZERO</v>
      </c>
      <c r="I3028">
        <v>0</v>
      </c>
      <c r="J3028">
        <f>IFERROR(Table4[[#This Row],[energy_kwh]]/Table4[[#This Row],[expected_kwh]],0)</f>
        <v>0</v>
      </c>
      <c r="K3028" t="str">
        <f>IF(Table4[[#This Row],[Performance_Ratio]] &lt; 0.85, "Underperforming", "Performing")</f>
        <v>Underperforming</v>
      </c>
      <c r="L3028">
        <f>Table4[[#This Row],[energy_kwh]] - Table4[[#This Row],[expected_kwh]]</f>
        <v>0</v>
      </c>
      <c r="M3028" t="str">
        <f>IF(Table4[[#This Row],[Performance_Deviation]] &lt; 0, "Underperforming", "Outperforming")</f>
        <v>Outperforming</v>
      </c>
      <c r="N3028">
        <f>IF(Table4[[#This Row],[Performance_Ratio]] &lt; 0.85, Table4[[#This Row],[Performance_Deviation]] * 50 / 1000, 0)</f>
        <v>0</v>
      </c>
    </row>
    <row r="3029" spans="1:14" x14ac:dyDescent="0.3">
      <c r="A3029" s="6" t="s">
        <v>10</v>
      </c>
      <c r="B3029" s="5">
        <v>45294.125</v>
      </c>
      <c r="C3029" s="6">
        <v>0</v>
      </c>
      <c r="D3029" s="6">
        <v>0</v>
      </c>
      <c r="E3029" s="6">
        <v>0</v>
      </c>
      <c r="F3029" s="6">
        <v>51.557015583234502</v>
      </c>
      <c r="G3029" s="6" t="str">
        <f t="shared" si="94"/>
        <v>OK</v>
      </c>
      <c r="H3029" s="6" t="str">
        <f t="shared" si="95"/>
        <v>ZERO</v>
      </c>
      <c r="I3029">
        <v>0</v>
      </c>
      <c r="J3029">
        <f>IFERROR(Table4[[#This Row],[energy_kwh]]/Table4[[#This Row],[expected_kwh]],0)</f>
        <v>0</v>
      </c>
      <c r="K3029" t="str">
        <f>IF(Table4[[#This Row],[Performance_Ratio]] &lt; 0.85, "Underperforming", "Performing")</f>
        <v>Underperforming</v>
      </c>
      <c r="L3029">
        <f>Table4[[#This Row],[energy_kwh]] - Table4[[#This Row],[expected_kwh]]</f>
        <v>0</v>
      </c>
      <c r="M3029" t="str">
        <f>IF(Table4[[#This Row],[Performance_Deviation]] &lt; 0, "Underperforming", "Outperforming")</f>
        <v>Outperforming</v>
      </c>
      <c r="N3029">
        <f>IF(Table4[[#This Row],[Performance_Ratio]] &lt; 0.85, Table4[[#This Row],[Performance_Deviation]] * 50 / 1000, 0)</f>
        <v>0</v>
      </c>
    </row>
    <row r="3030" spans="1:14" x14ac:dyDescent="0.3">
      <c r="A3030" s="4" t="s">
        <v>10</v>
      </c>
      <c r="B3030" s="3">
        <v>45294.166666666664</v>
      </c>
      <c r="C3030" s="4">
        <v>0</v>
      </c>
      <c r="D3030" s="4">
        <v>0</v>
      </c>
      <c r="E3030" s="4">
        <v>0</v>
      </c>
      <c r="F3030" s="4">
        <v>22.072231685631099</v>
      </c>
      <c r="G3030" s="4" t="str">
        <f t="shared" si="94"/>
        <v>OK</v>
      </c>
      <c r="H3030" s="4" t="str">
        <f t="shared" si="95"/>
        <v>ZERO</v>
      </c>
      <c r="I3030">
        <v>0</v>
      </c>
      <c r="J3030">
        <f>IFERROR(Table4[[#This Row],[energy_kwh]]/Table4[[#This Row],[expected_kwh]],0)</f>
        <v>0</v>
      </c>
      <c r="K3030" t="str">
        <f>IF(Table4[[#This Row],[Performance_Ratio]] &lt; 0.85, "Underperforming", "Performing")</f>
        <v>Underperforming</v>
      </c>
      <c r="L3030">
        <f>Table4[[#This Row],[energy_kwh]] - Table4[[#This Row],[expected_kwh]]</f>
        <v>0</v>
      </c>
      <c r="M3030" t="str">
        <f>IF(Table4[[#This Row],[Performance_Deviation]] &lt; 0, "Underperforming", "Outperforming")</f>
        <v>Outperforming</v>
      </c>
      <c r="N3030">
        <f>IF(Table4[[#This Row],[Performance_Ratio]] &lt; 0.85, Table4[[#This Row],[Performance_Deviation]] * 50 / 1000, 0)</f>
        <v>0</v>
      </c>
    </row>
    <row r="3031" spans="1:14" x14ac:dyDescent="0.3">
      <c r="A3031" s="6" t="s">
        <v>10</v>
      </c>
      <c r="B3031" s="5">
        <v>45294.208333333336</v>
      </c>
      <c r="C3031" s="6">
        <v>0</v>
      </c>
      <c r="D3031" s="6">
        <v>0</v>
      </c>
      <c r="E3031" s="6">
        <v>0</v>
      </c>
      <c r="F3031" s="6">
        <v>24.557695129717999</v>
      </c>
      <c r="G3031" s="6" t="str">
        <f t="shared" si="94"/>
        <v>OK</v>
      </c>
      <c r="H3031" s="6" t="str">
        <f t="shared" si="95"/>
        <v>ZERO</v>
      </c>
      <c r="I3031">
        <v>0</v>
      </c>
      <c r="J3031">
        <f>IFERROR(Table4[[#This Row],[energy_kwh]]/Table4[[#This Row],[expected_kwh]],0)</f>
        <v>0</v>
      </c>
      <c r="K3031" t="str">
        <f>IF(Table4[[#This Row],[Performance_Ratio]] &lt; 0.85, "Underperforming", "Performing")</f>
        <v>Underperforming</v>
      </c>
      <c r="L3031">
        <f>Table4[[#This Row],[energy_kwh]] - Table4[[#This Row],[expected_kwh]]</f>
        <v>0</v>
      </c>
      <c r="M3031" t="str">
        <f>IF(Table4[[#This Row],[Performance_Deviation]] &lt; 0, "Underperforming", "Outperforming")</f>
        <v>Outperforming</v>
      </c>
      <c r="N3031">
        <f>IF(Table4[[#This Row],[Performance_Ratio]] &lt; 0.85, Table4[[#This Row],[Performance_Deviation]] * 50 / 1000, 0)</f>
        <v>0</v>
      </c>
    </row>
    <row r="3032" spans="1:14" x14ac:dyDescent="0.3">
      <c r="A3032" s="4" t="s">
        <v>10</v>
      </c>
      <c r="B3032" s="3">
        <v>45294.25</v>
      </c>
      <c r="C3032" s="4">
        <v>0</v>
      </c>
      <c r="D3032" s="4">
        <v>0</v>
      </c>
      <c r="E3032" s="4">
        <v>0</v>
      </c>
      <c r="F3032" s="4">
        <v>37.821591317031498</v>
      </c>
      <c r="G3032" s="4" t="str">
        <f t="shared" si="94"/>
        <v>OK</v>
      </c>
      <c r="H3032" s="4" t="str">
        <f t="shared" si="95"/>
        <v>ZERO</v>
      </c>
      <c r="I3032">
        <v>0</v>
      </c>
      <c r="J3032">
        <f>IFERROR(Table4[[#This Row],[energy_kwh]]/Table4[[#This Row],[expected_kwh]],0)</f>
        <v>0</v>
      </c>
      <c r="K3032" t="str">
        <f>IF(Table4[[#This Row],[Performance_Ratio]] &lt; 0.85, "Underperforming", "Performing")</f>
        <v>Underperforming</v>
      </c>
      <c r="L3032">
        <f>Table4[[#This Row],[energy_kwh]] - Table4[[#This Row],[expected_kwh]]</f>
        <v>0</v>
      </c>
      <c r="M3032" t="str">
        <f>IF(Table4[[#This Row],[Performance_Deviation]] &lt; 0, "Underperforming", "Outperforming")</f>
        <v>Outperforming</v>
      </c>
      <c r="N3032">
        <f>IF(Table4[[#This Row],[Performance_Ratio]] &lt; 0.85, Table4[[#This Row],[Performance_Deviation]] * 50 / 1000, 0)</f>
        <v>0</v>
      </c>
    </row>
    <row r="3033" spans="1:14" x14ac:dyDescent="0.3">
      <c r="A3033" s="6" t="s">
        <v>10</v>
      </c>
      <c r="B3033" s="5">
        <v>45294.291666666664</v>
      </c>
      <c r="C3033" s="6">
        <v>262.49579927864698</v>
      </c>
      <c r="D3033" s="6">
        <v>248.38422083094</v>
      </c>
      <c r="E3033" s="6">
        <v>248.38422083094</v>
      </c>
      <c r="F3033" s="6">
        <v>81.1255832737818</v>
      </c>
      <c r="G3033" s="6" t="str">
        <f t="shared" si="94"/>
        <v>OK</v>
      </c>
      <c r="H3033" s="6" t="str">
        <f t="shared" si="95"/>
        <v>NON-ZERO</v>
      </c>
      <c r="I3033">
        <v>310.58285412302399</v>
      </c>
      <c r="J3033">
        <f>IFERROR(Table4[[#This Row],[energy_kwh]]/Table4[[#This Row],[expected_kwh]],0)</f>
        <v>0.79973577914430949</v>
      </c>
      <c r="K3033" t="str">
        <f>IF(Table4[[#This Row],[Performance_Ratio]] &lt; 0.85, "Underperforming", "Performing")</f>
        <v>Underperforming</v>
      </c>
      <c r="L3033">
        <f>Table4[[#This Row],[energy_kwh]] - Table4[[#This Row],[expected_kwh]]</f>
        <v>-62.198633292083997</v>
      </c>
      <c r="M3033" t="str">
        <f>IF(Table4[[#This Row],[Performance_Deviation]] &lt; 0, "Underperforming", "Outperforming")</f>
        <v>Underperforming</v>
      </c>
      <c r="N3033">
        <f>IF(Table4[[#This Row],[Performance_Ratio]] &lt; 0.85, Table4[[#This Row],[Performance_Deviation]] * 50 / 1000, 0)</f>
        <v>-3.1099316646041997</v>
      </c>
    </row>
    <row r="3034" spans="1:14" x14ac:dyDescent="0.3">
      <c r="A3034" s="4" t="s">
        <v>10</v>
      </c>
      <c r="B3034" s="3">
        <v>45294.333333333336</v>
      </c>
      <c r="C3034" s="4">
        <v>556.65111723517896</v>
      </c>
      <c r="D3034" s="4">
        <v>526.72596822154003</v>
      </c>
      <c r="E3034" s="4">
        <v>526.72596822154003</v>
      </c>
      <c r="F3034" s="4">
        <v>74.589190103760998</v>
      </c>
      <c r="G3034" s="4" t="str">
        <f t="shared" si="94"/>
        <v>OK</v>
      </c>
      <c r="H3034" s="4" t="str">
        <f t="shared" si="95"/>
        <v>NON-ZERO</v>
      </c>
      <c r="I3034">
        <v>600</v>
      </c>
      <c r="J3034">
        <f>IFERROR(Table4[[#This Row],[energy_kwh]]/Table4[[#This Row],[expected_kwh]],0)</f>
        <v>0.87787661370256675</v>
      </c>
      <c r="K3034" t="str">
        <f>IF(Table4[[#This Row],[Performance_Ratio]] &lt; 0.85, "Underperforming", "Performing")</f>
        <v>Performing</v>
      </c>
      <c r="L3034">
        <f>Table4[[#This Row],[energy_kwh]] - Table4[[#This Row],[expected_kwh]]</f>
        <v>-73.274031778459971</v>
      </c>
      <c r="M3034" t="str">
        <f>IF(Table4[[#This Row],[Performance_Deviation]] &lt; 0, "Underperforming", "Outperforming")</f>
        <v>Underperforming</v>
      </c>
      <c r="N3034">
        <f>IF(Table4[[#This Row],[Performance_Ratio]] &lt; 0.85, Table4[[#This Row],[Performance_Deviation]] * 50 / 1000, 0)</f>
        <v>0</v>
      </c>
    </row>
    <row r="3035" spans="1:14" x14ac:dyDescent="0.3">
      <c r="A3035" s="6" t="s">
        <v>10</v>
      </c>
      <c r="B3035" s="5">
        <v>45294.375</v>
      </c>
      <c r="C3035" s="6">
        <v>815.10268085324105</v>
      </c>
      <c r="D3035" s="6">
        <v>771.283368485555</v>
      </c>
      <c r="E3035" s="6">
        <v>771.283368485555</v>
      </c>
      <c r="F3035" s="6">
        <v>26.9945090135623</v>
      </c>
      <c r="G3035" s="6" t="str">
        <f t="shared" si="94"/>
        <v>OK</v>
      </c>
      <c r="H3035" s="6" t="str">
        <f t="shared" si="95"/>
        <v>NON-ZERO</v>
      </c>
      <c r="I3035">
        <v>848.52813742385695</v>
      </c>
      <c r="J3035">
        <f>IFERROR(Table4[[#This Row],[energy_kwh]]/Table4[[#This Row],[expected_kwh]],0)</f>
        <v>0.90896616678756448</v>
      </c>
      <c r="K3035" t="str">
        <f>IF(Table4[[#This Row],[Performance_Ratio]] &lt; 0.85, "Underperforming", "Performing")</f>
        <v>Performing</v>
      </c>
      <c r="L3035">
        <f>Table4[[#This Row],[energy_kwh]] - Table4[[#This Row],[expected_kwh]]</f>
        <v>-77.244768938301945</v>
      </c>
      <c r="M3035" t="str">
        <f>IF(Table4[[#This Row],[Performance_Deviation]] &lt; 0, "Underperforming", "Outperforming")</f>
        <v>Underperforming</v>
      </c>
      <c r="N3035">
        <f>IF(Table4[[#This Row],[Performance_Ratio]] &lt; 0.85, Table4[[#This Row],[Performance_Deviation]] * 50 / 1000, 0)</f>
        <v>0</v>
      </c>
    </row>
    <row r="3036" spans="1:14" x14ac:dyDescent="0.3">
      <c r="A3036" s="4" t="s">
        <v>10</v>
      </c>
      <c r="B3036" s="3">
        <v>45294.416666666664</v>
      </c>
      <c r="C3036" s="4">
        <v>970.65941139056895</v>
      </c>
      <c r="D3036" s="4">
        <v>918.47748517504704</v>
      </c>
      <c r="E3036" s="4">
        <v>918.47748517504704</v>
      </c>
      <c r="F3036" s="4">
        <v>20.459648548526001</v>
      </c>
      <c r="G3036" s="4" t="str">
        <f t="shared" si="94"/>
        <v>OK</v>
      </c>
      <c r="H3036" s="4" t="str">
        <f t="shared" si="95"/>
        <v>NON-ZERO</v>
      </c>
      <c r="I3036">
        <v>1039.23048454132</v>
      </c>
      <c r="J3036">
        <f>IFERROR(Table4[[#This Row],[energy_kwh]]/Table4[[#This Row],[expected_kwh]],0)</f>
        <v>0.8838053721840452</v>
      </c>
      <c r="K3036" t="str">
        <f>IF(Table4[[#This Row],[Performance_Ratio]] &lt; 0.85, "Underperforming", "Performing")</f>
        <v>Performing</v>
      </c>
      <c r="L3036">
        <f>Table4[[#This Row],[energy_kwh]] - Table4[[#This Row],[expected_kwh]]</f>
        <v>-120.752999366273</v>
      </c>
      <c r="M3036" t="str">
        <f>IF(Table4[[#This Row],[Performance_Deviation]] &lt; 0, "Underperforming", "Outperforming")</f>
        <v>Underperforming</v>
      </c>
      <c r="N3036">
        <f>IF(Table4[[#This Row],[Performance_Ratio]] &lt; 0.85, Table4[[#This Row],[Performance_Deviation]] * 50 / 1000, 0)</f>
        <v>0</v>
      </c>
    </row>
    <row r="3037" spans="1:14" x14ac:dyDescent="0.3">
      <c r="A3037" s="6" t="s">
        <v>10</v>
      </c>
      <c r="B3037" s="5">
        <v>45294.458333333336</v>
      </c>
      <c r="C3037" s="6">
        <v>1151.1245265708201</v>
      </c>
      <c r="D3037" s="6">
        <v>1089.24093032119</v>
      </c>
      <c r="E3037" s="6">
        <v>1089.24093032119</v>
      </c>
      <c r="F3037" s="6">
        <v>88.151957472717896</v>
      </c>
      <c r="G3037" s="6" t="str">
        <f t="shared" si="94"/>
        <v>OK</v>
      </c>
      <c r="H3037" s="6" t="str">
        <f t="shared" si="95"/>
        <v>NON-ZERO</v>
      </c>
      <c r="I3037">
        <v>1159.1109915468801</v>
      </c>
      <c r="J3037">
        <f>IFERROR(Table4[[#This Row],[energy_kwh]]/Table4[[#This Row],[expected_kwh]],0)</f>
        <v>0.93972099157437405</v>
      </c>
      <c r="K3037" t="str">
        <f>IF(Table4[[#This Row],[Performance_Ratio]] &lt; 0.85, "Underperforming", "Performing")</f>
        <v>Performing</v>
      </c>
      <c r="L3037">
        <f>Table4[[#This Row],[energy_kwh]] - Table4[[#This Row],[expected_kwh]]</f>
        <v>-69.870061225690051</v>
      </c>
      <c r="M3037" t="str">
        <f>IF(Table4[[#This Row],[Performance_Deviation]] &lt; 0, "Underperforming", "Outperforming")</f>
        <v>Underperforming</v>
      </c>
      <c r="N3037">
        <f>IF(Table4[[#This Row],[Performance_Ratio]] &lt; 0.85, Table4[[#This Row],[Performance_Deviation]] * 50 / 1000, 0)</f>
        <v>0</v>
      </c>
    </row>
    <row r="3038" spans="1:14" x14ac:dyDescent="0.3">
      <c r="A3038" s="4" t="s">
        <v>10</v>
      </c>
      <c r="B3038" s="3">
        <v>45294.5</v>
      </c>
      <c r="C3038" s="4">
        <v>1072.5593198203501</v>
      </c>
      <c r="D3038" s="4">
        <v>1014.89933050601</v>
      </c>
      <c r="E3038" s="4">
        <v>1014.89933050601</v>
      </c>
      <c r="F3038" s="4">
        <v>90.517564465466705</v>
      </c>
      <c r="G3038" s="4" t="str">
        <f t="shared" si="94"/>
        <v>OK</v>
      </c>
      <c r="H3038" s="4" t="str">
        <f t="shared" si="95"/>
        <v>NON-ZERO</v>
      </c>
      <c r="I3038">
        <v>1200</v>
      </c>
      <c r="J3038">
        <f>IFERROR(Table4[[#This Row],[energy_kwh]]/Table4[[#This Row],[expected_kwh]],0)</f>
        <v>0.84574944208834169</v>
      </c>
      <c r="K3038" t="str">
        <f>IF(Table4[[#This Row],[Performance_Ratio]] &lt; 0.85, "Underperforming", "Performing")</f>
        <v>Underperforming</v>
      </c>
      <c r="L3038">
        <f>Table4[[#This Row],[energy_kwh]] - Table4[[#This Row],[expected_kwh]]</f>
        <v>-185.10066949399004</v>
      </c>
      <c r="M3038" t="str">
        <f>IF(Table4[[#This Row],[Performance_Deviation]] &lt; 0, "Underperforming", "Outperforming")</f>
        <v>Underperforming</v>
      </c>
      <c r="N3038">
        <f>IF(Table4[[#This Row],[Performance_Ratio]] &lt; 0.85, Table4[[#This Row],[Performance_Deviation]] * 50 / 1000, 0)</f>
        <v>-9.255033474699502</v>
      </c>
    </row>
    <row r="3039" spans="1:14" x14ac:dyDescent="0.3">
      <c r="A3039" s="6" t="s">
        <v>10</v>
      </c>
      <c r="B3039" s="5">
        <v>45294.541666666664</v>
      </c>
      <c r="C3039" s="6">
        <v>1103.97652225815</v>
      </c>
      <c r="D3039" s="6">
        <v>1044.6275675659899</v>
      </c>
      <c r="E3039" s="6">
        <v>1044.6275675659899</v>
      </c>
      <c r="F3039" s="6">
        <v>47.484248475498397</v>
      </c>
      <c r="G3039" s="6" t="str">
        <f t="shared" si="94"/>
        <v>OK</v>
      </c>
      <c r="H3039" s="6" t="str">
        <f t="shared" si="95"/>
        <v>NON-ZERO</v>
      </c>
      <c r="I3039">
        <v>1159.1109915468801</v>
      </c>
      <c r="J3039">
        <f>IFERROR(Table4[[#This Row],[energy_kwh]]/Table4[[#This Row],[expected_kwh]],0)</f>
        <v>0.90123169841732975</v>
      </c>
      <c r="K3039" t="str">
        <f>IF(Table4[[#This Row],[Performance_Ratio]] &lt; 0.85, "Underperforming", "Performing")</f>
        <v>Performing</v>
      </c>
      <c r="L3039">
        <f>Table4[[#This Row],[energy_kwh]] - Table4[[#This Row],[expected_kwh]]</f>
        <v>-114.48342398089017</v>
      </c>
      <c r="M3039" t="str">
        <f>IF(Table4[[#This Row],[Performance_Deviation]] &lt; 0, "Underperforming", "Outperforming")</f>
        <v>Underperforming</v>
      </c>
      <c r="N3039">
        <f>IF(Table4[[#This Row],[Performance_Ratio]] &lt; 0.85, Table4[[#This Row],[Performance_Deviation]] * 50 / 1000, 0)</f>
        <v>0</v>
      </c>
    </row>
    <row r="3040" spans="1:14" x14ac:dyDescent="0.3">
      <c r="A3040" s="4" t="s">
        <v>10</v>
      </c>
      <c r="B3040" s="3">
        <v>45294.583333333336</v>
      </c>
      <c r="C3040" s="4">
        <v>1006.47207077938</v>
      </c>
      <c r="D3040" s="4">
        <v>952.36488269767403</v>
      </c>
      <c r="E3040" s="4">
        <v>952.36488269767403</v>
      </c>
      <c r="F3040" s="4">
        <v>33.578777035411001</v>
      </c>
      <c r="G3040" s="4" t="str">
        <f t="shared" si="94"/>
        <v>OK</v>
      </c>
      <c r="H3040" s="4" t="str">
        <f t="shared" si="95"/>
        <v>NON-ZERO</v>
      </c>
      <c r="I3040">
        <v>1039.23048454132</v>
      </c>
      <c r="J3040">
        <f>IFERROR(Table4[[#This Row],[energy_kwh]]/Table4[[#This Row],[expected_kwh]],0)</f>
        <v>0.91641353565375305</v>
      </c>
      <c r="K3040" t="str">
        <f>IF(Table4[[#This Row],[Performance_Ratio]] &lt; 0.85, "Underperforming", "Performing")</f>
        <v>Performing</v>
      </c>
      <c r="L3040">
        <f>Table4[[#This Row],[energy_kwh]] - Table4[[#This Row],[expected_kwh]]</f>
        <v>-86.865601843646004</v>
      </c>
      <c r="M3040" t="str">
        <f>IF(Table4[[#This Row],[Performance_Deviation]] &lt; 0, "Underperforming", "Outperforming")</f>
        <v>Underperforming</v>
      </c>
      <c r="N3040">
        <f>IF(Table4[[#This Row],[Performance_Ratio]] &lt; 0.85, Table4[[#This Row],[Performance_Deviation]] * 50 / 1000, 0)</f>
        <v>0</v>
      </c>
    </row>
    <row r="3041" spans="1:14" x14ac:dyDescent="0.3">
      <c r="A3041" s="6" t="s">
        <v>10</v>
      </c>
      <c r="B3041" s="5">
        <v>45294.625</v>
      </c>
      <c r="C3041" s="6">
        <v>729.84470023882602</v>
      </c>
      <c r="D3041" s="6">
        <v>690.608793339111</v>
      </c>
      <c r="E3041" s="6">
        <v>690.608793339111</v>
      </c>
      <c r="F3041" s="6">
        <v>83.528518915291599</v>
      </c>
      <c r="G3041" s="6" t="str">
        <f t="shared" si="94"/>
        <v>OK</v>
      </c>
      <c r="H3041" s="6" t="str">
        <f t="shared" si="95"/>
        <v>NON-ZERO</v>
      </c>
      <c r="I3041">
        <v>848.52813742385695</v>
      </c>
      <c r="J3041">
        <f>IFERROR(Table4[[#This Row],[energy_kwh]]/Table4[[#This Row],[expected_kwh]],0)</f>
        <v>0.81389026819524068</v>
      </c>
      <c r="K3041" t="str">
        <f>IF(Table4[[#This Row],[Performance_Ratio]] &lt; 0.85, "Underperforming", "Performing")</f>
        <v>Underperforming</v>
      </c>
      <c r="L3041">
        <f>Table4[[#This Row],[energy_kwh]] - Table4[[#This Row],[expected_kwh]]</f>
        <v>-157.91934408474594</v>
      </c>
      <c r="M3041" t="str">
        <f>IF(Table4[[#This Row],[Performance_Deviation]] &lt; 0, "Underperforming", "Outperforming")</f>
        <v>Underperforming</v>
      </c>
      <c r="N3041">
        <f>IF(Table4[[#This Row],[Performance_Ratio]] &lt; 0.85, Table4[[#This Row],[Performance_Deviation]] * 50 / 1000, 0)</f>
        <v>-7.895967204237297</v>
      </c>
    </row>
    <row r="3042" spans="1:14" x14ac:dyDescent="0.3">
      <c r="A3042" s="4" t="s">
        <v>10</v>
      </c>
      <c r="B3042" s="3">
        <v>45294.666666666664</v>
      </c>
      <c r="C3042" s="4">
        <v>471.81546009786501</v>
      </c>
      <c r="D3042" s="4">
        <v>446.45101275695998</v>
      </c>
      <c r="E3042" s="4">
        <v>446.45101275695998</v>
      </c>
      <c r="F3042" s="4">
        <v>85.015518709938405</v>
      </c>
      <c r="G3042" s="4" t="str">
        <f t="shared" si="94"/>
        <v>OK</v>
      </c>
      <c r="H3042" s="4" t="str">
        <f t="shared" si="95"/>
        <v>NON-ZERO</v>
      </c>
      <c r="I3042">
        <v>600</v>
      </c>
      <c r="J3042">
        <f>IFERROR(Table4[[#This Row],[energy_kwh]]/Table4[[#This Row],[expected_kwh]],0)</f>
        <v>0.74408502126159992</v>
      </c>
      <c r="K3042" t="str">
        <f>IF(Table4[[#This Row],[Performance_Ratio]] &lt; 0.85, "Underperforming", "Performing")</f>
        <v>Underperforming</v>
      </c>
      <c r="L3042">
        <f>Table4[[#This Row],[energy_kwh]] - Table4[[#This Row],[expected_kwh]]</f>
        <v>-153.54898724304002</v>
      </c>
      <c r="M3042" t="str">
        <f>IF(Table4[[#This Row],[Performance_Deviation]] &lt; 0, "Underperforming", "Outperforming")</f>
        <v>Underperforming</v>
      </c>
      <c r="N3042">
        <f>IF(Table4[[#This Row],[Performance_Ratio]] &lt; 0.85, Table4[[#This Row],[Performance_Deviation]] * 50 / 1000, 0)</f>
        <v>-7.6774493621520001</v>
      </c>
    </row>
    <row r="3043" spans="1:14" x14ac:dyDescent="0.3">
      <c r="A3043" s="6" t="s">
        <v>10</v>
      </c>
      <c r="B3043" s="5">
        <v>45294.708333333336</v>
      </c>
      <c r="C3043" s="6">
        <v>318.808113454703</v>
      </c>
      <c r="D3043" s="6">
        <v>301.66922698435002</v>
      </c>
      <c r="E3043" s="6">
        <v>301.66922698435002</v>
      </c>
      <c r="F3043" s="6">
        <v>61.170400888900602</v>
      </c>
      <c r="G3043" s="6" t="str">
        <f t="shared" si="94"/>
        <v>OK</v>
      </c>
      <c r="H3043" s="6" t="str">
        <f t="shared" si="95"/>
        <v>NON-ZERO</v>
      </c>
      <c r="I3043">
        <v>310.58285412302502</v>
      </c>
      <c r="J3043">
        <f>IFERROR(Table4[[#This Row],[energy_kwh]]/Table4[[#This Row],[expected_kwh]],0)</f>
        <v>0.97130032446947567</v>
      </c>
      <c r="K3043" t="str">
        <f>IF(Table4[[#This Row],[Performance_Ratio]] &lt; 0.85, "Underperforming", "Performing")</f>
        <v>Performing</v>
      </c>
      <c r="L3043">
        <f>Table4[[#This Row],[energy_kwh]] - Table4[[#This Row],[expected_kwh]]</f>
        <v>-8.9136271386749968</v>
      </c>
      <c r="M3043" t="str">
        <f>IF(Table4[[#This Row],[Performance_Deviation]] &lt; 0, "Underperforming", "Outperforming")</f>
        <v>Underperforming</v>
      </c>
      <c r="N3043">
        <f>IF(Table4[[#This Row],[Performance_Ratio]] &lt; 0.85, Table4[[#This Row],[Performance_Deviation]] * 50 / 1000, 0)</f>
        <v>0</v>
      </c>
    </row>
    <row r="3044" spans="1:14" x14ac:dyDescent="0.3">
      <c r="A3044" s="4" t="s">
        <v>10</v>
      </c>
      <c r="B3044" s="3">
        <v>45294.75</v>
      </c>
      <c r="C3044" s="7">
        <v>1.3399071397367901E-13</v>
      </c>
      <c r="D3044" s="7">
        <v>1.2678747309630101E-13</v>
      </c>
      <c r="E3044" s="7">
        <v>1.2678747309630101E-13</v>
      </c>
      <c r="F3044" s="4">
        <v>47.004912016304601</v>
      </c>
      <c r="G3044" s="4" t="str">
        <f t="shared" si="94"/>
        <v>OK</v>
      </c>
      <c r="H3044" s="4" t="str">
        <f t="shared" si="95"/>
        <v>NON-ZERO</v>
      </c>
      <c r="I3044" s="2">
        <v>1.46957615897682E-13</v>
      </c>
      <c r="J3044">
        <f>IFERROR(Table4[[#This Row],[energy_kwh]]/Table4[[#This Row],[expected_kwh]],0)</f>
        <v>0.8627485708843815</v>
      </c>
      <c r="K3044" t="str">
        <f>IF(Table4[[#This Row],[Performance_Ratio]] &lt; 0.85, "Underperforming", "Performing")</f>
        <v>Performing</v>
      </c>
      <c r="L3044">
        <f>Table4[[#This Row],[energy_kwh]] - Table4[[#This Row],[expected_kwh]]</f>
        <v>-2.017014280138099E-14</v>
      </c>
      <c r="M3044" t="str">
        <f>IF(Table4[[#This Row],[Performance_Deviation]] &lt; 0, "Underperforming", "Outperforming")</f>
        <v>Underperforming</v>
      </c>
      <c r="N3044">
        <f>IF(Table4[[#This Row],[Performance_Ratio]] &lt; 0.85, Table4[[#This Row],[Performance_Deviation]] * 50 / 1000, 0)</f>
        <v>0</v>
      </c>
    </row>
    <row r="3045" spans="1:14" x14ac:dyDescent="0.3">
      <c r="A3045" s="6" t="s">
        <v>10</v>
      </c>
      <c r="B3045" s="5">
        <v>45294.791666666664</v>
      </c>
      <c r="C3045" s="6">
        <v>0</v>
      </c>
      <c r="D3045" s="6">
        <v>0</v>
      </c>
      <c r="E3045" s="6">
        <v>0</v>
      </c>
      <c r="F3045" s="6">
        <v>23.1771448964586</v>
      </c>
      <c r="G3045" s="6" t="str">
        <f t="shared" si="94"/>
        <v>OK</v>
      </c>
      <c r="H3045" s="6" t="str">
        <f t="shared" si="95"/>
        <v>ZERO</v>
      </c>
      <c r="I3045">
        <v>0</v>
      </c>
      <c r="J3045">
        <f>IFERROR(Table4[[#This Row],[energy_kwh]]/Table4[[#This Row],[expected_kwh]],0)</f>
        <v>0</v>
      </c>
      <c r="K3045" t="str">
        <f>IF(Table4[[#This Row],[Performance_Ratio]] &lt; 0.85, "Underperforming", "Performing")</f>
        <v>Underperforming</v>
      </c>
      <c r="L3045">
        <f>Table4[[#This Row],[energy_kwh]] - Table4[[#This Row],[expected_kwh]]</f>
        <v>0</v>
      </c>
      <c r="M3045" t="str">
        <f>IF(Table4[[#This Row],[Performance_Deviation]] &lt; 0, "Underperforming", "Outperforming")</f>
        <v>Outperforming</v>
      </c>
      <c r="N3045">
        <f>IF(Table4[[#This Row],[Performance_Ratio]] &lt; 0.85, Table4[[#This Row],[Performance_Deviation]] * 50 / 1000, 0)</f>
        <v>0</v>
      </c>
    </row>
    <row r="3046" spans="1:14" x14ac:dyDescent="0.3">
      <c r="A3046" s="4" t="s">
        <v>10</v>
      </c>
      <c r="B3046" s="3">
        <v>45294.833333333336</v>
      </c>
      <c r="C3046" s="4">
        <v>0</v>
      </c>
      <c r="D3046" s="4">
        <v>0</v>
      </c>
      <c r="E3046" s="4">
        <v>0</v>
      </c>
      <c r="F3046" s="4">
        <v>82.075955540265497</v>
      </c>
      <c r="G3046" s="4" t="str">
        <f t="shared" si="94"/>
        <v>OK</v>
      </c>
      <c r="H3046" s="4" t="str">
        <f t="shared" si="95"/>
        <v>ZERO</v>
      </c>
      <c r="I3046">
        <v>0</v>
      </c>
      <c r="J3046">
        <f>IFERROR(Table4[[#This Row],[energy_kwh]]/Table4[[#This Row],[expected_kwh]],0)</f>
        <v>0</v>
      </c>
      <c r="K3046" t="str">
        <f>IF(Table4[[#This Row],[Performance_Ratio]] &lt; 0.85, "Underperforming", "Performing")</f>
        <v>Underperforming</v>
      </c>
      <c r="L3046">
        <f>Table4[[#This Row],[energy_kwh]] - Table4[[#This Row],[expected_kwh]]</f>
        <v>0</v>
      </c>
      <c r="M3046" t="str">
        <f>IF(Table4[[#This Row],[Performance_Deviation]] &lt; 0, "Underperforming", "Outperforming")</f>
        <v>Outperforming</v>
      </c>
      <c r="N3046">
        <f>IF(Table4[[#This Row],[Performance_Ratio]] &lt; 0.85, Table4[[#This Row],[Performance_Deviation]] * 50 / 1000, 0)</f>
        <v>0</v>
      </c>
    </row>
    <row r="3047" spans="1:14" x14ac:dyDescent="0.3">
      <c r="A3047" s="6" t="s">
        <v>10</v>
      </c>
      <c r="B3047" s="5">
        <v>45294.875</v>
      </c>
      <c r="C3047" s="6">
        <v>0</v>
      </c>
      <c r="D3047" s="6">
        <v>0</v>
      </c>
      <c r="E3047" s="6">
        <v>0</v>
      </c>
      <c r="F3047" s="6">
        <v>91.517916787636906</v>
      </c>
      <c r="G3047" s="6" t="str">
        <f t="shared" si="94"/>
        <v>OK</v>
      </c>
      <c r="H3047" s="6" t="str">
        <f t="shared" si="95"/>
        <v>ZERO</v>
      </c>
      <c r="I3047">
        <v>0</v>
      </c>
      <c r="J3047">
        <f>IFERROR(Table4[[#This Row],[energy_kwh]]/Table4[[#This Row],[expected_kwh]],0)</f>
        <v>0</v>
      </c>
      <c r="K3047" t="str">
        <f>IF(Table4[[#This Row],[Performance_Ratio]] &lt; 0.85, "Underperforming", "Performing")</f>
        <v>Underperforming</v>
      </c>
      <c r="L3047">
        <f>Table4[[#This Row],[energy_kwh]] - Table4[[#This Row],[expected_kwh]]</f>
        <v>0</v>
      </c>
      <c r="M3047" t="str">
        <f>IF(Table4[[#This Row],[Performance_Deviation]] &lt; 0, "Underperforming", "Outperforming")</f>
        <v>Outperforming</v>
      </c>
      <c r="N3047">
        <f>IF(Table4[[#This Row],[Performance_Ratio]] &lt; 0.85, Table4[[#This Row],[Performance_Deviation]] * 50 / 1000, 0)</f>
        <v>0</v>
      </c>
    </row>
    <row r="3048" spans="1:14" x14ac:dyDescent="0.3">
      <c r="A3048" s="4" t="s">
        <v>10</v>
      </c>
      <c r="B3048" s="3">
        <v>45294.916666666664</v>
      </c>
      <c r="C3048" s="4">
        <v>0</v>
      </c>
      <c r="D3048" s="4">
        <v>0</v>
      </c>
      <c r="E3048" s="4">
        <v>0</v>
      </c>
      <c r="F3048" s="4">
        <v>62.039163867131698</v>
      </c>
      <c r="G3048" s="4" t="str">
        <f t="shared" si="94"/>
        <v>OK</v>
      </c>
      <c r="H3048" s="4" t="str">
        <f t="shared" si="95"/>
        <v>ZERO</v>
      </c>
      <c r="I3048">
        <v>0</v>
      </c>
      <c r="J3048">
        <f>IFERROR(Table4[[#This Row],[energy_kwh]]/Table4[[#This Row],[expected_kwh]],0)</f>
        <v>0</v>
      </c>
      <c r="K3048" t="str">
        <f>IF(Table4[[#This Row],[Performance_Ratio]] &lt; 0.85, "Underperforming", "Performing")</f>
        <v>Underperforming</v>
      </c>
      <c r="L3048">
        <f>Table4[[#This Row],[energy_kwh]] - Table4[[#This Row],[expected_kwh]]</f>
        <v>0</v>
      </c>
      <c r="M3048" t="str">
        <f>IF(Table4[[#This Row],[Performance_Deviation]] &lt; 0, "Underperforming", "Outperforming")</f>
        <v>Outperforming</v>
      </c>
      <c r="N3048">
        <f>IF(Table4[[#This Row],[Performance_Ratio]] &lt; 0.85, Table4[[#This Row],[Performance_Deviation]] * 50 / 1000, 0)</f>
        <v>0</v>
      </c>
    </row>
    <row r="3049" spans="1:14" x14ac:dyDescent="0.3">
      <c r="A3049" s="6" t="s">
        <v>10</v>
      </c>
      <c r="B3049" s="5">
        <v>45294.958333333336</v>
      </c>
      <c r="C3049" s="6">
        <v>0</v>
      </c>
      <c r="D3049" s="6">
        <v>0</v>
      </c>
      <c r="E3049" s="6">
        <v>0</v>
      </c>
      <c r="F3049" s="6">
        <v>89.572872439261005</v>
      </c>
      <c r="G3049" s="6" t="str">
        <f t="shared" si="94"/>
        <v>OK</v>
      </c>
      <c r="H3049" s="6" t="str">
        <f t="shared" si="95"/>
        <v>ZERO</v>
      </c>
      <c r="I3049">
        <v>0</v>
      </c>
      <c r="J3049">
        <f>IFERROR(Table4[[#This Row],[energy_kwh]]/Table4[[#This Row],[expected_kwh]],0)</f>
        <v>0</v>
      </c>
      <c r="K3049" t="str">
        <f>IF(Table4[[#This Row],[Performance_Ratio]] &lt; 0.85, "Underperforming", "Performing")</f>
        <v>Underperforming</v>
      </c>
      <c r="L3049">
        <f>Table4[[#This Row],[energy_kwh]] - Table4[[#This Row],[expected_kwh]]</f>
        <v>0</v>
      </c>
      <c r="M3049" t="str">
        <f>IF(Table4[[#This Row],[Performance_Deviation]] &lt; 0, "Underperforming", "Outperforming")</f>
        <v>Outperforming</v>
      </c>
      <c r="N3049">
        <f>IF(Table4[[#This Row],[Performance_Ratio]] &lt; 0.85, Table4[[#This Row],[Performance_Deviation]] * 50 / 1000, 0)</f>
        <v>0</v>
      </c>
    </row>
    <row r="3050" spans="1:14" x14ac:dyDescent="0.3">
      <c r="A3050" s="4" t="s">
        <v>10</v>
      </c>
      <c r="B3050" s="3">
        <v>45295</v>
      </c>
      <c r="C3050" s="4">
        <v>0</v>
      </c>
      <c r="D3050" s="4">
        <v>0</v>
      </c>
      <c r="E3050" s="4">
        <v>0</v>
      </c>
      <c r="F3050" s="4">
        <v>22.436099152692101</v>
      </c>
      <c r="G3050" s="4" t="str">
        <f t="shared" si="94"/>
        <v>OK</v>
      </c>
      <c r="H3050" s="4" t="str">
        <f t="shared" si="95"/>
        <v>ZERO</v>
      </c>
      <c r="I3050">
        <v>0</v>
      </c>
      <c r="J3050">
        <f>IFERROR(Table4[[#This Row],[energy_kwh]]/Table4[[#This Row],[expected_kwh]],0)</f>
        <v>0</v>
      </c>
      <c r="K3050" t="str">
        <f>IF(Table4[[#This Row],[Performance_Ratio]] &lt; 0.85, "Underperforming", "Performing")</f>
        <v>Underperforming</v>
      </c>
      <c r="L3050">
        <f>Table4[[#This Row],[energy_kwh]] - Table4[[#This Row],[expected_kwh]]</f>
        <v>0</v>
      </c>
      <c r="M3050" t="str">
        <f>IF(Table4[[#This Row],[Performance_Deviation]] &lt; 0, "Underperforming", "Outperforming")</f>
        <v>Outperforming</v>
      </c>
      <c r="N3050">
        <f>IF(Table4[[#This Row],[Performance_Ratio]] &lt; 0.85, Table4[[#This Row],[Performance_Deviation]] * 50 / 1000, 0)</f>
        <v>0</v>
      </c>
    </row>
    <row r="3051" spans="1:14" x14ac:dyDescent="0.3">
      <c r="A3051" s="6" t="s">
        <v>10</v>
      </c>
      <c r="B3051" s="5">
        <v>45295.041666666664</v>
      </c>
      <c r="C3051" s="6">
        <v>0</v>
      </c>
      <c r="D3051" s="6">
        <v>0</v>
      </c>
      <c r="E3051" s="6">
        <v>0</v>
      </c>
      <c r="F3051" s="6">
        <v>79.741141553487296</v>
      </c>
      <c r="G3051" s="6" t="str">
        <f t="shared" si="94"/>
        <v>OK</v>
      </c>
      <c r="H3051" s="6" t="str">
        <f t="shared" si="95"/>
        <v>ZERO</v>
      </c>
      <c r="I3051">
        <v>0</v>
      </c>
      <c r="J3051">
        <f>IFERROR(Table4[[#This Row],[energy_kwh]]/Table4[[#This Row],[expected_kwh]],0)</f>
        <v>0</v>
      </c>
      <c r="K3051" t="str">
        <f>IF(Table4[[#This Row],[Performance_Ratio]] &lt; 0.85, "Underperforming", "Performing")</f>
        <v>Underperforming</v>
      </c>
      <c r="L3051">
        <f>Table4[[#This Row],[energy_kwh]] - Table4[[#This Row],[expected_kwh]]</f>
        <v>0</v>
      </c>
      <c r="M3051" t="str">
        <f>IF(Table4[[#This Row],[Performance_Deviation]] &lt; 0, "Underperforming", "Outperforming")</f>
        <v>Outperforming</v>
      </c>
      <c r="N3051">
        <f>IF(Table4[[#This Row],[Performance_Ratio]] &lt; 0.85, Table4[[#This Row],[Performance_Deviation]] * 50 / 1000, 0)</f>
        <v>0</v>
      </c>
    </row>
    <row r="3052" spans="1:14" x14ac:dyDescent="0.3">
      <c r="A3052" s="4" t="s">
        <v>10</v>
      </c>
      <c r="B3052" s="3">
        <v>45295.083333333336</v>
      </c>
      <c r="C3052" s="4">
        <v>0</v>
      </c>
      <c r="D3052" s="4">
        <v>0</v>
      </c>
      <c r="E3052" s="4">
        <v>0</v>
      </c>
      <c r="F3052" s="4">
        <v>65.103215858236993</v>
      </c>
      <c r="G3052" s="4" t="str">
        <f t="shared" si="94"/>
        <v>OK</v>
      </c>
      <c r="H3052" s="4" t="str">
        <f t="shared" si="95"/>
        <v>ZERO</v>
      </c>
      <c r="I3052">
        <v>0</v>
      </c>
      <c r="J3052">
        <f>IFERROR(Table4[[#This Row],[energy_kwh]]/Table4[[#This Row],[expected_kwh]],0)</f>
        <v>0</v>
      </c>
      <c r="K3052" t="str">
        <f>IF(Table4[[#This Row],[Performance_Ratio]] &lt; 0.85, "Underperforming", "Performing")</f>
        <v>Underperforming</v>
      </c>
      <c r="L3052">
        <f>Table4[[#This Row],[energy_kwh]] - Table4[[#This Row],[expected_kwh]]</f>
        <v>0</v>
      </c>
      <c r="M3052" t="str">
        <f>IF(Table4[[#This Row],[Performance_Deviation]] &lt; 0, "Underperforming", "Outperforming")</f>
        <v>Outperforming</v>
      </c>
      <c r="N3052">
        <f>IF(Table4[[#This Row],[Performance_Ratio]] &lt; 0.85, Table4[[#This Row],[Performance_Deviation]] * 50 / 1000, 0)</f>
        <v>0</v>
      </c>
    </row>
    <row r="3053" spans="1:14" x14ac:dyDescent="0.3">
      <c r="A3053" s="6" t="s">
        <v>10</v>
      </c>
      <c r="B3053" s="5">
        <v>45295.125</v>
      </c>
      <c r="C3053" s="6">
        <v>0</v>
      </c>
      <c r="D3053" s="6">
        <v>0</v>
      </c>
      <c r="E3053" s="6">
        <v>0</v>
      </c>
      <c r="F3053" s="6">
        <v>88.602180764091102</v>
      </c>
      <c r="G3053" s="6" t="str">
        <f t="shared" si="94"/>
        <v>OK</v>
      </c>
      <c r="H3053" s="6" t="str">
        <f t="shared" si="95"/>
        <v>ZERO</v>
      </c>
      <c r="I3053">
        <v>0</v>
      </c>
      <c r="J3053">
        <f>IFERROR(Table4[[#This Row],[energy_kwh]]/Table4[[#This Row],[expected_kwh]],0)</f>
        <v>0</v>
      </c>
      <c r="K3053" t="str">
        <f>IF(Table4[[#This Row],[Performance_Ratio]] &lt; 0.85, "Underperforming", "Performing")</f>
        <v>Underperforming</v>
      </c>
      <c r="L3053">
        <f>Table4[[#This Row],[energy_kwh]] - Table4[[#This Row],[expected_kwh]]</f>
        <v>0</v>
      </c>
      <c r="M3053" t="str">
        <f>IF(Table4[[#This Row],[Performance_Deviation]] &lt; 0, "Underperforming", "Outperforming")</f>
        <v>Outperforming</v>
      </c>
      <c r="N3053">
        <f>IF(Table4[[#This Row],[Performance_Ratio]] &lt; 0.85, Table4[[#This Row],[Performance_Deviation]] * 50 / 1000, 0)</f>
        <v>0</v>
      </c>
    </row>
    <row r="3054" spans="1:14" x14ac:dyDescent="0.3">
      <c r="A3054" s="4" t="s">
        <v>10</v>
      </c>
      <c r="B3054" s="3">
        <v>45295.166666666664</v>
      </c>
      <c r="C3054" s="4">
        <v>0</v>
      </c>
      <c r="D3054" s="4">
        <v>0</v>
      </c>
      <c r="E3054" s="4">
        <v>0</v>
      </c>
      <c r="F3054" s="4">
        <v>60.817756820781298</v>
      </c>
      <c r="G3054" s="4" t="str">
        <f t="shared" si="94"/>
        <v>OK</v>
      </c>
      <c r="H3054" s="4" t="str">
        <f t="shared" si="95"/>
        <v>ZERO</v>
      </c>
      <c r="I3054">
        <v>0</v>
      </c>
      <c r="J3054">
        <f>IFERROR(Table4[[#This Row],[energy_kwh]]/Table4[[#This Row],[expected_kwh]],0)</f>
        <v>0</v>
      </c>
      <c r="K3054" t="str">
        <f>IF(Table4[[#This Row],[Performance_Ratio]] &lt; 0.85, "Underperforming", "Performing")</f>
        <v>Underperforming</v>
      </c>
      <c r="L3054">
        <f>Table4[[#This Row],[energy_kwh]] - Table4[[#This Row],[expected_kwh]]</f>
        <v>0</v>
      </c>
      <c r="M3054" t="str">
        <f>IF(Table4[[#This Row],[Performance_Deviation]] &lt; 0, "Underperforming", "Outperforming")</f>
        <v>Outperforming</v>
      </c>
      <c r="N3054">
        <f>IF(Table4[[#This Row],[Performance_Ratio]] &lt; 0.85, Table4[[#This Row],[Performance_Deviation]] * 50 / 1000, 0)</f>
        <v>0</v>
      </c>
    </row>
    <row r="3055" spans="1:14" x14ac:dyDescent="0.3">
      <c r="A3055" s="6" t="s">
        <v>10</v>
      </c>
      <c r="B3055" s="5">
        <v>45295.208333333336</v>
      </c>
      <c r="C3055" s="6">
        <v>0</v>
      </c>
      <c r="D3055" s="6">
        <v>0</v>
      </c>
      <c r="E3055" s="6">
        <v>0</v>
      </c>
      <c r="F3055" s="6">
        <v>81.272633785615696</v>
      </c>
      <c r="G3055" s="6" t="str">
        <f t="shared" si="94"/>
        <v>OK</v>
      </c>
      <c r="H3055" s="6" t="str">
        <f t="shared" si="95"/>
        <v>ZERO</v>
      </c>
      <c r="I3055">
        <v>0</v>
      </c>
      <c r="J3055">
        <f>IFERROR(Table4[[#This Row],[energy_kwh]]/Table4[[#This Row],[expected_kwh]],0)</f>
        <v>0</v>
      </c>
      <c r="K3055" t="str">
        <f>IF(Table4[[#This Row],[Performance_Ratio]] &lt; 0.85, "Underperforming", "Performing")</f>
        <v>Underperforming</v>
      </c>
      <c r="L3055">
        <f>Table4[[#This Row],[energy_kwh]] - Table4[[#This Row],[expected_kwh]]</f>
        <v>0</v>
      </c>
      <c r="M3055" t="str">
        <f>IF(Table4[[#This Row],[Performance_Deviation]] &lt; 0, "Underperforming", "Outperforming")</f>
        <v>Outperforming</v>
      </c>
      <c r="N3055">
        <f>IF(Table4[[#This Row],[Performance_Ratio]] &lt; 0.85, Table4[[#This Row],[Performance_Deviation]] * 50 / 1000, 0)</f>
        <v>0</v>
      </c>
    </row>
    <row r="3056" spans="1:14" x14ac:dyDescent="0.3">
      <c r="A3056" s="4" t="s">
        <v>10</v>
      </c>
      <c r="B3056" s="3">
        <v>45295.25</v>
      </c>
      <c r="C3056" s="4">
        <v>0</v>
      </c>
      <c r="D3056" s="4">
        <v>0</v>
      </c>
      <c r="E3056" s="4">
        <v>0</v>
      </c>
      <c r="F3056" s="4">
        <v>32.724581094253899</v>
      </c>
      <c r="G3056" s="4" t="str">
        <f t="shared" si="94"/>
        <v>OK</v>
      </c>
      <c r="H3056" s="4" t="str">
        <f t="shared" si="95"/>
        <v>ZERO</v>
      </c>
      <c r="I3056">
        <v>0</v>
      </c>
      <c r="J3056">
        <f>IFERROR(Table4[[#This Row],[energy_kwh]]/Table4[[#This Row],[expected_kwh]],0)</f>
        <v>0</v>
      </c>
      <c r="K3056" t="str">
        <f>IF(Table4[[#This Row],[Performance_Ratio]] &lt; 0.85, "Underperforming", "Performing")</f>
        <v>Underperforming</v>
      </c>
      <c r="L3056">
        <f>Table4[[#This Row],[energy_kwh]] - Table4[[#This Row],[expected_kwh]]</f>
        <v>0</v>
      </c>
      <c r="M3056" t="str">
        <f>IF(Table4[[#This Row],[Performance_Deviation]] &lt; 0, "Underperforming", "Outperforming")</f>
        <v>Outperforming</v>
      </c>
      <c r="N3056">
        <f>IF(Table4[[#This Row],[Performance_Ratio]] &lt; 0.85, Table4[[#This Row],[Performance_Deviation]] * 50 / 1000, 0)</f>
        <v>0</v>
      </c>
    </row>
    <row r="3057" spans="1:14" x14ac:dyDescent="0.3">
      <c r="A3057" s="6" t="s">
        <v>10</v>
      </c>
      <c r="B3057" s="5">
        <v>45295.291666666664</v>
      </c>
      <c r="C3057" s="6">
        <v>304.77936165807699</v>
      </c>
      <c r="D3057" s="6">
        <v>288.39465042422398</v>
      </c>
      <c r="E3057" s="6">
        <v>288.39465042422398</v>
      </c>
      <c r="F3057" s="6">
        <v>37.039343988666197</v>
      </c>
      <c r="G3057" s="6" t="str">
        <f t="shared" si="94"/>
        <v>OK</v>
      </c>
      <c r="H3057" s="6" t="str">
        <f t="shared" si="95"/>
        <v>NON-ZERO</v>
      </c>
      <c r="I3057">
        <v>310.58285412302399</v>
      </c>
      <c r="J3057">
        <f>IFERROR(Table4[[#This Row],[energy_kwh]]/Table4[[#This Row],[expected_kwh]],0)</f>
        <v>0.92855947002788797</v>
      </c>
      <c r="K3057" t="str">
        <f>IF(Table4[[#This Row],[Performance_Ratio]] &lt; 0.85, "Underperforming", "Performing")</f>
        <v>Performing</v>
      </c>
      <c r="L3057">
        <f>Table4[[#This Row],[energy_kwh]] - Table4[[#This Row],[expected_kwh]]</f>
        <v>-22.18820369880001</v>
      </c>
      <c r="M3057" t="str">
        <f>IF(Table4[[#This Row],[Performance_Deviation]] &lt; 0, "Underperforming", "Outperforming")</f>
        <v>Underperforming</v>
      </c>
      <c r="N3057">
        <f>IF(Table4[[#This Row],[Performance_Ratio]] &lt; 0.85, Table4[[#This Row],[Performance_Deviation]] * 50 / 1000, 0)</f>
        <v>0</v>
      </c>
    </row>
    <row r="3058" spans="1:14" x14ac:dyDescent="0.3">
      <c r="A3058" s="4" t="s">
        <v>10</v>
      </c>
      <c r="B3058" s="3">
        <v>45295.333333333336</v>
      </c>
      <c r="C3058" s="4">
        <v>517.10640645142905</v>
      </c>
      <c r="D3058" s="4">
        <v>489.30715160428798</v>
      </c>
      <c r="E3058" s="4">
        <v>489.30715160428798</v>
      </c>
      <c r="F3058" s="4">
        <v>27.9729365984713</v>
      </c>
      <c r="G3058" s="4" t="str">
        <f t="shared" si="94"/>
        <v>OK</v>
      </c>
      <c r="H3058" s="4" t="str">
        <f t="shared" si="95"/>
        <v>NON-ZERO</v>
      </c>
      <c r="I3058">
        <v>600</v>
      </c>
      <c r="J3058">
        <f>IFERROR(Table4[[#This Row],[energy_kwh]]/Table4[[#This Row],[expected_kwh]],0)</f>
        <v>0.81551191934047995</v>
      </c>
      <c r="K3058" t="str">
        <f>IF(Table4[[#This Row],[Performance_Ratio]] &lt; 0.85, "Underperforming", "Performing")</f>
        <v>Underperforming</v>
      </c>
      <c r="L3058">
        <f>Table4[[#This Row],[energy_kwh]] - Table4[[#This Row],[expected_kwh]]</f>
        <v>-110.69284839571202</v>
      </c>
      <c r="M3058" t="str">
        <f>IF(Table4[[#This Row],[Performance_Deviation]] &lt; 0, "Underperforming", "Outperforming")</f>
        <v>Underperforming</v>
      </c>
      <c r="N3058">
        <f>IF(Table4[[#This Row],[Performance_Ratio]] &lt; 0.85, Table4[[#This Row],[Performance_Deviation]] * 50 / 1000, 0)</f>
        <v>-5.5346424197856017</v>
      </c>
    </row>
    <row r="3059" spans="1:14" x14ac:dyDescent="0.3">
      <c r="A3059" s="6" t="s">
        <v>10</v>
      </c>
      <c r="B3059" s="5">
        <v>45295.375</v>
      </c>
      <c r="C3059" s="6">
        <v>782.09209205468596</v>
      </c>
      <c r="D3059" s="6">
        <v>740.04740432753101</v>
      </c>
      <c r="E3059" s="6">
        <v>740.04740432753101</v>
      </c>
      <c r="F3059" s="6">
        <v>32.308582969684203</v>
      </c>
      <c r="G3059" s="6" t="str">
        <f t="shared" si="94"/>
        <v>OK</v>
      </c>
      <c r="H3059" s="6" t="str">
        <f t="shared" si="95"/>
        <v>NON-ZERO</v>
      </c>
      <c r="I3059">
        <v>848.52813742385695</v>
      </c>
      <c r="J3059">
        <f>IFERROR(Table4[[#This Row],[energy_kwh]]/Table4[[#This Row],[expected_kwh]],0)</f>
        <v>0.8721542299991667</v>
      </c>
      <c r="K3059" t="str">
        <f>IF(Table4[[#This Row],[Performance_Ratio]] &lt; 0.85, "Underperforming", "Performing")</f>
        <v>Performing</v>
      </c>
      <c r="L3059">
        <f>Table4[[#This Row],[energy_kwh]] - Table4[[#This Row],[expected_kwh]]</f>
        <v>-108.48073309632593</v>
      </c>
      <c r="M3059" t="str">
        <f>IF(Table4[[#This Row],[Performance_Deviation]] &lt; 0, "Underperforming", "Outperforming")</f>
        <v>Underperforming</v>
      </c>
      <c r="N3059">
        <f>IF(Table4[[#This Row],[Performance_Ratio]] &lt; 0.85, Table4[[#This Row],[Performance_Deviation]] * 50 / 1000, 0)</f>
        <v>0</v>
      </c>
    </row>
    <row r="3060" spans="1:14" x14ac:dyDescent="0.3">
      <c r="A3060" s="4" t="s">
        <v>10</v>
      </c>
      <c r="B3060" s="3">
        <v>45295.416666666664</v>
      </c>
      <c r="C3060" s="4">
        <v>975.97371872458996</v>
      </c>
      <c r="D3060" s="4">
        <v>923.50609930923201</v>
      </c>
      <c r="E3060" s="4">
        <v>923.50609930923201</v>
      </c>
      <c r="F3060" s="4">
        <v>42.606868384891797</v>
      </c>
      <c r="G3060" s="4" t="str">
        <f t="shared" si="94"/>
        <v>OK</v>
      </c>
      <c r="H3060" s="4" t="str">
        <f t="shared" si="95"/>
        <v>NON-ZERO</v>
      </c>
      <c r="I3060">
        <v>1039.23048454132</v>
      </c>
      <c r="J3060">
        <f>IFERROR(Table4[[#This Row],[energy_kwh]]/Table4[[#This Row],[expected_kwh]],0)</f>
        <v>0.88864415839074939</v>
      </c>
      <c r="K3060" t="str">
        <f>IF(Table4[[#This Row],[Performance_Ratio]] &lt; 0.85, "Underperforming", "Performing")</f>
        <v>Performing</v>
      </c>
      <c r="L3060">
        <f>Table4[[#This Row],[energy_kwh]] - Table4[[#This Row],[expected_kwh]]</f>
        <v>-115.72438523208803</v>
      </c>
      <c r="M3060" t="str">
        <f>IF(Table4[[#This Row],[Performance_Deviation]] &lt; 0, "Underperforming", "Outperforming")</f>
        <v>Underperforming</v>
      </c>
      <c r="N3060">
        <f>IF(Table4[[#This Row],[Performance_Ratio]] &lt; 0.85, Table4[[#This Row],[Performance_Deviation]] * 50 / 1000, 0)</f>
        <v>0</v>
      </c>
    </row>
    <row r="3061" spans="1:14" x14ac:dyDescent="0.3">
      <c r="A3061" s="6" t="s">
        <v>10</v>
      </c>
      <c r="B3061" s="5">
        <v>45295.458333333336</v>
      </c>
      <c r="C3061" s="6">
        <v>1068.19454095733</v>
      </c>
      <c r="D3061" s="6">
        <v>1010.76919890022</v>
      </c>
      <c r="E3061" s="6">
        <v>1010.76919890022</v>
      </c>
      <c r="F3061" s="6">
        <v>73.443345743544498</v>
      </c>
      <c r="G3061" s="6" t="str">
        <f t="shared" si="94"/>
        <v>OK</v>
      </c>
      <c r="H3061" s="6" t="str">
        <f t="shared" si="95"/>
        <v>NON-ZERO</v>
      </c>
      <c r="I3061">
        <v>1159.1109915468801</v>
      </c>
      <c r="J3061">
        <f>IFERROR(Table4[[#This Row],[energy_kwh]]/Table4[[#This Row],[expected_kwh]],0)</f>
        <v>0.87202106292798409</v>
      </c>
      <c r="K3061" t="str">
        <f>IF(Table4[[#This Row],[Performance_Ratio]] &lt; 0.85, "Underperforming", "Performing")</f>
        <v>Performing</v>
      </c>
      <c r="L3061">
        <f>Table4[[#This Row],[energy_kwh]] - Table4[[#This Row],[expected_kwh]]</f>
        <v>-148.34179264666011</v>
      </c>
      <c r="M3061" t="str">
        <f>IF(Table4[[#This Row],[Performance_Deviation]] &lt; 0, "Underperforming", "Outperforming")</f>
        <v>Underperforming</v>
      </c>
      <c r="N3061">
        <f>IF(Table4[[#This Row],[Performance_Ratio]] &lt; 0.85, Table4[[#This Row],[Performance_Deviation]] * 50 / 1000, 0)</f>
        <v>0</v>
      </c>
    </row>
    <row r="3062" spans="1:14" x14ac:dyDescent="0.3">
      <c r="A3062" s="4" t="s">
        <v>10</v>
      </c>
      <c r="B3062" s="3">
        <v>45295.5</v>
      </c>
      <c r="C3062" s="4">
        <v>1029.8784497992699</v>
      </c>
      <c r="D3062" s="4">
        <v>974.51295223366606</v>
      </c>
      <c r="E3062" s="4">
        <v>974.51295223366606</v>
      </c>
      <c r="F3062" s="4">
        <v>33.0229484469059</v>
      </c>
      <c r="G3062" s="4" t="str">
        <f t="shared" si="94"/>
        <v>OK</v>
      </c>
      <c r="H3062" s="4" t="str">
        <f t="shared" si="95"/>
        <v>NON-ZERO</v>
      </c>
      <c r="I3062">
        <v>1200</v>
      </c>
      <c r="J3062">
        <f>IFERROR(Table4[[#This Row],[energy_kwh]]/Table4[[#This Row],[expected_kwh]],0)</f>
        <v>0.81209412686138838</v>
      </c>
      <c r="K3062" t="str">
        <f>IF(Table4[[#This Row],[Performance_Ratio]] &lt; 0.85, "Underperforming", "Performing")</f>
        <v>Underperforming</v>
      </c>
      <c r="L3062">
        <f>Table4[[#This Row],[energy_kwh]] - Table4[[#This Row],[expected_kwh]]</f>
        <v>-225.48704776633394</v>
      </c>
      <c r="M3062" t="str">
        <f>IF(Table4[[#This Row],[Performance_Deviation]] &lt; 0, "Underperforming", "Outperforming")</f>
        <v>Underperforming</v>
      </c>
      <c r="N3062">
        <f>IF(Table4[[#This Row],[Performance_Ratio]] &lt; 0.85, Table4[[#This Row],[Performance_Deviation]] * 50 / 1000, 0)</f>
        <v>-11.274352388316697</v>
      </c>
    </row>
    <row r="3063" spans="1:14" x14ac:dyDescent="0.3">
      <c r="A3063" s="6" t="s">
        <v>10</v>
      </c>
      <c r="B3063" s="5">
        <v>45295.541666666664</v>
      </c>
      <c r="C3063" s="6">
        <v>1228.43349380529</v>
      </c>
      <c r="D3063" s="6">
        <v>1162.39382512008</v>
      </c>
      <c r="E3063" s="6">
        <v>1162.39382512008</v>
      </c>
      <c r="F3063" s="6">
        <v>26.8437926961683</v>
      </c>
      <c r="G3063" s="6" t="str">
        <f t="shared" si="94"/>
        <v>OK</v>
      </c>
      <c r="H3063" s="6" t="str">
        <f t="shared" si="95"/>
        <v>NON-ZERO</v>
      </c>
      <c r="I3063">
        <v>1159.1109915468801</v>
      </c>
      <c r="J3063">
        <f>IFERROR(Table4[[#This Row],[energy_kwh]]/Table4[[#This Row],[expected_kwh]],0)</f>
        <v>1.0028321995021536</v>
      </c>
      <c r="K3063" t="str">
        <f>IF(Table4[[#This Row],[Performance_Ratio]] &lt; 0.85, "Underperforming", "Performing")</f>
        <v>Performing</v>
      </c>
      <c r="L3063">
        <f>Table4[[#This Row],[energy_kwh]] - Table4[[#This Row],[expected_kwh]]</f>
        <v>3.2828335731999232</v>
      </c>
      <c r="M3063" t="str">
        <f>IF(Table4[[#This Row],[Performance_Deviation]] &lt; 0, "Underperforming", "Outperforming")</f>
        <v>Outperforming</v>
      </c>
      <c r="N3063">
        <f>IF(Table4[[#This Row],[Performance_Ratio]] &lt; 0.85, Table4[[#This Row],[Performance_Deviation]] * 50 / 1000, 0)</f>
        <v>0</v>
      </c>
    </row>
    <row r="3064" spans="1:14" x14ac:dyDescent="0.3">
      <c r="A3064" s="4" t="s">
        <v>10</v>
      </c>
      <c r="B3064" s="3">
        <v>45295.583333333336</v>
      </c>
      <c r="C3064" s="4">
        <v>1131.4190801693501</v>
      </c>
      <c r="D3064" s="4">
        <v>1070.59483402553</v>
      </c>
      <c r="E3064" s="4">
        <v>1070.59483402553</v>
      </c>
      <c r="F3064" s="4">
        <v>60.683435455790502</v>
      </c>
      <c r="G3064" s="4" t="str">
        <f t="shared" si="94"/>
        <v>OK</v>
      </c>
      <c r="H3064" s="4" t="str">
        <f t="shared" si="95"/>
        <v>NON-ZERO</v>
      </c>
      <c r="I3064">
        <v>1039.23048454132</v>
      </c>
      <c r="J3064">
        <f>IFERROR(Table4[[#This Row],[energy_kwh]]/Table4[[#This Row],[expected_kwh]],0)</f>
        <v>1.030180359362777</v>
      </c>
      <c r="K3064" t="str">
        <f>IF(Table4[[#This Row],[Performance_Ratio]] &lt; 0.85, "Underperforming", "Performing")</f>
        <v>Performing</v>
      </c>
      <c r="L3064">
        <f>Table4[[#This Row],[energy_kwh]] - Table4[[#This Row],[expected_kwh]]</f>
        <v>31.364349484209924</v>
      </c>
      <c r="M3064" t="str">
        <f>IF(Table4[[#This Row],[Performance_Deviation]] &lt; 0, "Underperforming", "Outperforming")</f>
        <v>Outperforming</v>
      </c>
      <c r="N3064">
        <f>IF(Table4[[#This Row],[Performance_Ratio]] &lt; 0.85, Table4[[#This Row],[Performance_Deviation]] * 50 / 1000, 0)</f>
        <v>0</v>
      </c>
    </row>
    <row r="3065" spans="1:14" x14ac:dyDescent="0.3">
      <c r="A3065" s="6" t="s">
        <v>10</v>
      </c>
      <c r="B3065" s="5">
        <v>45295.625</v>
      </c>
      <c r="C3065" s="6">
        <v>714.65062682048006</v>
      </c>
      <c r="D3065" s="6">
        <v>676.23154197876602</v>
      </c>
      <c r="E3065" s="6">
        <v>676.23154197876602</v>
      </c>
      <c r="F3065" s="6">
        <v>69.112351879550204</v>
      </c>
      <c r="G3065" s="6" t="str">
        <f t="shared" si="94"/>
        <v>OK</v>
      </c>
      <c r="H3065" s="6" t="str">
        <f t="shared" si="95"/>
        <v>NON-ZERO</v>
      </c>
      <c r="I3065">
        <v>848.52813742385695</v>
      </c>
      <c r="J3065">
        <f>IFERROR(Table4[[#This Row],[energy_kwh]]/Table4[[#This Row],[expected_kwh]],0)</f>
        <v>0.79694651497570168</v>
      </c>
      <c r="K3065" t="str">
        <f>IF(Table4[[#This Row],[Performance_Ratio]] &lt; 0.85, "Underperforming", "Performing")</f>
        <v>Underperforming</v>
      </c>
      <c r="L3065">
        <f>Table4[[#This Row],[energy_kwh]] - Table4[[#This Row],[expected_kwh]]</f>
        <v>-172.29659544509093</v>
      </c>
      <c r="M3065" t="str">
        <f>IF(Table4[[#This Row],[Performance_Deviation]] &lt; 0, "Underperforming", "Outperforming")</f>
        <v>Underperforming</v>
      </c>
      <c r="N3065">
        <f>IF(Table4[[#This Row],[Performance_Ratio]] &lt; 0.85, Table4[[#This Row],[Performance_Deviation]] * 50 / 1000, 0)</f>
        <v>-8.6148297722545468</v>
      </c>
    </row>
    <row r="3066" spans="1:14" x14ac:dyDescent="0.3">
      <c r="A3066" s="4" t="s">
        <v>10</v>
      </c>
      <c r="B3066" s="3">
        <v>45295.666666666664</v>
      </c>
      <c r="C3066" s="4">
        <v>530.31546956357795</v>
      </c>
      <c r="D3066" s="4">
        <v>501.80610533243902</v>
      </c>
      <c r="E3066" s="4">
        <v>501.80610533243902</v>
      </c>
      <c r="F3066" s="4">
        <v>62.363687824967997</v>
      </c>
      <c r="G3066" s="4" t="str">
        <f t="shared" si="94"/>
        <v>OK</v>
      </c>
      <c r="H3066" s="4" t="str">
        <f t="shared" si="95"/>
        <v>NON-ZERO</v>
      </c>
      <c r="I3066">
        <v>600</v>
      </c>
      <c r="J3066">
        <f>IFERROR(Table4[[#This Row],[energy_kwh]]/Table4[[#This Row],[expected_kwh]],0)</f>
        <v>0.83634350888739839</v>
      </c>
      <c r="K3066" t="str">
        <f>IF(Table4[[#This Row],[Performance_Ratio]] &lt; 0.85, "Underperforming", "Performing")</f>
        <v>Underperforming</v>
      </c>
      <c r="L3066">
        <f>Table4[[#This Row],[energy_kwh]] - Table4[[#This Row],[expected_kwh]]</f>
        <v>-98.193894667560983</v>
      </c>
      <c r="M3066" t="str">
        <f>IF(Table4[[#This Row],[Performance_Deviation]] &lt; 0, "Underperforming", "Outperforming")</f>
        <v>Underperforming</v>
      </c>
      <c r="N3066">
        <f>IF(Table4[[#This Row],[Performance_Ratio]] &lt; 0.85, Table4[[#This Row],[Performance_Deviation]] * 50 / 1000, 0)</f>
        <v>-4.909694733378049</v>
      </c>
    </row>
    <row r="3067" spans="1:14" x14ac:dyDescent="0.3">
      <c r="A3067" s="6" t="s">
        <v>10</v>
      </c>
      <c r="B3067" s="5">
        <v>45295.708333333336</v>
      </c>
      <c r="C3067" s="6">
        <v>297.748656009694</v>
      </c>
      <c r="D3067" s="6">
        <v>281.74191026928099</v>
      </c>
      <c r="E3067" s="6">
        <v>281.74191026928099</v>
      </c>
      <c r="F3067" s="6">
        <v>70.119457790612998</v>
      </c>
      <c r="G3067" s="6" t="str">
        <f t="shared" si="94"/>
        <v>OK</v>
      </c>
      <c r="H3067" s="6" t="str">
        <f t="shared" si="95"/>
        <v>NON-ZERO</v>
      </c>
      <c r="I3067">
        <v>310.58285412302502</v>
      </c>
      <c r="J3067">
        <f>IFERROR(Table4[[#This Row],[energy_kwh]]/Table4[[#This Row],[expected_kwh]],0)</f>
        <v>0.90713929159038564</v>
      </c>
      <c r="K3067" t="str">
        <f>IF(Table4[[#This Row],[Performance_Ratio]] &lt; 0.85, "Underperforming", "Performing")</f>
        <v>Performing</v>
      </c>
      <c r="L3067">
        <f>Table4[[#This Row],[energy_kwh]] - Table4[[#This Row],[expected_kwh]]</f>
        <v>-28.840943853744022</v>
      </c>
      <c r="M3067" t="str">
        <f>IF(Table4[[#This Row],[Performance_Deviation]] &lt; 0, "Underperforming", "Outperforming")</f>
        <v>Underperforming</v>
      </c>
      <c r="N3067">
        <f>IF(Table4[[#This Row],[Performance_Ratio]] &lt; 0.85, Table4[[#This Row],[Performance_Deviation]] * 50 / 1000, 0)</f>
        <v>0</v>
      </c>
    </row>
    <row r="3068" spans="1:14" x14ac:dyDescent="0.3">
      <c r="A3068" s="4" t="s">
        <v>10</v>
      </c>
      <c r="B3068" s="3">
        <v>45295.75</v>
      </c>
      <c r="C3068" s="7">
        <v>1.43955030176921E-13</v>
      </c>
      <c r="D3068" s="7">
        <v>1.3621611509002801E-13</v>
      </c>
      <c r="E3068" s="7">
        <v>1.3621611509002801E-13</v>
      </c>
      <c r="F3068" s="4">
        <v>94.628956435943493</v>
      </c>
      <c r="G3068" s="4" t="str">
        <f t="shared" si="94"/>
        <v>OK</v>
      </c>
      <c r="H3068" s="4" t="str">
        <f t="shared" si="95"/>
        <v>NON-ZERO</v>
      </c>
      <c r="I3068" s="2">
        <v>1.46957615897682E-13</v>
      </c>
      <c r="J3068">
        <f>IFERROR(Table4[[#This Row],[energy_kwh]]/Table4[[#This Row],[expected_kwh]],0)</f>
        <v>0.92690749137402539</v>
      </c>
      <c r="K3068" t="str">
        <f>IF(Table4[[#This Row],[Performance_Ratio]] &lt; 0.85, "Underperforming", "Performing")</f>
        <v>Performing</v>
      </c>
      <c r="L3068">
        <f>Table4[[#This Row],[energy_kwh]] - Table4[[#This Row],[expected_kwh]]</f>
        <v>-1.0741500807653991E-14</v>
      </c>
      <c r="M3068" t="str">
        <f>IF(Table4[[#This Row],[Performance_Deviation]] &lt; 0, "Underperforming", "Outperforming")</f>
        <v>Underperforming</v>
      </c>
      <c r="N3068">
        <f>IF(Table4[[#This Row],[Performance_Ratio]] &lt; 0.85, Table4[[#This Row],[Performance_Deviation]] * 50 / 1000, 0)</f>
        <v>0</v>
      </c>
    </row>
    <row r="3069" spans="1:14" x14ac:dyDescent="0.3">
      <c r="A3069" s="6" t="s">
        <v>10</v>
      </c>
      <c r="B3069" s="5">
        <v>45295.791666666664</v>
      </c>
      <c r="C3069" s="6">
        <v>0</v>
      </c>
      <c r="D3069" s="6">
        <v>0</v>
      </c>
      <c r="E3069" s="6">
        <v>0</v>
      </c>
      <c r="F3069" s="6">
        <v>86.407907327172893</v>
      </c>
      <c r="G3069" s="6" t="str">
        <f t="shared" si="94"/>
        <v>OK</v>
      </c>
      <c r="H3069" s="6" t="str">
        <f t="shared" si="95"/>
        <v>ZERO</v>
      </c>
      <c r="I3069">
        <v>0</v>
      </c>
      <c r="J3069">
        <f>IFERROR(Table4[[#This Row],[energy_kwh]]/Table4[[#This Row],[expected_kwh]],0)</f>
        <v>0</v>
      </c>
      <c r="K3069" t="str">
        <f>IF(Table4[[#This Row],[Performance_Ratio]] &lt; 0.85, "Underperforming", "Performing")</f>
        <v>Underperforming</v>
      </c>
      <c r="L3069">
        <f>Table4[[#This Row],[energy_kwh]] - Table4[[#This Row],[expected_kwh]]</f>
        <v>0</v>
      </c>
      <c r="M3069" t="str">
        <f>IF(Table4[[#This Row],[Performance_Deviation]] &lt; 0, "Underperforming", "Outperforming")</f>
        <v>Outperforming</v>
      </c>
      <c r="N3069">
        <f>IF(Table4[[#This Row],[Performance_Ratio]] &lt; 0.85, Table4[[#This Row],[Performance_Deviation]] * 50 / 1000, 0)</f>
        <v>0</v>
      </c>
    </row>
    <row r="3070" spans="1:14" x14ac:dyDescent="0.3">
      <c r="A3070" s="4" t="s">
        <v>10</v>
      </c>
      <c r="B3070" s="3">
        <v>45295.833333333336</v>
      </c>
      <c r="C3070" s="4">
        <v>0</v>
      </c>
      <c r="D3070" s="4">
        <v>0</v>
      </c>
      <c r="E3070" s="4">
        <v>0</v>
      </c>
      <c r="F3070" s="4">
        <v>74.505542392198905</v>
      </c>
      <c r="G3070" s="4" t="str">
        <f t="shared" si="94"/>
        <v>OK</v>
      </c>
      <c r="H3070" s="4" t="str">
        <f t="shared" si="95"/>
        <v>ZERO</v>
      </c>
      <c r="I3070">
        <v>0</v>
      </c>
      <c r="J3070">
        <f>IFERROR(Table4[[#This Row],[energy_kwh]]/Table4[[#This Row],[expected_kwh]],0)</f>
        <v>0</v>
      </c>
      <c r="K3070" t="str">
        <f>IF(Table4[[#This Row],[Performance_Ratio]] &lt; 0.85, "Underperforming", "Performing")</f>
        <v>Underperforming</v>
      </c>
      <c r="L3070">
        <f>Table4[[#This Row],[energy_kwh]] - Table4[[#This Row],[expected_kwh]]</f>
        <v>0</v>
      </c>
      <c r="M3070" t="str">
        <f>IF(Table4[[#This Row],[Performance_Deviation]] &lt; 0, "Underperforming", "Outperforming")</f>
        <v>Outperforming</v>
      </c>
      <c r="N3070">
        <f>IF(Table4[[#This Row],[Performance_Ratio]] &lt; 0.85, Table4[[#This Row],[Performance_Deviation]] * 50 / 1000, 0)</f>
        <v>0</v>
      </c>
    </row>
    <row r="3071" spans="1:14" x14ac:dyDescent="0.3">
      <c r="A3071" s="6" t="s">
        <v>10</v>
      </c>
      <c r="B3071" s="5">
        <v>45295.875</v>
      </c>
      <c r="C3071" s="6">
        <v>0</v>
      </c>
      <c r="D3071" s="6">
        <v>0</v>
      </c>
      <c r="E3071" s="6">
        <v>0</v>
      </c>
      <c r="F3071" s="6">
        <v>73.688751164510805</v>
      </c>
      <c r="G3071" s="6" t="str">
        <f t="shared" si="94"/>
        <v>OK</v>
      </c>
      <c r="H3071" s="6" t="str">
        <f t="shared" si="95"/>
        <v>ZERO</v>
      </c>
      <c r="I3071">
        <v>0</v>
      </c>
      <c r="J3071">
        <f>IFERROR(Table4[[#This Row],[energy_kwh]]/Table4[[#This Row],[expected_kwh]],0)</f>
        <v>0</v>
      </c>
      <c r="K3071" t="str">
        <f>IF(Table4[[#This Row],[Performance_Ratio]] &lt; 0.85, "Underperforming", "Performing")</f>
        <v>Underperforming</v>
      </c>
      <c r="L3071">
        <f>Table4[[#This Row],[energy_kwh]] - Table4[[#This Row],[expected_kwh]]</f>
        <v>0</v>
      </c>
      <c r="M3071" t="str">
        <f>IF(Table4[[#This Row],[Performance_Deviation]] &lt; 0, "Underperforming", "Outperforming")</f>
        <v>Outperforming</v>
      </c>
      <c r="N3071">
        <f>IF(Table4[[#This Row],[Performance_Ratio]] &lt; 0.85, Table4[[#This Row],[Performance_Deviation]] * 50 / 1000, 0)</f>
        <v>0</v>
      </c>
    </row>
    <row r="3072" spans="1:14" x14ac:dyDescent="0.3">
      <c r="A3072" s="4" t="s">
        <v>10</v>
      </c>
      <c r="B3072" s="3">
        <v>45295.916666666664</v>
      </c>
      <c r="C3072" s="4">
        <v>0</v>
      </c>
      <c r="D3072" s="4">
        <v>0</v>
      </c>
      <c r="E3072" s="4">
        <v>0</v>
      </c>
      <c r="F3072" s="4">
        <v>46.298696221551303</v>
      </c>
      <c r="G3072" s="4" t="str">
        <f t="shared" si="94"/>
        <v>OK</v>
      </c>
      <c r="H3072" s="4" t="str">
        <f t="shared" si="95"/>
        <v>ZERO</v>
      </c>
      <c r="I3072">
        <v>0</v>
      </c>
      <c r="J3072">
        <f>IFERROR(Table4[[#This Row],[energy_kwh]]/Table4[[#This Row],[expected_kwh]],0)</f>
        <v>0</v>
      </c>
      <c r="K3072" t="str">
        <f>IF(Table4[[#This Row],[Performance_Ratio]] &lt; 0.85, "Underperforming", "Performing")</f>
        <v>Underperforming</v>
      </c>
      <c r="L3072">
        <f>Table4[[#This Row],[energy_kwh]] - Table4[[#This Row],[expected_kwh]]</f>
        <v>0</v>
      </c>
      <c r="M3072" t="str">
        <f>IF(Table4[[#This Row],[Performance_Deviation]] &lt; 0, "Underperforming", "Outperforming")</f>
        <v>Outperforming</v>
      </c>
      <c r="N3072">
        <f>IF(Table4[[#This Row],[Performance_Ratio]] &lt; 0.85, Table4[[#This Row],[Performance_Deviation]] * 50 / 1000, 0)</f>
        <v>0</v>
      </c>
    </row>
    <row r="3073" spans="1:14" x14ac:dyDescent="0.3">
      <c r="A3073" s="6" t="s">
        <v>10</v>
      </c>
      <c r="B3073" s="5">
        <v>45295.958333333336</v>
      </c>
      <c r="C3073" s="6">
        <v>0</v>
      </c>
      <c r="D3073" s="6">
        <v>0</v>
      </c>
      <c r="E3073" s="6">
        <v>0</v>
      </c>
      <c r="F3073" s="6">
        <v>33.464621937025001</v>
      </c>
      <c r="G3073" s="6" t="str">
        <f t="shared" si="94"/>
        <v>OK</v>
      </c>
      <c r="H3073" s="6" t="str">
        <f t="shared" si="95"/>
        <v>ZERO</v>
      </c>
      <c r="I3073">
        <v>0</v>
      </c>
      <c r="J3073">
        <f>IFERROR(Table4[[#This Row],[energy_kwh]]/Table4[[#This Row],[expected_kwh]],0)</f>
        <v>0</v>
      </c>
      <c r="K3073" t="str">
        <f>IF(Table4[[#This Row],[Performance_Ratio]] &lt; 0.85, "Underperforming", "Performing")</f>
        <v>Underperforming</v>
      </c>
      <c r="L3073">
        <f>Table4[[#This Row],[energy_kwh]] - Table4[[#This Row],[expected_kwh]]</f>
        <v>0</v>
      </c>
      <c r="M3073" t="str">
        <f>IF(Table4[[#This Row],[Performance_Deviation]] &lt; 0, "Underperforming", "Outperforming")</f>
        <v>Outperforming</v>
      </c>
      <c r="N3073">
        <f>IF(Table4[[#This Row],[Performance_Ratio]] &lt; 0.85, Table4[[#This Row],[Performance_Deviation]] * 50 / 1000, 0)</f>
        <v>0</v>
      </c>
    </row>
    <row r="3074" spans="1:14" x14ac:dyDescent="0.3">
      <c r="A3074" s="4" t="s">
        <v>10</v>
      </c>
      <c r="B3074" s="3">
        <v>45296</v>
      </c>
      <c r="C3074" s="4">
        <v>0</v>
      </c>
      <c r="D3074" s="4">
        <v>0</v>
      </c>
      <c r="E3074" s="4">
        <v>0</v>
      </c>
      <c r="F3074" s="4">
        <v>27.429232566199001</v>
      </c>
      <c r="G3074" s="4" t="str">
        <f t="shared" ref="G3074:G3137" si="96">IF(D3074 &gt; C3074, "ERROR", "OK")</f>
        <v>OK</v>
      </c>
      <c r="H3074" s="4" t="str">
        <f t="shared" ref="H3074:H3137" si="97">IF(E3074=0,"ZERO","NON-ZERO")</f>
        <v>ZERO</v>
      </c>
      <c r="I3074">
        <v>0</v>
      </c>
      <c r="J3074">
        <f>IFERROR(Table4[[#This Row],[energy_kwh]]/Table4[[#This Row],[expected_kwh]],0)</f>
        <v>0</v>
      </c>
      <c r="K3074" t="str">
        <f>IF(Table4[[#This Row],[Performance_Ratio]] &lt; 0.85, "Underperforming", "Performing")</f>
        <v>Underperforming</v>
      </c>
      <c r="L3074">
        <f>Table4[[#This Row],[energy_kwh]] - Table4[[#This Row],[expected_kwh]]</f>
        <v>0</v>
      </c>
      <c r="M3074" t="str">
        <f>IF(Table4[[#This Row],[Performance_Deviation]] &lt; 0, "Underperforming", "Outperforming")</f>
        <v>Outperforming</v>
      </c>
      <c r="N3074">
        <f>IF(Table4[[#This Row],[Performance_Ratio]] &lt; 0.85, Table4[[#This Row],[Performance_Deviation]] * 50 / 1000, 0)</f>
        <v>0</v>
      </c>
    </row>
    <row r="3075" spans="1:14" x14ac:dyDescent="0.3">
      <c r="A3075" s="6" t="s">
        <v>10</v>
      </c>
      <c r="B3075" s="5">
        <v>45296.041666666664</v>
      </c>
      <c r="C3075" s="6">
        <v>0</v>
      </c>
      <c r="D3075" s="6">
        <v>0</v>
      </c>
      <c r="E3075" s="6">
        <v>0</v>
      </c>
      <c r="F3075" s="6">
        <v>49.675243557223702</v>
      </c>
      <c r="G3075" s="6" t="str">
        <f t="shared" si="96"/>
        <v>OK</v>
      </c>
      <c r="H3075" s="6" t="str">
        <f t="shared" si="97"/>
        <v>ZERO</v>
      </c>
      <c r="I3075">
        <v>0</v>
      </c>
      <c r="J3075">
        <f>IFERROR(Table4[[#This Row],[energy_kwh]]/Table4[[#This Row],[expected_kwh]],0)</f>
        <v>0</v>
      </c>
      <c r="K3075" t="str">
        <f>IF(Table4[[#This Row],[Performance_Ratio]] &lt; 0.85, "Underperforming", "Performing")</f>
        <v>Underperforming</v>
      </c>
      <c r="L3075">
        <f>Table4[[#This Row],[energy_kwh]] - Table4[[#This Row],[expected_kwh]]</f>
        <v>0</v>
      </c>
      <c r="M3075" t="str">
        <f>IF(Table4[[#This Row],[Performance_Deviation]] &lt; 0, "Underperforming", "Outperforming")</f>
        <v>Outperforming</v>
      </c>
      <c r="N3075">
        <f>IF(Table4[[#This Row],[Performance_Ratio]] &lt; 0.85, Table4[[#This Row],[Performance_Deviation]] * 50 / 1000, 0)</f>
        <v>0</v>
      </c>
    </row>
    <row r="3076" spans="1:14" x14ac:dyDescent="0.3">
      <c r="A3076" s="4" t="s">
        <v>10</v>
      </c>
      <c r="B3076" s="3">
        <v>45296.083333333336</v>
      </c>
      <c r="C3076" s="4">
        <v>0</v>
      </c>
      <c r="D3076" s="4">
        <v>0</v>
      </c>
      <c r="E3076" s="4">
        <v>0</v>
      </c>
      <c r="F3076" s="4">
        <v>52.567752245854599</v>
      </c>
      <c r="G3076" s="4" t="str">
        <f t="shared" si="96"/>
        <v>OK</v>
      </c>
      <c r="H3076" s="4" t="str">
        <f t="shared" si="97"/>
        <v>ZERO</v>
      </c>
      <c r="I3076">
        <v>0</v>
      </c>
      <c r="J3076">
        <f>IFERROR(Table4[[#This Row],[energy_kwh]]/Table4[[#This Row],[expected_kwh]],0)</f>
        <v>0</v>
      </c>
      <c r="K3076" t="str">
        <f>IF(Table4[[#This Row],[Performance_Ratio]] &lt; 0.85, "Underperforming", "Performing")</f>
        <v>Underperforming</v>
      </c>
      <c r="L3076">
        <f>Table4[[#This Row],[energy_kwh]] - Table4[[#This Row],[expected_kwh]]</f>
        <v>0</v>
      </c>
      <c r="M3076" t="str">
        <f>IF(Table4[[#This Row],[Performance_Deviation]] &lt; 0, "Underperforming", "Outperforming")</f>
        <v>Outperforming</v>
      </c>
      <c r="N3076">
        <f>IF(Table4[[#This Row],[Performance_Ratio]] &lt; 0.85, Table4[[#This Row],[Performance_Deviation]] * 50 / 1000, 0)</f>
        <v>0</v>
      </c>
    </row>
    <row r="3077" spans="1:14" x14ac:dyDescent="0.3">
      <c r="A3077" s="6" t="s">
        <v>10</v>
      </c>
      <c r="B3077" s="5">
        <v>45296.125</v>
      </c>
      <c r="C3077" s="6">
        <v>0</v>
      </c>
      <c r="D3077" s="6">
        <v>0</v>
      </c>
      <c r="E3077" s="6">
        <v>0</v>
      </c>
      <c r="F3077" s="6">
        <v>36.452604879895198</v>
      </c>
      <c r="G3077" s="6" t="str">
        <f t="shared" si="96"/>
        <v>OK</v>
      </c>
      <c r="H3077" s="6" t="str">
        <f t="shared" si="97"/>
        <v>ZERO</v>
      </c>
      <c r="I3077">
        <v>0</v>
      </c>
      <c r="J3077">
        <f>IFERROR(Table4[[#This Row],[energy_kwh]]/Table4[[#This Row],[expected_kwh]],0)</f>
        <v>0</v>
      </c>
      <c r="K3077" t="str">
        <f>IF(Table4[[#This Row],[Performance_Ratio]] &lt; 0.85, "Underperforming", "Performing")</f>
        <v>Underperforming</v>
      </c>
      <c r="L3077">
        <f>Table4[[#This Row],[energy_kwh]] - Table4[[#This Row],[expected_kwh]]</f>
        <v>0</v>
      </c>
      <c r="M3077" t="str">
        <f>IF(Table4[[#This Row],[Performance_Deviation]] &lt; 0, "Underperforming", "Outperforming")</f>
        <v>Outperforming</v>
      </c>
      <c r="N3077">
        <f>IF(Table4[[#This Row],[Performance_Ratio]] &lt; 0.85, Table4[[#This Row],[Performance_Deviation]] * 50 / 1000, 0)</f>
        <v>0</v>
      </c>
    </row>
    <row r="3078" spans="1:14" x14ac:dyDescent="0.3">
      <c r="A3078" s="4" t="s">
        <v>10</v>
      </c>
      <c r="B3078" s="3">
        <v>45296.166666666664</v>
      </c>
      <c r="C3078" s="4">
        <v>0</v>
      </c>
      <c r="D3078" s="4">
        <v>0</v>
      </c>
      <c r="E3078" s="4">
        <v>0</v>
      </c>
      <c r="F3078" s="4">
        <v>55.290611453448101</v>
      </c>
      <c r="G3078" s="4" t="str">
        <f t="shared" si="96"/>
        <v>OK</v>
      </c>
      <c r="H3078" s="4" t="str">
        <f t="shared" si="97"/>
        <v>ZERO</v>
      </c>
      <c r="I3078">
        <v>0</v>
      </c>
      <c r="J3078">
        <f>IFERROR(Table4[[#This Row],[energy_kwh]]/Table4[[#This Row],[expected_kwh]],0)</f>
        <v>0</v>
      </c>
      <c r="K3078" t="str">
        <f>IF(Table4[[#This Row],[Performance_Ratio]] &lt; 0.85, "Underperforming", "Performing")</f>
        <v>Underperforming</v>
      </c>
      <c r="L3078">
        <f>Table4[[#This Row],[energy_kwh]] - Table4[[#This Row],[expected_kwh]]</f>
        <v>0</v>
      </c>
      <c r="M3078" t="str">
        <f>IF(Table4[[#This Row],[Performance_Deviation]] &lt; 0, "Underperforming", "Outperforming")</f>
        <v>Outperforming</v>
      </c>
      <c r="N3078">
        <f>IF(Table4[[#This Row],[Performance_Ratio]] &lt; 0.85, Table4[[#This Row],[Performance_Deviation]] * 50 / 1000, 0)</f>
        <v>0</v>
      </c>
    </row>
    <row r="3079" spans="1:14" x14ac:dyDescent="0.3">
      <c r="A3079" s="6" t="s">
        <v>10</v>
      </c>
      <c r="B3079" s="5">
        <v>45296.208333333336</v>
      </c>
      <c r="C3079" s="6">
        <v>0</v>
      </c>
      <c r="D3079" s="6">
        <v>0</v>
      </c>
      <c r="E3079" s="6">
        <v>0</v>
      </c>
      <c r="F3079" s="6">
        <v>28.370239958891801</v>
      </c>
      <c r="G3079" s="6" t="str">
        <f t="shared" si="96"/>
        <v>OK</v>
      </c>
      <c r="H3079" s="6" t="str">
        <f t="shared" si="97"/>
        <v>ZERO</v>
      </c>
      <c r="I3079">
        <v>0</v>
      </c>
      <c r="J3079">
        <f>IFERROR(Table4[[#This Row],[energy_kwh]]/Table4[[#This Row],[expected_kwh]],0)</f>
        <v>0</v>
      </c>
      <c r="K3079" t="str">
        <f>IF(Table4[[#This Row],[Performance_Ratio]] &lt; 0.85, "Underperforming", "Performing")</f>
        <v>Underperforming</v>
      </c>
      <c r="L3079">
        <f>Table4[[#This Row],[energy_kwh]] - Table4[[#This Row],[expected_kwh]]</f>
        <v>0</v>
      </c>
      <c r="M3079" t="str">
        <f>IF(Table4[[#This Row],[Performance_Deviation]] &lt; 0, "Underperforming", "Outperforming")</f>
        <v>Outperforming</v>
      </c>
      <c r="N3079">
        <f>IF(Table4[[#This Row],[Performance_Ratio]] &lt; 0.85, Table4[[#This Row],[Performance_Deviation]] * 50 / 1000, 0)</f>
        <v>0</v>
      </c>
    </row>
    <row r="3080" spans="1:14" x14ac:dyDescent="0.3">
      <c r="A3080" s="4" t="s">
        <v>10</v>
      </c>
      <c r="B3080" s="3">
        <v>45296.25</v>
      </c>
      <c r="C3080" s="4">
        <v>0</v>
      </c>
      <c r="D3080" s="4">
        <v>0</v>
      </c>
      <c r="E3080" s="4">
        <v>0</v>
      </c>
      <c r="F3080" s="4">
        <v>90.137150806008293</v>
      </c>
      <c r="G3080" s="4" t="str">
        <f t="shared" si="96"/>
        <v>OK</v>
      </c>
      <c r="H3080" s="4" t="str">
        <f t="shared" si="97"/>
        <v>ZERO</v>
      </c>
      <c r="I3080">
        <v>0</v>
      </c>
      <c r="J3080">
        <f>IFERROR(Table4[[#This Row],[energy_kwh]]/Table4[[#This Row],[expected_kwh]],0)</f>
        <v>0</v>
      </c>
      <c r="K3080" t="str">
        <f>IF(Table4[[#This Row],[Performance_Ratio]] &lt; 0.85, "Underperforming", "Performing")</f>
        <v>Underperforming</v>
      </c>
      <c r="L3080">
        <f>Table4[[#This Row],[energy_kwh]] - Table4[[#This Row],[expected_kwh]]</f>
        <v>0</v>
      </c>
      <c r="M3080" t="str">
        <f>IF(Table4[[#This Row],[Performance_Deviation]] &lt; 0, "Underperforming", "Outperforming")</f>
        <v>Outperforming</v>
      </c>
      <c r="N3080">
        <f>IF(Table4[[#This Row],[Performance_Ratio]] &lt; 0.85, Table4[[#This Row],[Performance_Deviation]] * 50 / 1000, 0)</f>
        <v>0</v>
      </c>
    </row>
    <row r="3081" spans="1:14" x14ac:dyDescent="0.3">
      <c r="A3081" s="6" t="s">
        <v>10</v>
      </c>
      <c r="B3081" s="5">
        <v>45296.291666666664</v>
      </c>
      <c r="C3081" s="6">
        <v>265.28561887777101</v>
      </c>
      <c r="D3081" s="6">
        <v>251.02406180855399</v>
      </c>
      <c r="E3081" s="6">
        <v>251.02406180855399</v>
      </c>
      <c r="F3081" s="6">
        <v>82.817205100724294</v>
      </c>
      <c r="G3081" s="6" t="str">
        <f t="shared" si="96"/>
        <v>OK</v>
      </c>
      <c r="H3081" s="6" t="str">
        <f t="shared" si="97"/>
        <v>NON-ZERO</v>
      </c>
      <c r="I3081">
        <v>310.58285412302399</v>
      </c>
      <c r="J3081">
        <f>IFERROR(Table4[[#This Row],[energy_kwh]]/Table4[[#This Row],[expected_kwh]],0)</f>
        <v>0.80823541440288793</v>
      </c>
      <c r="K3081" t="str">
        <f>IF(Table4[[#This Row],[Performance_Ratio]] &lt; 0.85, "Underperforming", "Performing")</f>
        <v>Underperforming</v>
      </c>
      <c r="L3081">
        <f>Table4[[#This Row],[energy_kwh]] - Table4[[#This Row],[expected_kwh]]</f>
        <v>-59.558792314469997</v>
      </c>
      <c r="M3081" t="str">
        <f>IF(Table4[[#This Row],[Performance_Deviation]] &lt; 0, "Underperforming", "Outperforming")</f>
        <v>Underperforming</v>
      </c>
      <c r="N3081">
        <f>IF(Table4[[#This Row],[Performance_Ratio]] &lt; 0.85, Table4[[#This Row],[Performance_Deviation]] * 50 / 1000, 0)</f>
        <v>-2.9779396157234994</v>
      </c>
    </row>
    <row r="3082" spans="1:14" x14ac:dyDescent="0.3">
      <c r="A3082" s="4" t="s">
        <v>10</v>
      </c>
      <c r="B3082" s="3">
        <v>45296.333333333336</v>
      </c>
      <c r="C3082" s="4">
        <v>543.61010494723803</v>
      </c>
      <c r="D3082" s="4">
        <v>514.38603103058995</v>
      </c>
      <c r="E3082" s="4">
        <v>514.38603103058995</v>
      </c>
      <c r="F3082" s="4">
        <v>83.748182533219605</v>
      </c>
      <c r="G3082" s="4" t="str">
        <f t="shared" si="96"/>
        <v>OK</v>
      </c>
      <c r="H3082" s="4" t="str">
        <f t="shared" si="97"/>
        <v>NON-ZERO</v>
      </c>
      <c r="I3082">
        <v>600</v>
      </c>
      <c r="J3082">
        <f>IFERROR(Table4[[#This Row],[energy_kwh]]/Table4[[#This Row],[expected_kwh]],0)</f>
        <v>0.85731005171764996</v>
      </c>
      <c r="K3082" t="str">
        <f>IF(Table4[[#This Row],[Performance_Ratio]] &lt; 0.85, "Underperforming", "Performing")</f>
        <v>Performing</v>
      </c>
      <c r="L3082">
        <f>Table4[[#This Row],[energy_kwh]] - Table4[[#This Row],[expected_kwh]]</f>
        <v>-85.613968969410053</v>
      </c>
      <c r="M3082" t="str">
        <f>IF(Table4[[#This Row],[Performance_Deviation]] &lt; 0, "Underperforming", "Outperforming")</f>
        <v>Underperforming</v>
      </c>
      <c r="N3082">
        <f>IF(Table4[[#This Row],[Performance_Ratio]] &lt; 0.85, Table4[[#This Row],[Performance_Deviation]] * 50 / 1000, 0)</f>
        <v>0</v>
      </c>
    </row>
    <row r="3083" spans="1:14" x14ac:dyDescent="0.3">
      <c r="A3083" s="6" t="s">
        <v>10</v>
      </c>
      <c r="B3083" s="5">
        <v>45296.375</v>
      </c>
      <c r="C3083" s="6">
        <v>794.20847721365703</v>
      </c>
      <c r="D3083" s="6">
        <v>751.51242165454698</v>
      </c>
      <c r="E3083" s="6">
        <v>751.51242165454698</v>
      </c>
      <c r="F3083" s="6">
        <v>45.890302327983797</v>
      </c>
      <c r="G3083" s="6" t="str">
        <f t="shared" si="96"/>
        <v>OK</v>
      </c>
      <c r="H3083" s="6" t="str">
        <f t="shared" si="97"/>
        <v>NON-ZERO</v>
      </c>
      <c r="I3083">
        <v>848.52813742385695</v>
      </c>
      <c r="J3083">
        <f>IFERROR(Table4[[#This Row],[energy_kwh]]/Table4[[#This Row],[expected_kwh]],0)</f>
        <v>0.88566588249642375</v>
      </c>
      <c r="K3083" t="str">
        <f>IF(Table4[[#This Row],[Performance_Ratio]] &lt; 0.85, "Underperforming", "Performing")</f>
        <v>Performing</v>
      </c>
      <c r="L3083">
        <f>Table4[[#This Row],[energy_kwh]] - Table4[[#This Row],[expected_kwh]]</f>
        <v>-97.015715769309963</v>
      </c>
      <c r="M3083" t="str">
        <f>IF(Table4[[#This Row],[Performance_Deviation]] &lt; 0, "Underperforming", "Outperforming")</f>
        <v>Underperforming</v>
      </c>
      <c r="N3083">
        <f>IF(Table4[[#This Row],[Performance_Ratio]] &lt; 0.85, Table4[[#This Row],[Performance_Deviation]] * 50 / 1000, 0)</f>
        <v>0</v>
      </c>
    </row>
    <row r="3084" spans="1:14" x14ac:dyDescent="0.3">
      <c r="A3084" s="4" t="s">
        <v>10</v>
      </c>
      <c r="B3084" s="3">
        <v>45296.416666666664</v>
      </c>
      <c r="C3084" s="4">
        <v>1199.4718169314799</v>
      </c>
      <c r="D3084" s="4">
        <v>1134.9891064006599</v>
      </c>
      <c r="E3084" s="4">
        <v>1134.9891064006599</v>
      </c>
      <c r="F3084" s="4">
        <v>88.735126149954198</v>
      </c>
      <c r="G3084" s="4" t="str">
        <f t="shared" si="96"/>
        <v>OK</v>
      </c>
      <c r="H3084" s="4" t="str">
        <f t="shared" si="97"/>
        <v>NON-ZERO</v>
      </c>
      <c r="I3084">
        <v>1039.23048454132</v>
      </c>
      <c r="J3084">
        <f>IFERROR(Table4[[#This Row],[energy_kwh]]/Table4[[#This Row],[expected_kwh]],0)</f>
        <v>1.0921437768461963</v>
      </c>
      <c r="K3084" t="str">
        <f>IF(Table4[[#This Row],[Performance_Ratio]] &lt; 0.85, "Underperforming", "Performing")</f>
        <v>Performing</v>
      </c>
      <c r="L3084">
        <f>Table4[[#This Row],[energy_kwh]] - Table4[[#This Row],[expected_kwh]]</f>
        <v>95.758621859339883</v>
      </c>
      <c r="M3084" t="str">
        <f>IF(Table4[[#This Row],[Performance_Deviation]] &lt; 0, "Underperforming", "Outperforming")</f>
        <v>Outperforming</v>
      </c>
      <c r="N3084">
        <f>IF(Table4[[#This Row],[Performance_Ratio]] &lt; 0.85, Table4[[#This Row],[Performance_Deviation]] * 50 / 1000, 0)</f>
        <v>0</v>
      </c>
    </row>
    <row r="3085" spans="1:14" x14ac:dyDescent="0.3">
      <c r="A3085" s="6" t="s">
        <v>10</v>
      </c>
      <c r="B3085" s="5">
        <v>45296.458333333336</v>
      </c>
      <c r="C3085" s="6">
        <v>1140.00800871361</v>
      </c>
      <c r="D3085" s="6">
        <v>1078.72202817531</v>
      </c>
      <c r="E3085" s="6">
        <v>1078.72202817531</v>
      </c>
      <c r="F3085" s="6">
        <v>31.122630110580999</v>
      </c>
      <c r="G3085" s="6" t="str">
        <f t="shared" si="96"/>
        <v>OK</v>
      </c>
      <c r="H3085" s="6" t="str">
        <f t="shared" si="97"/>
        <v>NON-ZERO</v>
      </c>
      <c r="I3085">
        <v>1159.1109915468801</v>
      </c>
      <c r="J3085">
        <f>IFERROR(Table4[[#This Row],[energy_kwh]]/Table4[[#This Row],[expected_kwh]],0)</f>
        <v>0.93064601754462895</v>
      </c>
      <c r="K3085" t="str">
        <f>IF(Table4[[#This Row],[Performance_Ratio]] &lt; 0.85, "Underperforming", "Performing")</f>
        <v>Performing</v>
      </c>
      <c r="L3085">
        <f>Table4[[#This Row],[energy_kwh]] - Table4[[#This Row],[expected_kwh]]</f>
        <v>-80.388963371570071</v>
      </c>
      <c r="M3085" t="str">
        <f>IF(Table4[[#This Row],[Performance_Deviation]] &lt; 0, "Underperforming", "Outperforming")</f>
        <v>Underperforming</v>
      </c>
      <c r="N3085">
        <f>IF(Table4[[#This Row],[Performance_Ratio]] &lt; 0.85, Table4[[#This Row],[Performance_Deviation]] * 50 / 1000, 0)</f>
        <v>0</v>
      </c>
    </row>
    <row r="3086" spans="1:14" x14ac:dyDescent="0.3">
      <c r="A3086" s="4" t="s">
        <v>10</v>
      </c>
      <c r="B3086" s="3">
        <v>45296.5</v>
      </c>
      <c r="C3086" s="4">
        <v>1175.83697796354</v>
      </c>
      <c r="D3086" s="4">
        <v>1112.6248587530799</v>
      </c>
      <c r="E3086" s="4">
        <v>1112.6248587530799</v>
      </c>
      <c r="F3086" s="4">
        <v>89.487546428316605</v>
      </c>
      <c r="G3086" s="4" t="str">
        <f t="shared" si="96"/>
        <v>OK</v>
      </c>
      <c r="H3086" s="4" t="str">
        <f t="shared" si="97"/>
        <v>NON-ZERO</v>
      </c>
      <c r="I3086">
        <v>1200</v>
      </c>
      <c r="J3086">
        <f>IFERROR(Table4[[#This Row],[energy_kwh]]/Table4[[#This Row],[expected_kwh]],0)</f>
        <v>0.92718738229423325</v>
      </c>
      <c r="K3086" t="str">
        <f>IF(Table4[[#This Row],[Performance_Ratio]] &lt; 0.85, "Underperforming", "Performing")</f>
        <v>Performing</v>
      </c>
      <c r="L3086">
        <f>Table4[[#This Row],[energy_kwh]] - Table4[[#This Row],[expected_kwh]]</f>
        <v>-87.375141246920066</v>
      </c>
      <c r="M3086" t="str">
        <f>IF(Table4[[#This Row],[Performance_Deviation]] &lt; 0, "Underperforming", "Outperforming")</f>
        <v>Underperforming</v>
      </c>
      <c r="N3086">
        <f>IF(Table4[[#This Row],[Performance_Ratio]] &lt; 0.85, Table4[[#This Row],[Performance_Deviation]] * 50 / 1000, 0)</f>
        <v>0</v>
      </c>
    </row>
    <row r="3087" spans="1:14" x14ac:dyDescent="0.3">
      <c r="A3087" s="6" t="s">
        <v>10</v>
      </c>
      <c r="B3087" s="5">
        <v>45296.541666666664</v>
      </c>
      <c r="C3087" s="6">
        <v>1171.3849495081099</v>
      </c>
      <c r="D3087" s="6">
        <v>1108.4121680279</v>
      </c>
      <c r="E3087" s="6">
        <v>1108.4121680279</v>
      </c>
      <c r="F3087" s="6">
        <v>43.510646745057599</v>
      </c>
      <c r="G3087" s="6" t="str">
        <f t="shared" si="96"/>
        <v>OK</v>
      </c>
      <c r="H3087" s="6" t="str">
        <f t="shared" si="97"/>
        <v>NON-ZERO</v>
      </c>
      <c r="I3087">
        <v>1159.1109915468801</v>
      </c>
      <c r="J3087">
        <f>IFERROR(Table4[[#This Row],[energy_kwh]]/Table4[[#This Row],[expected_kwh]],0)</f>
        <v>0.95626059636332106</v>
      </c>
      <c r="K3087" t="str">
        <f>IF(Table4[[#This Row],[Performance_Ratio]] &lt; 0.85, "Underperforming", "Performing")</f>
        <v>Performing</v>
      </c>
      <c r="L3087">
        <f>Table4[[#This Row],[energy_kwh]] - Table4[[#This Row],[expected_kwh]]</f>
        <v>-50.698823518980134</v>
      </c>
      <c r="M3087" t="str">
        <f>IF(Table4[[#This Row],[Performance_Deviation]] &lt; 0, "Underperforming", "Outperforming")</f>
        <v>Underperforming</v>
      </c>
      <c r="N3087">
        <f>IF(Table4[[#This Row],[Performance_Ratio]] &lt; 0.85, Table4[[#This Row],[Performance_Deviation]] * 50 / 1000, 0)</f>
        <v>0</v>
      </c>
    </row>
    <row r="3088" spans="1:14" x14ac:dyDescent="0.3">
      <c r="A3088" s="4" t="s">
        <v>10</v>
      </c>
      <c r="B3088" s="3">
        <v>45296.583333333336</v>
      </c>
      <c r="C3088" s="4">
        <v>1056.59859861214</v>
      </c>
      <c r="D3088" s="4">
        <v>999.79664576937398</v>
      </c>
      <c r="E3088" s="4">
        <v>999.79664576937398</v>
      </c>
      <c r="F3088" s="4">
        <v>93.643833837605996</v>
      </c>
      <c r="G3088" s="4" t="str">
        <f t="shared" si="96"/>
        <v>OK</v>
      </c>
      <c r="H3088" s="4" t="str">
        <f t="shared" si="97"/>
        <v>NON-ZERO</v>
      </c>
      <c r="I3088">
        <v>1039.23048454132</v>
      </c>
      <c r="J3088">
        <f>IFERROR(Table4[[#This Row],[energy_kwh]]/Table4[[#This Row],[expected_kwh]],0)</f>
        <v>0.96205477094972747</v>
      </c>
      <c r="K3088" t="str">
        <f>IF(Table4[[#This Row],[Performance_Ratio]] &lt; 0.85, "Underperforming", "Performing")</f>
        <v>Performing</v>
      </c>
      <c r="L3088">
        <f>Table4[[#This Row],[energy_kwh]] - Table4[[#This Row],[expected_kwh]]</f>
        <v>-39.433838771946057</v>
      </c>
      <c r="M3088" t="str">
        <f>IF(Table4[[#This Row],[Performance_Deviation]] &lt; 0, "Underperforming", "Outperforming")</f>
        <v>Underperforming</v>
      </c>
      <c r="N3088">
        <f>IF(Table4[[#This Row],[Performance_Ratio]] &lt; 0.85, Table4[[#This Row],[Performance_Deviation]] * 50 / 1000, 0)</f>
        <v>0</v>
      </c>
    </row>
    <row r="3089" spans="1:14" x14ac:dyDescent="0.3">
      <c r="A3089" s="6" t="s">
        <v>10</v>
      </c>
      <c r="B3089" s="5">
        <v>45296.625</v>
      </c>
      <c r="C3089" s="6">
        <v>833.61585949279197</v>
      </c>
      <c r="D3089" s="6">
        <v>788.80129244519696</v>
      </c>
      <c r="E3089" s="6">
        <v>788.80129244519696</v>
      </c>
      <c r="F3089" s="6">
        <v>52.907166548872198</v>
      </c>
      <c r="G3089" s="6" t="str">
        <f t="shared" si="96"/>
        <v>OK</v>
      </c>
      <c r="H3089" s="6" t="str">
        <f t="shared" si="97"/>
        <v>NON-ZERO</v>
      </c>
      <c r="I3089">
        <v>848.52813742385695</v>
      </c>
      <c r="J3089">
        <f>IFERROR(Table4[[#This Row],[energy_kwh]]/Table4[[#This Row],[expected_kwh]],0)</f>
        <v>0.9296112381611864</v>
      </c>
      <c r="K3089" t="str">
        <f>IF(Table4[[#This Row],[Performance_Ratio]] &lt; 0.85, "Underperforming", "Performing")</f>
        <v>Performing</v>
      </c>
      <c r="L3089">
        <f>Table4[[#This Row],[energy_kwh]] - Table4[[#This Row],[expected_kwh]]</f>
        <v>-59.726844978659983</v>
      </c>
      <c r="M3089" t="str">
        <f>IF(Table4[[#This Row],[Performance_Deviation]] &lt; 0, "Underperforming", "Outperforming")</f>
        <v>Underperforming</v>
      </c>
      <c r="N3089">
        <f>IF(Table4[[#This Row],[Performance_Ratio]] &lt; 0.85, Table4[[#This Row],[Performance_Deviation]] * 50 / 1000, 0)</f>
        <v>0</v>
      </c>
    </row>
    <row r="3090" spans="1:14" x14ac:dyDescent="0.3">
      <c r="A3090" s="4" t="s">
        <v>10</v>
      </c>
      <c r="B3090" s="3">
        <v>45296.666666666664</v>
      </c>
      <c r="C3090" s="4">
        <v>549.88627006398701</v>
      </c>
      <c r="D3090" s="4">
        <v>520.32479419028198</v>
      </c>
      <c r="E3090" s="4">
        <v>520.32479419028198</v>
      </c>
      <c r="F3090" s="4">
        <v>40.285182921238103</v>
      </c>
      <c r="G3090" s="4" t="str">
        <f t="shared" si="96"/>
        <v>OK</v>
      </c>
      <c r="H3090" s="4" t="str">
        <f t="shared" si="97"/>
        <v>NON-ZERO</v>
      </c>
      <c r="I3090">
        <v>600</v>
      </c>
      <c r="J3090">
        <f>IFERROR(Table4[[#This Row],[energy_kwh]]/Table4[[#This Row],[expected_kwh]],0)</f>
        <v>0.86720799031713658</v>
      </c>
      <c r="K3090" t="str">
        <f>IF(Table4[[#This Row],[Performance_Ratio]] &lt; 0.85, "Underperforming", "Performing")</f>
        <v>Performing</v>
      </c>
      <c r="L3090">
        <f>Table4[[#This Row],[energy_kwh]] - Table4[[#This Row],[expected_kwh]]</f>
        <v>-79.675205809718022</v>
      </c>
      <c r="M3090" t="str">
        <f>IF(Table4[[#This Row],[Performance_Deviation]] &lt; 0, "Underperforming", "Outperforming")</f>
        <v>Underperforming</v>
      </c>
      <c r="N3090">
        <f>IF(Table4[[#This Row],[Performance_Ratio]] &lt; 0.85, Table4[[#This Row],[Performance_Deviation]] * 50 / 1000, 0)</f>
        <v>0</v>
      </c>
    </row>
    <row r="3091" spans="1:14" x14ac:dyDescent="0.3">
      <c r="A3091" s="6" t="s">
        <v>10</v>
      </c>
      <c r="B3091" s="5">
        <v>45296.708333333336</v>
      </c>
      <c r="C3091" s="6">
        <v>263.63994054417998</v>
      </c>
      <c r="D3091" s="6">
        <v>249.46685391513</v>
      </c>
      <c r="E3091" s="6">
        <v>249.46685391513</v>
      </c>
      <c r="F3091" s="6">
        <v>82.058430198471001</v>
      </c>
      <c r="G3091" s="6" t="str">
        <f t="shared" si="96"/>
        <v>OK</v>
      </c>
      <c r="H3091" s="6" t="str">
        <f t="shared" si="97"/>
        <v>NON-ZERO</v>
      </c>
      <c r="I3091">
        <v>310.58285412302502</v>
      </c>
      <c r="J3091">
        <f>IFERROR(Table4[[#This Row],[energy_kwh]]/Table4[[#This Row],[expected_kwh]],0)</f>
        <v>0.80322158999902049</v>
      </c>
      <c r="K3091" t="str">
        <f>IF(Table4[[#This Row],[Performance_Ratio]] &lt; 0.85, "Underperforming", "Performing")</f>
        <v>Underperforming</v>
      </c>
      <c r="L3091">
        <f>Table4[[#This Row],[energy_kwh]] - Table4[[#This Row],[expected_kwh]]</f>
        <v>-61.116000207895013</v>
      </c>
      <c r="M3091" t="str">
        <f>IF(Table4[[#This Row],[Performance_Deviation]] &lt; 0, "Underperforming", "Outperforming")</f>
        <v>Underperforming</v>
      </c>
      <c r="N3091">
        <f>IF(Table4[[#This Row],[Performance_Ratio]] &lt; 0.85, Table4[[#This Row],[Performance_Deviation]] * 50 / 1000, 0)</f>
        <v>-3.0558000103947505</v>
      </c>
    </row>
    <row r="3092" spans="1:14" x14ac:dyDescent="0.3">
      <c r="A3092" s="4" t="s">
        <v>10</v>
      </c>
      <c r="B3092" s="3">
        <v>45296.75</v>
      </c>
      <c r="C3092" s="7">
        <v>1.5046144828119899E-13</v>
      </c>
      <c r="D3092" s="7">
        <v>1.4237275300832E-13</v>
      </c>
      <c r="E3092" s="7">
        <v>1.4237275300832E-13</v>
      </c>
      <c r="F3092" s="4">
        <v>32.733270481859101</v>
      </c>
      <c r="G3092" s="4" t="str">
        <f t="shared" si="96"/>
        <v>OK</v>
      </c>
      <c r="H3092" s="4" t="str">
        <f t="shared" si="97"/>
        <v>NON-ZERO</v>
      </c>
      <c r="I3092" s="2">
        <v>1.46957615897682E-13</v>
      </c>
      <c r="J3092">
        <f>IFERROR(Table4[[#This Row],[energy_kwh]]/Table4[[#This Row],[expected_kwh]],0)</f>
        <v>0.96880146114676924</v>
      </c>
      <c r="K3092" t="str">
        <f>IF(Table4[[#This Row],[Performance_Ratio]] &lt; 0.85, "Underperforming", "Performing")</f>
        <v>Performing</v>
      </c>
      <c r="L3092">
        <f>Table4[[#This Row],[energy_kwh]] - Table4[[#This Row],[expected_kwh]]</f>
        <v>-4.5848628893619989E-15</v>
      </c>
      <c r="M3092" t="str">
        <f>IF(Table4[[#This Row],[Performance_Deviation]] &lt; 0, "Underperforming", "Outperforming")</f>
        <v>Underperforming</v>
      </c>
      <c r="N3092">
        <f>IF(Table4[[#This Row],[Performance_Ratio]] &lt; 0.85, Table4[[#This Row],[Performance_Deviation]] * 50 / 1000, 0)</f>
        <v>0</v>
      </c>
    </row>
    <row r="3093" spans="1:14" x14ac:dyDescent="0.3">
      <c r="A3093" s="6" t="s">
        <v>10</v>
      </c>
      <c r="B3093" s="5">
        <v>45296.791666666664</v>
      </c>
      <c r="C3093" s="6">
        <v>0</v>
      </c>
      <c r="D3093" s="6">
        <v>0</v>
      </c>
      <c r="E3093" s="6">
        <v>0</v>
      </c>
      <c r="F3093" s="6">
        <v>74.662561034172697</v>
      </c>
      <c r="G3093" s="6" t="str">
        <f t="shared" si="96"/>
        <v>OK</v>
      </c>
      <c r="H3093" s="6" t="str">
        <f t="shared" si="97"/>
        <v>ZERO</v>
      </c>
      <c r="I3093">
        <v>0</v>
      </c>
      <c r="J3093">
        <f>IFERROR(Table4[[#This Row],[energy_kwh]]/Table4[[#This Row],[expected_kwh]],0)</f>
        <v>0</v>
      </c>
      <c r="K3093" t="str">
        <f>IF(Table4[[#This Row],[Performance_Ratio]] &lt; 0.85, "Underperforming", "Performing")</f>
        <v>Underperforming</v>
      </c>
      <c r="L3093">
        <f>Table4[[#This Row],[energy_kwh]] - Table4[[#This Row],[expected_kwh]]</f>
        <v>0</v>
      </c>
      <c r="M3093" t="str">
        <f>IF(Table4[[#This Row],[Performance_Deviation]] &lt; 0, "Underperforming", "Outperforming")</f>
        <v>Outperforming</v>
      </c>
      <c r="N3093">
        <f>IF(Table4[[#This Row],[Performance_Ratio]] &lt; 0.85, Table4[[#This Row],[Performance_Deviation]] * 50 / 1000, 0)</f>
        <v>0</v>
      </c>
    </row>
    <row r="3094" spans="1:14" x14ac:dyDescent="0.3">
      <c r="A3094" s="4" t="s">
        <v>10</v>
      </c>
      <c r="B3094" s="3">
        <v>45296.833333333336</v>
      </c>
      <c r="C3094" s="4">
        <v>0</v>
      </c>
      <c r="D3094" s="4">
        <v>0</v>
      </c>
      <c r="E3094" s="4">
        <v>0</v>
      </c>
      <c r="F3094" s="4">
        <v>39.930978213999602</v>
      </c>
      <c r="G3094" s="4" t="str">
        <f t="shared" si="96"/>
        <v>OK</v>
      </c>
      <c r="H3094" s="4" t="str">
        <f t="shared" si="97"/>
        <v>ZERO</v>
      </c>
      <c r="I3094">
        <v>0</v>
      </c>
      <c r="J3094">
        <f>IFERROR(Table4[[#This Row],[energy_kwh]]/Table4[[#This Row],[expected_kwh]],0)</f>
        <v>0</v>
      </c>
      <c r="K3094" t="str">
        <f>IF(Table4[[#This Row],[Performance_Ratio]] &lt; 0.85, "Underperforming", "Performing")</f>
        <v>Underperforming</v>
      </c>
      <c r="L3094">
        <f>Table4[[#This Row],[energy_kwh]] - Table4[[#This Row],[expected_kwh]]</f>
        <v>0</v>
      </c>
      <c r="M3094" t="str">
        <f>IF(Table4[[#This Row],[Performance_Deviation]] &lt; 0, "Underperforming", "Outperforming")</f>
        <v>Outperforming</v>
      </c>
      <c r="N3094">
        <f>IF(Table4[[#This Row],[Performance_Ratio]] &lt; 0.85, Table4[[#This Row],[Performance_Deviation]] * 50 / 1000, 0)</f>
        <v>0</v>
      </c>
    </row>
    <row r="3095" spans="1:14" x14ac:dyDescent="0.3">
      <c r="A3095" s="6" t="s">
        <v>10</v>
      </c>
      <c r="B3095" s="5">
        <v>45296.875</v>
      </c>
      <c r="C3095" s="6">
        <v>0</v>
      </c>
      <c r="D3095" s="6">
        <v>0</v>
      </c>
      <c r="E3095" s="6">
        <v>0</v>
      </c>
      <c r="F3095" s="6">
        <v>22.742735927221801</v>
      </c>
      <c r="G3095" s="6" t="str">
        <f t="shared" si="96"/>
        <v>OK</v>
      </c>
      <c r="H3095" s="6" t="str">
        <f t="shared" si="97"/>
        <v>ZERO</v>
      </c>
      <c r="I3095">
        <v>0</v>
      </c>
      <c r="J3095">
        <f>IFERROR(Table4[[#This Row],[energy_kwh]]/Table4[[#This Row],[expected_kwh]],0)</f>
        <v>0</v>
      </c>
      <c r="K3095" t="str">
        <f>IF(Table4[[#This Row],[Performance_Ratio]] &lt; 0.85, "Underperforming", "Performing")</f>
        <v>Underperforming</v>
      </c>
      <c r="L3095">
        <f>Table4[[#This Row],[energy_kwh]] - Table4[[#This Row],[expected_kwh]]</f>
        <v>0</v>
      </c>
      <c r="M3095" t="str">
        <f>IF(Table4[[#This Row],[Performance_Deviation]] &lt; 0, "Underperforming", "Outperforming")</f>
        <v>Outperforming</v>
      </c>
      <c r="N3095">
        <f>IF(Table4[[#This Row],[Performance_Ratio]] &lt; 0.85, Table4[[#This Row],[Performance_Deviation]] * 50 / 1000, 0)</f>
        <v>0</v>
      </c>
    </row>
    <row r="3096" spans="1:14" x14ac:dyDescent="0.3">
      <c r="A3096" s="4" t="s">
        <v>10</v>
      </c>
      <c r="B3096" s="3">
        <v>45296.916666666664</v>
      </c>
      <c r="C3096" s="4">
        <v>0</v>
      </c>
      <c r="D3096" s="4">
        <v>0</v>
      </c>
      <c r="E3096" s="4">
        <v>0</v>
      </c>
      <c r="F3096" s="4">
        <v>73.766313169795794</v>
      </c>
      <c r="G3096" s="4" t="str">
        <f t="shared" si="96"/>
        <v>OK</v>
      </c>
      <c r="H3096" s="4" t="str">
        <f t="shared" si="97"/>
        <v>ZERO</v>
      </c>
      <c r="I3096">
        <v>0</v>
      </c>
      <c r="J3096">
        <f>IFERROR(Table4[[#This Row],[energy_kwh]]/Table4[[#This Row],[expected_kwh]],0)</f>
        <v>0</v>
      </c>
      <c r="K3096" t="str">
        <f>IF(Table4[[#This Row],[Performance_Ratio]] &lt; 0.85, "Underperforming", "Performing")</f>
        <v>Underperforming</v>
      </c>
      <c r="L3096">
        <f>Table4[[#This Row],[energy_kwh]] - Table4[[#This Row],[expected_kwh]]</f>
        <v>0</v>
      </c>
      <c r="M3096" t="str">
        <f>IF(Table4[[#This Row],[Performance_Deviation]] &lt; 0, "Underperforming", "Outperforming")</f>
        <v>Outperforming</v>
      </c>
      <c r="N3096">
        <f>IF(Table4[[#This Row],[Performance_Ratio]] &lt; 0.85, Table4[[#This Row],[Performance_Deviation]] * 50 / 1000, 0)</f>
        <v>0</v>
      </c>
    </row>
    <row r="3097" spans="1:14" x14ac:dyDescent="0.3">
      <c r="A3097" s="6" t="s">
        <v>10</v>
      </c>
      <c r="B3097" s="5">
        <v>45296.958333333336</v>
      </c>
      <c r="C3097" s="6">
        <v>0</v>
      </c>
      <c r="D3097" s="6">
        <v>0</v>
      </c>
      <c r="E3097" s="6">
        <v>0</v>
      </c>
      <c r="F3097" s="6">
        <v>21.607989996733401</v>
      </c>
      <c r="G3097" s="6" t="str">
        <f t="shared" si="96"/>
        <v>OK</v>
      </c>
      <c r="H3097" s="6" t="str">
        <f t="shared" si="97"/>
        <v>ZERO</v>
      </c>
      <c r="I3097">
        <v>0</v>
      </c>
      <c r="J3097">
        <f>IFERROR(Table4[[#This Row],[energy_kwh]]/Table4[[#This Row],[expected_kwh]],0)</f>
        <v>0</v>
      </c>
      <c r="K3097" t="str">
        <f>IF(Table4[[#This Row],[Performance_Ratio]] &lt; 0.85, "Underperforming", "Performing")</f>
        <v>Underperforming</v>
      </c>
      <c r="L3097">
        <f>Table4[[#This Row],[energy_kwh]] - Table4[[#This Row],[expected_kwh]]</f>
        <v>0</v>
      </c>
      <c r="M3097" t="str">
        <f>IF(Table4[[#This Row],[Performance_Deviation]] &lt; 0, "Underperforming", "Outperforming")</f>
        <v>Outperforming</v>
      </c>
      <c r="N3097">
        <f>IF(Table4[[#This Row],[Performance_Ratio]] &lt; 0.85, Table4[[#This Row],[Performance_Deviation]] * 50 / 1000, 0)</f>
        <v>0</v>
      </c>
    </row>
    <row r="3098" spans="1:14" x14ac:dyDescent="0.3">
      <c r="A3098" s="4" t="s">
        <v>10</v>
      </c>
      <c r="B3098" s="3">
        <v>45297</v>
      </c>
      <c r="C3098" s="4">
        <v>0</v>
      </c>
      <c r="D3098" s="4">
        <v>0</v>
      </c>
      <c r="E3098" s="4">
        <v>0</v>
      </c>
      <c r="F3098" s="4">
        <v>65.098127286102795</v>
      </c>
      <c r="G3098" s="4" t="str">
        <f t="shared" si="96"/>
        <v>OK</v>
      </c>
      <c r="H3098" s="4" t="str">
        <f t="shared" si="97"/>
        <v>ZERO</v>
      </c>
      <c r="I3098">
        <v>0</v>
      </c>
      <c r="J3098">
        <f>IFERROR(Table4[[#This Row],[energy_kwh]]/Table4[[#This Row],[expected_kwh]],0)</f>
        <v>0</v>
      </c>
      <c r="K3098" t="str">
        <f>IF(Table4[[#This Row],[Performance_Ratio]] &lt; 0.85, "Underperforming", "Performing")</f>
        <v>Underperforming</v>
      </c>
      <c r="L3098">
        <f>Table4[[#This Row],[energy_kwh]] - Table4[[#This Row],[expected_kwh]]</f>
        <v>0</v>
      </c>
      <c r="M3098" t="str">
        <f>IF(Table4[[#This Row],[Performance_Deviation]] &lt; 0, "Underperforming", "Outperforming")</f>
        <v>Outperforming</v>
      </c>
      <c r="N3098">
        <f>IF(Table4[[#This Row],[Performance_Ratio]] &lt; 0.85, Table4[[#This Row],[Performance_Deviation]] * 50 / 1000, 0)</f>
        <v>0</v>
      </c>
    </row>
    <row r="3099" spans="1:14" x14ac:dyDescent="0.3">
      <c r="A3099" s="6" t="s">
        <v>10</v>
      </c>
      <c r="B3099" s="5">
        <v>45297.041666666664</v>
      </c>
      <c r="C3099" s="6">
        <v>0</v>
      </c>
      <c r="D3099" s="6">
        <v>0</v>
      </c>
      <c r="E3099" s="6">
        <v>0</v>
      </c>
      <c r="F3099" s="6">
        <v>60.462993048822099</v>
      </c>
      <c r="G3099" s="6" t="str">
        <f t="shared" si="96"/>
        <v>OK</v>
      </c>
      <c r="H3099" s="6" t="str">
        <f t="shared" si="97"/>
        <v>ZERO</v>
      </c>
      <c r="I3099">
        <v>0</v>
      </c>
      <c r="J3099">
        <f>IFERROR(Table4[[#This Row],[energy_kwh]]/Table4[[#This Row],[expected_kwh]],0)</f>
        <v>0</v>
      </c>
      <c r="K3099" t="str">
        <f>IF(Table4[[#This Row],[Performance_Ratio]] &lt; 0.85, "Underperforming", "Performing")</f>
        <v>Underperforming</v>
      </c>
      <c r="L3099">
        <f>Table4[[#This Row],[energy_kwh]] - Table4[[#This Row],[expected_kwh]]</f>
        <v>0</v>
      </c>
      <c r="M3099" t="str">
        <f>IF(Table4[[#This Row],[Performance_Deviation]] &lt; 0, "Underperforming", "Outperforming")</f>
        <v>Outperforming</v>
      </c>
      <c r="N3099">
        <f>IF(Table4[[#This Row],[Performance_Ratio]] &lt; 0.85, Table4[[#This Row],[Performance_Deviation]] * 50 / 1000, 0)</f>
        <v>0</v>
      </c>
    </row>
    <row r="3100" spans="1:14" x14ac:dyDescent="0.3">
      <c r="A3100" s="4" t="s">
        <v>10</v>
      </c>
      <c r="B3100" s="3">
        <v>45297.083333333336</v>
      </c>
      <c r="C3100" s="4">
        <v>0</v>
      </c>
      <c r="D3100" s="4">
        <v>0</v>
      </c>
      <c r="E3100" s="4">
        <v>0</v>
      </c>
      <c r="F3100" s="4">
        <v>24.849915788792799</v>
      </c>
      <c r="G3100" s="4" t="str">
        <f t="shared" si="96"/>
        <v>OK</v>
      </c>
      <c r="H3100" s="4" t="str">
        <f t="shared" si="97"/>
        <v>ZERO</v>
      </c>
      <c r="I3100">
        <v>0</v>
      </c>
      <c r="J3100">
        <f>IFERROR(Table4[[#This Row],[energy_kwh]]/Table4[[#This Row],[expected_kwh]],0)</f>
        <v>0</v>
      </c>
      <c r="K3100" t="str">
        <f>IF(Table4[[#This Row],[Performance_Ratio]] &lt; 0.85, "Underperforming", "Performing")</f>
        <v>Underperforming</v>
      </c>
      <c r="L3100">
        <f>Table4[[#This Row],[energy_kwh]] - Table4[[#This Row],[expected_kwh]]</f>
        <v>0</v>
      </c>
      <c r="M3100" t="str">
        <f>IF(Table4[[#This Row],[Performance_Deviation]] &lt; 0, "Underperforming", "Outperforming")</f>
        <v>Outperforming</v>
      </c>
      <c r="N3100">
        <f>IF(Table4[[#This Row],[Performance_Ratio]] &lt; 0.85, Table4[[#This Row],[Performance_Deviation]] * 50 / 1000, 0)</f>
        <v>0</v>
      </c>
    </row>
    <row r="3101" spans="1:14" x14ac:dyDescent="0.3">
      <c r="A3101" s="6" t="s">
        <v>10</v>
      </c>
      <c r="B3101" s="5">
        <v>45297.125</v>
      </c>
      <c r="C3101" s="6">
        <v>0</v>
      </c>
      <c r="D3101" s="6">
        <v>0</v>
      </c>
      <c r="E3101" s="6">
        <v>0</v>
      </c>
      <c r="F3101" s="6">
        <v>61.813869850045599</v>
      </c>
      <c r="G3101" s="6" t="str">
        <f t="shared" si="96"/>
        <v>OK</v>
      </c>
      <c r="H3101" s="6" t="str">
        <f t="shared" si="97"/>
        <v>ZERO</v>
      </c>
      <c r="I3101">
        <v>0</v>
      </c>
      <c r="J3101">
        <f>IFERROR(Table4[[#This Row],[energy_kwh]]/Table4[[#This Row],[expected_kwh]],0)</f>
        <v>0</v>
      </c>
      <c r="K3101" t="str">
        <f>IF(Table4[[#This Row],[Performance_Ratio]] &lt; 0.85, "Underperforming", "Performing")</f>
        <v>Underperforming</v>
      </c>
      <c r="L3101">
        <f>Table4[[#This Row],[energy_kwh]] - Table4[[#This Row],[expected_kwh]]</f>
        <v>0</v>
      </c>
      <c r="M3101" t="str">
        <f>IF(Table4[[#This Row],[Performance_Deviation]] &lt; 0, "Underperforming", "Outperforming")</f>
        <v>Outperforming</v>
      </c>
      <c r="N3101">
        <f>IF(Table4[[#This Row],[Performance_Ratio]] &lt; 0.85, Table4[[#This Row],[Performance_Deviation]] * 50 / 1000, 0)</f>
        <v>0</v>
      </c>
    </row>
    <row r="3102" spans="1:14" x14ac:dyDescent="0.3">
      <c r="A3102" s="4" t="s">
        <v>10</v>
      </c>
      <c r="B3102" s="3">
        <v>45297.166666666664</v>
      </c>
      <c r="C3102" s="4">
        <v>0</v>
      </c>
      <c r="D3102" s="4">
        <v>0</v>
      </c>
      <c r="E3102" s="4">
        <v>0</v>
      </c>
      <c r="F3102" s="4">
        <v>28.568633994354201</v>
      </c>
      <c r="G3102" s="4" t="str">
        <f t="shared" si="96"/>
        <v>OK</v>
      </c>
      <c r="H3102" s="4" t="str">
        <f t="shared" si="97"/>
        <v>ZERO</v>
      </c>
      <c r="I3102">
        <v>0</v>
      </c>
      <c r="J3102">
        <f>IFERROR(Table4[[#This Row],[energy_kwh]]/Table4[[#This Row],[expected_kwh]],0)</f>
        <v>0</v>
      </c>
      <c r="K3102" t="str">
        <f>IF(Table4[[#This Row],[Performance_Ratio]] &lt; 0.85, "Underperforming", "Performing")</f>
        <v>Underperforming</v>
      </c>
      <c r="L3102">
        <f>Table4[[#This Row],[energy_kwh]] - Table4[[#This Row],[expected_kwh]]</f>
        <v>0</v>
      </c>
      <c r="M3102" t="str">
        <f>IF(Table4[[#This Row],[Performance_Deviation]] &lt; 0, "Underperforming", "Outperforming")</f>
        <v>Outperforming</v>
      </c>
      <c r="N3102">
        <f>IF(Table4[[#This Row],[Performance_Ratio]] &lt; 0.85, Table4[[#This Row],[Performance_Deviation]] * 50 / 1000, 0)</f>
        <v>0</v>
      </c>
    </row>
    <row r="3103" spans="1:14" x14ac:dyDescent="0.3">
      <c r="A3103" s="6" t="s">
        <v>10</v>
      </c>
      <c r="B3103" s="5">
        <v>45297.208333333336</v>
      </c>
      <c r="C3103" s="6">
        <v>0</v>
      </c>
      <c r="D3103" s="6">
        <v>0</v>
      </c>
      <c r="E3103" s="6">
        <v>0</v>
      </c>
      <c r="F3103" s="6">
        <v>44.2887223059383</v>
      </c>
      <c r="G3103" s="6" t="str">
        <f t="shared" si="96"/>
        <v>OK</v>
      </c>
      <c r="H3103" s="6" t="str">
        <f t="shared" si="97"/>
        <v>ZERO</v>
      </c>
      <c r="I3103">
        <v>0</v>
      </c>
      <c r="J3103">
        <f>IFERROR(Table4[[#This Row],[energy_kwh]]/Table4[[#This Row],[expected_kwh]],0)</f>
        <v>0</v>
      </c>
      <c r="K3103" t="str">
        <f>IF(Table4[[#This Row],[Performance_Ratio]] &lt; 0.85, "Underperforming", "Performing")</f>
        <v>Underperforming</v>
      </c>
      <c r="L3103">
        <f>Table4[[#This Row],[energy_kwh]] - Table4[[#This Row],[expected_kwh]]</f>
        <v>0</v>
      </c>
      <c r="M3103" t="str">
        <f>IF(Table4[[#This Row],[Performance_Deviation]] &lt; 0, "Underperforming", "Outperforming")</f>
        <v>Outperforming</v>
      </c>
      <c r="N3103">
        <f>IF(Table4[[#This Row],[Performance_Ratio]] &lt; 0.85, Table4[[#This Row],[Performance_Deviation]] * 50 / 1000, 0)</f>
        <v>0</v>
      </c>
    </row>
    <row r="3104" spans="1:14" x14ac:dyDescent="0.3">
      <c r="A3104" s="4" t="s">
        <v>10</v>
      </c>
      <c r="B3104" s="3">
        <v>45297.25</v>
      </c>
      <c r="C3104" s="4">
        <v>0</v>
      </c>
      <c r="D3104" s="4">
        <v>0</v>
      </c>
      <c r="E3104" s="4">
        <v>0</v>
      </c>
      <c r="F3104" s="4">
        <v>36.008591099453099</v>
      </c>
      <c r="G3104" s="4" t="str">
        <f t="shared" si="96"/>
        <v>OK</v>
      </c>
      <c r="H3104" s="4" t="str">
        <f t="shared" si="97"/>
        <v>ZERO</v>
      </c>
      <c r="I3104">
        <v>0</v>
      </c>
      <c r="J3104">
        <f>IFERROR(Table4[[#This Row],[energy_kwh]]/Table4[[#This Row],[expected_kwh]],0)</f>
        <v>0</v>
      </c>
      <c r="K3104" t="str">
        <f>IF(Table4[[#This Row],[Performance_Ratio]] &lt; 0.85, "Underperforming", "Performing")</f>
        <v>Underperforming</v>
      </c>
      <c r="L3104">
        <f>Table4[[#This Row],[energy_kwh]] - Table4[[#This Row],[expected_kwh]]</f>
        <v>0</v>
      </c>
      <c r="M3104" t="str">
        <f>IF(Table4[[#This Row],[Performance_Deviation]] &lt; 0, "Underperforming", "Outperforming")</f>
        <v>Outperforming</v>
      </c>
      <c r="N3104">
        <f>IF(Table4[[#This Row],[Performance_Ratio]] &lt; 0.85, Table4[[#This Row],[Performance_Deviation]] * 50 / 1000, 0)</f>
        <v>0</v>
      </c>
    </row>
    <row r="3105" spans="1:14" x14ac:dyDescent="0.3">
      <c r="A3105" s="6" t="s">
        <v>10</v>
      </c>
      <c r="B3105" s="5">
        <v>45297.291666666664</v>
      </c>
      <c r="C3105" s="6">
        <v>323.30780431737901</v>
      </c>
      <c r="D3105" s="6">
        <v>305.927017821297</v>
      </c>
      <c r="E3105" s="6">
        <v>305.927017821297</v>
      </c>
      <c r="F3105" s="6">
        <v>66.184441407603899</v>
      </c>
      <c r="G3105" s="6" t="str">
        <f t="shared" si="96"/>
        <v>OK</v>
      </c>
      <c r="H3105" s="6" t="str">
        <f t="shared" si="97"/>
        <v>NON-ZERO</v>
      </c>
      <c r="I3105">
        <v>310.58285412302399</v>
      </c>
      <c r="J3105">
        <f>IFERROR(Table4[[#This Row],[energy_kwh]]/Table4[[#This Row],[expected_kwh]],0)</f>
        <v>0.98500935824395897</v>
      </c>
      <c r="K3105" t="str">
        <f>IF(Table4[[#This Row],[Performance_Ratio]] &lt; 0.85, "Underperforming", "Performing")</f>
        <v>Performing</v>
      </c>
      <c r="L3105">
        <f>Table4[[#This Row],[energy_kwh]] - Table4[[#This Row],[expected_kwh]]</f>
        <v>-4.6558363017269926</v>
      </c>
      <c r="M3105" t="str">
        <f>IF(Table4[[#This Row],[Performance_Deviation]] &lt; 0, "Underperforming", "Outperforming")</f>
        <v>Underperforming</v>
      </c>
      <c r="N3105">
        <f>IF(Table4[[#This Row],[Performance_Ratio]] &lt; 0.85, Table4[[#This Row],[Performance_Deviation]] * 50 / 1000, 0)</f>
        <v>0</v>
      </c>
    </row>
    <row r="3106" spans="1:14" x14ac:dyDescent="0.3">
      <c r="A3106" s="4" t="s">
        <v>10</v>
      </c>
      <c r="B3106" s="3">
        <v>45297.333333333336</v>
      </c>
      <c r="C3106" s="4">
        <v>597.79260687090698</v>
      </c>
      <c r="D3106" s="4">
        <v>565.65572205027399</v>
      </c>
      <c r="E3106" s="4">
        <v>565.65572205027399</v>
      </c>
      <c r="F3106" s="4">
        <v>58.454240080516399</v>
      </c>
      <c r="G3106" s="4" t="str">
        <f t="shared" si="96"/>
        <v>OK</v>
      </c>
      <c r="H3106" s="4" t="str">
        <f t="shared" si="97"/>
        <v>NON-ZERO</v>
      </c>
      <c r="I3106">
        <v>600</v>
      </c>
      <c r="J3106">
        <f>IFERROR(Table4[[#This Row],[energy_kwh]]/Table4[[#This Row],[expected_kwh]],0)</f>
        <v>0.94275953675045665</v>
      </c>
      <c r="K3106" t="str">
        <f>IF(Table4[[#This Row],[Performance_Ratio]] &lt; 0.85, "Underperforming", "Performing")</f>
        <v>Performing</v>
      </c>
      <c r="L3106">
        <f>Table4[[#This Row],[energy_kwh]] - Table4[[#This Row],[expected_kwh]]</f>
        <v>-34.344277949726006</v>
      </c>
      <c r="M3106" t="str">
        <f>IF(Table4[[#This Row],[Performance_Deviation]] &lt; 0, "Underperforming", "Outperforming")</f>
        <v>Underperforming</v>
      </c>
      <c r="N3106">
        <f>IF(Table4[[#This Row],[Performance_Ratio]] &lt; 0.85, Table4[[#This Row],[Performance_Deviation]] * 50 / 1000, 0)</f>
        <v>0</v>
      </c>
    </row>
    <row r="3107" spans="1:14" x14ac:dyDescent="0.3">
      <c r="A3107" s="6" t="s">
        <v>10</v>
      </c>
      <c r="B3107" s="5">
        <v>45297.375</v>
      </c>
      <c r="C3107" s="6">
        <v>934.26342154129304</v>
      </c>
      <c r="D3107" s="6">
        <v>884.03811660257395</v>
      </c>
      <c r="E3107" s="6">
        <v>884.03811660257395</v>
      </c>
      <c r="F3107" s="6">
        <v>33.991843414671102</v>
      </c>
      <c r="G3107" s="6" t="str">
        <f t="shared" si="96"/>
        <v>OK</v>
      </c>
      <c r="H3107" s="6" t="str">
        <f t="shared" si="97"/>
        <v>NON-ZERO</v>
      </c>
      <c r="I3107">
        <v>848.52813742385695</v>
      </c>
      <c r="J3107">
        <f>IFERROR(Table4[[#This Row],[energy_kwh]]/Table4[[#This Row],[expected_kwh]],0)</f>
        <v>1.0418489117951064</v>
      </c>
      <c r="K3107" t="str">
        <f>IF(Table4[[#This Row],[Performance_Ratio]] &lt; 0.85, "Underperforming", "Performing")</f>
        <v>Performing</v>
      </c>
      <c r="L3107">
        <f>Table4[[#This Row],[energy_kwh]] - Table4[[#This Row],[expected_kwh]]</f>
        <v>35.509979178717003</v>
      </c>
      <c r="M3107" t="str">
        <f>IF(Table4[[#This Row],[Performance_Deviation]] &lt; 0, "Underperforming", "Outperforming")</f>
        <v>Outperforming</v>
      </c>
      <c r="N3107">
        <f>IF(Table4[[#This Row],[Performance_Ratio]] &lt; 0.85, Table4[[#This Row],[Performance_Deviation]] * 50 / 1000, 0)</f>
        <v>0</v>
      </c>
    </row>
    <row r="3108" spans="1:14" x14ac:dyDescent="0.3">
      <c r="A3108" s="4" t="s">
        <v>10</v>
      </c>
      <c r="B3108" s="3">
        <v>45297.416666666664</v>
      </c>
      <c r="C3108" s="4">
        <v>987.38127804714202</v>
      </c>
      <c r="D3108" s="4">
        <v>934.30039674828299</v>
      </c>
      <c r="E3108" s="4">
        <v>934.30039674828299</v>
      </c>
      <c r="F3108" s="4">
        <v>55.972396714964503</v>
      </c>
      <c r="G3108" s="4" t="str">
        <f t="shared" si="96"/>
        <v>OK</v>
      </c>
      <c r="H3108" s="4" t="str">
        <f t="shared" si="97"/>
        <v>NON-ZERO</v>
      </c>
      <c r="I3108">
        <v>1039.23048454132</v>
      </c>
      <c r="J3108">
        <f>IFERROR(Table4[[#This Row],[energy_kwh]]/Table4[[#This Row],[expected_kwh]],0)</f>
        <v>0.89903097594433101</v>
      </c>
      <c r="K3108" t="str">
        <f>IF(Table4[[#This Row],[Performance_Ratio]] &lt; 0.85, "Underperforming", "Performing")</f>
        <v>Performing</v>
      </c>
      <c r="L3108">
        <f>Table4[[#This Row],[energy_kwh]] - Table4[[#This Row],[expected_kwh]]</f>
        <v>-104.93008779303705</v>
      </c>
      <c r="M3108" t="str">
        <f>IF(Table4[[#This Row],[Performance_Deviation]] &lt; 0, "Underperforming", "Outperforming")</f>
        <v>Underperforming</v>
      </c>
      <c r="N3108">
        <f>IF(Table4[[#This Row],[Performance_Ratio]] &lt; 0.85, Table4[[#This Row],[Performance_Deviation]] * 50 / 1000, 0)</f>
        <v>0</v>
      </c>
    </row>
    <row r="3109" spans="1:14" x14ac:dyDescent="0.3">
      <c r="A3109" s="6" t="s">
        <v>10</v>
      </c>
      <c r="B3109" s="5">
        <v>45297.458333333336</v>
      </c>
      <c r="C3109" s="6">
        <v>1286.13701905363</v>
      </c>
      <c r="D3109" s="6">
        <v>1216.99525187583</v>
      </c>
      <c r="E3109" s="6">
        <v>1216.99525187583</v>
      </c>
      <c r="F3109" s="6">
        <v>71.1151250156353</v>
      </c>
      <c r="G3109" s="6" t="str">
        <f t="shared" si="96"/>
        <v>OK</v>
      </c>
      <c r="H3109" s="6" t="str">
        <f t="shared" si="97"/>
        <v>NON-ZERO</v>
      </c>
      <c r="I3109">
        <v>1159.1109915468801</v>
      </c>
      <c r="J3109">
        <f>IFERROR(Table4[[#This Row],[energy_kwh]]/Table4[[#This Row],[expected_kwh]],0)</f>
        <v>1.0499384966160152</v>
      </c>
      <c r="K3109" t="str">
        <f>IF(Table4[[#This Row],[Performance_Ratio]] &lt; 0.85, "Underperforming", "Performing")</f>
        <v>Performing</v>
      </c>
      <c r="L3109">
        <f>Table4[[#This Row],[energy_kwh]] - Table4[[#This Row],[expected_kwh]]</f>
        <v>57.884260328949949</v>
      </c>
      <c r="M3109" t="str">
        <f>IF(Table4[[#This Row],[Performance_Deviation]] &lt; 0, "Underperforming", "Outperforming")</f>
        <v>Outperforming</v>
      </c>
      <c r="N3109">
        <f>IF(Table4[[#This Row],[Performance_Ratio]] &lt; 0.85, Table4[[#This Row],[Performance_Deviation]] * 50 / 1000, 0)</f>
        <v>0</v>
      </c>
    </row>
    <row r="3110" spans="1:14" x14ac:dyDescent="0.3">
      <c r="A3110" s="4" t="s">
        <v>10</v>
      </c>
      <c r="B3110" s="3">
        <v>45297.5</v>
      </c>
      <c r="C3110" s="4">
        <v>1209.5942587048801</v>
      </c>
      <c r="D3110" s="4">
        <v>1144.5673732517901</v>
      </c>
      <c r="E3110" s="4">
        <v>1144.5673732517901</v>
      </c>
      <c r="F3110" s="4">
        <v>23.793167455925701</v>
      </c>
      <c r="G3110" s="4" t="str">
        <f t="shared" si="96"/>
        <v>OK</v>
      </c>
      <c r="H3110" s="4" t="str">
        <f t="shared" si="97"/>
        <v>NON-ZERO</v>
      </c>
      <c r="I3110">
        <v>1200</v>
      </c>
      <c r="J3110">
        <f>IFERROR(Table4[[#This Row],[energy_kwh]]/Table4[[#This Row],[expected_kwh]],0)</f>
        <v>0.95380614437649169</v>
      </c>
      <c r="K3110" t="str">
        <f>IF(Table4[[#This Row],[Performance_Ratio]] &lt; 0.85, "Underperforming", "Performing")</f>
        <v>Performing</v>
      </c>
      <c r="L3110">
        <f>Table4[[#This Row],[energy_kwh]] - Table4[[#This Row],[expected_kwh]]</f>
        <v>-55.432626748209941</v>
      </c>
      <c r="M3110" t="str">
        <f>IF(Table4[[#This Row],[Performance_Deviation]] &lt; 0, "Underperforming", "Outperforming")</f>
        <v>Underperforming</v>
      </c>
      <c r="N3110">
        <f>IF(Table4[[#This Row],[Performance_Ratio]] &lt; 0.85, Table4[[#This Row],[Performance_Deviation]] * 50 / 1000, 0)</f>
        <v>0</v>
      </c>
    </row>
    <row r="3111" spans="1:14" x14ac:dyDescent="0.3">
      <c r="A3111" s="6" t="s">
        <v>10</v>
      </c>
      <c r="B3111" s="5">
        <v>45297.541666666664</v>
      </c>
      <c r="C3111" s="6">
        <v>949.62546993954697</v>
      </c>
      <c r="D3111" s="6">
        <v>898.57431273315296</v>
      </c>
      <c r="E3111" s="6">
        <v>898.57431273315296</v>
      </c>
      <c r="F3111" s="6">
        <v>44.463879595843103</v>
      </c>
      <c r="G3111" s="6" t="str">
        <f t="shared" si="96"/>
        <v>OK</v>
      </c>
      <c r="H3111" s="6" t="str">
        <f t="shared" si="97"/>
        <v>NON-ZERO</v>
      </c>
      <c r="I3111">
        <v>1159.1109915468801</v>
      </c>
      <c r="J3111">
        <f>IFERROR(Table4[[#This Row],[energy_kwh]]/Table4[[#This Row],[expected_kwh]],0)</f>
        <v>0.77522715191749625</v>
      </c>
      <c r="K3111" t="str">
        <f>IF(Table4[[#This Row],[Performance_Ratio]] &lt; 0.85, "Underperforming", "Performing")</f>
        <v>Underperforming</v>
      </c>
      <c r="L3111">
        <f>Table4[[#This Row],[energy_kwh]] - Table4[[#This Row],[expected_kwh]]</f>
        <v>-260.53667881372712</v>
      </c>
      <c r="M3111" t="str">
        <f>IF(Table4[[#This Row],[Performance_Deviation]] &lt; 0, "Underperforming", "Outperforming")</f>
        <v>Underperforming</v>
      </c>
      <c r="N3111">
        <f>IF(Table4[[#This Row],[Performance_Ratio]] &lt; 0.85, Table4[[#This Row],[Performance_Deviation]] * 50 / 1000, 0)</f>
        <v>-13.026833940686355</v>
      </c>
    </row>
    <row r="3112" spans="1:14" x14ac:dyDescent="0.3">
      <c r="A3112" s="4" t="s">
        <v>10</v>
      </c>
      <c r="B3112" s="3">
        <v>45297.583333333336</v>
      </c>
      <c r="C3112" s="4">
        <v>994.77939184388902</v>
      </c>
      <c r="D3112" s="4">
        <v>941.300793463481</v>
      </c>
      <c r="E3112" s="4">
        <v>941.300793463481</v>
      </c>
      <c r="F3112" s="4">
        <v>75.789896066612798</v>
      </c>
      <c r="G3112" s="4" t="str">
        <f t="shared" si="96"/>
        <v>OK</v>
      </c>
      <c r="H3112" s="4" t="str">
        <f t="shared" si="97"/>
        <v>NON-ZERO</v>
      </c>
      <c r="I3112">
        <v>1039.23048454132</v>
      </c>
      <c r="J3112">
        <f>IFERROR(Table4[[#This Row],[energy_kwh]]/Table4[[#This Row],[expected_kwh]],0)</f>
        <v>0.90576711082425398</v>
      </c>
      <c r="K3112" t="str">
        <f>IF(Table4[[#This Row],[Performance_Ratio]] &lt; 0.85, "Underperforming", "Performing")</f>
        <v>Performing</v>
      </c>
      <c r="L3112">
        <f>Table4[[#This Row],[energy_kwh]] - Table4[[#This Row],[expected_kwh]]</f>
        <v>-97.929691077839038</v>
      </c>
      <c r="M3112" t="str">
        <f>IF(Table4[[#This Row],[Performance_Deviation]] &lt; 0, "Underperforming", "Outperforming")</f>
        <v>Underperforming</v>
      </c>
      <c r="N3112">
        <f>IF(Table4[[#This Row],[Performance_Ratio]] &lt; 0.85, Table4[[#This Row],[Performance_Deviation]] * 50 / 1000, 0)</f>
        <v>0</v>
      </c>
    </row>
    <row r="3113" spans="1:14" x14ac:dyDescent="0.3">
      <c r="A3113" s="6" t="s">
        <v>10</v>
      </c>
      <c r="B3113" s="5">
        <v>45297.625</v>
      </c>
      <c r="C3113" s="6">
        <v>689.09583055878704</v>
      </c>
      <c r="D3113" s="6">
        <v>652.05055250999305</v>
      </c>
      <c r="E3113" s="6">
        <v>652.05055250999305</v>
      </c>
      <c r="F3113" s="6">
        <v>49.4562637654032</v>
      </c>
      <c r="G3113" s="6" t="str">
        <f t="shared" si="96"/>
        <v>OK</v>
      </c>
      <c r="H3113" s="6" t="str">
        <f t="shared" si="97"/>
        <v>NON-ZERO</v>
      </c>
      <c r="I3113">
        <v>848.52813742385695</v>
      </c>
      <c r="J3113">
        <f>IFERROR(Table4[[#This Row],[energy_kwh]]/Table4[[#This Row],[expected_kwh]],0)</f>
        <v>0.76844894559375188</v>
      </c>
      <c r="K3113" t="str">
        <f>IF(Table4[[#This Row],[Performance_Ratio]] &lt; 0.85, "Underperforming", "Performing")</f>
        <v>Underperforming</v>
      </c>
      <c r="L3113">
        <f>Table4[[#This Row],[energy_kwh]] - Table4[[#This Row],[expected_kwh]]</f>
        <v>-196.47758491386389</v>
      </c>
      <c r="M3113" t="str">
        <f>IF(Table4[[#This Row],[Performance_Deviation]] &lt; 0, "Underperforming", "Outperforming")</f>
        <v>Underperforming</v>
      </c>
      <c r="N3113">
        <f>IF(Table4[[#This Row],[Performance_Ratio]] &lt; 0.85, Table4[[#This Row],[Performance_Deviation]] * 50 / 1000, 0)</f>
        <v>-9.8238792456931954</v>
      </c>
    </row>
    <row r="3114" spans="1:14" x14ac:dyDescent="0.3">
      <c r="A3114" s="4" t="s">
        <v>10</v>
      </c>
      <c r="B3114" s="3">
        <v>45297.666666666664</v>
      </c>
      <c r="C3114" s="4">
        <v>613.75535299890601</v>
      </c>
      <c r="D3114" s="4">
        <v>580.76032284853795</v>
      </c>
      <c r="E3114" s="4">
        <v>580.76032284853795</v>
      </c>
      <c r="F3114" s="4">
        <v>70.955641819634707</v>
      </c>
      <c r="G3114" s="4" t="str">
        <f t="shared" si="96"/>
        <v>OK</v>
      </c>
      <c r="H3114" s="4" t="str">
        <f t="shared" si="97"/>
        <v>NON-ZERO</v>
      </c>
      <c r="I3114">
        <v>600</v>
      </c>
      <c r="J3114">
        <f>IFERROR(Table4[[#This Row],[energy_kwh]]/Table4[[#This Row],[expected_kwh]],0)</f>
        <v>0.96793387141422993</v>
      </c>
      <c r="K3114" t="str">
        <f>IF(Table4[[#This Row],[Performance_Ratio]] &lt; 0.85, "Underperforming", "Performing")</f>
        <v>Performing</v>
      </c>
      <c r="L3114">
        <f>Table4[[#This Row],[energy_kwh]] - Table4[[#This Row],[expected_kwh]]</f>
        <v>-19.239677151462047</v>
      </c>
      <c r="M3114" t="str">
        <f>IF(Table4[[#This Row],[Performance_Deviation]] &lt; 0, "Underperforming", "Outperforming")</f>
        <v>Underperforming</v>
      </c>
      <c r="N3114">
        <f>IF(Table4[[#This Row],[Performance_Ratio]] &lt; 0.85, Table4[[#This Row],[Performance_Deviation]] * 50 / 1000, 0)</f>
        <v>0</v>
      </c>
    </row>
    <row r="3115" spans="1:14" x14ac:dyDescent="0.3">
      <c r="A3115" s="6" t="s">
        <v>10</v>
      </c>
      <c r="B3115" s="5">
        <v>45297.708333333336</v>
      </c>
      <c r="C3115" s="6">
        <v>285.29296594538602</v>
      </c>
      <c r="D3115" s="6">
        <v>269.95582881564701</v>
      </c>
      <c r="E3115" s="6">
        <v>269.95582881564701</v>
      </c>
      <c r="F3115" s="6">
        <v>60.496117041603803</v>
      </c>
      <c r="G3115" s="6" t="str">
        <f t="shared" si="96"/>
        <v>OK</v>
      </c>
      <c r="H3115" s="6" t="str">
        <f t="shared" si="97"/>
        <v>NON-ZERO</v>
      </c>
      <c r="I3115">
        <v>310.58285412302502</v>
      </c>
      <c r="J3115">
        <f>IFERROR(Table4[[#This Row],[energy_kwh]]/Table4[[#This Row],[expected_kwh]],0)</f>
        <v>0.86919102336768006</v>
      </c>
      <c r="K3115" t="str">
        <f>IF(Table4[[#This Row],[Performance_Ratio]] &lt; 0.85, "Underperforming", "Performing")</f>
        <v>Performing</v>
      </c>
      <c r="L3115">
        <f>Table4[[#This Row],[energy_kwh]] - Table4[[#This Row],[expected_kwh]]</f>
        <v>-40.627025307378005</v>
      </c>
      <c r="M3115" t="str">
        <f>IF(Table4[[#This Row],[Performance_Deviation]] &lt; 0, "Underperforming", "Outperforming")</f>
        <v>Underperforming</v>
      </c>
      <c r="N3115">
        <f>IF(Table4[[#This Row],[Performance_Ratio]] &lt; 0.85, Table4[[#This Row],[Performance_Deviation]] * 50 / 1000, 0)</f>
        <v>0</v>
      </c>
    </row>
    <row r="3116" spans="1:14" x14ac:dyDescent="0.3">
      <c r="A3116" s="4" t="s">
        <v>10</v>
      </c>
      <c r="B3116" s="3">
        <v>45297.75</v>
      </c>
      <c r="C3116" s="7">
        <v>1.3643578448854701E-13</v>
      </c>
      <c r="D3116" s="7">
        <v>1.2910109844337799E-13</v>
      </c>
      <c r="E3116" s="7">
        <v>1.2910109844337799E-13</v>
      </c>
      <c r="F3116" s="4">
        <v>39.562637210298199</v>
      </c>
      <c r="G3116" s="4" t="str">
        <f t="shared" si="96"/>
        <v>OK</v>
      </c>
      <c r="H3116" s="4" t="str">
        <f t="shared" si="97"/>
        <v>NON-ZERO</v>
      </c>
      <c r="I3116" s="2">
        <v>1.46957615897682E-13</v>
      </c>
      <c r="J3116">
        <f>IFERROR(Table4[[#This Row],[energy_kwh]]/Table4[[#This Row],[expected_kwh]],0)</f>
        <v>0.87849205809968733</v>
      </c>
      <c r="K3116" t="str">
        <f>IF(Table4[[#This Row],[Performance_Ratio]] &lt; 0.85, "Underperforming", "Performing")</f>
        <v>Performing</v>
      </c>
      <c r="L3116">
        <f>Table4[[#This Row],[energy_kwh]] - Table4[[#This Row],[expected_kwh]]</f>
        <v>-1.7856517454304012E-14</v>
      </c>
      <c r="M3116" t="str">
        <f>IF(Table4[[#This Row],[Performance_Deviation]] &lt; 0, "Underperforming", "Outperforming")</f>
        <v>Underperforming</v>
      </c>
      <c r="N3116">
        <f>IF(Table4[[#This Row],[Performance_Ratio]] &lt; 0.85, Table4[[#This Row],[Performance_Deviation]] * 50 / 1000, 0)</f>
        <v>0</v>
      </c>
    </row>
    <row r="3117" spans="1:14" x14ac:dyDescent="0.3">
      <c r="A3117" s="6" t="s">
        <v>10</v>
      </c>
      <c r="B3117" s="5">
        <v>45297.791666666664</v>
      </c>
      <c r="C3117" s="6">
        <v>0</v>
      </c>
      <c r="D3117" s="6">
        <v>0</v>
      </c>
      <c r="E3117" s="6">
        <v>0</v>
      </c>
      <c r="F3117" s="6">
        <v>21.525562330069999</v>
      </c>
      <c r="G3117" s="6" t="str">
        <f t="shared" si="96"/>
        <v>OK</v>
      </c>
      <c r="H3117" s="6" t="str">
        <f t="shared" si="97"/>
        <v>ZERO</v>
      </c>
      <c r="I3117">
        <v>0</v>
      </c>
      <c r="J3117">
        <f>IFERROR(Table4[[#This Row],[energy_kwh]]/Table4[[#This Row],[expected_kwh]],0)</f>
        <v>0</v>
      </c>
      <c r="K3117" t="str">
        <f>IF(Table4[[#This Row],[Performance_Ratio]] &lt; 0.85, "Underperforming", "Performing")</f>
        <v>Underperforming</v>
      </c>
      <c r="L3117">
        <f>Table4[[#This Row],[energy_kwh]] - Table4[[#This Row],[expected_kwh]]</f>
        <v>0</v>
      </c>
      <c r="M3117" t="str">
        <f>IF(Table4[[#This Row],[Performance_Deviation]] &lt; 0, "Underperforming", "Outperforming")</f>
        <v>Outperforming</v>
      </c>
      <c r="N3117">
        <f>IF(Table4[[#This Row],[Performance_Ratio]] &lt; 0.85, Table4[[#This Row],[Performance_Deviation]] * 50 / 1000, 0)</f>
        <v>0</v>
      </c>
    </row>
    <row r="3118" spans="1:14" x14ac:dyDescent="0.3">
      <c r="A3118" s="4" t="s">
        <v>10</v>
      </c>
      <c r="B3118" s="3">
        <v>45297.833333333336</v>
      </c>
      <c r="C3118" s="4">
        <v>0</v>
      </c>
      <c r="D3118" s="4">
        <v>0</v>
      </c>
      <c r="E3118" s="4">
        <v>0</v>
      </c>
      <c r="F3118" s="4">
        <v>47.925336378903502</v>
      </c>
      <c r="G3118" s="4" t="str">
        <f t="shared" si="96"/>
        <v>OK</v>
      </c>
      <c r="H3118" s="4" t="str">
        <f t="shared" si="97"/>
        <v>ZERO</v>
      </c>
      <c r="I3118">
        <v>0</v>
      </c>
      <c r="J3118">
        <f>IFERROR(Table4[[#This Row],[energy_kwh]]/Table4[[#This Row],[expected_kwh]],0)</f>
        <v>0</v>
      </c>
      <c r="K3118" t="str">
        <f>IF(Table4[[#This Row],[Performance_Ratio]] &lt; 0.85, "Underperforming", "Performing")</f>
        <v>Underperforming</v>
      </c>
      <c r="L3118">
        <f>Table4[[#This Row],[energy_kwh]] - Table4[[#This Row],[expected_kwh]]</f>
        <v>0</v>
      </c>
      <c r="M3118" t="str">
        <f>IF(Table4[[#This Row],[Performance_Deviation]] &lt; 0, "Underperforming", "Outperforming")</f>
        <v>Outperforming</v>
      </c>
      <c r="N3118">
        <f>IF(Table4[[#This Row],[Performance_Ratio]] &lt; 0.85, Table4[[#This Row],[Performance_Deviation]] * 50 / 1000, 0)</f>
        <v>0</v>
      </c>
    </row>
    <row r="3119" spans="1:14" x14ac:dyDescent="0.3">
      <c r="A3119" s="6" t="s">
        <v>10</v>
      </c>
      <c r="B3119" s="5">
        <v>45297.875</v>
      </c>
      <c r="C3119" s="6">
        <v>0</v>
      </c>
      <c r="D3119" s="6">
        <v>0</v>
      </c>
      <c r="E3119" s="6">
        <v>0</v>
      </c>
      <c r="F3119" s="6">
        <v>32.319774779046703</v>
      </c>
      <c r="G3119" s="6" t="str">
        <f t="shared" si="96"/>
        <v>OK</v>
      </c>
      <c r="H3119" s="6" t="str">
        <f t="shared" si="97"/>
        <v>ZERO</v>
      </c>
      <c r="I3119">
        <v>0</v>
      </c>
      <c r="J3119">
        <f>IFERROR(Table4[[#This Row],[energy_kwh]]/Table4[[#This Row],[expected_kwh]],0)</f>
        <v>0</v>
      </c>
      <c r="K3119" t="str">
        <f>IF(Table4[[#This Row],[Performance_Ratio]] &lt; 0.85, "Underperforming", "Performing")</f>
        <v>Underperforming</v>
      </c>
      <c r="L3119">
        <f>Table4[[#This Row],[energy_kwh]] - Table4[[#This Row],[expected_kwh]]</f>
        <v>0</v>
      </c>
      <c r="M3119" t="str">
        <f>IF(Table4[[#This Row],[Performance_Deviation]] &lt; 0, "Underperforming", "Outperforming")</f>
        <v>Outperforming</v>
      </c>
      <c r="N3119">
        <f>IF(Table4[[#This Row],[Performance_Ratio]] &lt; 0.85, Table4[[#This Row],[Performance_Deviation]] * 50 / 1000, 0)</f>
        <v>0</v>
      </c>
    </row>
    <row r="3120" spans="1:14" x14ac:dyDescent="0.3">
      <c r="A3120" s="4" t="s">
        <v>10</v>
      </c>
      <c r="B3120" s="3">
        <v>45297.916666666664</v>
      </c>
      <c r="C3120" s="4">
        <v>0</v>
      </c>
      <c r="D3120" s="4">
        <v>0</v>
      </c>
      <c r="E3120" s="4">
        <v>0</v>
      </c>
      <c r="F3120" s="4">
        <v>38.535880252271902</v>
      </c>
      <c r="G3120" s="4" t="str">
        <f t="shared" si="96"/>
        <v>OK</v>
      </c>
      <c r="H3120" s="4" t="str">
        <f t="shared" si="97"/>
        <v>ZERO</v>
      </c>
      <c r="I3120">
        <v>0</v>
      </c>
      <c r="J3120">
        <f>IFERROR(Table4[[#This Row],[energy_kwh]]/Table4[[#This Row],[expected_kwh]],0)</f>
        <v>0</v>
      </c>
      <c r="K3120" t="str">
        <f>IF(Table4[[#This Row],[Performance_Ratio]] &lt; 0.85, "Underperforming", "Performing")</f>
        <v>Underperforming</v>
      </c>
      <c r="L3120">
        <f>Table4[[#This Row],[energy_kwh]] - Table4[[#This Row],[expected_kwh]]</f>
        <v>0</v>
      </c>
      <c r="M3120" t="str">
        <f>IF(Table4[[#This Row],[Performance_Deviation]] &lt; 0, "Underperforming", "Outperforming")</f>
        <v>Outperforming</v>
      </c>
      <c r="N3120">
        <f>IF(Table4[[#This Row],[Performance_Ratio]] &lt; 0.85, Table4[[#This Row],[Performance_Deviation]] * 50 / 1000, 0)</f>
        <v>0</v>
      </c>
    </row>
    <row r="3121" spans="1:14" x14ac:dyDescent="0.3">
      <c r="A3121" s="6" t="s">
        <v>10</v>
      </c>
      <c r="B3121" s="5">
        <v>45297.958333333336</v>
      </c>
      <c r="C3121" s="6">
        <v>0</v>
      </c>
      <c r="D3121" s="6">
        <v>0</v>
      </c>
      <c r="E3121" s="6">
        <v>0</v>
      </c>
      <c r="F3121" s="6">
        <v>54.3432055223536</v>
      </c>
      <c r="G3121" s="6" t="str">
        <f t="shared" si="96"/>
        <v>OK</v>
      </c>
      <c r="H3121" s="6" t="str">
        <f t="shared" si="97"/>
        <v>ZERO</v>
      </c>
      <c r="I3121">
        <v>0</v>
      </c>
      <c r="J3121">
        <f>IFERROR(Table4[[#This Row],[energy_kwh]]/Table4[[#This Row],[expected_kwh]],0)</f>
        <v>0</v>
      </c>
      <c r="K3121" t="str">
        <f>IF(Table4[[#This Row],[Performance_Ratio]] &lt; 0.85, "Underperforming", "Performing")</f>
        <v>Underperforming</v>
      </c>
      <c r="L3121">
        <f>Table4[[#This Row],[energy_kwh]] - Table4[[#This Row],[expected_kwh]]</f>
        <v>0</v>
      </c>
      <c r="M3121" t="str">
        <f>IF(Table4[[#This Row],[Performance_Deviation]] &lt; 0, "Underperforming", "Outperforming")</f>
        <v>Outperforming</v>
      </c>
      <c r="N3121">
        <f>IF(Table4[[#This Row],[Performance_Ratio]] &lt; 0.85, Table4[[#This Row],[Performance_Deviation]] * 50 / 1000, 0)</f>
        <v>0</v>
      </c>
    </row>
    <row r="3122" spans="1:14" x14ac:dyDescent="0.3">
      <c r="A3122" s="4" t="s">
        <v>10</v>
      </c>
      <c r="B3122" s="3">
        <v>45298</v>
      </c>
      <c r="C3122" s="4">
        <v>0</v>
      </c>
      <c r="D3122" s="4">
        <v>0</v>
      </c>
      <c r="E3122" s="4">
        <v>0</v>
      </c>
      <c r="F3122" s="4">
        <v>77.304169238932801</v>
      </c>
      <c r="G3122" s="4" t="str">
        <f t="shared" si="96"/>
        <v>OK</v>
      </c>
      <c r="H3122" s="4" t="str">
        <f t="shared" si="97"/>
        <v>ZERO</v>
      </c>
      <c r="I3122">
        <v>0</v>
      </c>
      <c r="J3122">
        <f>IFERROR(Table4[[#This Row],[energy_kwh]]/Table4[[#This Row],[expected_kwh]],0)</f>
        <v>0</v>
      </c>
      <c r="K3122" t="str">
        <f>IF(Table4[[#This Row],[Performance_Ratio]] &lt; 0.85, "Underperforming", "Performing")</f>
        <v>Underperforming</v>
      </c>
      <c r="L3122">
        <f>Table4[[#This Row],[energy_kwh]] - Table4[[#This Row],[expected_kwh]]</f>
        <v>0</v>
      </c>
      <c r="M3122" t="str">
        <f>IF(Table4[[#This Row],[Performance_Deviation]] &lt; 0, "Underperforming", "Outperforming")</f>
        <v>Outperforming</v>
      </c>
      <c r="N3122">
        <f>IF(Table4[[#This Row],[Performance_Ratio]] &lt; 0.85, Table4[[#This Row],[Performance_Deviation]] * 50 / 1000, 0)</f>
        <v>0</v>
      </c>
    </row>
    <row r="3123" spans="1:14" x14ac:dyDescent="0.3">
      <c r="A3123" s="6" t="s">
        <v>10</v>
      </c>
      <c r="B3123" s="5">
        <v>45298.041666666664</v>
      </c>
      <c r="C3123" s="6">
        <v>0</v>
      </c>
      <c r="D3123" s="6">
        <v>0</v>
      </c>
      <c r="E3123" s="6">
        <v>0</v>
      </c>
      <c r="F3123" s="6">
        <v>74.990360371473201</v>
      </c>
      <c r="G3123" s="6" t="str">
        <f t="shared" si="96"/>
        <v>OK</v>
      </c>
      <c r="H3123" s="6" t="str">
        <f t="shared" si="97"/>
        <v>ZERO</v>
      </c>
      <c r="I3123">
        <v>0</v>
      </c>
      <c r="J3123">
        <f>IFERROR(Table4[[#This Row],[energy_kwh]]/Table4[[#This Row],[expected_kwh]],0)</f>
        <v>0</v>
      </c>
      <c r="K3123" t="str">
        <f>IF(Table4[[#This Row],[Performance_Ratio]] &lt; 0.85, "Underperforming", "Performing")</f>
        <v>Underperforming</v>
      </c>
      <c r="L3123">
        <f>Table4[[#This Row],[energy_kwh]] - Table4[[#This Row],[expected_kwh]]</f>
        <v>0</v>
      </c>
      <c r="M3123" t="str">
        <f>IF(Table4[[#This Row],[Performance_Deviation]] &lt; 0, "Underperforming", "Outperforming")</f>
        <v>Outperforming</v>
      </c>
      <c r="N3123">
        <f>IF(Table4[[#This Row],[Performance_Ratio]] &lt; 0.85, Table4[[#This Row],[Performance_Deviation]] * 50 / 1000, 0)</f>
        <v>0</v>
      </c>
    </row>
    <row r="3124" spans="1:14" x14ac:dyDescent="0.3">
      <c r="A3124" s="4" t="s">
        <v>10</v>
      </c>
      <c r="B3124" s="3">
        <v>45298.083333333336</v>
      </c>
      <c r="C3124" s="4">
        <v>0</v>
      </c>
      <c r="D3124" s="4">
        <v>0</v>
      </c>
      <c r="E3124" s="4">
        <v>0</v>
      </c>
      <c r="F3124" s="4">
        <v>33.887378406215099</v>
      </c>
      <c r="G3124" s="4" t="str">
        <f t="shared" si="96"/>
        <v>OK</v>
      </c>
      <c r="H3124" s="4" t="str">
        <f t="shared" si="97"/>
        <v>ZERO</v>
      </c>
      <c r="I3124">
        <v>0</v>
      </c>
      <c r="J3124">
        <f>IFERROR(Table4[[#This Row],[energy_kwh]]/Table4[[#This Row],[expected_kwh]],0)</f>
        <v>0</v>
      </c>
      <c r="K3124" t="str">
        <f>IF(Table4[[#This Row],[Performance_Ratio]] &lt; 0.85, "Underperforming", "Performing")</f>
        <v>Underperforming</v>
      </c>
      <c r="L3124">
        <f>Table4[[#This Row],[energy_kwh]] - Table4[[#This Row],[expected_kwh]]</f>
        <v>0</v>
      </c>
      <c r="M3124" t="str">
        <f>IF(Table4[[#This Row],[Performance_Deviation]] &lt; 0, "Underperforming", "Outperforming")</f>
        <v>Outperforming</v>
      </c>
      <c r="N3124">
        <f>IF(Table4[[#This Row],[Performance_Ratio]] &lt; 0.85, Table4[[#This Row],[Performance_Deviation]] * 50 / 1000, 0)</f>
        <v>0</v>
      </c>
    </row>
    <row r="3125" spans="1:14" x14ac:dyDescent="0.3">
      <c r="A3125" s="6" t="s">
        <v>10</v>
      </c>
      <c r="B3125" s="5">
        <v>45298.125</v>
      </c>
      <c r="C3125" s="6">
        <v>0</v>
      </c>
      <c r="D3125" s="6">
        <v>0</v>
      </c>
      <c r="E3125" s="6">
        <v>0</v>
      </c>
      <c r="F3125" s="6">
        <v>24.786952603228499</v>
      </c>
      <c r="G3125" s="6" t="str">
        <f t="shared" si="96"/>
        <v>OK</v>
      </c>
      <c r="H3125" s="6" t="str">
        <f t="shared" si="97"/>
        <v>ZERO</v>
      </c>
      <c r="I3125">
        <v>0</v>
      </c>
      <c r="J3125">
        <f>IFERROR(Table4[[#This Row],[energy_kwh]]/Table4[[#This Row],[expected_kwh]],0)</f>
        <v>0</v>
      </c>
      <c r="K3125" t="str">
        <f>IF(Table4[[#This Row],[Performance_Ratio]] &lt; 0.85, "Underperforming", "Performing")</f>
        <v>Underperforming</v>
      </c>
      <c r="L3125">
        <f>Table4[[#This Row],[energy_kwh]] - Table4[[#This Row],[expected_kwh]]</f>
        <v>0</v>
      </c>
      <c r="M3125" t="str">
        <f>IF(Table4[[#This Row],[Performance_Deviation]] &lt; 0, "Underperforming", "Outperforming")</f>
        <v>Outperforming</v>
      </c>
      <c r="N3125">
        <f>IF(Table4[[#This Row],[Performance_Ratio]] &lt; 0.85, Table4[[#This Row],[Performance_Deviation]] * 50 / 1000, 0)</f>
        <v>0</v>
      </c>
    </row>
    <row r="3126" spans="1:14" x14ac:dyDescent="0.3">
      <c r="A3126" s="4" t="s">
        <v>10</v>
      </c>
      <c r="B3126" s="3">
        <v>45298.166666666664</v>
      </c>
      <c r="C3126" s="4">
        <v>0</v>
      </c>
      <c r="D3126" s="4">
        <v>0</v>
      </c>
      <c r="E3126" s="4">
        <v>0</v>
      </c>
      <c r="F3126" s="4">
        <v>33.246026943059199</v>
      </c>
      <c r="G3126" s="4" t="str">
        <f t="shared" si="96"/>
        <v>OK</v>
      </c>
      <c r="H3126" s="4" t="str">
        <f t="shared" si="97"/>
        <v>ZERO</v>
      </c>
      <c r="I3126">
        <v>0</v>
      </c>
      <c r="J3126">
        <f>IFERROR(Table4[[#This Row],[energy_kwh]]/Table4[[#This Row],[expected_kwh]],0)</f>
        <v>0</v>
      </c>
      <c r="K3126" t="str">
        <f>IF(Table4[[#This Row],[Performance_Ratio]] &lt; 0.85, "Underperforming", "Performing")</f>
        <v>Underperforming</v>
      </c>
      <c r="L3126">
        <f>Table4[[#This Row],[energy_kwh]] - Table4[[#This Row],[expected_kwh]]</f>
        <v>0</v>
      </c>
      <c r="M3126" t="str">
        <f>IF(Table4[[#This Row],[Performance_Deviation]] &lt; 0, "Underperforming", "Outperforming")</f>
        <v>Outperforming</v>
      </c>
      <c r="N3126">
        <f>IF(Table4[[#This Row],[Performance_Ratio]] &lt; 0.85, Table4[[#This Row],[Performance_Deviation]] * 50 / 1000, 0)</f>
        <v>0</v>
      </c>
    </row>
    <row r="3127" spans="1:14" x14ac:dyDescent="0.3">
      <c r="A3127" s="6" t="s">
        <v>10</v>
      </c>
      <c r="B3127" s="5">
        <v>45298.208333333336</v>
      </c>
      <c r="C3127" s="6">
        <v>0</v>
      </c>
      <c r="D3127" s="6">
        <v>0</v>
      </c>
      <c r="E3127" s="6">
        <v>0</v>
      </c>
      <c r="F3127" s="6">
        <v>23.438901378102599</v>
      </c>
      <c r="G3127" s="6" t="str">
        <f t="shared" si="96"/>
        <v>OK</v>
      </c>
      <c r="H3127" s="6" t="str">
        <f t="shared" si="97"/>
        <v>ZERO</v>
      </c>
      <c r="I3127">
        <v>0</v>
      </c>
      <c r="J3127">
        <f>IFERROR(Table4[[#This Row],[energy_kwh]]/Table4[[#This Row],[expected_kwh]],0)</f>
        <v>0</v>
      </c>
      <c r="K3127" t="str">
        <f>IF(Table4[[#This Row],[Performance_Ratio]] &lt; 0.85, "Underperforming", "Performing")</f>
        <v>Underperforming</v>
      </c>
      <c r="L3127">
        <f>Table4[[#This Row],[energy_kwh]] - Table4[[#This Row],[expected_kwh]]</f>
        <v>0</v>
      </c>
      <c r="M3127" t="str">
        <f>IF(Table4[[#This Row],[Performance_Deviation]] &lt; 0, "Underperforming", "Outperforming")</f>
        <v>Outperforming</v>
      </c>
      <c r="N3127">
        <f>IF(Table4[[#This Row],[Performance_Ratio]] &lt; 0.85, Table4[[#This Row],[Performance_Deviation]] * 50 / 1000, 0)</f>
        <v>0</v>
      </c>
    </row>
    <row r="3128" spans="1:14" x14ac:dyDescent="0.3">
      <c r="A3128" s="4" t="s">
        <v>10</v>
      </c>
      <c r="B3128" s="3">
        <v>45298.25</v>
      </c>
      <c r="C3128" s="4">
        <v>0</v>
      </c>
      <c r="D3128" s="4">
        <v>0</v>
      </c>
      <c r="E3128" s="4">
        <v>0</v>
      </c>
      <c r="F3128" s="4">
        <v>45.865533776990702</v>
      </c>
      <c r="G3128" s="4" t="str">
        <f t="shared" si="96"/>
        <v>OK</v>
      </c>
      <c r="H3128" s="4" t="str">
        <f t="shared" si="97"/>
        <v>ZERO</v>
      </c>
      <c r="I3128">
        <v>0</v>
      </c>
      <c r="J3128">
        <f>IFERROR(Table4[[#This Row],[energy_kwh]]/Table4[[#This Row],[expected_kwh]],0)</f>
        <v>0</v>
      </c>
      <c r="K3128" t="str">
        <f>IF(Table4[[#This Row],[Performance_Ratio]] &lt; 0.85, "Underperforming", "Performing")</f>
        <v>Underperforming</v>
      </c>
      <c r="L3128">
        <f>Table4[[#This Row],[energy_kwh]] - Table4[[#This Row],[expected_kwh]]</f>
        <v>0</v>
      </c>
      <c r="M3128" t="str">
        <f>IF(Table4[[#This Row],[Performance_Deviation]] &lt; 0, "Underperforming", "Outperforming")</f>
        <v>Outperforming</v>
      </c>
      <c r="N3128">
        <f>IF(Table4[[#This Row],[Performance_Ratio]] &lt; 0.85, Table4[[#This Row],[Performance_Deviation]] * 50 / 1000, 0)</f>
        <v>0</v>
      </c>
    </row>
    <row r="3129" spans="1:14" x14ac:dyDescent="0.3">
      <c r="A3129" s="6" t="s">
        <v>10</v>
      </c>
      <c r="B3129" s="5">
        <v>45298.291666666664</v>
      </c>
      <c r="C3129" s="6">
        <v>326.10466552501299</v>
      </c>
      <c r="D3129" s="6">
        <v>308.57352185579799</v>
      </c>
      <c r="E3129" s="6">
        <v>308.57352185579799</v>
      </c>
      <c r="F3129" s="6">
        <v>33.809751731088802</v>
      </c>
      <c r="G3129" s="6" t="str">
        <f t="shared" si="96"/>
        <v>OK</v>
      </c>
      <c r="H3129" s="6" t="str">
        <f t="shared" si="97"/>
        <v>NON-ZERO</v>
      </c>
      <c r="I3129">
        <v>310.58285412302399</v>
      </c>
      <c r="J3129">
        <f>IFERROR(Table4[[#This Row],[energy_kwh]]/Table4[[#This Row],[expected_kwh]],0)</f>
        <v>0.99353044689830139</v>
      </c>
      <c r="K3129" t="str">
        <f>IF(Table4[[#This Row],[Performance_Ratio]] &lt; 0.85, "Underperforming", "Performing")</f>
        <v>Performing</v>
      </c>
      <c r="L3129">
        <f>Table4[[#This Row],[energy_kwh]] - Table4[[#This Row],[expected_kwh]]</f>
        <v>-2.0093322672260001</v>
      </c>
      <c r="M3129" t="str">
        <f>IF(Table4[[#This Row],[Performance_Deviation]] &lt; 0, "Underperforming", "Outperforming")</f>
        <v>Underperforming</v>
      </c>
      <c r="N3129">
        <f>IF(Table4[[#This Row],[Performance_Ratio]] &lt; 0.85, Table4[[#This Row],[Performance_Deviation]] * 50 / 1000, 0)</f>
        <v>0</v>
      </c>
    </row>
    <row r="3130" spans="1:14" x14ac:dyDescent="0.3">
      <c r="A3130" s="4" t="s">
        <v>10</v>
      </c>
      <c r="B3130" s="3">
        <v>45298.333333333336</v>
      </c>
      <c r="C3130" s="4">
        <v>536.11564101589397</v>
      </c>
      <c r="D3130" s="4">
        <v>507.29446389218901</v>
      </c>
      <c r="E3130" s="4">
        <v>507.29446389218901</v>
      </c>
      <c r="F3130" s="4">
        <v>76.601189065110503</v>
      </c>
      <c r="G3130" s="4" t="str">
        <f t="shared" si="96"/>
        <v>OK</v>
      </c>
      <c r="H3130" s="4" t="str">
        <f t="shared" si="97"/>
        <v>NON-ZERO</v>
      </c>
      <c r="I3130">
        <v>600</v>
      </c>
      <c r="J3130">
        <f>IFERROR(Table4[[#This Row],[energy_kwh]]/Table4[[#This Row],[expected_kwh]],0)</f>
        <v>0.8454907731536484</v>
      </c>
      <c r="K3130" t="str">
        <f>IF(Table4[[#This Row],[Performance_Ratio]] &lt; 0.85, "Underperforming", "Performing")</f>
        <v>Underperforming</v>
      </c>
      <c r="L3130">
        <f>Table4[[#This Row],[energy_kwh]] - Table4[[#This Row],[expected_kwh]]</f>
        <v>-92.705536107810985</v>
      </c>
      <c r="M3130" t="str">
        <f>IF(Table4[[#This Row],[Performance_Deviation]] &lt; 0, "Underperforming", "Outperforming")</f>
        <v>Underperforming</v>
      </c>
      <c r="N3130">
        <f>IF(Table4[[#This Row],[Performance_Ratio]] &lt; 0.85, Table4[[#This Row],[Performance_Deviation]] * 50 / 1000, 0)</f>
        <v>-4.6352768053905491</v>
      </c>
    </row>
    <row r="3131" spans="1:14" x14ac:dyDescent="0.3">
      <c r="A3131" s="6" t="s">
        <v>10</v>
      </c>
      <c r="B3131" s="5">
        <v>45298.375</v>
      </c>
      <c r="C3131" s="6">
        <v>801.49948855962498</v>
      </c>
      <c r="D3131" s="6">
        <v>758.411473666863</v>
      </c>
      <c r="E3131" s="6">
        <v>758.411473666863</v>
      </c>
      <c r="F3131" s="6">
        <v>82.727696975756402</v>
      </c>
      <c r="G3131" s="6" t="str">
        <f t="shared" si="96"/>
        <v>OK</v>
      </c>
      <c r="H3131" s="6" t="str">
        <f t="shared" si="97"/>
        <v>NON-ZERO</v>
      </c>
      <c r="I3131">
        <v>848.52813742385695</v>
      </c>
      <c r="J3131">
        <f>IFERROR(Table4[[#This Row],[energy_kwh]]/Table4[[#This Row],[expected_kwh]],0)</f>
        <v>0.8937964932658693</v>
      </c>
      <c r="K3131" t="str">
        <f>IF(Table4[[#This Row],[Performance_Ratio]] &lt; 0.85, "Underperforming", "Performing")</f>
        <v>Performing</v>
      </c>
      <c r="L3131">
        <f>Table4[[#This Row],[energy_kwh]] - Table4[[#This Row],[expected_kwh]]</f>
        <v>-90.116663756993944</v>
      </c>
      <c r="M3131" t="str">
        <f>IF(Table4[[#This Row],[Performance_Deviation]] &lt; 0, "Underperforming", "Outperforming")</f>
        <v>Underperforming</v>
      </c>
      <c r="N3131">
        <f>IF(Table4[[#This Row],[Performance_Ratio]] &lt; 0.85, Table4[[#This Row],[Performance_Deviation]] * 50 / 1000, 0)</f>
        <v>0</v>
      </c>
    </row>
    <row r="3132" spans="1:14" x14ac:dyDescent="0.3">
      <c r="A3132" s="4" t="s">
        <v>10</v>
      </c>
      <c r="B3132" s="3">
        <v>45298.416666666664</v>
      </c>
      <c r="C3132" s="4">
        <v>1042.8709847811999</v>
      </c>
      <c r="D3132" s="4">
        <v>986.80701822242497</v>
      </c>
      <c r="E3132" s="4">
        <v>986.80701822242497</v>
      </c>
      <c r="F3132" s="4">
        <v>78.079890276294094</v>
      </c>
      <c r="G3132" s="4" t="str">
        <f t="shared" si="96"/>
        <v>OK</v>
      </c>
      <c r="H3132" s="4" t="str">
        <f t="shared" si="97"/>
        <v>NON-ZERO</v>
      </c>
      <c r="I3132">
        <v>1039.23048454132</v>
      </c>
      <c r="J3132">
        <f>IFERROR(Table4[[#This Row],[energy_kwh]]/Table4[[#This Row],[expected_kwh]],0)</f>
        <v>0.94955549601488742</v>
      </c>
      <c r="K3132" t="str">
        <f>IF(Table4[[#This Row],[Performance_Ratio]] &lt; 0.85, "Underperforming", "Performing")</f>
        <v>Performing</v>
      </c>
      <c r="L3132">
        <f>Table4[[#This Row],[energy_kwh]] - Table4[[#This Row],[expected_kwh]]</f>
        <v>-52.423466318895066</v>
      </c>
      <c r="M3132" t="str">
        <f>IF(Table4[[#This Row],[Performance_Deviation]] &lt; 0, "Underperforming", "Outperforming")</f>
        <v>Underperforming</v>
      </c>
      <c r="N3132">
        <f>IF(Table4[[#This Row],[Performance_Ratio]] &lt; 0.85, Table4[[#This Row],[Performance_Deviation]] * 50 / 1000, 0)</f>
        <v>0</v>
      </c>
    </row>
    <row r="3133" spans="1:14" x14ac:dyDescent="0.3">
      <c r="A3133" s="6" t="s">
        <v>10</v>
      </c>
      <c r="B3133" s="5">
        <v>45298.458333333336</v>
      </c>
      <c r="C3133" s="6">
        <v>1133.02075444974</v>
      </c>
      <c r="D3133" s="6">
        <v>1072.1104034908501</v>
      </c>
      <c r="E3133" s="6">
        <v>1072.1104034908501</v>
      </c>
      <c r="F3133" s="6">
        <v>28.0929287917232</v>
      </c>
      <c r="G3133" s="6" t="str">
        <f t="shared" si="96"/>
        <v>OK</v>
      </c>
      <c r="H3133" s="6" t="str">
        <f t="shared" si="97"/>
        <v>NON-ZERO</v>
      </c>
      <c r="I3133">
        <v>1159.1109915468801</v>
      </c>
      <c r="J3133">
        <f>IFERROR(Table4[[#This Row],[energy_kwh]]/Table4[[#This Row],[expected_kwh]],0)</f>
        <v>0.92494196958660169</v>
      </c>
      <c r="K3133" t="str">
        <f>IF(Table4[[#This Row],[Performance_Ratio]] &lt; 0.85, "Underperforming", "Performing")</f>
        <v>Performing</v>
      </c>
      <c r="L3133">
        <f>Table4[[#This Row],[energy_kwh]] - Table4[[#This Row],[expected_kwh]]</f>
        <v>-87.000588056029983</v>
      </c>
      <c r="M3133" t="str">
        <f>IF(Table4[[#This Row],[Performance_Deviation]] &lt; 0, "Underperforming", "Outperforming")</f>
        <v>Underperforming</v>
      </c>
      <c r="N3133">
        <f>IF(Table4[[#This Row],[Performance_Ratio]] &lt; 0.85, Table4[[#This Row],[Performance_Deviation]] * 50 / 1000, 0)</f>
        <v>0</v>
      </c>
    </row>
    <row r="3134" spans="1:14" x14ac:dyDescent="0.3">
      <c r="A3134" s="4" t="s">
        <v>10</v>
      </c>
      <c r="B3134" s="3">
        <v>45298.5</v>
      </c>
      <c r="C3134" s="4">
        <v>1126.3378796587101</v>
      </c>
      <c r="D3134" s="4">
        <v>1065.7867950657201</v>
      </c>
      <c r="E3134" s="4">
        <v>1065.7867950657201</v>
      </c>
      <c r="F3134" s="4">
        <v>91.994609043762594</v>
      </c>
      <c r="G3134" s="4" t="str">
        <f t="shared" si="96"/>
        <v>OK</v>
      </c>
      <c r="H3134" s="4" t="str">
        <f t="shared" si="97"/>
        <v>NON-ZERO</v>
      </c>
      <c r="I3134">
        <v>1200</v>
      </c>
      <c r="J3134">
        <f>IFERROR(Table4[[#This Row],[energy_kwh]]/Table4[[#This Row],[expected_kwh]],0)</f>
        <v>0.88815566255476674</v>
      </c>
      <c r="K3134" t="str">
        <f>IF(Table4[[#This Row],[Performance_Ratio]] &lt; 0.85, "Underperforming", "Performing")</f>
        <v>Performing</v>
      </c>
      <c r="L3134">
        <f>Table4[[#This Row],[energy_kwh]] - Table4[[#This Row],[expected_kwh]]</f>
        <v>-134.21320493427993</v>
      </c>
      <c r="M3134" t="str">
        <f>IF(Table4[[#This Row],[Performance_Deviation]] &lt; 0, "Underperforming", "Outperforming")</f>
        <v>Underperforming</v>
      </c>
      <c r="N3134">
        <f>IF(Table4[[#This Row],[Performance_Ratio]] &lt; 0.85, Table4[[#This Row],[Performance_Deviation]] * 50 / 1000, 0)</f>
        <v>0</v>
      </c>
    </row>
    <row r="3135" spans="1:14" x14ac:dyDescent="0.3">
      <c r="A3135" s="6" t="s">
        <v>10</v>
      </c>
      <c r="B3135" s="5">
        <v>45298.541666666664</v>
      </c>
      <c r="C3135" s="6">
        <v>1128.6273187234101</v>
      </c>
      <c r="D3135" s="6">
        <v>1067.9531555933499</v>
      </c>
      <c r="E3135" s="6">
        <v>1067.9531555933499</v>
      </c>
      <c r="F3135" s="6">
        <v>84.156211597338498</v>
      </c>
      <c r="G3135" s="6" t="str">
        <f t="shared" si="96"/>
        <v>OK</v>
      </c>
      <c r="H3135" s="6" t="str">
        <f t="shared" si="97"/>
        <v>NON-ZERO</v>
      </c>
      <c r="I3135">
        <v>1159.1109915468801</v>
      </c>
      <c r="J3135">
        <f>IFERROR(Table4[[#This Row],[energy_kwh]]/Table4[[#This Row],[expected_kwh]],0)</f>
        <v>0.92135538648298354</v>
      </c>
      <c r="K3135" t="str">
        <f>IF(Table4[[#This Row],[Performance_Ratio]] &lt; 0.85, "Underperforming", "Performing")</f>
        <v>Performing</v>
      </c>
      <c r="L3135">
        <f>Table4[[#This Row],[energy_kwh]] - Table4[[#This Row],[expected_kwh]]</f>
        <v>-91.157835953530139</v>
      </c>
      <c r="M3135" t="str">
        <f>IF(Table4[[#This Row],[Performance_Deviation]] &lt; 0, "Underperforming", "Outperforming")</f>
        <v>Underperforming</v>
      </c>
      <c r="N3135">
        <f>IF(Table4[[#This Row],[Performance_Ratio]] &lt; 0.85, Table4[[#This Row],[Performance_Deviation]] * 50 / 1000, 0)</f>
        <v>0</v>
      </c>
    </row>
    <row r="3136" spans="1:14" x14ac:dyDescent="0.3">
      <c r="A3136" s="4" t="s">
        <v>10</v>
      </c>
      <c r="B3136" s="3">
        <v>45298.583333333336</v>
      </c>
      <c r="C3136" s="4">
        <v>841.24121893428696</v>
      </c>
      <c r="D3136" s="4">
        <v>796.01671824872096</v>
      </c>
      <c r="E3136" s="4">
        <v>796.01671824872096</v>
      </c>
      <c r="F3136" s="4">
        <v>76.619879980417807</v>
      </c>
      <c r="G3136" s="4" t="str">
        <f t="shared" si="96"/>
        <v>OK</v>
      </c>
      <c r="H3136" s="4" t="str">
        <f t="shared" si="97"/>
        <v>NON-ZERO</v>
      </c>
      <c r="I3136">
        <v>1039.23048454132</v>
      </c>
      <c r="J3136">
        <f>IFERROR(Table4[[#This Row],[energy_kwh]]/Table4[[#This Row],[expected_kwh]],0)</f>
        <v>0.76596744426724062</v>
      </c>
      <c r="K3136" t="str">
        <f>IF(Table4[[#This Row],[Performance_Ratio]] &lt; 0.85, "Underperforming", "Performing")</f>
        <v>Underperforming</v>
      </c>
      <c r="L3136">
        <f>Table4[[#This Row],[energy_kwh]] - Table4[[#This Row],[expected_kwh]]</f>
        <v>-243.21376629259908</v>
      </c>
      <c r="M3136" t="str">
        <f>IF(Table4[[#This Row],[Performance_Deviation]] &lt; 0, "Underperforming", "Outperforming")</f>
        <v>Underperforming</v>
      </c>
      <c r="N3136">
        <f>IF(Table4[[#This Row],[Performance_Ratio]] &lt; 0.85, Table4[[#This Row],[Performance_Deviation]] * 50 / 1000, 0)</f>
        <v>-12.160688314629953</v>
      </c>
    </row>
    <row r="3137" spans="1:14" x14ac:dyDescent="0.3">
      <c r="A3137" s="6" t="s">
        <v>10</v>
      </c>
      <c r="B3137" s="5">
        <v>45298.625</v>
      </c>
      <c r="C3137" s="6">
        <v>743.08091625030397</v>
      </c>
      <c r="D3137" s="6">
        <v>703.13344024696903</v>
      </c>
      <c r="E3137" s="6">
        <v>703.13344024696903</v>
      </c>
      <c r="F3137" s="6">
        <v>49.068625057762397</v>
      </c>
      <c r="G3137" s="6" t="str">
        <f t="shared" si="96"/>
        <v>OK</v>
      </c>
      <c r="H3137" s="6" t="str">
        <f t="shared" si="97"/>
        <v>NON-ZERO</v>
      </c>
      <c r="I3137">
        <v>848.52813742385695</v>
      </c>
      <c r="J3137">
        <f>IFERROR(Table4[[#This Row],[energy_kwh]]/Table4[[#This Row],[expected_kwh]],0)</f>
        <v>0.82865070612942993</v>
      </c>
      <c r="K3137" t="str">
        <f>IF(Table4[[#This Row],[Performance_Ratio]] &lt; 0.85, "Underperforming", "Performing")</f>
        <v>Underperforming</v>
      </c>
      <c r="L3137">
        <f>Table4[[#This Row],[energy_kwh]] - Table4[[#This Row],[expected_kwh]]</f>
        <v>-145.39469717688792</v>
      </c>
      <c r="M3137" t="str">
        <f>IF(Table4[[#This Row],[Performance_Deviation]] &lt; 0, "Underperforming", "Outperforming")</f>
        <v>Underperforming</v>
      </c>
      <c r="N3137">
        <f>IF(Table4[[#This Row],[Performance_Ratio]] &lt; 0.85, Table4[[#This Row],[Performance_Deviation]] * 50 / 1000, 0)</f>
        <v>-7.2697348588443953</v>
      </c>
    </row>
    <row r="3138" spans="1:14" x14ac:dyDescent="0.3">
      <c r="A3138" s="4" t="s">
        <v>10</v>
      </c>
      <c r="B3138" s="3">
        <v>45298.666666666664</v>
      </c>
      <c r="C3138" s="4">
        <v>620.82089508072102</v>
      </c>
      <c r="D3138" s="4">
        <v>587.44602665622801</v>
      </c>
      <c r="E3138" s="4">
        <v>587.44602665622801</v>
      </c>
      <c r="F3138" s="4">
        <v>64.712209843300798</v>
      </c>
      <c r="G3138" s="4" t="str">
        <f t="shared" ref="G3138:G3201" si="98">IF(D3138 &gt; C3138, "ERROR", "OK")</f>
        <v>OK</v>
      </c>
      <c r="H3138" s="4" t="str">
        <f t="shared" ref="H3138:H3201" si="99">IF(E3138=0,"ZERO","NON-ZERO")</f>
        <v>NON-ZERO</v>
      </c>
      <c r="I3138">
        <v>600</v>
      </c>
      <c r="J3138">
        <f>IFERROR(Table4[[#This Row],[energy_kwh]]/Table4[[#This Row],[expected_kwh]],0)</f>
        <v>0.9790767110937133</v>
      </c>
      <c r="K3138" t="str">
        <f>IF(Table4[[#This Row],[Performance_Ratio]] &lt; 0.85, "Underperforming", "Performing")</f>
        <v>Performing</v>
      </c>
      <c r="L3138">
        <f>Table4[[#This Row],[energy_kwh]] - Table4[[#This Row],[expected_kwh]]</f>
        <v>-12.553973343771986</v>
      </c>
      <c r="M3138" t="str">
        <f>IF(Table4[[#This Row],[Performance_Deviation]] &lt; 0, "Underperforming", "Outperforming")</f>
        <v>Underperforming</v>
      </c>
      <c r="N3138">
        <f>IF(Table4[[#This Row],[Performance_Ratio]] &lt; 0.85, Table4[[#This Row],[Performance_Deviation]] * 50 / 1000, 0)</f>
        <v>0</v>
      </c>
    </row>
    <row r="3139" spans="1:14" x14ac:dyDescent="0.3">
      <c r="A3139" s="6" t="s">
        <v>10</v>
      </c>
      <c r="B3139" s="5">
        <v>45298.708333333336</v>
      </c>
      <c r="C3139" s="6">
        <v>301.10422060066799</v>
      </c>
      <c r="D3139" s="6">
        <v>284.91708220981201</v>
      </c>
      <c r="E3139" s="6">
        <v>284.91708220981201</v>
      </c>
      <c r="F3139" s="6">
        <v>51.551167778069598</v>
      </c>
      <c r="G3139" s="6" t="str">
        <f t="shared" si="98"/>
        <v>OK</v>
      </c>
      <c r="H3139" s="6" t="str">
        <f t="shared" si="99"/>
        <v>NON-ZERO</v>
      </c>
      <c r="I3139">
        <v>310.58285412302502</v>
      </c>
      <c r="J3139">
        <f>IFERROR(Table4[[#This Row],[energy_kwh]]/Table4[[#This Row],[expected_kwh]],0)</f>
        <v>0.9173625601912766</v>
      </c>
      <c r="K3139" t="str">
        <f>IF(Table4[[#This Row],[Performance_Ratio]] &lt; 0.85, "Underperforming", "Performing")</f>
        <v>Performing</v>
      </c>
      <c r="L3139">
        <f>Table4[[#This Row],[energy_kwh]] - Table4[[#This Row],[expected_kwh]]</f>
        <v>-25.665771913213007</v>
      </c>
      <c r="M3139" t="str">
        <f>IF(Table4[[#This Row],[Performance_Deviation]] &lt; 0, "Underperforming", "Outperforming")</f>
        <v>Underperforming</v>
      </c>
      <c r="N3139">
        <f>IF(Table4[[#This Row],[Performance_Ratio]] &lt; 0.85, Table4[[#This Row],[Performance_Deviation]] * 50 / 1000, 0)</f>
        <v>0</v>
      </c>
    </row>
    <row r="3140" spans="1:14" x14ac:dyDescent="0.3">
      <c r="A3140" s="4" t="s">
        <v>10</v>
      </c>
      <c r="B3140" s="3">
        <v>45298.75</v>
      </c>
      <c r="C3140" s="7">
        <v>1.3461598366448299E-13</v>
      </c>
      <c r="D3140" s="7">
        <v>1.2737912875474E-13</v>
      </c>
      <c r="E3140" s="7">
        <v>1.2737912875474E-13</v>
      </c>
      <c r="F3140" s="4">
        <v>63.584179994679097</v>
      </c>
      <c r="G3140" s="4" t="str">
        <f t="shared" si="98"/>
        <v>OK</v>
      </c>
      <c r="H3140" s="4" t="str">
        <f t="shared" si="99"/>
        <v>NON-ZERO</v>
      </c>
      <c r="I3140" s="2">
        <v>1.46957615897682E-13</v>
      </c>
      <c r="J3140">
        <f>IFERROR(Table4[[#This Row],[energy_kwh]]/Table4[[#This Row],[expected_kwh]],0)</f>
        <v>0.86677460012298135</v>
      </c>
      <c r="K3140" t="str">
        <f>IF(Table4[[#This Row],[Performance_Ratio]] &lt; 0.85, "Underperforming", "Performing")</f>
        <v>Performing</v>
      </c>
      <c r="L3140">
        <f>Table4[[#This Row],[energy_kwh]] - Table4[[#This Row],[expected_kwh]]</f>
        <v>-1.9578487142942004E-14</v>
      </c>
      <c r="M3140" t="str">
        <f>IF(Table4[[#This Row],[Performance_Deviation]] &lt; 0, "Underperforming", "Outperforming")</f>
        <v>Underperforming</v>
      </c>
      <c r="N3140">
        <f>IF(Table4[[#This Row],[Performance_Ratio]] &lt; 0.85, Table4[[#This Row],[Performance_Deviation]] * 50 / 1000, 0)</f>
        <v>0</v>
      </c>
    </row>
    <row r="3141" spans="1:14" x14ac:dyDescent="0.3">
      <c r="A3141" s="6" t="s">
        <v>10</v>
      </c>
      <c r="B3141" s="5">
        <v>45298.791666666664</v>
      </c>
      <c r="C3141" s="6">
        <v>0</v>
      </c>
      <c r="D3141" s="6">
        <v>0</v>
      </c>
      <c r="E3141" s="6">
        <v>0</v>
      </c>
      <c r="F3141" s="6">
        <v>37.621142212504402</v>
      </c>
      <c r="G3141" s="6" t="str">
        <f t="shared" si="98"/>
        <v>OK</v>
      </c>
      <c r="H3141" s="6" t="str">
        <f t="shared" si="99"/>
        <v>ZERO</v>
      </c>
      <c r="I3141">
        <v>0</v>
      </c>
      <c r="J3141">
        <f>IFERROR(Table4[[#This Row],[energy_kwh]]/Table4[[#This Row],[expected_kwh]],0)</f>
        <v>0</v>
      </c>
      <c r="K3141" t="str">
        <f>IF(Table4[[#This Row],[Performance_Ratio]] &lt; 0.85, "Underperforming", "Performing")</f>
        <v>Underperforming</v>
      </c>
      <c r="L3141">
        <f>Table4[[#This Row],[energy_kwh]] - Table4[[#This Row],[expected_kwh]]</f>
        <v>0</v>
      </c>
      <c r="M3141" t="str">
        <f>IF(Table4[[#This Row],[Performance_Deviation]] &lt; 0, "Underperforming", "Outperforming")</f>
        <v>Outperforming</v>
      </c>
      <c r="N3141">
        <f>IF(Table4[[#This Row],[Performance_Ratio]] &lt; 0.85, Table4[[#This Row],[Performance_Deviation]] * 50 / 1000, 0)</f>
        <v>0</v>
      </c>
    </row>
    <row r="3142" spans="1:14" x14ac:dyDescent="0.3">
      <c r="A3142" s="4" t="s">
        <v>10</v>
      </c>
      <c r="B3142" s="3">
        <v>45298.833333333336</v>
      </c>
      <c r="C3142" s="4">
        <v>0</v>
      </c>
      <c r="D3142" s="4">
        <v>0</v>
      </c>
      <c r="E3142" s="4">
        <v>0</v>
      </c>
      <c r="F3142" s="4">
        <v>45.0381548257539</v>
      </c>
      <c r="G3142" s="4" t="str">
        <f t="shared" si="98"/>
        <v>OK</v>
      </c>
      <c r="H3142" s="4" t="str">
        <f t="shared" si="99"/>
        <v>ZERO</v>
      </c>
      <c r="I3142">
        <v>0</v>
      </c>
      <c r="J3142">
        <f>IFERROR(Table4[[#This Row],[energy_kwh]]/Table4[[#This Row],[expected_kwh]],0)</f>
        <v>0</v>
      </c>
      <c r="K3142" t="str">
        <f>IF(Table4[[#This Row],[Performance_Ratio]] &lt; 0.85, "Underperforming", "Performing")</f>
        <v>Underperforming</v>
      </c>
      <c r="L3142">
        <f>Table4[[#This Row],[energy_kwh]] - Table4[[#This Row],[expected_kwh]]</f>
        <v>0</v>
      </c>
      <c r="M3142" t="str">
        <f>IF(Table4[[#This Row],[Performance_Deviation]] &lt; 0, "Underperforming", "Outperforming")</f>
        <v>Outperforming</v>
      </c>
      <c r="N3142">
        <f>IF(Table4[[#This Row],[Performance_Ratio]] &lt; 0.85, Table4[[#This Row],[Performance_Deviation]] * 50 / 1000, 0)</f>
        <v>0</v>
      </c>
    </row>
    <row r="3143" spans="1:14" x14ac:dyDescent="0.3">
      <c r="A3143" s="6" t="s">
        <v>10</v>
      </c>
      <c r="B3143" s="5">
        <v>45298.875</v>
      </c>
      <c r="C3143" s="6">
        <v>0</v>
      </c>
      <c r="D3143" s="6">
        <v>0</v>
      </c>
      <c r="E3143" s="6">
        <v>0</v>
      </c>
      <c r="F3143" s="6">
        <v>26.895345194062799</v>
      </c>
      <c r="G3143" s="6" t="str">
        <f t="shared" si="98"/>
        <v>OK</v>
      </c>
      <c r="H3143" s="6" t="str">
        <f t="shared" si="99"/>
        <v>ZERO</v>
      </c>
      <c r="I3143">
        <v>0</v>
      </c>
      <c r="J3143">
        <f>IFERROR(Table4[[#This Row],[energy_kwh]]/Table4[[#This Row],[expected_kwh]],0)</f>
        <v>0</v>
      </c>
      <c r="K3143" t="str">
        <f>IF(Table4[[#This Row],[Performance_Ratio]] &lt; 0.85, "Underperforming", "Performing")</f>
        <v>Underperforming</v>
      </c>
      <c r="L3143">
        <f>Table4[[#This Row],[energy_kwh]] - Table4[[#This Row],[expected_kwh]]</f>
        <v>0</v>
      </c>
      <c r="M3143" t="str">
        <f>IF(Table4[[#This Row],[Performance_Deviation]] &lt; 0, "Underperforming", "Outperforming")</f>
        <v>Outperforming</v>
      </c>
      <c r="N3143">
        <f>IF(Table4[[#This Row],[Performance_Ratio]] &lt; 0.85, Table4[[#This Row],[Performance_Deviation]] * 50 / 1000, 0)</f>
        <v>0</v>
      </c>
    </row>
    <row r="3144" spans="1:14" x14ac:dyDescent="0.3">
      <c r="A3144" s="4" t="s">
        <v>10</v>
      </c>
      <c r="B3144" s="3">
        <v>45298.916666666664</v>
      </c>
      <c r="C3144" s="4">
        <v>0</v>
      </c>
      <c r="D3144" s="4">
        <v>0</v>
      </c>
      <c r="E3144" s="4">
        <v>0</v>
      </c>
      <c r="F3144" s="4">
        <v>20.607570623549101</v>
      </c>
      <c r="G3144" s="4" t="str">
        <f t="shared" si="98"/>
        <v>OK</v>
      </c>
      <c r="H3144" s="4" t="str">
        <f t="shared" si="99"/>
        <v>ZERO</v>
      </c>
      <c r="I3144">
        <v>0</v>
      </c>
      <c r="J3144">
        <f>IFERROR(Table4[[#This Row],[energy_kwh]]/Table4[[#This Row],[expected_kwh]],0)</f>
        <v>0</v>
      </c>
      <c r="K3144" t="str">
        <f>IF(Table4[[#This Row],[Performance_Ratio]] &lt; 0.85, "Underperforming", "Performing")</f>
        <v>Underperforming</v>
      </c>
      <c r="L3144">
        <f>Table4[[#This Row],[energy_kwh]] - Table4[[#This Row],[expected_kwh]]</f>
        <v>0</v>
      </c>
      <c r="M3144" t="str">
        <f>IF(Table4[[#This Row],[Performance_Deviation]] &lt; 0, "Underperforming", "Outperforming")</f>
        <v>Outperforming</v>
      </c>
      <c r="N3144">
        <f>IF(Table4[[#This Row],[Performance_Ratio]] &lt; 0.85, Table4[[#This Row],[Performance_Deviation]] * 50 / 1000, 0)</f>
        <v>0</v>
      </c>
    </row>
    <row r="3145" spans="1:14" x14ac:dyDescent="0.3">
      <c r="A3145" s="6" t="s">
        <v>10</v>
      </c>
      <c r="B3145" s="5">
        <v>45298.958333333336</v>
      </c>
      <c r="C3145" s="6">
        <v>0</v>
      </c>
      <c r="D3145" s="6">
        <v>0</v>
      </c>
      <c r="E3145" s="6">
        <v>0</v>
      </c>
      <c r="F3145" s="6">
        <v>78.569988484286995</v>
      </c>
      <c r="G3145" s="6" t="str">
        <f t="shared" si="98"/>
        <v>OK</v>
      </c>
      <c r="H3145" s="6" t="str">
        <f t="shared" si="99"/>
        <v>ZERO</v>
      </c>
      <c r="I3145">
        <v>0</v>
      </c>
      <c r="J3145">
        <f>IFERROR(Table4[[#This Row],[energy_kwh]]/Table4[[#This Row],[expected_kwh]],0)</f>
        <v>0</v>
      </c>
      <c r="K3145" t="str">
        <f>IF(Table4[[#This Row],[Performance_Ratio]] &lt; 0.85, "Underperforming", "Performing")</f>
        <v>Underperforming</v>
      </c>
      <c r="L3145">
        <f>Table4[[#This Row],[energy_kwh]] - Table4[[#This Row],[expected_kwh]]</f>
        <v>0</v>
      </c>
      <c r="M3145" t="str">
        <f>IF(Table4[[#This Row],[Performance_Deviation]] &lt; 0, "Underperforming", "Outperforming")</f>
        <v>Outperforming</v>
      </c>
      <c r="N3145">
        <f>IF(Table4[[#This Row],[Performance_Ratio]] &lt; 0.85, Table4[[#This Row],[Performance_Deviation]] * 50 / 1000, 0)</f>
        <v>0</v>
      </c>
    </row>
    <row r="3146" spans="1:14" x14ac:dyDescent="0.3">
      <c r="A3146" s="4" t="s">
        <v>10</v>
      </c>
      <c r="B3146" s="3">
        <v>45299</v>
      </c>
      <c r="C3146" s="4">
        <v>0</v>
      </c>
      <c r="D3146" s="4">
        <v>0</v>
      </c>
      <c r="E3146" s="4">
        <v>0</v>
      </c>
      <c r="F3146" s="4">
        <v>52.819830781534499</v>
      </c>
      <c r="G3146" s="4" t="str">
        <f t="shared" si="98"/>
        <v>OK</v>
      </c>
      <c r="H3146" s="4" t="str">
        <f t="shared" si="99"/>
        <v>ZERO</v>
      </c>
      <c r="I3146">
        <v>0</v>
      </c>
      <c r="J3146">
        <f>IFERROR(Table4[[#This Row],[energy_kwh]]/Table4[[#This Row],[expected_kwh]],0)</f>
        <v>0</v>
      </c>
      <c r="K3146" t="str">
        <f>IF(Table4[[#This Row],[Performance_Ratio]] &lt; 0.85, "Underperforming", "Performing")</f>
        <v>Underperforming</v>
      </c>
      <c r="L3146">
        <f>Table4[[#This Row],[energy_kwh]] - Table4[[#This Row],[expected_kwh]]</f>
        <v>0</v>
      </c>
      <c r="M3146" t="str">
        <f>IF(Table4[[#This Row],[Performance_Deviation]] &lt; 0, "Underperforming", "Outperforming")</f>
        <v>Outperforming</v>
      </c>
      <c r="N3146">
        <f>IF(Table4[[#This Row],[Performance_Ratio]] &lt; 0.85, Table4[[#This Row],[Performance_Deviation]] * 50 / 1000, 0)</f>
        <v>0</v>
      </c>
    </row>
    <row r="3147" spans="1:14" x14ac:dyDescent="0.3">
      <c r="A3147" s="6" t="s">
        <v>10</v>
      </c>
      <c r="B3147" s="5">
        <v>45299.041666666664</v>
      </c>
      <c r="C3147" s="6">
        <v>0</v>
      </c>
      <c r="D3147" s="6">
        <v>0</v>
      </c>
      <c r="E3147" s="6">
        <v>0</v>
      </c>
      <c r="F3147" s="6">
        <v>39.915170421032101</v>
      </c>
      <c r="G3147" s="6" t="str">
        <f t="shared" si="98"/>
        <v>OK</v>
      </c>
      <c r="H3147" s="6" t="str">
        <f t="shared" si="99"/>
        <v>ZERO</v>
      </c>
      <c r="I3147">
        <v>0</v>
      </c>
      <c r="J3147">
        <f>IFERROR(Table4[[#This Row],[energy_kwh]]/Table4[[#This Row],[expected_kwh]],0)</f>
        <v>0</v>
      </c>
      <c r="K3147" t="str">
        <f>IF(Table4[[#This Row],[Performance_Ratio]] &lt; 0.85, "Underperforming", "Performing")</f>
        <v>Underperforming</v>
      </c>
      <c r="L3147">
        <f>Table4[[#This Row],[energy_kwh]] - Table4[[#This Row],[expected_kwh]]</f>
        <v>0</v>
      </c>
      <c r="M3147" t="str">
        <f>IF(Table4[[#This Row],[Performance_Deviation]] &lt; 0, "Underperforming", "Outperforming")</f>
        <v>Outperforming</v>
      </c>
      <c r="N3147">
        <f>IF(Table4[[#This Row],[Performance_Ratio]] &lt; 0.85, Table4[[#This Row],[Performance_Deviation]] * 50 / 1000, 0)</f>
        <v>0</v>
      </c>
    </row>
    <row r="3148" spans="1:14" x14ac:dyDescent="0.3">
      <c r="A3148" s="4" t="s">
        <v>10</v>
      </c>
      <c r="B3148" s="3">
        <v>45299.083333333336</v>
      </c>
      <c r="C3148" s="4">
        <v>0</v>
      </c>
      <c r="D3148" s="4">
        <v>0</v>
      </c>
      <c r="E3148" s="4">
        <v>0</v>
      </c>
      <c r="F3148" s="4">
        <v>27.0842788451539</v>
      </c>
      <c r="G3148" s="4" t="str">
        <f t="shared" si="98"/>
        <v>OK</v>
      </c>
      <c r="H3148" s="4" t="str">
        <f t="shared" si="99"/>
        <v>ZERO</v>
      </c>
      <c r="I3148">
        <v>0</v>
      </c>
      <c r="J3148">
        <f>IFERROR(Table4[[#This Row],[energy_kwh]]/Table4[[#This Row],[expected_kwh]],0)</f>
        <v>0</v>
      </c>
      <c r="K3148" t="str">
        <f>IF(Table4[[#This Row],[Performance_Ratio]] &lt; 0.85, "Underperforming", "Performing")</f>
        <v>Underperforming</v>
      </c>
      <c r="L3148">
        <f>Table4[[#This Row],[energy_kwh]] - Table4[[#This Row],[expected_kwh]]</f>
        <v>0</v>
      </c>
      <c r="M3148" t="str">
        <f>IF(Table4[[#This Row],[Performance_Deviation]] &lt; 0, "Underperforming", "Outperforming")</f>
        <v>Outperforming</v>
      </c>
      <c r="N3148">
        <f>IF(Table4[[#This Row],[Performance_Ratio]] &lt; 0.85, Table4[[#This Row],[Performance_Deviation]] * 50 / 1000, 0)</f>
        <v>0</v>
      </c>
    </row>
    <row r="3149" spans="1:14" x14ac:dyDescent="0.3">
      <c r="A3149" s="6" t="s">
        <v>10</v>
      </c>
      <c r="B3149" s="5">
        <v>45299.125</v>
      </c>
      <c r="C3149" s="6">
        <v>0</v>
      </c>
      <c r="D3149" s="6">
        <v>0</v>
      </c>
      <c r="E3149" s="6">
        <v>0</v>
      </c>
      <c r="F3149" s="6">
        <v>36.949007424611899</v>
      </c>
      <c r="G3149" s="6" t="str">
        <f t="shared" si="98"/>
        <v>OK</v>
      </c>
      <c r="H3149" s="6" t="str">
        <f t="shared" si="99"/>
        <v>ZERO</v>
      </c>
      <c r="I3149">
        <v>0</v>
      </c>
      <c r="J3149">
        <f>IFERROR(Table4[[#This Row],[energy_kwh]]/Table4[[#This Row],[expected_kwh]],0)</f>
        <v>0</v>
      </c>
      <c r="K3149" t="str">
        <f>IF(Table4[[#This Row],[Performance_Ratio]] &lt; 0.85, "Underperforming", "Performing")</f>
        <v>Underperforming</v>
      </c>
      <c r="L3149">
        <f>Table4[[#This Row],[energy_kwh]] - Table4[[#This Row],[expected_kwh]]</f>
        <v>0</v>
      </c>
      <c r="M3149" t="str">
        <f>IF(Table4[[#This Row],[Performance_Deviation]] &lt; 0, "Underperforming", "Outperforming")</f>
        <v>Outperforming</v>
      </c>
      <c r="N3149">
        <f>IF(Table4[[#This Row],[Performance_Ratio]] &lt; 0.85, Table4[[#This Row],[Performance_Deviation]] * 50 / 1000, 0)</f>
        <v>0</v>
      </c>
    </row>
    <row r="3150" spans="1:14" x14ac:dyDescent="0.3">
      <c r="A3150" s="4" t="s">
        <v>10</v>
      </c>
      <c r="B3150" s="3">
        <v>45299.166666666664</v>
      </c>
      <c r="C3150" s="4">
        <v>0</v>
      </c>
      <c r="D3150" s="4">
        <v>0</v>
      </c>
      <c r="E3150" s="4">
        <v>0</v>
      </c>
      <c r="F3150" s="4">
        <v>89.748858735060097</v>
      </c>
      <c r="G3150" s="4" t="str">
        <f t="shared" si="98"/>
        <v>OK</v>
      </c>
      <c r="H3150" s="4" t="str">
        <f t="shared" si="99"/>
        <v>ZERO</v>
      </c>
      <c r="I3150">
        <v>0</v>
      </c>
      <c r="J3150">
        <f>IFERROR(Table4[[#This Row],[energy_kwh]]/Table4[[#This Row],[expected_kwh]],0)</f>
        <v>0</v>
      </c>
      <c r="K3150" t="str">
        <f>IF(Table4[[#This Row],[Performance_Ratio]] &lt; 0.85, "Underperforming", "Performing")</f>
        <v>Underperforming</v>
      </c>
      <c r="L3150">
        <f>Table4[[#This Row],[energy_kwh]] - Table4[[#This Row],[expected_kwh]]</f>
        <v>0</v>
      </c>
      <c r="M3150" t="str">
        <f>IF(Table4[[#This Row],[Performance_Deviation]] &lt; 0, "Underperforming", "Outperforming")</f>
        <v>Outperforming</v>
      </c>
      <c r="N3150">
        <f>IF(Table4[[#This Row],[Performance_Ratio]] &lt; 0.85, Table4[[#This Row],[Performance_Deviation]] * 50 / 1000, 0)</f>
        <v>0</v>
      </c>
    </row>
    <row r="3151" spans="1:14" x14ac:dyDescent="0.3">
      <c r="A3151" s="6" t="s">
        <v>10</v>
      </c>
      <c r="B3151" s="5">
        <v>45299.208333333336</v>
      </c>
      <c r="C3151" s="6">
        <v>0</v>
      </c>
      <c r="D3151" s="6">
        <v>0</v>
      </c>
      <c r="E3151" s="6">
        <v>0</v>
      </c>
      <c r="F3151" s="6">
        <v>44.949087567878799</v>
      </c>
      <c r="G3151" s="6" t="str">
        <f t="shared" si="98"/>
        <v>OK</v>
      </c>
      <c r="H3151" s="6" t="str">
        <f t="shared" si="99"/>
        <v>ZERO</v>
      </c>
      <c r="I3151">
        <v>0</v>
      </c>
      <c r="J3151">
        <f>IFERROR(Table4[[#This Row],[energy_kwh]]/Table4[[#This Row],[expected_kwh]],0)</f>
        <v>0</v>
      </c>
      <c r="K3151" t="str">
        <f>IF(Table4[[#This Row],[Performance_Ratio]] &lt; 0.85, "Underperforming", "Performing")</f>
        <v>Underperforming</v>
      </c>
      <c r="L3151">
        <f>Table4[[#This Row],[energy_kwh]] - Table4[[#This Row],[expected_kwh]]</f>
        <v>0</v>
      </c>
      <c r="M3151" t="str">
        <f>IF(Table4[[#This Row],[Performance_Deviation]] &lt; 0, "Underperforming", "Outperforming")</f>
        <v>Outperforming</v>
      </c>
      <c r="N3151">
        <f>IF(Table4[[#This Row],[Performance_Ratio]] &lt; 0.85, Table4[[#This Row],[Performance_Deviation]] * 50 / 1000, 0)</f>
        <v>0</v>
      </c>
    </row>
    <row r="3152" spans="1:14" x14ac:dyDescent="0.3">
      <c r="A3152" s="4" t="s">
        <v>10</v>
      </c>
      <c r="B3152" s="3">
        <v>45299.25</v>
      </c>
      <c r="C3152" s="4">
        <v>0</v>
      </c>
      <c r="D3152" s="4">
        <v>0</v>
      </c>
      <c r="E3152" s="4">
        <v>0</v>
      </c>
      <c r="F3152" s="4">
        <v>74.790697362243407</v>
      </c>
      <c r="G3152" s="4" t="str">
        <f t="shared" si="98"/>
        <v>OK</v>
      </c>
      <c r="H3152" s="4" t="str">
        <f t="shared" si="99"/>
        <v>ZERO</v>
      </c>
      <c r="I3152">
        <v>0</v>
      </c>
      <c r="J3152">
        <f>IFERROR(Table4[[#This Row],[energy_kwh]]/Table4[[#This Row],[expected_kwh]],0)</f>
        <v>0</v>
      </c>
      <c r="K3152" t="str">
        <f>IF(Table4[[#This Row],[Performance_Ratio]] &lt; 0.85, "Underperforming", "Performing")</f>
        <v>Underperforming</v>
      </c>
      <c r="L3152">
        <f>Table4[[#This Row],[energy_kwh]] - Table4[[#This Row],[expected_kwh]]</f>
        <v>0</v>
      </c>
      <c r="M3152" t="str">
        <f>IF(Table4[[#This Row],[Performance_Deviation]] &lt; 0, "Underperforming", "Outperforming")</f>
        <v>Outperforming</v>
      </c>
      <c r="N3152">
        <f>IF(Table4[[#This Row],[Performance_Ratio]] &lt; 0.85, Table4[[#This Row],[Performance_Deviation]] * 50 / 1000, 0)</f>
        <v>0</v>
      </c>
    </row>
    <row r="3153" spans="1:14" x14ac:dyDescent="0.3">
      <c r="A3153" s="6" t="s">
        <v>10</v>
      </c>
      <c r="B3153" s="5">
        <v>45299.291666666664</v>
      </c>
      <c r="C3153" s="6">
        <v>351.39922746606601</v>
      </c>
      <c r="D3153" s="6">
        <v>332.50826700697303</v>
      </c>
      <c r="E3153" s="6">
        <v>332.50826700697303</v>
      </c>
      <c r="F3153" s="6">
        <v>55.0243590426361</v>
      </c>
      <c r="G3153" s="6" t="str">
        <f t="shared" si="98"/>
        <v>OK</v>
      </c>
      <c r="H3153" s="6" t="str">
        <f t="shared" si="99"/>
        <v>NON-ZERO</v>
      </c>
      <c r="I3153">
        <v>310.58285412302399</v>
      </c>
      <c r="J3153">
        <f>IFERROR(Table4[[#This Row],[energy_kwh]]/Table4[[#This Row],[expected_kwh]],0)</f>
        <v>1.0705944085221917</v>
      </c>
      <c r="K3153" t="str">
        <f>IF(Table4[[#This Row],[Performance_Ratio]] &lt; 0.85, "Underperforming", "Performing")</f>
        <v>Performing</v>
      </c>
      <c r="L3153">
        <f>Table4[[#This Row],[energy_kwh]] - Table4[[#This Row],[expected_kwh]]</f>
        <v>21.925412883949036</v>
      </c>
      <c r="M3153" t="str">
        <f>IF(Table4[[#This Row],[Performance_Deviation]] &lt; 0, "Underperforming", "Outperforming")</f>
        <v>Outperforming</v>
      </c>
      <c r="N3153">
        <f>IF(Table4[[#This Row],[Performance_Ratio]] &lt; 0.85, Table4[[#This Row],[Performance_Deviation]] * 50 / 1000, 0)</f>
        <v>0</v>
      </c>
    </row>
    <row r="3154" spans="1:14" x14ac:dyDescent="0.3">
      <c r="A3154" s="4" t="s">
        <v>10</v>
      </c>
      <c r="B3154" s="3">
        <v>45299.333333333336</v>
      </c>
      <c r="C3154" s="4">
        <v>564.69262808164206</v>
      </c>
      <c r="D3154" s="4">
        <v>534.33517344078996</v>
      </c>
      <c r="E3154" s="4">
        <v>534.33517344078996</v>
      </c>
      <c r="F3154" s="4">
        <v>38.252728505478203</v>
      </c>
      <c r="G3154" s="4" t="str">
        <f t="shared" si="98"/>
        <v>OK</v>
      </c>
      <c r="H3154" s="4" t="str">
        <f t="shared" si="99"/>
        <v>NON-ZERO</v>
      </c>
      <c r="I3154">
        <v>600</v>
      </c>
      <c r="J3154">
        <f>IFERROR(Table4[[#This Row],[energy_kwh]]/Table4[[#This Row],[expected_kwh]],0)</f>
        <v>0.89055862240131656</v>
      </c>
      <c r="K3154" t="str">
        <f>IF(Table4[[#This Row],[Performance_Ratio]] &lt; 0.85, "Underperforming", "Performing")</f>
        <v>Performing</v>
      </c>
      <c r="L3154">
        <f>Table4[[#This Row],[energy_kwh]] - Table4[[#This Row],[expected_kwh]]</f>
        <v>-65.664826559210042</v>
      </c>
      <c r="M3154" t="str">
        <f>IF(Table4[[#This Row],[Performance_Deviation]] &lt; 0, "Underperforming", "Outperforming")</f>
        <v>Underperforming</v>
      </c>
      <c r="N3154">
        <f>IF(Table4[[#This Row],[Performance_Ratio]] &lt; 0.85, Table4[[#This Row],[Performance_Deviation]] * 50 / 1000, 0)</f>
        <v>0</v>
      </c>
    </row>
    <row r="3155" spans="1:14" x14ac:dyDescent="0.3">
      <c r="A3155" s="6" t="s">
        <v>10</v>
      </c>
      <c r="B3155" s="5">
        <v>45299.375</v>
      </c>
      <c r="C3155" s="6">
        <v>819.33550021965698</v>
      </c>
      <c r="D3155" s="6">
        <v>775.28863463889797</v>
      </c>
      <c r="E3155" s="6">
        <v>775.28863463889797</v>
      </c>
      <c r="F3155" s="6">
        <v>61.870739330293603</v>
      </c>
      <c r="G3155" s="6" t="str">
        <f t="shared" si="98"/>
        <v>OK</v>
      </c>
      <c r="H3155" s="6" t="str">
        <f t="shared" si="99"/>
        <v>NON-ZERO</v>
      </c>
      <c r="I3155">
        <v>848.52813742385695</v>
      </c>
      <c r="J3155">
        <f>IFERROR(Table4[[#This Row],[energy_kwh]]/Table4[[#This Row],[expected_kwh]],0)</f>
        <v>0.91368641821670749</v>
      </c>
      <c r="K3155" t="str">
        <f>IF(Table4[[#This Row],[Performance_Ratio]] &lt; 0.85, "Underperforming", "Performing")</f>
        <v>Performing</v>
      </c>
      <c r="L3155">
        <f>Table4[[#This Row],[energy_kwh]] - Table4[[#This Row],[expected_kwh]]</f>
        <v>-73.239502784958972</v>
      </c>
      <c r="M3155" t="str">
        <f>IF(Table4[[#This Row],[Performance_Deviation]] &lt; 0, "Underperforming", "Outperforming")</f>
        <v>Underperforming</v>
      </c>
      <c r="N3155">
        <f>IF(Table4[[#This Row],[Performance_Ratio]] &lt; 0.85, Table4[[#This Row],[Performance_Deviation]] * 50 / 1000, 0)</f>
        <v>0</v>
      </c>
    </row>
    <row r="3156" spans="1:14" x14ac:dyDescent="0.3">
      <c r="A3156" s="4" t="s">
        <v>10</v>
      </c>
      <c r="B3156" s="3">
        <v>45299.416666666664</v>
      </c>
      <c r="C3156" s="4">
        <v>1001.14388329427</v>
      </c>
      <c r="D3156" s="4">
        <v>947.32313459897398</v>
      </c>
      <c r="E3156" s="4">
        <v>947.32313459897398</v>
      </c>
      <c r="F3156" s="4">
        <v>26.241327705505199</v>
      </c>
      <c r="G3156" s="4" t="str">
        <f t="shared" si="98"/>
        <v>OK</v>
      </c>
      <c r="H3156" s="4" t="str">
        <f t="shared" si="99"/>
        <v>NON-ZERO</v>
      </c>
      <c r="I3156">
        <v>1039.23048454132</v>
      </c>
      <c r="J3156">
        <f>IFERROR(Table4[[#This Row],[energy_kwh]]/Table4[[#This Row],[expected_kwh]],0)</f>
        <v>0.91156211128380171</v>
      </c>
      <c r="K3156" t="str">
        <f>IF(Table4[[#This Row],[Performance_Ratio]] &lt; 0.85, "Underperforming", "Performing")</f>
        <v>Performing</v>
      </c>
      <c r="L3156">
        <f>Table4[[#This Row],[energy_kwh]] - Table4[[#This Row],[expected_kwh]]</f>
        <v>-91.907349942346059</v>
      </c>
      <c r="M3156" t="str">
        <f>IF(Table4[[#This Row],[Performance_Deviation]] &lt; 0, "Underperforming", "Outperforming")</f>
        <v>Underperforming</v>
      </c>
      <c r="N3156">
        <f>IF(Table4[[#This Row],[Performance_Ratio]] &lt; 0.85, Table4[[#This Row],[Performance_Deviation]] * 50 / 1000, 0)</f>
        <v>0</v>
      </c>
    </row>
    <row r="3157" spans="1:14" x14ac:dyDescent="0.3">
      <c r="A3157" s="6" t="s">
        <v>10</v>
      </c>
      <c r="B3157" s="5">
        <v>45299.458333333336</v>
      </c>
      <c r="C3157" s="6">
        <v>1118.04360036299</v>
      </c>
      <c r="D3157" s="6">
        <v>1057.93841004057</v>
      </c>
      <c r="E3157" s="6">
        <v>1057.93841004057</v>
      </c>
      <c r="F3157" s="6">
        <v>49.525713791676601</v>
      </c>
      <c r="G3157" s="6" t="str">
        <f t="shared" si="98"/>
        <v>OK</v>
      </c>
      <c r="H3157" s="6" t="str">
        <f t="shared" si="99"/>
        <v>NON-ZERO</v>
      </c>
      <c r="I3157">
        <v>1159.1109915468801</v>
      </c>
      <c r="J3157">
        <f>IFERROR(Table4[[#This Row],[energy_kwh]]/Table4[[#This Row],[expected_kwh]],0)</f>
        <v>0.91271536354659943</v>
      </c>
      <c r="K3157" t="str">
        <f>IF(Table4[[#This Row],[Performance_Ratio]] &lt; 0.85, "Underperforming", "Performing")</f>
        <v>Performing</v>
      </c>
      <c r="L3157">
        <f>Table4[[#This Row],[energy_kwh]] - Table4[[#This Row],[expected_kwh]]</f>
        <v>-101.17258150631005</v>
      </c>
      <c r="M3157" t="str">
        <f>IF(Table4[[#This Row],[Performance_Deviation]] &lt; 0, "Underperforming", "Outperforming")</f>
        <v>Underperforming</v>
      </c>
      <c r="N3157">
        <f>IF(Table4[[#This Row],[Performance_Ratio]] &lt; 0.85, Table4[[#This Row],[Performance_Deviation]] * 50 / 1000, 0)</f>
        <v>0</v>
      </c>
    </row>
    <row r="3158" spans="1:14" x14ac:dyDescent="0.3">
      <c r="A3158" s="4" t="s">
        <v>10</v>
      </c>
      <c r="B3158" s="3">
        <v>45299.5</v>
      </c>
      <c r="C3158" s="4">
        <v>1108.64499592839</v>
      </c>
      <c r="D3158" s="4">
        <v>1049.0450675725999</v>
      </c>
      <c r="E3158" s="4">
        <v>1049.0450675725999</v>
      </c>
      <c r="F3158" s="4">
        <v>79.996028643866097</v>
      </c>
      <c r="G3158" s="4" t="str">
        <f t="shared" si="98"/>
        <v>OK</v>
      </c>
      <c r="H3158" s="4" t="str">
        <f t="shared" si="99"/>
        <v>NON-ZERO</v>
      </c>
      <c r="I3158">
        <v>1200</v>
      </c>
      <c r="J3158">
        <f>IFERROR(Table4[[#This Row],[energy_kwh]]/Table4[[#This Row],[expected_kwh]],0)</f>
        <v>0.8742042229771666</v>
      </c>
      <c r="K3158" t="str">
        <f>IF(Table4[[#This Row],[Performance_Ratio]] &lt; 0.85, "Underperforming", "Performing")</f>
        <v>Performing</v>
      </c>
      <c r="L3158">
        <f>Table4[[#This Row],[energy_kwh]] - Table4[[#This Row],[expected_kwh]]</f>
        <v>-150.95493242740008</v>
      </c>
      <c r="M3158" t="str">
        <f>IF(Table4[[#This Row],[Performance_Deviation]] &lt; 0, "Underperforming", "Outperforming")</f>
        <v>Underperforming</v>
      </c>
      <c r="N3158">
        <f>IF(Table4[[#This Row],[Performance_Ratio]] &lt; 0.85, Table4[[#This Row],[Performance_Deviation]] * 50 / 1000, 0)</f>
        <v>0</v>
      </c>
    </row>
    <row r="3159" spans="1:14" x14ac:dyDescent="0.3">
      <c r="A3159" s="6" t="s">
        <v>10</v>
      </c>
      <c r="B3159" s="5">
        <v>45299.541666666664</v>
      </c>
      <c r="C3159" s="6">
        <v>949.28865218737405</v>
      </c>
      <c r="D3159" s="6">
        <v>898.25560205219904</v>
      </c>
      <c r="E3159" s="6">
        <v>898.25560205219904</v>
      </c>
      <c r="F3159" s="6">
        <v>55.176082291458997</v>
      </c>
      <c r="G3159" s="6" t="str">
        <f t="shared" si="98"/>
        <v>OK</v>
      </c>
      <c r="H3159" s="6" t="str">
        <f t="shared" si="99"/>
        <v>NON-ZERO</v>
      </c>
      <c r="I3159">
        <v>1159.1109915468801</v>
      </c>
      <c r="J3159">
        <f>IFERROR(Table4[[#This Row],[energy_kwh]]/Table4[[#This Row],[expected_kwh]],0)</f>
        <v>0.77495219060380138</v>
      </c>
      <c r="K3159" t="str">
        <f>IF(Table4[[#This Row],[Performance_Ratio]] &lt; 0.85, "Underperforming", "Performing")</f>
        <v>Underperforming</v>
      </c>
      <c r="L3159">
        <f>Table4[[#This Row],[energy_kwh]] - Table4[[#This Row],[expected_kwh]]</f>
        <v>-260.85538949468105</v>
      </c>
      <c r="M3159" t="str">
        <f>IF(Table4[[#This Row],[Performance_Deviation]] &lt; 0, "Underperforming", "Outperforming")</f>
        <v>Underperforming</v>
      </c>
      <c r="N3159">
        <f>IF(Table4[[#This Row],[Performance_Ratio]] &lt; 0.85, Table4[[#This Row],[Performance_Deviation]] * 50 / 1000, 0)</f>
        <v>-13.042769474734053</v>
      </c>
    </row>
    <row r="3160" spans="1:14" x14ac:dyDescent="0.3">
      <c r="A3160" s="4" t="s">
        <v>10</v>
      </c>
      <c r="B3160" s="3">
        <v>45299.583333333336</v>
      </c>
      <c r="C3160" s="4">
        <v>970.01765772060298</v>
      </c>
      <c r="D3160" s="4">
        <v>917.87023170387602</v>
      </c>
      <c r="E3160" s="4">
        <v>917.87023170387602</v>
      </c>
      <c r="F3160" s="4">
        <v>61.470556114193897</v>
      </c>
      <c r="G3160" s="4" t="str">
        <f t="shared" si="98"/>
        <v>OK</v>
      </c>
      <c r="H3160" s="4" t="str">
        <f t="shared" si="99"/>
        <v>NON-ZERO</v>
      </c>
      <c r="I3160">
        <v>1039.23048454132</v>
      </c>
      <c r="J3160">
        <f>IFERROR(Table4[[#This Row],[energy_kwh]]/Table4[[#This Row],[expected_kwh]],0)</f>
        <v>0.88322104225896703</v>
      </c>
      <c r="K3160" t="str">
        <f>IF(Table4[[#This Row],[Performance_Ratio]] &lt; 0.85, "Underperforming", "Performing")</f>
        <v>Performing</v>
      </c>
      <c r="L3160">
        <f>Table4[[#This Row],[energy_kwh]] - Table4[[#This Row],[expected_kwh]]</f>
        <v>-121.36025283744402</v>
      </c>
      <c r="M3160" t="str">
        <f>IF(Table4[[#This Row],[Performance_Deviation]] &lt; 0, "Underperforming", "Outperforming")</f>
        <v>Underperforming</v>
      </c>
      <c r="N3160">
        <f>IF(Table4[[#This Row],[Performance_Ratio]] &lt; 0.85, Table4[[#This Row],[Performance_Deviation]] * 50 / 1000, 0)</f>
        <v>0</v>
      </c>
    </row>
    <row r="3161" spans="1:14" x14ac:dyDescent="0.3">
      <c r="A3161" s="6" t="s">
        <v>10</v>
      </c>
      <c r="B3161" s="5">
        <v>45299.625</v>
      </c>
      <c r="C3161" s="6">
        <v>825.62112594388805</v>
      </c>
      <c r="D3161" s="6">
        <v>781.23634981086798</v>
      </c>
      <c r="E3161" s="6">
        <v>781.23634981086798</v>
      </c>
      <c r="F3161" s="6">
        <v>46.027101899422703</v>
      </c>
      <c r="G3161" s="6" t="str">
        <f t="shared" si="98"/>
        <v>OK</v>
      </c>
      <c r="H3161" s="6" t="str">
        <f t="shared" si="99"/>
        <v>NON-ZERO</v>
      </c>
      <c r="I3161">
        <v>848.52813742385695</v>
      </c>
      <c r="J3161">
        <f>IFERROR(Table4[[#This Row],[energy_kwh]]/Table4[[#This Row],[expected_kwh]],0)</f>
        <v>0.92069586776781764</v>
      </c>
      <c r="K3161" t="str">
        <f>IF(Table4[[#This Row],[Performance_Ratio]] &lt; 0.85, "Underperforming", "Performing")</f>
        <v>Performing</v>
      </c>
      <c r="L3161">
        <f>Table4[[#This Row],[energy_kwh]] - Table4[[#This Row],[expected_kwh]]</f>
        <v>-67.291787612988969</v>
      </c>
      <c r="M3161" t="str">
        <f>IF(Table4[[#This Row],[Performance_Deviation]] &lt; 0, "Underperforming", "Outperforming")</f>
        <v>Underperforming</v>
      </c>
      <c r="N3161">
        <f>IF(Table4[[#This Row],[Performance_Ratio]] &lt; 0.85, Table4[[#This Row],[Performance_Deviation]] * 50 / 1000, 0)</f>
        <v>0</v>
      </c>
    </row>
    <row r="3162" spans="1:14" x14ac:dyDescent="0.3">
      <c r="A3162" s="4" t="s">
        <v>10</v>
      </c>
      <c r="B3162" s="3">
        <v>45299.666666666664</v>
      </c>
      <c r="C3162" s="4">
        <v>626.93779962737597</v>
      </c>
      <c r="D3162" s="4">
        <v>593.23409097532704</v>
      </c>
      <c r="E3162" s="4">
        <v>593.23409097532704</v>
      </c>
      <c r="F3162" s="4">
        <v>49.972886187045098</v>
      </c>
      <c r="G3162" s="4" t="str">
        <f t="shared" si="98"/>
        <v>OK</v>
      </c>
      <c r="H3162" s="4" t="str">
        <f t="shared" si="99"/>
        <v>NON-ZERO</v>
      </c>
      <c r="I3162">
        <v>600</v>
      </c>
      <c r="J3162">
        <f>IFERROR(Table4[[#This Row],[energy_kwh]]/Table4[[#This Row],[expected_kwh]],0)</f>
        <v>0.98872348495887841</v>
      </c>
      <c r="K3162" t="str">
        <f>IF(Table4[[#This Row],[Performance_Ratio]] &lt; 0.85, "Underperforming", "Performing")</f>
        <v>Performing</v>
      </c>
      <c r="L3162">
        <f>Table4[[#This Row],[energy_kwh]] - Table4[[#This Row],[expected_kwh]]</f>
        <v>-6.7659090246729647</v>
      </c>
      <c r="M3162" t="str">
        <f>IF(Table4[[#This Row],[Performance_Deviation]] &lt; 0, "Underperforming", "Outperforming")</f>
        <v>Underperforming</v>
      </c>
      <c r="N3162">
        <f>IF(Table4[[#This Row],[Performance_Ratio]] &lt; 0.85, Table4[[#This Row],[Performance_Deviation]] * 50 / 1000, 0)</f>
        <v>0</v>
      </c>
    </row>
    <row r="3163" spans="1:14" x14ac:dyDescent="0.3">
      <c r="A3163" s="6" t="s">
        <v>10</v>
      </c>
      <c r="B3163" s="5">
        <v>45299.708333333336</v>
      </c>
      <c r="C3163" s="6">
        <v>298.67552385678101</v>
      </c>
      <c r="D3163" s="6">
        <v>282.61895039199601</v>
      </c>
      <c r="E3163" s="6">
        <v>282.61895039199601</v>
      </c>
      <c r="F3163" s="6">
        <v>26.817417610591001</v>
      </c>
      <c r="G3163" s="6" t="str">
        <f t="shared" si="98"/>
        <v>OK</v>
      </c>
      <c r="H3163" s="6" t="str">
        <f t="shared" si="99"/>
        <v>NON-ZERO</v>
      </c>
      <c r="I3163">
        <v>310.58285412302502</v>
      </c>
      <c r="J3163">
        <f>IFERROR(Table4[[#This Row],[energy_kwh]]/Table4[[#This Row],[expected_kwh]],0)</f>
        <v>0.90996314394112621</v>
      </c>
      <c r="K3163" t="str">
        <f>IF(Table4[[#This Row],[Performance_Ratio]] &lt; 0.85, "Underperforming", "Performing")</f>
        <v>Performing</v>
      </c>
      <c r="L3163">
        <f>Table4[[#This Row],[energy_kwh]] - Table4[[#This Row],[expected_kwh]]</f>
        <v>-27.963903731029006</v>
      </c>
      <c r="M3163" t="str">
        <f>IF(Table4[[#This Row],[Performance_Deviation]] &lt; 0, "Underperforming", "Outperforming")</f>
        <v>Underperforming</v>
      </c>
      <c r="N3163">
        <f>IF(Table4[[#This Row],[Performance_Ratio]] &lt; 0.85, Table4[[#This Row],[Performance_Deviation]] * 50 / 1000, 0)</f>
        <v>0</v>
      </c>
    </row>
    <row r="3164" spans="1:14" x14ac:dyDescent="0.3">
      <c r="A3164" s="4" t="s">
        <v>10</v>
      </c>
      <c r="B3164" s="3">
        <v>45299.75</v>
      </c>
      <c r="C3164" s="7">
        <v>1.32023728268291E-13</v>
      </c>
      <c r="D3164" s="7">
        <v>1.24926231075816E-13</v>
      </c>
      <c r="E3164" s="7">
        <v>1.24926231075816E-13</v>
      </c>
      <c r="F3164" s="4">
        <v>61.708665611540901</v>
      </c>
      <c r="G3164" s="4" t="str">
        <f t="shared" si="98"/>
        <v>OK</v>
      </c>
      <c r="H3164" s="4" t="str">
        <f t="shared" si="99"/>
        <v>NON-ZERO</v>
      </c>
      <c r="I3164" s="2">
        <v>1.46957615897682E-13</v>
      </c>
      <c r="J3164">
        <f>IFERROR(Table4[[#This Row],[energy_kwh]]/Table4[[#This Row],[expected_kwh]],0)</f>
        <v>0.85008340882989575</v>
      </c>
      <c r="K3164" t="str">
        <f>IF(Table4[[#This Row],[Performance_Ratio]] &lt; 0.85, "Underperforming", "Performing")</f>
        <v>Performing</v>
      </c>
      <c r="L3164">
        <f>Table4[[#This Row],[energy_kwh]] - Table4[[#This Row],[expected_kwh]]</f>
        <v>-2.2031384821865999E-14</v>
      </c>
      <c r="M3164" t="str">
        <f>IF(Table4[[#This Row],[Performance_Deviation]] &lt; 0, "Underperforming", "Outperforming")</f>
        <v>Underperforming</v>
      </c>
      <c r="N3164">
        <f>IF(Table4[[#This Row],[Performance_Ratio]] &lt; 0.85, Table4[[#This Row],[Performance_Deviation]] * 50 / 1000, 0)</f>
        <v>0</v>
      </c>
    </row>
    <row r="3165" spans="1:14" x14ac:dyDescent="0.3">
      <c r="A3165" s="6" t="s">
        <v>10</v>
      </c>
      <c r="B3165" s="5">
        <v>45299.791666666664</v>
      </c>
      <c r="C3165" s="6">
        <v>0</v>
      </c>
      <c r="D3165" s="6">
        <v>0</v>
      </c>
      <c r="E3165" s="6">
        <v>0</v>
      </c>
      <c r="F3165" s="6">
        <v>37.007716501307399</v>
      </c>
      <c r="G3165" s="6" t="str">
        <f t="shared" si="98"/>
        <v>OK</v>
      </c>
      <c r="H3165" s="6" t="str">
        <f t="shared" si="99"/>
        <v>ZERO</v>
      </c>
      <c r="I3165">
        <v>0</v>
      </c>
      <c r="J3165">
        <f>IFERROR(Table4[[#This Row],[energy_kwh]]/Table4[[#This Row],[expected_kwh]],0)</f>
        <v>0</v>
      </c>
      <c r="K3165" t="str">
        <f>IF(Table4[[#This Row],[Performance_Ratio]] &lt; 0.85, "Underperforming", "Performing")</f>
        <v>Underperforming</v>
      </c>
      <c r="L3165">
        <f>Table4[[#This Row],[energy_kwh]] - Table4[[#This Row],[expected_kwh]]</f>
        <v>0</v>
      </c>
      <c r="M3165" t="str">
        <f>IF(Table4[[#This Row],[Performance_Deviation]] &lt; 0, "Underperforming", "Outperforming")</f>
        <v>Outperforming</v>
      </c>
      <c r="N3165">
        <f>IF(Table4[[#This Row],[Performance_Ratio]] &lt; 0.85, Table4[[#This Row],[Performance_Deviation]] * 50 / 1000, 0)</f>
        <v>0</v>
      </c>
    </row>
    <row r="3166" spans="1:14" x14ac:dyDescent="0.3">
      <c r="A3166" s="4" t="s">
        <v>10</v>
      </c>
      <c r="B3166" s="3">
        <v>45299.833333333336</v>
      </c>
      <c r="C3166" s="4">
        <v>0</v>
      </c>
      <c r="D3166" s="4">
        <v>0</v>
      </c>
      <c r="E3166" s="4">
        <v>0</v>
      </c>
      <c r="F3166" s="4">
        <v>22.233559049069001</v>
      </c>
      <c r="G3166" s="4" t="str">
        <f t="shared" si="98"/>
        <v>OK</v>
      </c>
      <c r="H3166" s="4" t="str">
        <f t="shared" si="99"/>
        <v>ZERO</v>
      </c>
      <c r="I3166">
        <v>0</v>
      </c>
      <c r="J3166">
        <f>IFERROR(Table4[[#This Row],[energy_kwh]]/Table4[[#This Row],[expected_kwh]],0)</f>
        <v>0</v>
      </c>
      <c r="K3166" t="str">
        <f>IF(Table4[[#This Row],[Performance_Ratio]] &lt; 0.85, "Underperforming", "Performing")</f>
        <v>Underperforming</v>
      </c>
      <c r="L3166">
        <f>Table4[[#This Row],[energy_kwh]] - Table4[[#This Row],[expected_kwh]]</f>
        <v>0</v>
      </c>
      <c r="M3166" t="str">
        <f>IF(Table4[[#This Row],[Performance_Deviation]] &lt; 0, "Underperforming", "Outperforming")</f>
        <v>Outperforming</v>
      </c>
      <c r="N3166">
        <f>IF(Table4[[#This Row],[Performance_Ratio]] &lt; 0.85, Table4[[#This Row],[Performance_Deviation]] * 50 / 1000, 0)</f>
        <v>0</v>
      </c>
    </row>
    <row r="3167" spans="1:14" x14ac:dyDescent="0.3">
      <c r="A3167" s="6" t="s">
        <v>10</v>
      </c>
      <c r="B3167" s="5">
        <v>45299.875</v>
      </c>
      <c r="C3167" s="6">
        <v>0</v>
      </c>
      <c r="D3167" s="6">
        <v>0</v>
      </c>
      <c r="E3167" s="6">
        <v>0</v>
      </c>
      <c r="F3167" s="6">
        <v>60.337836736198</v>
      </c>
      <c r="G3167" s="6" t="str">
        <f t="shared" si="98"/>
        <v>OK</v>
      </c>
      <c r="H3167" s="6" t="str">
        <f t="shared" si="99"/>
        <v>ZERO</v>
      </c>
      <c r="I3167">
        <v>0</v>
      </c>
      <c r="J3167">
        <f>IFERROR(Table4[[#This Row],[energy_kwh]]/Table4[[#This Row],[expected_kwh]],0)</f>
        <v>0</v>
      </c>
      <c r="K3167" t="str">
        <f>IF(Table4[[#This Row],[Performance_Ratio]] &lt; 0.85, "Underperforming", "Performing")</f>
        <v>Underperforming</v>
      </c>
      <c r="L3167">
        <f>Table4[[#This Row],[energy_kwh]] - Table4[[#This Row],[expected_kwh]]</f>
        <v>0</v>
      </c>
      <c r="M3167" t="str">
        <f>IF(Table4[[#This Row],[Performance_Deviation]] &lt; 0, "Underperforming", "Outperforming")</f>
        <v>Outperforming</v>
      </c>
      <c r="N3167">
        <f>IF(Table4[[#This Row],[Performance_Ratio]] &lt; 0.85, Table4[[#This Row],[Performance_Deviation]] * 50 / 1000, 0)</f>
        <v>0</v>
      </c>
    </row>
    <row r="3168" spans="1:14" x14ac:dyDescent="0.3">
      <c r="A3168" s="4" t="s">
        <v>10</v>
      </c>
      <c r="B3168" s="3">
        <v>45299.916666666664</v>
      </c>
      <c r="C3168" s="4">
        <v>0</v>
      </c>
      <c r="D3168" s="4">
        <v>0</v>
      </c>
      <c r="E3168" s="4">
        <v>0</v>
      </c>
      <c r="F3168" s="4">
        <v>70.411151519930499</v>
      </c>
      <c r="G3168" s="4" t="str">
        <f t="shared" si="98"/>
        <v>OK</v>
      </c>
      <c r="H3168" s="4" t="str">
        <f t="shared" si="99"/>
        <v>ZERO</v>
      </c>
      <c r="I3168">
        <v>0</v>
      </c>
      <c r="J3168">
        <f>IFERROR(Table4[[#This Row],[energy_kwh]]/Table4[[#This Row],[expected_kwh]],0)</f>
        <v>0</v>
      </c>
      <c r="K3168" t="str">
        <f>IF(Table4[[#This Row],[Performance_Ratio]] &lt; 0.85, "Underperforming", "Performing")</f>
        <v>Underperforming</v>
      </c>
      <c r="L3168">
        <f>Table4[[#This Row],[energy_kwh]] - Table4[[#This Row],[expected_kwh]]</f>
        <v>0</v>
      </c>
      <c r="M3168" t="str">
        <f>IF(Table4[[#This Row],[Performance_Deviation]] &lt; 0, "Underperforming", "Outperforming")</f>
        <v>Outperforming</v>
      </c>
      <c r="N3168">
        <f>IF(Table4[[#This Row],[Performance_Ratio]] &lt; 0.85, Table4[[#This Row],[Performance_Deviation]] * 50 / 1000, 0)</f>
        <v>0</v>
      </c>
    </row>
    <row r="3169" spans="1:14" x14ac:dyDescent="0.3">
      <c r="A3169" s="6" t="s">
        <v>10</v>
      </c>
      <c r="B3169" s="5">
        <v>45299.958333333336</v>
      </c>
      <c r="C3169" s="6">
        <v>0</v>
      </c>
      <c r="D3169" s="6">
        <v>0</v>
      </c>
      <c r="E3169" s="6">
        <v>0</v>
      </c>
      <c r="F3169" s="6">
        <v>35.3198568749754</v>
      </c>
      <c r="G3169" s="6" t="str">
        <f t="shared" si="98"/>
        <v>OK</v>
      </c>
      <c r="H3169" s="6" t="str">
        <f t="shared" si="99"/>
        <v>ZERO</v>
      </c>
      <c r="I3169">
        <v>0</v>
      </c>
      <c r="J3169">
        <f>IFERROR(Table4[[#This Row],[energy_kwh]]/Table4[[#This Row],[expected_kwh]],0)</f>
        <v>0</v>
      </c>
      <c r="K3169" t="str">
        <f>IF(Table4[[#This Row],[Performance_Ratio]] &lt; 0.85, "Underperforming", "Performing")</f>
        <v>Underperforming</v>
      </c>
      <c r="L3169">
        <f>Table4[[#This Row],[energy_kwh]] - Table4[[#This Row],[expected_kwh]]</f>
        <v>0</v>
      </c>
      <c r="M3169" t="str">
        <f>IF(Table4[[#This Row],[Performance_Deviation]] &lt; 0, "Underperforming", "Outperforming")</f>
        <v>Outperforming</v>
      </c>
      <c r="N3169">
        <f>IF(Table4[[#This Row],[Performance_Ratio]] &lt; 0.85, Table4[[#This Row],[Performance_Deviation]] * 50 / 1000, 0)</f>
        <v>0</v>
      </c>
    </row>
    <row r="3170" spans="1:14" x14ac:dyDescent="0.3">
      <c r="A3170" s="4" t="s">
        <v>10</v>
      </c>
      <c r="B3170" s="3">
        <v>45300</v>
      </c>
      <c r="C3170" s="4">
        <v>0</v>
      </c>
      <c r="D3170" s="4">
        <v>0</v>
      </c>
      <c r="E3170" s="4">
        <v>0</v>
      </c>
      <c r="F3170" s="4">
        <v>32.728506229618297</v>
      </c>
      <c r="G3170" s="4" t="str">
        <f t="shared" si="98"/>
        <v>OK</v>
      </c>
      <c r="H3170" s="4" t="str">
        <f t="shared" si="99"/>
        <v>ZERO</v>
      </c>
      <c r="I3170">
        <v>0</v>
      </c>
      <c r="J3170">
        <f>IFERROR(Table4[[#This Row],[energy_kwh]]/Table4[[#This Row],[expected_kwh]],0)</f>
        <v>0</v>
      </c>
      <c r="K3170" t="str">
        <f>IF(Table4[[#This Row],[Performance_Ratio]] &lt; 0.85, "Underperforming", "Performing")</f>
        <v>Underperforming</v>
      </c>
      <c r="L3170">
        <f>Table4[[#This Row],[energy_kwh]] - Table4[[#This Row],[expected_kwh]]</f>
        <v>0</v>
      </c>
      <c r="M3170" t="str">
        <f>IF(Table4[[#This Row],[Performance_Deviation]] &lt; 0, "Underperforming", "Outperforming")</f>
        <v>Outperforming</v>
      </c>
      <c r="N3170">
        <f>IF(Table4[[#This Row],[Performance_Ratio]] &lt; 0.85, Table4[[#This Row],[Performance_Deviation]] * 50 / 1000, 0)</f>
        <v>0</v>
      </c>
    </row>
    <row r="3171" spans="1:14" x14ac:dyDescent="0.3">
      <c r="A3171" s="6" t="s">
        <v>10</v>
      </c>
      <c r="B3171" s="5">
        <v>45300.041666666664</v>
      </c>
      <c r="C3171" s="6">
        <v>0</v>
      </c>
      <c r="D3171" s="6">
        <v>0</v>
      </c>
      <c r="E3171" s="6">
        <v>0</v>
      </c>
      <c r="F3171" s="6">
        <v>37.627159033860003</v>
      </c>
      <c r="G3171" s="6" t="str">
        <f t="shared" si="98"/>
        <v>OK</v>
      </c>
      <c r="H3171" s="6" t="str">
        <f t="shared" si="99"/>
        <v>ZERO</v>
      </c>
      <c r="I3171">
        <v>0</v>
      </c>
      <c r="J3171">
        <f>IFERROR(Table4[[#This Row],[energy_kwh]]/Table4[[#This Row],[expected_kwh]],0)</f>
        <v>0</v>
      </c>
      <c r="K3171" t="str">
        <f>IF(Table4[[#This Row],[Performance_Ratio]] &lt; 0.85, "Underperforming", "Performing")</f>
        <v>Underperforming</v>
      </c>
      <c r="L3171">
        <f>Table4[[#This Row],[energy_kwh]] - Table4[[#This Row],[expected_kwh]]</f>
        <v>0</v>
      </c>
      <c r="M3171" t="str">
        <f>IF(Table4[[#This Row],[Performance_Deviation]] &lt; 0, "Underperforming", "Outperforming")</f>
        <v>Outperforming</v>
      </c>
      <c r="N3171">
        <f>IF(Table4[[#This Row],[Performance_Ratio]] &lt; 0.85, Table4[[#This Row],[Performance_Deviation]] * 50 / 1000, 0)</f>
        <v>0</v>
      </c>
    </row>
    <row r="3172" spans="1:14" x14ac:dyDescent="0.3">
      <c r="A3172" s="4" t="s">
        <v>10</v>
      </c>
      <c r="B3172" s="3">
        <v>45300.083333333336</v>
      </c>
      <c r="C3172" s="4">
        <v>0</v>
      </c>
      <c r="D3172" s="4">
        <v>0</v>
      </c>
      <c r="E3172" s="4">
        <v>0</v>
      </c>
      <c r="F3172" s="4">
        <v>50.817492874385401</v>
      </c>
      <c r="G3172" s="4" t="str">
        <f t="shared" si="98"/>
        <v>OK</v>
      </c>
      <c r="H3172" s="4" t="str">
        <f t="shared" si="99"/>
        <v>ZERO</v>
      </c>
      <c r="I3172">
        <v>0</v>
      </c>
      <c r="J3172">
        <f>IFERROR(Table4[[#This Row],[energy_kwh]]/Table4[[#This Row],[expected_kwh]],0)</f>
        <v>0</v>
      </c>
      <c r="K3172" t="str">
        <f>IF(Table4[[#This Row],[Performance_Ratio]] &lt; 0.85, "Underperforming", "Performing")</f>
        <v>Underperforming</v>
      </c>
      <c r="L3172">
        <f>Table4[[#This Row],[energy_kwh]] - Table4[[#This Row],[expected_kwh]]</f>
        <v>0</v>
      </c>
      <c r="M3172" t="str">
        <f>IF(Table4[[#This Row],[Performance_Deviation]] &lt; 0, "Underperforming", "Outperforming")</f>
        <v>Outperforming</v>
      </c>
      <c r="N3172">
        <f>IF(Table4[[#This Row],[Performance_Ratio]] &lt; 0.85, Table4[[#This Row],[Performance_Deviation]] * 50 / 1000, 0)</f>
        <v>0</v>
      </c>
    </row>
    <row r="3173" spans="1:14" x14ac:dyDescent="0.3">
      <c r="A3173" s="6" t="s">
        <v>10</v>
      </c>
      <c r="B3173" s="5">
        <v>45300.125</v>
      </c>
      <c r="C3173" s="6">
        <v>0</v>
      </c>
      <c r="D3173" s="6">
        <v>0</v>
      </c>
      <c r="E3173" s="6">
        <v>0</v>
      </c>
      <c r="F3173" s="6">
        <v>23.913874397477201</v>
      </c>
      <c r="G3173" s="6" t="str">
        <f t="shared" si="98"/>
        <v>OK</v>
      </c>
      <c r="H3173" s="6" t="str">
        <f t="shared" si="99"/>
        <v>ZERO</v>
      </c>
      <c r="I3173">
        <v>0</v>
      </c>
      <c r="J3173">
        <f>IFERROR(Table4[[#This Row],[energy_kwh]]/Table4[[#This Row],[expected_kwh]],0)</f>
        <v>0</v>
      </c>
      <c r="K3173" t="str">
        <f>IF(Table4[[#This Row],[Performance_Ratio]] &lt; 0.85, "Underperforming", "Performing")</f>
        <v>Underperforming</v>
      </c>
      <c r="L3173">
        <f>Table4[[#This Row],[energy_kwh]] - Table4[[#This Row],[expected_kwh]]</f>
        <v>0</v>
      </c>
      <c r="M3173" t="str">
        <f>IF(Table4[[#This Row],[Performance_Deviation]] &lt; 0, "Underperforming", "Outperforming")</f>
        <v>Outperforming</v>
      </c>
      <c r="N3173">
        <f>IF(Table4[[#This Row],[Performance_Ratio]] &lt; 0.85, Table4[[#This Row],[Performance_Deviation]] * 50 / 1000, 0)</f>
        <v>0</v>
      </c>
    </row>
    <row r="3174" spans="1:14" x14ac:dyDescent="0.3">
      <c r="A3174" s="4" t="s">
        <v>10</v>
      </c>
      <c r="B3174" s="3">
        <v>45300.166666666664</v>
      </c>
      <c r="C3174" s="4">
        <v>0</v>
      </c>
      <c r="D3174" s="4">
        <v>0</v>
      </c>
      <c r="E3174" s="4">
        <v>0</v>
      </c>
      <c r="F3174" s="4">
        <v>31.0966054080478</v>
      </c>
      <c r="G3174" s="4" t="str">
        <f t="shared" si="98"/>
        <v>OK</v>
      </c>
      <c r="H3174" s="4" t="str">
        <f t="shared" si="99"/>
        <v>ZERO</v>
      </c>
      <c r="I3174">
        <v>0</v>
      </c>
      <c r="J3174">
        <f>IFERROR(Table4[[#This Row],[energy_kwh]]/Table4[[#This Row],[expected_kwh]],0)</f>
        <v>0</v>
      </c>
      <c r="K3174" t="str">
        <f>IF(Table4[[#This Row],[Performance_Ratio]] &lt; 0.85, "Underperforming", "Performing")</f>
        <v>Underperforming</v>
      </c>
      <c r="L3174">
        <f>Table4[[#This Row],[energy_kwh]] - Table4[[#This Row],[expected_kwh]]</f>
        <v>0</v>
      </c>
      <c r="M3174" t="str">
        <f>IF(Table4[[#This Row],[Performance_Deviation]] &lt; 0, "Underperforming", "Outperforming")</f>
        <v>Outperforming</v>
      </c>
      <c r="N3174">
        <f>IF(Table4[[#This Row],[Performance_Ratio]] &lt; 0.85, Table4[[#This Row],[Performance_Deviation]] * 50 / 1000, 0)</f>
        <v>0</v>
      </c>
    </row>
    <row r="3175" spans="1:14" x14ac:dyDescent="0.3">
      <c r="A3175" s="6" t="s">
        <v>10</v>
      </c>
      <c r="B3175" s="5">
        <v>45300.208333333336</v>
      </c>
      <c r="C3175" s="6">
        <v>0</v>
      </c>
      <c r="D3175" s="6">
        <v>0</v>
      </c>
      <c r="E3175" s="6">
        <v>0</v>
      </c>
      <c r="F3175" s="6">
        <v>37.131384262395102</v>
      </c>
      <c r="G3175" s="6" t="str">
        <f t="shared" si="98"/>
        <v>OK</v>
      </c>
      <c r="H3175" s="6" t="str">
        <f t="shared" si="99"/>
        <v>ZERO</v>
      </c>
      <c r="I3175">
        <v>0</v>
      </c>
      <c r="J3175">
        <f>IFERROR(Table4[[#This Row],[energy_kwh]]/Table4[[#This Row],[expected_kwh]],0)</f>
        <v>0</v>
      </c>
      <c r="K3175" t="str">
        <f>IF(Table4[[#This Row],[Performance_Ratio]] &lt; 0.85, "Underperforming", "Performing")</f>
        <v>Underperforming</v>
      </c>
      <c r="L3175">
        <f>Table4[[#This Row],[energy_kwh]] - Table4[[#This Row],[expected_kwh]]</f>
        <v>0</v>
      </c>
      <c r="M3175" t="str">
        <f>IF(Table4[[#This Row],[Performance_Deviation]] &lt; 0, "Underperforming", "Outperforming")</f>
        <v>Outperforming</v>
      </c>
      <c r="N3175">
        <f>IF(Table4[[#This Row],[Performance_Ratio]] &lt; 0.85, Table4[[#This Row],[Performance_Deviation]] * 50 / 1000, 0)</f>
        <v>0</v>
      </c>
    </row>
    <row r="3176" spans="1:14" x14ac:dyDescent="0.3">
      <c r="A3176" s="4" t="s">
        <v>10</v>
      </c>
      <c r="B3176" s="3">
        <v>45300.25</v>
      </c>
      <c r="C3176" s="4">
        <v>0</v>
      </c>
      <c r="D3176" s="4">
        <v>0</v>
      </c>
      <c r="E3176" s="4">
        <v>0</v>
      </c>
      <c r="F3176" s="4">
        <v>30.0168699397612</v>
      </c>
      <c r="G3176" s="4" t="str">
        <f t="shared" si="98"/>
        <v>OK</v>
      </c>
      <c r="H3176" s="4" t="str">
        <f t="shared" si="99"/>
        <v>ZERO</v>
      </c>
      <c r="I3176">
        <v>0</v>
      </c>
      <c r="J3176">
        <f>IFERROR(Table4[[#This Row],[energy_kwh]]/Table4[[#This Row],[expected_kwh]],0)</f>
        <v>0</v>
      </c>
      <c r="K3176" t="str">
        <f>IF(Table4[[#This Row],[Performance_Ratio]] &lt; 0.85, "Underperforming", "Performing")</f>
        <v>Underperforming</v>
      </c>
      <c r="L3176">
        <f>Table4[[#This Row],[energy_kwh]] - Table4[[#This Row],[expected_kwh]]</f>
        <v>0</v>
      </c>
      <c r="M3176" t="str">
        <f>IF(Table4[[#This Row],[Performance_Deviation]] &lt; 0, "Underperforming", "Outperforming")</f>
        <v>Outperforming</v>
      </c>
      <c r="N3176">
        <f>IF(Table4[[#This Row],[Performance_Ratio]] &lt; 0.85, Table4[[#This Row],[Performance_Deviation]] * 50 / 1000, 0)</f>
        <v>0</v>
      </c>
    </row>
    <row r="3177" spans="1:14" x14ac:dyDescent="0.3">
      <c r="A3177" s="6" t="s">
        <v>10</v>
      </c>
      <c r="B3177" s="5">
        <v>45300.291666666664</v>
      </c>
      <c r="C3177" s="6">
        <v>250.25729503587601</v>
      </c>
      <c r="D3177" s="6">
        <v>236.80364945101601</v>
      </c>
      <c r="E3177" s="6">
        <v>236.80364945101601</v>
      </c>
      <c r="F3177" s="6">
        <v>28.239481778955</v>
      </c>
      <c r="G3177" s="6" t="str">
        <f t="shared" si="98"/>
        <v>OK</v>
      </c>
      <c r="H3177" s="6" t="str">
        <f t="shared" si="99"/>
        <v>NON-ZERO</v>
      </c>
      <c r="I3177">
        <v>310.58285412302399</v>
      </c>
      <c r="J3177">
        <f>IFERROR(Table4[[#This Row],[energy_kwh]]/Table4[[#This Row],[expected_kwh]],0)</f>
        <v>0.76244920254746729</v>
      </c>
      <c r="K3177" t="str">
        <f>IF(Table4[[#This Row],[Performance_Ratio]] &lt; 0.85, "Underperforming", "Performing")</f>
        <v>Underperforming</v>
      </c>
      <c r="L3177">
        <f>Table4[[#This Row],[energy_kwh]] - Table4[[#This Row],[expected_kwh]]</f>
        <v>-73.779204672007978</v>
      </c>
      <c r="M3177" t="str">
        <f>IF(Table4[[#This Row],[Performance_Deviation]] &lt; 0, "Underperforming", "Outperforming")</f>
        <v>Underperforming</v>
      </c>
      <c r="N3177">
        <f>IF(Table4[[#This Row],[Performance_Ratio]] &lt; 0.85, Table4[[#This Row],[Performance_Deviation]] * 50 / 1000, 0)</f>
        <v>-3.6889602336003993</v>
      </c>
    </row>
    <row r="3178" spans="1:14" x14ac:dyDescent="0.3">
      <c r="A3178" s="4" t="s">
        <v>10</v>
      </c>
      <c r="B3178" s="3">
        <v>45300.333333333336</v>
      </c>
      <c r="C3178" s="4">
        <v>557.09793140602505</v>
      </c>
      <c r="D3178" s="4">
        <v>527.14876199571404</v>
      </c>
      <c r="E3178" s="4">
        <v>527.14876199571404</v>
      </c>
      <c r="F3178" s="4">
        <v>42.364797361319702</v>
      </c>
      <c r="G3178" s="4" t="str">
        <f t="shared" si="98"/>
        <v>OK</v>
      </c>
      <c r="H3178" s="4" t="str">
        <f t="shared" si="99"/>
        <v>NON-ZERO</v>
      </c>
      <c r="I3178">
        <v>600</v>
      </c>
      <c r="J3178">
        <f>IFERROR(Table4[[#This Row],[energy_kwh]]/Table4[[#This Row],[expected_kwh]],0)</f>
        <v>0.87858126999285668</v>
      </c>
      <c r="K3178" t="str">
        <f>IF(Table4[[#This Row],[Performance_Ratio]] &lt; 0.85, "Underperforming", "Performing")</f>
        <v>Performing</v>
      </c>
      <c r="L3178">
        <f>Table4[[#This Row],[energy_kwh]] - Table4[[#This Row],[expected_kwh]]</f>
        <v>-72.85123800428596</v>
      </c>
      <c r="M3178" t="str">
        <f>IF(Table4[[#This Row],[Performance_Deviation]] &lt; 0, "Underperforming", "Outperforming")</f>
        <v>Underperforming</v>
      </c>
      <c r="N3178">
        <f>IF(Table4[[#This Row],[Performance_Ratio]] &lt; 0.85, Table4[[#This Row],[Performance_Deviation]] * 50 / 1000, 0)</f>
        <v>0</v>
      </c>
    </row>
    <row r="3179" spans="1:14" x14ac:dyDescent="0.3">
      <c r="A3179" s="6" t="s">
        <v>10</v>
      </c>
      <c r="B3179" s="5">
        <v>45300.375</v>
      </c>
      <c r="C3179" s="6">
        <v>803.25186787534903</v>
      </c>
      <c r="D3179" s="6">
        <v>760.06964637717897</v>
      </c>
      <c r="E3179" s="6">
        <v>760.06964637717897</v>
      </c>
      <c r="F3179" s="6">
        <v>54.044972130724197</v>
      </c>
      <c r="G3179" s="6" t="str">
        <f t="shared" si="98"/>
        <v>OK</v>
      </c>
      <c r="H3179" s="6" t="str">
        <f t="shared" si="99"/>
        <v>NON-ZERO</v>
      </c>
      <c r="I3179">
        <v>848.52813742385695</v>
      </c>
      <c r="J3179">
        <f>IFERROR(Table4[[#This Row],[energy_kwh]]/Table4[[#This Row],[expected_kwh]],0)</f>
        <v>0.89575066854560748</v>
      </c>
      <c r="K3179" t="str">
        <f>IF(Table4[[#This Row],[Performance_Ratio]] &lt; 0.85, "Underperforming", "Performing")</f>
        <v>Performing</v>
      </c>
      <c r="L3179">
        <f>Table4[[#This Row],[energy_kwh]] - Table4[[#This Row],[expected_kwh]]</f>
        <v>-88.458491046677977</v>
      </c>
      <c r="M3179" t="str">
        <f>IF(Table4[[#This Row],[Performance_Deviation]] &lt; 0, "Underperforming", "Outperforming")</f>
        <v>Underperforming</v>
      </c>
      <c r="N3179">
        <f>IF(Table4[[#This Row],[Performance_Ratio]] &lt; 0.85, Table4[[#This Row],[Performance_Deviation]] * 50 / 1000, 0)</f>
        <v>0</v>
      </c>
    </row>
    <row r="3180" spans="1:14" x14ac:dyDescent="0.3">
      <c r="A3180" s="4" t="s">
        <v>10</v>
      </c>
      <c r="B3180" s="3">
        <v>45300.416666666664</v>
      </c>
      <c r="C3180" s="4">
        <v>981.60974106602498</v>
      </c>
      <c r="D3180" s="4">
        <v>928.83913329191</v>
      </c>
      <c r="E3180" s="4">
        <v>928.83913329191</v>
      </c>
      <c r="F3180" s="4">
        <v>94.872736680046799</v>
      </c>
      <c r="G3180" s="4" t="str">
        <f t="shared" si="98"/>
        <v>OK</v>
      </c>
      <c r="H3180" s="4" t="str">
        <f t="shared" si="99"/>
        <v>NON-ZERO</v>
      </c>
      <c r="I3180">
        <v>1039.23048454132</v>
      </c>
      <c r="J3180">
        <f>IFERROR(Table4[[#This Row],[energy_kwh]]/Table4[[#This Row],[expected_kwh]],0)</f>
        <v>0.89377587273324366</v>
      </c>
      <c r="K3180" t="str">
        <f>IF(Table4[[#This Row],[Performance_Ratio]] &lt; 0.85, "Underperforming", "Performing")</f>
        <v>Performing</v>
      </c>
      <c r="L3180">
        <f>Table4[[#This Row],[energy_kwh]] - Table4[[#This Row],[expected_kwh]]</f>
        <v>-110.39135124941004</v>
      </c>
      <c r="M3180" t="str">
        <f>IF(Table4[[#This Row],[Performance_Deviation]] &lt; 0, "Underperforming", "Outperforming")</f>
        <v>Underperforming</v>
      </c>
      <c r="N3180">
        <f>IF(Table4[[#This Row],[Performance_Ratio]] &lt; 0.85, Table4[[#This Row],[Performance_Deviation]] * 50 / 1000, 0)</f>
        <v>0</v>
      </c>
    </row>
    <row r="3181" spans="1:14" x14ac:dyDescent="0.3">
      <c r="A3181" s="6" t="s">
        <v>10</v>
      </c>
      <c r="B3181" s="5">
        <v>45300.458333333336</v>
      </c>
      <c r="C3181" s="6">
        <v>890.18744816309197</v>
      </c>
      <c r="D3181" s="6">
        <v>842.33163468936004</v>
      </c>
      <c r="E3181" s="6">
        <v>842.33163468936004</v>
      </c>
      <c r="F3181" s="6">
        <v>30.768309758644602</v>
      </c>
      <c r="G3181" s="6" t="str">
        <f t="shared" si="98"/>
        <v>OK</v>
      </c>
      <c r="H3181" s="6" t="str">
        <f t="shared" si="99"/>
        <v>NON-ZERO</v>
      </c>
      <c r="I3181">
        <v>1159.1109915468801</v>
      </c>
      <c r="J3181">
        <f>IFERROR(Table4[[#This Row],[energy_kwh]]/Table4[[#This Row],[expected_kwh]],0)</f>
        <v>0.72670489783315295</v>
      </c>
      <c r="K3181" t="str">
        <f>IF(Table4[[#This Row],[Performance_Ratio]] &lt; 0.85, "Underperforming", "Performing")</f>
        <v>Underperforming</v>
      </c>
      <c r="L3181">
        <f>Table4[[#This Row],[energy_kwh]] - Table4[[#This Row],[expected_kwh]]</f>
        <v>-316.77935685752004</v>
      </c>
      <c r="M3181" t="str">
        <f>IF(Table4[[#This Row],[Performance_Deviation]] &lt; 0, "Underperforming", "Outperforming")</f>
        <v>Underperforming</v>
      </c>
      <c r="N3181">
        <f>IF(Table4[[#This Row],[Performance_Ratio]] &lt; 0.85, Table4[[#This Row],[Performance_Deviation]] * 50 / 1000, 0)</f>
        <v>-15.838967842876002</v>
      </c>
    </row>
    <row r="3182" spans="1:14" x14ac:dyDescent="0.3">
      <c r="A3182" s="4" t="s">
        <v>10</v>
      </c>
      <c r="B3182" s="3">
        <v>45300.5</v>
      </c>
      <c r="C3182" s="4">
        <v>1245.3985663363601</v>
      </c>
      <c r="D3182" s="4">
        <v>1178.4468680013299</v>
      </c>
      <c r="E3182" s="4">
        <v>1178.4468680013299</v>
      </c>
      <c r="F3182" s="4">
        <v>53.726725502700397</v>
      </c>
      <c r="G3182" s="4" t="str">
        <f t="shared" si="98"/>
        <v>OK</v>
      </c>
      <c r="H3182" s="4" t="str">
        <f t="shared" si="99"/>
        <v>NON-ZERO</v>
      </c>
      <c r="I3182">
        <v>1200</v>
      </c>
      <c r="J3182">
        <f>IFERROR(Table4[[#This Row],[energy_kwh]]/Table4[[#This Row],[expected_kwh]],0)</f>
        <v>0.98203905666777491</v>
      </c>
      <c r="K3182" t="str">
        <f>IF(Table4[[#This Row],[Performance_Ratio]] &lt; 0.85, "Underperforming", "Performing")</f>
        <v>Performing</v>
      </c>
      <c r="L3182">
        <f>Table4[[#This Row],[energy_kwh]] - Table4[[#This Row],[expected_kwh]]</f>
        <v>-21.553131998670096</v>
      </c>
      <c r="M3182" t="str">
        <f>IF(Table4[[#This Row],[Performance_Deviation]] &lt; 0, "Underperforming", "Outperforming")</f>
        <v>Underperforming</v>
      </c>
      <c r="N3182">
        <f>IF(Table4[[#This Row],[Performance_Ratio]] &lt; 0.85, Table4[[#This Row],[Performance_Deviation]] * 50 / 1000, 0)</f>
        <v>0</v>
      </c>
    </row>
    <row r="3183" spans="1:14" x14ac:dyDescent="0.3">
      <c r="A3183" s="6" t="s">
        <v>10</v>
      </c>
      <c r="B3183" s="5">
        <v>45300.541666666664</v>
      </c>
      <c r="C3183" s="6">
        <v>1202.70170276762</v>
      </c>
      <c r="D3183" s="6">
        <v>1138.0453559825</v>
      </c>
      <c r="E3183" s="6">
        <v>1138.0453559825</v>
      </c>
      <c r="F3183" s="6">
        <v>58.4552352713918</v>
      </c>
      <c r="G3183" s="6" t="str">
        <f t="shared" si="98"/>
        <v>OK</v>
      </c>
      <c r="H3183" s="6" t="str">
        <f t="shared" si="99"/>
        <v>NON-ZERO</v>
      </c>
      <c r="I3183">
        <v>1159.1109915468801</v>
      </c>
      <c r="J3183">
        <f>IFERROR(Table4[[#This Row],[energy_kwh]]/Table4[[#This Row],[expected_kwh]],0)</f>
        <v>0.98182604106249816</v>
      </c>
      <c r="K3183" t="str">
        <f>IF(Table4[[#This Row],[Performance_Ratio]] &lt; 0.85, "Underperforming", "Performing")</f>
        <v>Performing</v>
      </c>
      <c r="L3183">
        <f>Table4[[#This Row],[energy_kwh]] - Table4[[#This Row],[expected_kwh]]</f>
        <v>-21.065635564380045</v>
      </c>
      <c r="M3183" t="str">
        <f>IF(Table4[[#This Row],[Performance_Deviation]] &lt; 0, "Underperforming", "Outperforming")</f>
        <v>Underperforming</v>
      </c>
      <c r="N3183">
        <f>IF(Table4[[#This Row],[Performance_Ratio]] &lt; 0.85, Table4[[#This Row],[Performance_Deviation]] * 50 / 1000, 0)</f>
        <v>0</v>
      </c>
    </row>
    <row r="3184" spans="1:14" x14ac:dyDescent="0.3">
      <c r="A3184" s="4" t="s">
        <v>10</v>
      </c>
      <c r="B3184" s="3">
        <v>45300.583333333336</v>
      </c>
      <c r="C3184" s="4">
        <v>1145.9696768295</v>
      </c>
      <c r="D3184" s="4">
        <v>1084.36320145842</v>
      </c>
      <c r="E3184" s="4">
        <v>1084.36320145842</v>
      </c>
      <c r="F3184" s="4">
        <v>65.964108047252296</v>
      </c>
      <c r="G3184" s="4" t="str">
        <f t="shared" si="98"/>
        <v>OK</v>
      </c>
      <c r="H3184" s="4" t="str">
        <f t="shared" si="99"/>
        <v>NON-ZERO</v>
      </c>
      <c r="I3184">
        <v>1039.23048454132</v>
      </c>
      <c r="J3184">
        <f>IFERROR(Table4[[#This Row],[energy_kwh]]/Table4[[#This Row],[expected_kwh]],0)</f>
        <v>1.0434289771022449</v>
      </c>
      <c r="K3184" t="str">
        <f>IF(Table4[[#This Row],[Performance_Ratio]] &lt; 0.85, "Underperforming", "Performing")</f>
        <v>Performing</v>
      </c>
      <c r="L3184">
        <f>Table4[[#This Row],[energy_kwh]] - Table4[[#This Row],[expected_kwh]]</f>
        <v>45.13271691709997</v>
      </c>
      <c r="M3184" t="str">
        <f>IF(Table4[[#This Row],[Performance_Deviation]] &lt; 0, "Underperforming", "Outperforming")</f>
        <v>Outperforming</v>
      </c>
      <c r="N3184">
        <f>IF(Table4[[#This Row],[Performance_Ratio]] &lt; 0.85, Table4[[#This Row],[Performance_Deviation]] * 50 / 1000, 0)</f>
        <v>0</v>
      </c>
    </row>
    <row r="3185" spans="1:14" x14ac:dyDescent="0.3">
      <c r="A3185" s="6" t="s">
        <v>10</v>
      </c>
      <c r="B3185" s="5">
        <v>45300.625</v>
      </c>
      <c r="C3185" s="6">
        <v>784.35695656488804</v>
      </c>
      <c r="D3185" s="6">
        <v>742.19051141038801</v>
      </c>
      <c r="E3185" s="6">
        <v>742.19051141038801</v>
      </c>
      <c r="F3185" s="6">
        <v>58.980686482795001</v>
      </c>
      <c r="G3185" s="6" t="str">
        <f t="shared" si="98"/>
        <v>OK</v>
      </c>
      <c r="H3185" s="6" t="str">
        <f t="shared" si="99"/>
        <v>NON-ZERO</v>
      </c>
      <c r="I3185">
        <v>848.52813742385695</v>
      </c>
      <c r="J3185">
        <f>IFERROR(Table4[[#This Row],[energy_kwh]]/Table4[[#This Row],[expected_kwh]],0)</f>
        <v>0.87467990591766187</v>
      </c>
      <c r="K3185" t="str">
        <f>IF(Table4[[#This Row],[Performance_Ratio]] &lt; 0.85, "Underperforming", "Performing")</f>
        <v>Performing</v>
      </c>
      <c r="L3185">
        <f>Table4[[#This Row],[energy_kwh]] - Table4[[#This Row],[expected_kwh]]</f>
        <v>-106.33762601346893</v>
      </c>
      <c r="M3185" t="str">
        <f>IF(Table4[[#This Row],[Performance_Deviation]] &lt; 0, "Underperforming", "Outperforming")</f>
        <v>Underperforming</v>
      </c>
      <c r="N3185">
        <f>IF(Table4[[#This Row],[Performance_Ratio]] &lt; 0.85, Table4[[#This Row],[Performance_Deviation]] * 50 / 1000, 0)</f>
        <v>0</v>
      </c>
    </row>
    <row r="3186" spans="1:14" x14ac:dyDescent="0.3">
      <c r="A3186" s="4" t="s">
        <v>10</v>
      </c>
      <c r="B3186" s="3">
        <v>45300.666666666664</v>
      </c>
      <c r="C3186" s="4">
        <v>547.79838150201397</v>
      </c>
      <c r="D3186" s="4">
        <v>657.35805780241697</v>
      </c>
      <c r="E3186" s="4">
        <v>657.35805780241697</v>
      </c>
      <c r="F3186" s="4">
        <v>61.997311035938203</v>
      </c>
      <c r="G3186" s="4" t="str">
        <f t="shared" si="98"/>
        <v>ERROR</v>
      </c>
      <c r="H3186" s="4" t="str">
        <f t="shared" si="99"/>
        <v>NON-ZERO</v>
      </c>
      <c r="I3186">
        <v>600</v>
      </c>
      <c r="J3186">
        <f>IFERROR(Table4[[#This Row],[energy_kwh]]/Table4[[#This Row],[expected_kwh]],0)</f>
        <v>1.0955967630040282</v>
      </c>
      <c r="K3186" t="str">
        <f>IF(Table4[[#This Row],[Performance_Ratio]] &lt; 0.85, "Underperforming", "Performing")</f>
        <v>Performing</v>
      </c>
      <c r="L3186">
        <f>Table4[[#This Row],[energy_kwh]] - Table4[[#This Row],[expected_kwh]]</f>
        <v>57.358057802416965</v>
      </c>
      <c r="M3186" t="str">
        <f>IF(Table4[[#This Row],[Performance_Deviation]] &lt; 0, "Underperforming", "Outperforming")</f>
        <v>Outperforming</v>
      </c>
      <c r="N3186">
        <f>IF(Table4[[#This Row],[Performance_Ratio]] &lt; 0.85, Table4[[#This Row],[Performance_Deviation]] * 50 / 1000, 0)</f>
        <v>0</v>
      </c>
    </row>
    <row r="3187" spans="1:14" x14ac:dyDescent="0.3">
      <c r="A3187" s="6" t="s">
        <v>10</v>
      </c>
      <c r="B3187" s="5">
        <v>45300.708333333336</v>
      </c>
      <c r="C3187" s="6">
        <v>336.41086831256098</v>
      </c>
      <c r="D3187" s="6">
        <v>318.32567086597498</v>
      </c>
      <c r="E3187" s="6">
        <v>318.32567086597498</v>
      </c>
      <c r="F3187" s="6">
        <v>47.110875057070601</v>
      </c>
      <c r="G3187" s="6" t="str">
        <f t="shared" si="98"/>
        <v>OK</v>
      </c>
      <c r="H3187" s="6" t="str">
        <f t="shared" si="99"/>
        <v>NON-ZERO</v>
      </c>
      <c r="I3187">
        <v>310.58285412302502</v>
      </c>
      <c r="J3187">
        <f>IFERROR(Table4[[#This Row],[energy_kwh]]/Table4[[#This Row],[expected_kwh]],0)</f>
        <v>1.0249299555341294</v>
      </c>
      <c r="K3187" t="str">
        <f>IF(Table4[[#This Row],[Performance_Ratio]] &lt; 0.85, "Underperforming", "Performing")</f>
        <v>Performing</v>
      </c>
      <c r="L3187">
        <f>Table4[[#This Row],[energy_kwh]] - Table4[[#This Row],[expected_kwh]]</f>
        <v>7.7428167429499695</v>
      </c>
      <c r="M3187" t="str">
        <f>IF(Table4[[#This Row],[Performance_Deviation]] &lt; 0, "Underperforming", "Outperforming")</f>
        <v>Outperforming</v>
      </c>
      <c r="N3187">
        <f>IF(Table4[[#This Row],[Performance_Ratio]] &lt; 0.85, Table4[[#This Row],[Performance_Deviation]] * 50 / 1000, 0)</f>
        <v>0</v>
      </c>
    </row>
    <row r="3188" spans="1:14" x14ac:dyDescent="0.3">
      <c r="A3188" s="4" t="s">
        <v>10</v>
      </c>
      <c r="B3188" s="3">
        <v>45300.75</v>
      </c>
      <c r="C3188" s="7">
        <v>1.26495767526054E-13</v>
      </c>
      <c r="D3188" s="7">
        <v>1.1969544938133601E-13</v>
      </c>
      <c r="E3188" s="7">
        <v>1.1969544938133601E-13</v>
      </c>
      <c r="F3188" s="4">
        <v>38.726079825449297</v>
      </c>
      <c r="G3188" s="4" t="str">
        <f t="shared" si="98"/>
        <v>OK</v>
      </c>
      <c r="H3188" s="4" t="str">
        <f t="shared" si="99"/>
        <v>NON-ZERO</v>
      </c>
      <c r="I3188" s="2">
        <v>1.46957615897682E-13</v>
      </c>
      <c r="J3188">
        <f>IFERROR(Table4[[#This Row],[energy_kwh]]/Table4[[#This Row],[expected_kwh]],0)</f>
        <v>0.8144895972228684</v>
      </c>
      <c r="K3188" t="str">
        <f>IF(Table4[[#This Row],[Performance_Ratio]] &lt; 0.85, "Underperforming", "Performing")</f>
        <v>Underperforming</v>
      </c>
      <c r="L3188">
        <f>Table4[[#This Row],[energy_kwh]] - Table4[[#This Row],[expected_kwh]]</f>
        <v>-2.7262166516345993E-14</v>
      </c>
      <c r="M3188" t="str">
        <f>IF(Table4[[#This Row],[Performance_Deviation]] &lt; 0, "Underperforming", "Outperforming")</f>
        <v>Underperforming</v>
      </c>
      <c r="N3188">
        <f>IF(Table4[[#This Row],[Performance_Ratio]] &lt; 0.85, Table4[[#This Row],[Performance_Deviation]] * 50 / 1000, 0)</f>
        <v>-1.3631083258172998E-15</v>
      </c>
    </row>
    <row r="3189" spans="1:14" x14ac:dyDescent="0.3">
      <c r="A3189" s="6" t="s">
        <v>10</v>
      </c>
      <c r="B3189" s="5">
        <v>45300.791666666664</v>
      </c>
      <c r="C3189" s="6">
        <v>0</v>
      </c>
      <c r="D3189" s="6">
        <v>0</v>
      </c>
      <c r="E3189" s="6">
        <v>0</v>
      </c>
      <c r="F3189" s="6">
        <v>55.342751546873501</v>
      </c>
      <c r="G3189" s="6" t="str">
        <f t="shared" si="98"/>
        <v>OK</v>
      </c>
      <c r="H3189" s="6" t="str">
        <f t="shared" si="99"/>
        <v>ZERO</v>
      </c>
      <c r="I3189">
        <v>0</v>
      </c>
      <c r="J3189">
        <f>IFERROR(Table4[[#This Row],[energy_kwh]]/Table4[[#This Row],[expected_kwh]],0)</f>
        <v>0</v>
      </c>
      <c r="K3189" t="str">
        <f>IF(Table4[[#This Row],[Performance_Ratio]] &lt; 0.85, "Underperforming", "Performing")</f>
        <v>Underperforming</v>
      </c>
      <c r="L3189">
        <f>Table4[[#This Row],[energy_kwh]] - Table4[[#This Row],[expected_kwh]]</f>
        <v>0</v>
      </c>
      <c r="M3189" t="str">
        <f>IF(Table4[[#This Row],[Performance_Deviation]] &lt; 0, "Underperforming", "Outperforming")</f>
        <v>Outperforming</v>
      </c>
      <c r="N3189">
        <f>IF(Table4[[#This Row],[Performance_Ratio]] &lt; 0.85, Table4[[#This Row],[Performance_Deviation]] * 50 / 1000, 0)</f>
        <v>0</v>
      </c>
    </row>
    <row r="3190" spans="1:14" x14ac:dyDescent="0.3">
      <c r="A3190" s="4" t="s">
        <v>10</v>
      </c>
      <c r="B3190" s="3">
        <v>45300.833333333336</v>
      </c>
      <c r="C3190" s="4">
        <v>0</v>
      </c>
      <c r="D3190" s="4">
        <v>0</v>
      </c>
      <c r="E3190" s="4">
        <v>0</v>
      </c>
      <c r="F3190" s="4">
        <v>84.617321318746704</v>
      </c>
      <c r="G3190" s="4" t="str">
        <f t="shared" si="98"/>
        <v>OK</v>
      </c>
      <c r="H3190" s="4" t="str">
        <f t="shared" si="99"/>
        <v>ZERO</v>
      </c>
      <c r="I3190">
        <v>0</v>
      </c>
      <c r="J3190">
        <f>IFERROR(Table4[[#This Row],[energy_kwh]]/Table4[[#This Row],[expected_kwh]],0)</f>
        <v>0</v>
      </c>
      <c r="K3190" t="str">
        <f>IF(Table4[[#This Row],[Performance_Ratio]] &lt; 0.85, "Underperforming", "Performing")</f>
        <v>Underperforming</v>
      </c>
      <c r="L3190">
        <f>Table4[[#This Row],[energy_kwh]] - Table4[[#This Row],[expected_kwh]]</f>
        <v>0</v>
      </c>
      <c r="M3190" t="str">
        <f>IF(Table4[[#This Row],[Performance_Deviation]] &lt; 0, "Underperforming", "Outperforming")</f>
        <v>Outperforming</v>
      </c>
      <c r="N3190">
        <f>IF(Table4[[#This Row],[Performance_Ratio]] &lt; 0.85, Table4[[#This Row],[Performance_Deviation]] * 50 / 1000, 0)</f>
        <v>0</v>
      </c>
    </row>
    <row r="3191" spans="1:14" x14ac:dyDescent="0.3">
      <c r="A3191" s="6" t="s">
        <v>10</v>
      </c>
      <c r="B3191" s="5">
        <v>45300.875</v>
      </c>
      <c r="C3191" s="6">
        <v>0</v>
      </c>
      <c r="D3191" s="6">
        <v>0</v>
      </c>
      <c r="E3191" s="6">
        <v>0</v>
      </c>
      <c r="F3191" s="6">
        <v>26.748916726221498</v>
      </c>
      <c r="G3191" s="6" t="str">
        <f t="shared" si="98"/>
        <v>OK</v>
      </c>
      <c r="H3191" s="6" t="str">
        <f t="shared" si="99"/>
        <v>ZERO</v>
      </c>
      <c r="I3191">
        <v>0</v>
      </c>
      <c r="J3191">
        <f>IFERROR(Table4[[#This Row],[energy_kwh]]/Table4[[#This Row],[expected_kwh]],0)</f>
        <v>0</v>
      </c>
      <c r="K3191" t="str">
        <f>IF(Table4[[#This Row],[Performance_Ratio]] &lt; 0.85, "Underperforming", "Performing")</f>
        <v>Underperforming</v>
      </c>
      <c r="L3191">
        <f>Table4[[#This Row],[energy_kwh]] - Table4[[#This Row],[expected_kwh]]</f>
        <v>0</v>
      </c>
      <c r="M3191" t="str">
        <f>IF(Table4[[#This Row],[Performance_Deviation]] &lt; 0, "Underperforming", "Outperforming")</f>
        <v>Outperforming</v>
      </c>
      <c r="N3191">
        <f>IF(Table4[[#This Row],[Performance_Ratio]] &lt; 0.85, Table4[[#This Row],[Performance_Deviation]] * 50 / 1000, 0)</f>
        <v>0</v>
      </c>
    </row>
    <row r="3192" spans="1:14" x14ac:dyDescent="0.3">
      <c r="A3192" s="4" t="s">
        <v>10</v>
      </c>
      <c r="B3192" s="3">
        <v>45300.916666666664</v>
      </c>
      <c r="C3192" s="4">
        <v>0</v>
      </c>
      <c r="D3192" s="4">
        <v>0</v>
      </c>
      <c r="E3192" s="4">
        <v>0</v>
      </c>
      <c r="F3192" s="4">
        <v>43.642897130076499</v>
      </c>
      <c r="G3192" s="4" t="str">
        <f t="shared" si="98"/>
        <v>OK</v>
      </c>
      <c r="H3192" s="4" t="str">
        <f t="shared" si="99"/>
        <v>ZERO</v>
      </c>
      <c r="I3192">
        <v>0</v>
      </c>
      <c r="J3192">
        <f>IFERROR(Table4[[#This Row],[energy_kwh]]/Table4[[#This Row],[expected_kwh]],0)</f>
        <v>0</v>
      </c>
      <c r="K3192" t="str">
        <f>IF(Table4[[#This Row],[Performance_Ratio]] &lt; 0.85, "Underperforming", "Performing")</f>
        <v>Underperforming</v>
      </c>
      <c r="L3192">
        <f>Table4[[#This Row],[energy_kwh]] - Table4[[#This Row],[expected_kwh]]</f>
        <v>0</v>
      </c>
      <c r="M3192" t="str">
        <f>IF(Table4[[#This Row],[Performance_Deviation]] &lt; 0, "Underperforming", "Outperforming")</f>
        <v>Outperforming</v>
      </c>
      <c r="N3192">
        <f>IF(Table4[[#This Row],[Performance_Ratio]] &lt; 0.85, Table4[[#This Row],[Performance_Deviation]] * 50 / 1000, 0)</f>
        <v>0</v>
      </c>
    </row>
    <row r="3193" spans="1:14" x14ac:dyDescent="0.3">
      <c r="A3193" s="6" t="s">
        <v>10</v>
      </c>
      <c r="B3193" s="5">
        <v>45300.958333333336</v>
      </c>
      <c r="C3193" s="6">
        <v>0</v>
      </c>
      <c r="D3193" s="6">
        <v>0</v>
      </c>
      <c r="E3193" s="6">
        <v>0</v>
      </c>
      <c r="F3193" s="6">
        <v>83.275128156457995</v>
      </c>
      <c r="G3193" s="6" t="str">
        <f t="shared" si="98"/>
        <v>OK</v>
      </c>
      <c r="H3193" s="6" t="str">
        <f t="shared" si="99"/>
        <v>ZERO</v>
      </c>
      <c r="I3193">
        <v>0</v>
      </c>
      <c r="J3193">
        <f>IFERROR(Table4[[#This Row],[energy_kwh]]/Table4[[#This Row],[expected_kwh]],0)</f>
        <v>0</v>
      </c>
      <c r="K3193" t="str">
        <f>IF(Table4[[#This Row],[Performance_Ratio]] &lt; 0.85, "Underperforming", "Performing")</f>
        <v>Underperforming</v>
      </c>
      <c r="L3193">
        <f>Table4[[#This Row],[energy_kwh]] - Table4[[#This Row],[expected_kwh]]</f>
        <v>0</v>
      </c>
      <c r="M3193" t="str">
        <f>IF(Table4[[#This Row],[Performance_Deviation]] &lt; 0, "Underperforming", "Outperforming")</f>
        <v>Outperforming</v>
      </c>
      <c r="N3193">
        <f>IF(Table4[[#This Row],[Performance_Ratio]] &lt; 0.85, Table4[[#This Row],[Performance_Deviation]] * 50 / 1000, 0)</f>
        <v>0</v>
      </c>
    </row>
    <row r="3194" spans="1:14" x14ac:dyDescent="0.3">
      <c r="A3194" s="4" t="s">
        <v>10</v>
      </c>
      <c r="B3194" s="3">
        <v>45301</v>
      </c>
      <c r="C3194" s="4">
        <v>0</v>
      </c>
      <c r="D3194" s="4">
        <v>0</v>
      </c>
      <c r="E3194" s="4">
        <v>0</v>
      </c>
      <c r="F3194" s="4">
        <v>93.788444213565896</v>
      </c>
      <c r="G3194" s="4" t="str">
        <f t="shared" si="98"/>
        <v>OK</v>
      </c>
      <c r="H3194" s="4" t="str">
        <f t="shared" si="99"/>
        <v>ZERO</v>
      </c>
      <c r="I3194">
        <v>0</v>
      </c>
      <c r="J3194">
        <f>IFERROR(Table4[[#This Row],[energy_kwh]]/Table4[[#This Row],[expected_kwh]],0)</f>
        <v>0</v>
      </c>
      <c r="K3194" t="str">
        <f>IF(Table4[[#This Row],[Performance_Ratio]] &lt; 0.85, "Underperforming", "Performing")</f>
        <v>Underperforming</v>
      </c>
      <c r="L3194">
        <f>Table4[[#This Row],[energy_kwh]] - Table4[[#This Row],[expected_kwh]]</f>
        <v>0</v>
      </c>
      <c r="M3194" t="str">
        <f>IF(Table4[[#This Row],[Performance_Deviation]] &lt; 0, "Underperforming", "Outperforming")</f>
        <v>Outperforming</v>
      </c>
      <c r="N3194">
        <f>IF(Table4[[#This Row],[Performance_Ratio]] &lt; 0.85, Table4[[#This Row],[Performance_Deviation]] * 50 / 1000, 0)</f>
        <v>0</v>
      </c>
    </row>
    <row r="3195" spans="1:14" x14ac:dyDescent="0.3">
      <c r="A3195" s="6" t="s">
        <v>10</v>
      </c>
      <c r="B3195" s="5">
        <v>45301.041666666664</v>
      </c>
      <c r="C3195" s="6">
        <v>0</v>
      </c>
      <c r="D3195" s="6">
        <v>0</v>
      </c>
      <c r="E3195" s="6">
        <v>0</v>
      </c>
      <c r="F3195" s="6">
        <v>56.785880540605</v>
      </c>
      <c r="G3195" s="6" t="str">
        <f t="shared" si="98"/>
        <v>OK</v>
      </c>
      <c r="H3195" s="6" t="str">
        <f t="shared" si="99"/>
        <v>ZERO</v>
      </c>
      <c r="I3195">
        <v>0</v>
      </c>
      <c r="J3195">
        <f>IFERROR(Table4[[#This Row],[energy_kwh]]/Table4[[#This Row],[expected_kwh]],0)</f>
        <v>0</v>
      </c>
      <c r="K3195" t="str">
        <f>IF(Table4[[#This Row],[Performance_Ratio]] &lt; 0.85, "Underperforming", "Performing")</f>
        <v>Underperforming</v>
      </c>
      <c r="L3195">
        <f>Table4[[#This Row],[energy_kwh]] - Table4[[#This Row],[expected_kwh]]</f>
        <v>0</v>
      </c>
      <c r="M3195" t="str">
        <f>IF(Table4[[#This Row],[Performance_Deviation]] &lt; 0, "Underperforming", "Outperforming")</f>
        <v>Outperforming</v>
      </c>
      <c r="N3195">
        <f>IF(Table4[[#This Row],[Performance_Ratio]] &lt; 0.85, Table4[[#This Row],[Performance_Deviation]] * 50 / 1000, 0)</f>
        <v>0</v>
      </c>
    </row>
    <row r="3196" spans="1:14" x14ac:dyDescent="0.3">
      <c r="A3196" s="4" t="s">
        <v>10</v>
      </c>
      <c r="B3196" s="3">
        <v>45301.083333333336</v>
      </c>
      <c r="C3196" s="4">
        <v>0</v>
      </c>
      <c r="D3196" s="4">
        <v>0</v>
      </c>
      <c r="E3196" s="4">
        <v>0</v>
      </c>
      <c r="F3196" s="4">
        <v>41.879291538526999</v>
      </c>
      <c r="G3196" s="4" t="str">
        <f t="shared" si="98"/>
        <v>OK</v>
      </c>
      <c r="H3196" s="4" t="str">
        <f t="shared" si="99"/>
        <v>ZERO</v>
      </c>
      <c r="I3196">
        <v>0</v>
      </c>
      <c r="J3196">
        <f>IFERROR(Table4[[#This Row],[energy_kwh]]/Table4[[#This Row],[expected_kwh]],0)</f>
        <v>0</v>
      </c>
      <c r="K3196" t="str">
        <f>IF(Table4[[#This Row],[Performance_Ratio]] &lt; 0.85, "Underperforming", "Performing")</f>
        <v>Underperforming</v>
      </c>
      <c r="L3196">
        <f>Table4[[#This Row],[energy_kwh]] - Table4[[#This Row],[expected_kwh]]</f>
        <v>0</v>
      </c>
      <c r="M3196" t="str">
        <f>IF(Table4[[#This Row],[Performance_Deviation]] &lt; 0, "Underperforming", "Outperforming")</f>
        <v>Outperforming</v>
      </c>
      <c r="N3196">
        <f>IF(Table4[[#This Row],[Performance_Ratio]] &lt; 0.85, Table4[[#This Row],[Performance_Deviation]] * 50 / 1000, 0)</f>
        <v>0</v>
      </c>
    </row>
    <row r="3197" spans="1:14" x14ac:dyDescent="0.3">
      <c r="A3197" s="6" t="s">
        <v>10</v>
      </c>
      <c r="B3197" s="5">
        <v>45301.125</v>
      </c>
      <c r="C3197" s="6">
        <v>0</v>
      </c>
      <c r="D3197" s="6">
        <v>0</v>
      </c>
      <c r="E3197" s="6">
        <v>0</v>
      </c>
      <c r="F3197" s="6">
        <v>90.9501645004285</v>
      </c>
      <c r="G3197" s="6" t="str">
        <f t="shared" si="98"/>
        <v>OK</v>
      </c>
      <c r="H3197" s="6" t="str">
        <f t="shared" si="99"/>
        <v>ZERO</v>
      </c>
      <c r="I3197">
        <v>0</v>
      </c>
      <c r="J3197">
        <f>IFERROR(Table4[[#This Row],[energy_kwh]]/Table4[[#This Row],[expected_kwh]],0)</f>
        <v>0</v>
      </c>
      <c r="K3197" t="str">
        <f>IF(Table4[[#This Row],[Performance_Ratio]] &lt; 0.85, "Underperforming", "Performing")</f>
        <v>Underperforming</v>
      </c>
      <c r="L3197">
        <f>Table4[[#This Row],[energy_kwh]] - Table4[[#This Row],[expected_kwh]]</f>
        <v>0</v>
      </c>
      <c r="M3197" t="str">
        <f>IF(Table4[[#This Row],[Performance_Deviation]] &lt; 0, "Underperforming", "Outperforming")</f>
        <v>Outperforming</v>
      </c>
      <c r="N3197">
        <f>IF(Table4[[#This Row],[Performance_Ratio]] &lt; 0.85, Table4[[#This Row],[Performance_Deviation]] * 50 / 1000, 0)</f>
        <v>0</v>
      </c>
    </row>
    <row r="3198" spans="1:14" x14ac:dyDescent="0.3">
      <c r="A3198" s="4" t="s">
        <v>10</v>
      </c>
      <c r="B3198" s="3">
        <v>45301.166666666664</v>
      </c>
      <c r="C3198" s="4">
        <v>0</v>
      </c>
      <c r="D3198" s="4">
        <v>0</v>
      </c>
      <c r="E3198" s="4">
        <v>0</v>
      </c>
      <c r="F3198" s="4">
        <v>28.2515932243607</v>
      </c>
      <c r="G3198" s="4" t="str">
        <f t="shared" si="98"/>
        <v>OK</v>
      </c>
      <c r="H3198" s="4" t="str">
        <f t="shared" si="99"/>
        <v>ZERO</v>
      </c>
      <c r="I3198">
        <v>0</v>
      </c>
      <c r="J3198">
        <f>IFERROR(Table4[[#This Row],[energy_kwh]]/Table4[[#This Row],[expected_kwh]],0)</f>
        <v>0</v>
      </c>
      <c r="K3198" t="str">
        <f>IF(Table4[[#This Row],[Performance_Ratio]] &lt; 0.85, "Underperforming", "Performing")</f>
        <v>Underperforming</v>
      </c>
      <c r="L3198">
        <f>Table4[[#This Row],[energy_kwh]] - Table4[[#This Row],[expected_kwh]]</f>
        <v>0</v>
      </c>
      <c r="M3198" t="str">
        <f>IF(Table4[[#This Row],[Performance_Deviation]] &lt; 0, "Underperforming", "Outperforming")</f>
        <v>Outperforming</v>
      </c>
      <c r="N3198">
        <f>IF(Table4[[#This Row],[Performance_Ratio]] &lt; 0.85, Table4[[#This Row],[Performance_Deviation]] * 50 / 1000, 0)</f>
        <v>0</v>
      </c>
    </row>
    <row r="3199" spans="1:14" x14ac:dyDescent="0.3">
      <c r="A3199" s="6" t="s">
        <v>10</v>
      </c>
      <c r="B3199" s="5">
        <v>45301.208333333336</v>
      </c>
      <c r="C3199" s="6">
        <v>0</v>
      </c>
      <c r="D3199" s="6">
        <v>0</v>
      </c>
      <c r="E3199" s="6">
        <v>0</v>
      </c>
      <c r="F3199" s="6">
        <v>93.285899960030406</v>
      </c>
      <c r="G3199" s="6" t="str">
        <f t="shared" si="98"/>
        <v>OK</v>
      </c>
      <c r="H3199" s="6" t="str">
        <f t="shared" si="99"/>
        <v>ZERO</v>
      </c>
      <c r="I3199">
        <v>0</v>
      </c>
      <c r="J3199">
        <f>IFERROR(Table4[[#This Row],[energy_kwh]]/Table4[[#This Row],[expected_kwh]],0)</f>
        <v>0</v>
      </c>
      <c r="K3199" t="str">
        <f>IF(Table4[[#This Row],[Performance_Ratio]] &lt; 0.85, "Underperforming", "Performing")</f>
        <v>Underperforming</v>
      </c>
      <c r="L3199">
        <f>Table4[[#This Row],[energy_kwh]] - Table4[[#This Row],[expected_kwh]]</f>
        <v>0</v>
      </c>
      <c r="M3199" t="str">
        <f>IF(Table4[[#This Row],[Performance_Deviation]] &lt; 0, "Underperforming", "Outperforming")</f>
        <v>Outperforming</v>
      </c>
      <c r="N3199">
        <f>IF(Table4[[#This Row],[Performance_Ratio]] &lt; 0.85, Table4[[#This Row],[Performance_Deviation]] * 50 / 1000, 0)</f>
        <v>0</v>
      </c>
    </row>
    <row r="3200" spans="1:14" x14ac:dyDescent="0.3">
      <c r="A3200" s="4" t="s">
        <v>10</v>
      </c>
      <c r="B3200" s="3">
        <v>45301.25</v>
      </c>
      <c r="C3200" s="4">
        <v>0</v>
      </c>
      <c r="D3200" s="4">
        <v>0</v>
      </c>
      <c r="E3200" s="4">
        <v>0</v>
      </c>
      <c r="F3200" s="4">
        <v>29.1540325310987</v>
      </c>
      <c r="G3200" s="4" t="str">
        <f t="shared" si="98"/>
        <v>OK</v>
      </c>
      <c r="H3200" s="4" t="str">
        <f t="shared" si="99"/>
        <v>ZERO</v>
      </c>
      <c r="I3200">
        <v>0</v>
      </c>
      <c r="J3200">
        <f>IFERROR(Table4[[#This Row],[energy_kwh]]/Table4[[#This Row],[expected_kwh]],0)</f>
        <v>0</v>
      </c>
      <c r="K3200" t="str">
        <f>IF(Table4[[#This Row],[Performance_Ratio]] &lt; 0.85, "Underperforming", "Performing")</f>
        <v>Underperforming</v>
      </c>
      <c r="L3200">
        <f>Table4[[#This Row],[energy_kwh]] - Table4[[#This Row],[expected_kwh]]</f>
        <v>0</v>
      </c>
      <c r="M3200" t="str">
        <f>IF(Table4[[#This Row],[Performance_Deviation]] &lt; 0, "Underperforming", "Outperforming")</f>
        <v>Outperforming</v>
      </c>
      <c r="N3200">
        <f>IF(Table4[[#This Row],[Performance_Ratio]] &lt; 0.85, Table4[[#This Row],[Performance_Deviation]] * 50 / 1000, 0)</f>
        <v>0</v>
      </c>
    </row>
    <row r="3201" spans="1:14" x14ac:dyDescent="0.3">
      <c r="A3201" s="6" t="s">
        <v>10</v>
      </c>
      <c r="B3201" s="5">
        <v>45301.291666666664</v>
      </c>
      <c r="C3201" s="6">
        <v>323.99068439243501</v>
      </c>
      <c r="D3201" s="6">
        <v>306.57318677268501</v>
      </c>
      <c r="E3201" s="6">
        <v>306.57318677268501</v>
      </c>
      <c r="F3201" s="6">
        <v>61.766797870482002</v>
      </c>
      <c r="G3201" s="6" t="str">
        <f t="shared" si="98"/>
        <v>OK</v>
      </c>
      <c r="H3201" s="6" t="str">
        <f t="shared" si="99"/>
        <v>NON-ZERO</v>
      </c>
      <c r="I3201">
        <v>310.58285412302399</v>
      </c>
      <c r="J3201">
        <f>IFERROR(Table4[[#This Row],[energy_kwh]]/Table4[[#This Row],[expected_kwh]],0)</f>
        <v>0.98708986250493169</v>
      </c>
      <c r="K3201" t="str">
        <f>IF(Table4[[#This Row],[Performance_Ratio]] &lt; 0.85, "Underperforming", "Performing")</f>
        <v>Performing</v>
      </c>
      <c r="L3201">
        <f>Table4[[#This Row],[energy_kwh]] - Table4[[#This Row],[expected_kwh]]</f>
        <v>-4.0096673503389866</v>
      </c>
      <c r="M3201" t="str">
        <f>IF(Table4[[#This Row],[Performance_Deviation]] &lt; 0, "Underperforming", "Outperforming")</f>
        <v>Underperforming</v>
      </c>
      <c r="N3201">
        <f>IF(Table4[[#This Row],[Performance_Ratio]] &lt; 0.85, Table4[[#This Row],[Performance_Deviation]] * 50 / 1000, 0)</f>
        <v>0</v>
      </c>
    </row>
    <row r="3202" spans="1:14" x14ac:dyDescent="0.3">
      <c r="A3202" s="4" t="s">
        <v>10</v>
      </c>
      <c r="B3202" s="3">
        <v>45301.333333333336</v>
      </c>
      <c r="C3202" s="4">
        <v>541.87027740882195</v>
      </c>
      <c r="D3202" s="4">
        <v>512.73973532339198</v>
      </c>
      <c r="E3202" s="4">
        <v>512.73973532339198</v>
      </c>
      <c r="F3202" s="4">
        <v>76.108268086995096</v>
      </c>
      <c r="G3202" s="4" t="str">
        <f t="shared" ref="G3202:G3265" si="100">IF(D3202 &gt; C3202, "ERROR", "OK")</f>
        <v>OK</v>
      </c>
      <c r="H3202" s="4" t="str">
        <f t="shared" ref="H3202:H3265" si="101">IF(E3202=0,"ZERO","NON-ZERO")</f>
        <v>NON-ZERO</v>
      </c>
      <c r="I3202">
        <v>600</v>
      </c>
      <c r="J3202">
        <f>IFERROR(Table4[[#This Row],[energy_kwh]]/Table4[[#This Row],[expected_kwh]],0)</f>
        <v>0.85456622553898665</v>
      </c>
      <c r="K3202" t="str">
        <f>IF(Table4[[#This Row],[Performance_Ratio]] &lt; 0.85, "Underperforming", "Performing")</f>
        <v>Performing</v>
      </c>
      <c r="L3202">
        <f>Table4[[#This Row],[energy_kwh]] - Table4[[#This Row],[expected_kwh]]</f>
        <v>-87.260264676608017</v>
      </c>
      <c r="M3202" t="str">
        <f>IF(Table4[[#This Row],[Performance_Deviation]] &lt; 0, "Underperforming", "Outperforming")</f>
        <v>Underperforming</v>
      </c>
      <c r="N3202">
        <f>IF(Table4[[#This Row],[Performance_Ratio]] &lt; 0.85, Table4[[#This Row],[Performance_Deviation]] * 50 / 1000, 0)</f>
        <v>0</v>
      </c>
    </row>
    <row r="3203" spans="1:14" x14ac:dyDescent="0.3">
      <c r="A3203" s="6" t="s">
        <v>10</v>
      </c>
      <c r="B3203" s="5">
        <v>45301.375</v>
      </c>
      <c r="C3203" s="6">
        <v>867.60114202602995</v>
      </c>
      <c r="D3203" s="6">
        <v>820.95955152947704</v>
      </c>
      <c r="E3203" s="6">
        <v>820.95955152947704</v>
      </c>
      <c r="F3203" s="6">
        <v>91.042027051003302</v>
      </c>
      <c r="G3203" s="6" t="str">
        <f t="shared" si="100"/>
        <v>OK</v>
      </c>
      <c r="H3203" s="6" t="str">
        <f t="shared" si="101"/>
        <v>NON-ZERO</v>
      </c>
      <c r="I3203">
        <v>848.52813742385695</v>
      </c>
      <c r="J3203">
        <f>IFERROR(Table4[[#This Row],[energy_kwh]]/Table4[[#This Row],[expected_kwh]],0)</f>
        <v>0.9675101099439336</v>
      </c>
      <c r="K3203" t="str">
        <f>IF(Table4[[#This Row],[Performance_Ratio]] &lt; 0.85, "Underperforming", "Performing")</f>
        <v>Performing</v>
      </c>
      <c r="L3203">
        <f>Table4[[#This Row],[energy_kwh]] - Table4[[#This Row],[expected_kwh]]</f>
        <v>-27.568585894379908</v>
      </c>
      <c r="M3203" t="str">
        <f>IF(Table4[[#This Row],[Performance_Deviation]] &lt; 0, "Underperforming", "Outperforming")</f>
        <v>Underperforming</v>
      </c>
      <c r="N3203">
        <f>IF(Table4[[#This Row],[Performance_Ratio]] &lt; 0.85, Table4[[#This Row],[Performance_Deviation]] * 50 / 1000, 0)</f>
        <v>0</v>
      </c>
    </row>
    <row r="3204" spans="1:14" x14ac:dyDescent="0.3">
      <c r="A3204" s="4" t="s">
        <v>10</v>
      </c>
      <c r="B3204" s="3">
        <v>45301.416666666664</v>
      </c>
      <c r="C3204" s="4">
        <v>949.60062913916499</v>
      </c>
      <c r="D3204" s="4">
        <v>898.55080735567799</v>
      </c>
      <c r="E3204" s="4">
        <v>898.55080735567799</v>
      </c>
      <c r="F3204" s="4">
        <v>43.859939850011799</v>
      </c>
      <c r="G3204" s="4" t="str">
        <f t="shared" si="100"/>
        <v>OK</v>
      </c>
      <c r="H3204" s="4" t="str">
        <f t="shared" si="101"/>
        <v>NON-ZERO</v>
      </c>
      <c r="I3204">
        <v>1039.23048454132</v>
      </c>
      <c r="J3204">
        <f>IFERROR(Table4[[#This Row],[energy_kwh]]/Table4[[#This Row],[expected_kwh]],0)</f>
        <v>0.86463091751226573</v>
      </c>
      <c r="K3204" t="str">
        <f>IF(Table4[[#This Row],[Performance_Ratio]] &lt; 0.85, "Underperforming", "Performing")</f>
        <v>Performing</v>
      </c>
      <c r="L3204">
        <f>Table4[[#This Row],[energy_kwh]] - Table4[[#This Row],[expected_kwh]]</f>
        <v>-140.67967718564205</v>
      </c>
      <c r="M3204" t="str">
        <f>IF(Table4[[#This Row],[Performance_Deviation]] &lt; 0, "Underperforming", "Outperforming")</f>
        <v>Underperforming</v>
      </c>
      <c r="N3204">
        <f>IF(Table4[[#This Row],[Performance_Ratio]] &lt; 0.85, Table4[[#This Row],[Performance_Deviation]] * 50 / 1000, 0)</f>
        <v>0</v>
      </c>
    </row>
    <row r="3205" spans="1:14" x14ac:dyDescent="0.3">
      <c r="A3205" s="6" t="s">
        <v>10</v>
      </c>
      <c r="B3205" s="5">
        <v>45301.458333333336</v>
      </c>
      <c r="C3205" s="6">
        <v>1142.6090025317701</v>
      </c>
      <c r="D3205" s="6">
        <v>1081.1831945051599</v>
      </c>
      <c r="E3205" s="6">
        <v>1081.1831945051599</v>
      </c>
      <c r="F3205" s="6">
        <v>74.300659412116502</v>
      </c>
      <c r="G3205" s="6" t="str">
        <f t="shared" si="100"/>
        <v>OK</v>
      </c>
      <c r="H3205" s="6" t="str">
        <f t="shared" si="101"/>
        <v>NON-ZERO</v>
      </c>
      <c r="I3205">
        <v>1159.1109915468801</v>
      </c>
      <c r="J3205">
        <f>IFERROR(Table4[[#This Row],[energy_kwh]]/Table4[[#This Row],[expected_kwh]],0)</f>
        <v>0.93276933994239641</v>
      </c>
      <c r="K3205" t="str">
        <f>IF(Table4[[#This Row],[Performance_Ratio]] &lt; 0.85, "Underperforming", "Performing")</f>
        <v>Performing</v>
      </c>
      <c r="L3205">
        <f>Table4[[#This Row],[energy_kwh]] - Table4[[#This Row],[expected_kwh]]</f>
        <v>-77.927797041720169</v>
      </c>
      <c r="M3205" t="str">
        <f>IF(Table4[[#This Row],[Performance_Deviation]] &lt; 0, "Underperforming", "Outperforming")</f>
        <v>Underperforming</v>
      </c>
      <c r="N3205">
        <f>IF(Table4[[#This Row],[Performance_Ratio]] &lt; 0.85, Table4[[#This Row],[Performance_Deviation]] * 50 / 1000, 0)</f>
        <v>0</v>
      </c>
    </row>
    <row r="3206" spans="1:14" x14ac:dyDescent="0.3">
      <c r="A3206" s="4" t="s">
        <v>10</v>
      </c>
      <c r="B3206" s="3">
        <v>45301.5</v>
      </c>
      <c r="C3206" s="4">
        <v>1109.9307813447101</v>
      </c>
      <c r="D3206" s="4">
        <v>1050.2617301236501</v>
      </c>
      <c r="E3206" s="4">
        <v>1050.2617301236501</v>
      </c>
      <c r="F3206" s="4">
        <v>26.0652309374079</v>
      </c>
      <c r="G3206" s="4" t="str">
        <f t="shared" si="100"/>
        <v>OK</v>
      </c>
      <c r="H3206" s="4" t="str">
        <f t="shared" si="101"/>
        <v>NON-ZERO</v>
      </c>
      <c r="I3206">
        <v>1200</v>
      </c>
      <c r="J3206">
        <f>IFERROR(Table4[[#This Row],[energy_kwh]]/Table4[[#This Row],[expected_kwh]],0)</f>
        <v>0.87521810843637504</v>
      </c>
      <c r="K3206" t="str">
        <f>IF(Table4[[#This Row],[Performance_Ratio]] &lt; 0.85, "Underperforming", "Performing")</f>
        <v>Performing</v>
      </c>
      <c r="L3206">
        <f>Table4[[#This Row],[energy_kwh]] - Table4[[#This Row],[expected_kwh]]</f>
        <v>-149.73826987634993</v>
      </c>
      <c r="M3206" t="str">
        <f>IF(Table4[[#This Row],[Performance_Deviation]] &lt; 0, "Underperforming", "Outperforming")</f>
        <v>Underperforming</v>
      </c>
      <c r="N3206">
        <f>IF(Table4[[#This Row],[Performance_Ratio]] &lt; 0.85, Table4[[#This Row],[Performance_Deviation]] * 50 / 1000, 0)</f>
        <v>0</v>
      </c>
    </row>
    <row r="3207" spans="1:14" x14ac:dyDescent="0.3">
      <c r="A3207" s="6" t="s">
        <v>10</v>
      </c>
      <c r="B3207" s="5">
        <v>45301.541666666664</v>
      </c>
      <c r="C3207" s="6">
        <v>1129.4671543919001</v>
      </c>
      <c r="D3207" s="6">
        <v>1068.74784232249</v>
      </c>
      <c r="E3207" s="6">
        <v>1068.74784232249</v>
      </c>
      <c r="F3207" s="6">
        <v>27.119900717421299</v>
      </c>
      <c r="G3207" s="6" t="str">
        <f t="shared" si="100"/>
        <v>OK</v>
      </c>
      <c r="H3207" s="6" t="str">
        <f t="shared" si="101"/>
        <v>NON-ZERO</v>
      </c>
      <c r="I3207">
        <v>1159.1109915468801</v>
      </c>
      <c r="J3207">
        <f>IFERROR(Table4[[#This Row],[energy_kwh]]/Table4[[#This Row],[expected_kwh]],0)</f>
        <v>0.92204098668428913</v>
      </c>
      <c r="K3207" t="str">
        <f>IF(Table4[[#This Row],[Performance_Ratio]] &lt; 0.85, "Underperforming", "Performing")</f>
        <v>Performing</v>
      </c>
      <c r="L3207">
        <f>Table4[[#This Row],[energy_kwh]] - Table4[[#This Row],[expected_kwh]]</f>
        <v>-90.363149224390099</v>
      </c>
      <c r="M3207" t="str">
        <f>IF(Table4[[#This Row],[Performance_Deviation]] &lt; 0, "Underperforming", "Outperforming")</f>
        <v>Underperforming</v>
      </c>
      <c r="N3207">
        <f>IF(Table4[[#This Row],[Performance_Ratio]] &lt; 0.85, Table4[[#This Row],[Performance_Deviation]] * 50 / 1000, 0)</f>
        <v>0</v>
      </c>
    </row>
    <row r="3208" spans="1:14" x14ac:dyDescent="0.3">
      <c r="A3208" s="4" t="s">
        <v>10</v>
      </c>
      <c r="B3208" s="3">
        <v>45301.583333333336</v>
      </c>
      <c r="C3208" s="4">
        <v>1071.8138662686999</v>
      </c>
      <c r="D3208" s="4">
        <v>1014.19395198148</v>
      </c>
      <c r="E3208" s="4">
        <v>1014.19395198148</v>
      </c>
      <c r="F3208" s="4">
        <v>40.767626730570299</v>
      </c>
      <c r="G3208" s="4" t="str">
        <f t="shared" si="100"/>
        <v>OK</v>
      </c>
      <c r="H3208" s="4" t="str">
        <f t="shared" si="101"/>
        <v>NON-ZERO</v>
      </c>
      <c r="I3208">
        <v>1039.23048454132</v>
      </c>
      <c r="J3208">
        <f>IFERROR(Table4[[#This Row],[energy_kwh]]/Table4[[#This Row],[expected_kwh]],0)</f>
        <v>0.97590858531166913</v>
      </c>
      <c r="K3208" t="str">
        <f>IF(Table4[[#This Row],[Performance_Ratio]] &lt; 0.85, "Underperforming", "Performing")</f>
        <v>Performing</v>
      </c>
      <c r="L3208">
        <f>Table4[[#This Row],[energy_kwh]] - Table4[[#This Row],[expected_kwh]]</f>
        <v>-25.036532559839998</v>
      </c>
      <c r="M3208" t="str">
        <f>IF(Table4[[#This Row],[Performance_Deviation]] &lt; 0, "Underperforming", "Outperforming")</f>
        <v>Underperforming</v>
      </c>
      <c r="N3208">
        <f>IF(Table4[[#This Row],[Performance_Ratio]] &lt; 0.85, Table4[[#This Row],[Performance_Deviation]] * 50 / 1000, 0)</f>
        <v>0</v>
      </c>
    </row>
    <row r="3209" spans="1:14" x14ac:dyDescent="0.3">
      <c r="A3209" s="6" t="s">
        <v>10</v>
      </c>
      <c r="B3209" s="5">
        <v>45301.625</v>
      </c>
      <c r="C3209" s="6">
        <v>859.635994227992</v>
      </c>
      <c r="D3209" s="6">
        <v>813.42260413810595</v>
      </c>
      <c r="E3209" s="6">
        <v>813.42260413810595</v>
      </c>
      <c r="F3209" s="6">
        <v>34.456574141527902</v>
      </c>
      <c r="G3209" s="6" t="str">
        <f t="shared" si="100"/>
        <v>OK</v>
      </c>
      <c r="H3209" s="6" t="str">
        <f t="shared" si="101"/>
        <v>NON-ZERO</v>
      </c>
      <c r="I3209">
        <v>848.52813742385695</v>
      </c>
      <c r="J3209">
        <f>IFERROR(Table4[[#This Row],[energy_kwh]]/Table4[[#This Row],[expected_kwh]],0)</f>
        <v>0.95862773226079234</v>
      </c>
      <c r="K3209" t="str">
        <f>IF(Table4[[#This Row],[Performance_Ratio]] &lt; 0.85, "Underperforming", "Performing")</f>
        <v>Performing</v>
      </c>
      <c r="L3209">
        <f>Table4[[#This Row],[energy_kwh]] - Table4[[#This Row],[expected_kwh]]</f>
        <v>-35.105533285750994</v>
      </c>
      <c r="M3209" t="str">
        <f>IF(Table4[[#This Row],[Performance_Deviation]] &lt; 0, "Underperforming", "Outperforming")</f>
        <v>Underperforming</v>
      </c>
      <c r="N3209">
        <f>IF(Table4[[#This Row],[Performance_Ratio]] &lt; 0.85, Table4[[#This Row],[Performance_Deviation]] * 50 / 1000, 0)</f>
        <v>0</v>
      </c>
    </row>
    <row r="3210" spans="1:14" x14ac:dyDescent="0.3">
      <c r="A3210" s="4" t="s">
        <v>10</v>
      </c>
      <c r="B3210" s="3">
        <v>45301.666666666664</v>
      </c>
      <c r="C3210" s="4">
        <v>493.70027565219698</v>
      </c>
      <c r="D3210" s="4">
        <v>467.15931694479798</v>
      </c>
      <c r="E3210" s="4">
        <v>467.15931694479798</v>
      </c>
      <c r="F3210" s="4">
        <v>54.847030315140799</v>
      </c>
      <c r="G3210" s="4" t="str">
        <f t="shared" si="100"/>
        <v>OK</v>
      </c>
      <c r="H3210" s="4" t="str">
        <f t="shared" si="101"/>
        <v>NON-ZERO</v>
      </c>
      <c r="I3210">
        <v>600</v>
      </c>
      <c r="J3210">
        <f>IFERROR(Table4[[#This Row],[energy_kwh]]/Table4[[#This Row],[expected_kwh]],0)</f>
        <v>0.77859886157466329</v>
      </c>
      <c r="K3210" t="str">
        <f>IF(Table4[[#This Row],[Performance_Ratio]] &lt; 0.85, "Underperforming", "Performing")</f>
        <v>Underperforming</v>
      </c>
      <c r="L3210">
        <f>Table4[[#This Row],[energy_kwh]] - Table4[[#This Row],[expected_kwh]]</f>
        <v>-132.84068305520202</v>
      </c>
      <c r="M3210" t="str">
        <f>IF(Table4[[#This Row],[Performance_Deviation]] &lt; 0, "Underperforming", "Outperforming")</f>
        <v>Underperforming</v>
      </c>
      <c r="N3210">
        <f>IF(Table4[[#This Row],[Performance_Ratio]] &lt; 0.85, Table4[[#This Row],[Performance_Deviation]] * 50 / 1000, 0)</f>
        <v>-6.6420341527601012</v>
      </c>
    </row>
    <row r="3211" spans="1:14" x14ac:dyDescent="0.3">
      <c r="A3211" s="6" t="s">
        <v>10</v>
      </c>
      <c r="B3211" s="5">
        <v>45301.708333333336</v>
      </c>
      <c r="C3211" s="6">
        <v>312.22988254221099</v>
      </c>
      <c r="D3211" s="6">
        <v>295.444636860868</v>
      </c>
      <c r="E3211" s="6">
        <v>295.444636860868</v>
      </c>
      <c r="F3211" s="6">
        <v>24.187866565735501</v>
      </c>
      <c r="G3211" s="6" t="str">
        <f t="shared" si="100"/>
        <v>OK</v>
      </c>
      <c r="H3211" s="6" t="str">
        <f t="shared" si="101"/>
        <v>NON-ZERO</v>
      </c>
      <c r="I3211">
        <v>310.58285412302502</v>
      </c>
      <c r="J3211">
        <f>IFERROR(Table4[[#This Row],[energy_kwh]]/Table4[[#This Row],[expected_kwh]],0)</f>
        <v>0.95125868327502516</v>
      </c>
      <c r="K3211" t="str">
        <f>IF(Table4[[#This Row],[Performance_Ratio]] &lt; 0.85, "Underperforming", "Performing")</f>
        <v>Performing</v>
      </c>
      <c r="L3211">
        <f>Table4[[#This Row],[energy_kwh]] - Table4[[#This Row],[expected_kwh]]</f>
        <v>-15.138217262157013</v>
      </c>
      <c r="M3211" t="str">
        <f>IF(Table4[[#This Row],[Performance_Deviation]] &lt; 0, "Underperforming", "Outperforming")</f>
        <v>Underperforming</v>
      </c>
      <c r="N3211">
        <f>IF(Table4[[#This Row],[Performance_Ratio]] &lt; 0.85, Table4[[#This Row],[Performance_Deviation]] * 50 / 1000, 0)</f>
        <v>0</v>
      </c>
    </row>
    <row r="3212" spans="1:14" x14ac:dyDescent="0.3">
      <c r="A3212" s="4" t="s">
        <v>10</v>
      </c>
      <c r="B3212" s="3">
        <v>45301.75</v>
      </c>
      <c r="C3212" s="7">
        <v>1.3064720058724101E-13</v>
      </c>
      <c r="D3212" s="7">
        <v>1.23623704496535E-13</v>
      </c>
      <c r="E3212" s="7">
        <v>1.23623704496535E-13</v>
      </c>
      <c r="F3212" s="4">
        <v>34.303793975355802</v>
      </c>
      <c r="G3212" s="4" t="str">
        <f t="shared" si="100"/>
        <v>OK</v>
      </c>
      <c r="H3212" s="4" t="str">
        <f t="shared" si="101"/>
        <v>NON-ZERO</v>
      </c>
      <c r="I3212" s="2">
        <v>1.46957615897682E-13</v>
      </c>
      <c r="J3212">
        <f>IFERROR(Table4[[#This Row],[energy_kwh]]/Table4[[#This Row],[expected_kwh]],0)</f>
        <v>0.84122012827567205</v>
      </c>
      <c r="K3212" t="str">
        <f>IF(Table4[[#This Row],[Performance_Ratio]] &lt; 0.85, "Underperforming", "Performing")</f>
        <v>Underperforming</v>
      </c>
      <c r="L3212">
        <f>Table4[[#This Row],[energy_kwh]] - Table4[[#This Row],[expected_kwh]]</f>
        <v>-2.3333911401147E-14</v>
      </c>
      <c r="M3212" t="str">
        <f>IF(Table4[[#This Row],[Performance_Deviation]] &lt; 0, "Underperforming", "Outperforming")</f>
        <v>Underperforming</v>
      </c>
      <c r="N3212">
        <f>IF(Table4[[#This Row],[Performance_Ratio]] &lt; 0.85, Table4[[#This Row],[Performance_Deviation]] * 50 / 1000, 0)</f>
        <v>-1.16669557005735E-15</v>
      </c>
    </row>
    <row r="3213" spans="1:14" x14ac:dyDescent="0.3">
      <c r="A3213" s="6" t="s">
        <v>10</v>
      </c>
      <c r="B3213" s="5">
        <v>45301.791666666664</v>
      </c>
      <c r="C3213" s="6">
        <v>0</v>
      </c>
      <c r="D3213" s="6">
        <v>0</v>
      </c>
      <c r="E3213" s="6">
        <v>0</v>
      </c>
      <c r="F3213" s="6">
        <v>77.6185833234737</v>
      </c>
      <c r="G3213" s="6" t="str">
        <f t="shared" si="100"/>
        <v>OK</v>
      </c>
      <c r="H3213" s="6" t="str">
        <f t="shared" si="101"/>
        <v>ZERO</v>
      </c>
      <c r="I3213">
        <v>0</v>
      </c>
      <c r="J3213">
        <f>IFERROR(Table4[[#This Row],[energy_kwh]]/Table4[[#This Row],[expected_kwh]],0)</f>
        <v>0</v>
      </c>
      <c r="K3213" t="str">
        <f>IF(Table4[[#This Row],[Performance_Ratio]] &lt; 0.85, "Underperforming", "Performing")</f>
        <v>Underperforming</v>
      </c>
      <c r="L3213">
        <f>Table4[[#This Row],[energy_kwh]] - Table4[[#This Row],[expected_kwh]]</f>
        <v>0</v>
      </c>
      <c r="M3213" t="str">
        <f>IF(Table4[[#This Row],[Performance_Deviation]] &lt; 0, "Underperforming", "Outperforming")</f>
        <v>Outperforming</v>
      </c>
      <c r="N3213">
        <f>IF(Table4[[#This Row],[Performance_Ratio]] &lt; 0.85, Table4[[#This Row],[Performance_Deviation]] * 50 / 1000, 0)</f>
        <v>0</v>
      </c>
    </row>
    <row r="3214" spans="1:14" x14ac:dyDescent="0.3">
      <c r="A3214" s="4" t="s">
        <v>10</v>
      </c>
      <c r="B3214" s="3">
        <v>45301.833333333336</v>
      </c>
      <c r="C3214" s="4">
        <v>0</v>
      </c>
      <c r="D3214" s="4">
        <v>0</v>
      </c>
      <c r="E3214" s="4">
        <v>0</v>
      </c>
      <c r="F3214" s="4">
        <v>62.657682689215797</v>
      </c>
      <c r="G3214" s="4" t="str">
        <f t="shared" si="100"/>
        <v>OK</v>
      </c>
      <c r="H3214" s="4" t="str">
        <f t="shared" si="101"/>
        <v>ZERO</v>
      </c>
      <c r="I3214">
        <v>0</v>
      </c>
      <c r="J3214">
        <f>IFERROR(Table4[[#This Row],[energy_kwh]]/Table4[[#This Row],[expected_kwh]],0)</f>
        <v>0</v>
      </c>
      <c r="K3214" t="str">
        <f>IF(Table4[[#This Row],[Performance_Ratio]] &lt; 0.85, "Underperforming", "Performing")</f>
        <v>Underperforming</v>
      </c>
      <c r="L3214">
        <f>Table4[[#This Row],[energy_kwh]] - Table4[[#This Row],[expected_kwh]]</f>
        <v>0</v>
      </c>
      <c r="M3214" t="str">
        <f>IF(Table4[[#This Row],[Performance_Deviation]] &lt; 0, "Underperforming", "Outperforming")</f>
        <v>Outperforming</v>
      </c>
      <c r="N3214">
        <f>IF(Table4[[#This Row],[Performance_Ratio]] &lt; 0.85, Table4[[#This Row],[Performance_Deviation]] * 50 / 1000, 0)</f>
        <v>0</v>
      </c>
    </row>
    <row r="3215" spans="1:14" x14ac:dyDescent="0.3">
      <c r="A3215" s="6" t="s">
        <v>10</v>
      </c>
      <c r="B3215" s="5">
        <v>45301.875</v>
      </c>
      <c r="C3215" s="6">
        <v>0</v>
      </c>
      <c r="D3215" s="6">
        <v>0</v>
      </c>
      <c r="E3215" s="6">
        <v>0</v>
      </c>
      <c r="F3215" s="6">
        <v>94.664017119828401</v>
      </c>
      <c r="G3215" s="6" t="str">
        <f t="shared" si="100"/>
        <v>OK</v>
      </c>
      <c r="H3215" s="6" t="str">
        <f t="shared" si="101"/>
        <v>ZERO</v>
      </c>
      <c r="I3215">
        <v>0</v>
      </c>
      <c r="J3215">
        <f>IFERROR(Table4[[#This Row],[energy_kwh]]/Table4[[#This Row],[expected_kwh]],0)</f>
        <v>0</v>
      </c>
      <c r="K3215" t="str">
        <f>IF(Table4[[#This Row],[Performance_Ratio]] &lt; 0.85, "Underperforming", "Performing")</f>
        <v>Underperforming</v>
      </c>
      <c r="L3215">
        <f>Table4[[#This Row],[energy_kwh]] - Table4[[#This Row],[expected_kwh]]</f>
        <v>0</v>
      </c>
      <c r="M3215" t="str">
        <f>IF(Table4[[#This Row],[Performance_Deviation]] &lt; 0, "Underperforming", "Outperforming")</f>
        <v>Outperforming</v>
      </c>
      <c r="N3215">
        <f>IF(Table4[[#This Row],[Performance_Ratio]] &lt; 0.85, Table4[[#This Row],[Performance_Deviation]] * 50 / 1000, 0)</f>
        <v>0</v>
      </c>
    </row>
    <row r="3216" spans="1:14" x14ac:dyDescent="0.3">
      <c r="A3216" s="4" t="s">
        <v>10</v>
      </c>
      <c r="B3216" s="3">
        <v>45301.916666666664</v>
      </c>
      <c r="C3216" s="4">
        <v>0</v>
      </c>
      <c r="D3216" s="4">
        <v>0</v>
      </c>
      <c r="E3216" s="4">
        <v>0</v>
      </c>
      <c r="F3216" s="4">
        <v>26.356960495649101</v>
      </c>
      <c r="G3216" s="4" t="str">
        <f t="shared" si="100"/>
        <v>OK</v>
      </c>
      <c r="H3216" s="4" t="str">
        <f t="shared" si="101"/>
        <v>ZERO</v>
      </c>
      <c r="I3216">
        <v>0</v>
      </c>
      <c r="J3216">
        <f>IFERROR(Table4[[#This Row],[energy_kwh]]/Table4[[#This Row],[expected_kwh]],0)</f>
        <v>0</v>
      </c>
      <c r="K3216" t="str">
        <f>IF(Table4[[#This Row],[Performance_Ratio]] &lt; 0.85, "Underperforming", "Performing")</f>
        <v>Underperforming</v>
      </c>
      <c r="L3216">
        <f>Table4[[#This Row],[energy_kwh]] - Table4[[#This Row],[expected_kwh]]</f>
        <v>0</v>
      </c>
      <c r="M3216" t="str">
        <f>IF(Table4[[#This Row],[Performance_Deviation]] &lt; 0, "Underperforming", "Outperforming")</f>
        <v>Outperforming</v>
      </c>
      <c r="N3216">
        <f>IF(Table4[[#This Row],[Performance_Ratio]] &lt; 0.85, Table4[[#This Row],[Performance_Deviation]] * 50 / 1000, 0)</f>
        <v>0</v>
      </c>
    </row>
    <row r="3217" spans="1:14" x14ac:dyDescent="0.3">
      <c r="A3217" s="6" t="s">
        <v>10</v>
      </c>
      <c r="B3217" s="5">
        <v>45301.958333333336</v>
      </c>
      <c r="C3217" s="6">
        <v>0</v>
      </c>
      <c r="D3217" s="6">
        <v>0</v>
      </c>
      <c r="E3217" s="6">
        <v>0</v>
      </c>
      <c r="F3217" s="6">
        <v>38.810309937567197</v>
      </c>
      <c r="G3217" s="6" t="str">
        <f t="shared" si="100"/>
        <v>OK</v>
      </c>
      <c r="H3217" s="6" t="str">
        <f t="shared" si="101"/>
        <v>ZERO</v>
      </c>
      <c r="I3217">
        <v>0</v>
      </c>
      <c r="J3217">
        <f>IFERROR(Table4[[#This Row],[energy_kwh]]/Table4[[#This Row],[expected_kwh]],0)</f>
        <v>0</v>
      </c>
      <c r="K3217" t="str">
        <f>IF(Table4[[#This Row],[Performance_Ratio]] &lt; 0.85, "Underperforming", "Performing")</f>
        <v>Underperforming</v>
      </c>
      <c r="L3217">
        <f>Table4[[#This Row],[energy_kwh]] - Table4[[#This Row],[expected_kwh]]</f>
        <v>0</v>
      </c>
      <c r="M3217" t="str">
        <f>IF(Table4[[#This Row],[Performance_Deviation]] &lt; 0, "Underperforming", "Outperforming")</f>
        <v>Outperforming</v>
      </c>
      <c r="N3217">
        <f>IF(Table4[[#This Row],[Performance_Ratio]] &lt; 0.85, Table4[[#This Row],[Performance_Deviation]] * 50 / 1000, 0)</f>
        <v>0</v>
      </c>
    </row>
    <row r="3218" spans="1:14" x14ac:dyDescent="0.3">
      <c r="A3218" s="4" t="s">
        <v>10</v>
      </c>
      <c r="B3218" s="3">
        <v>45302</v>
      </c>
      <c r="C3218" s="4">
        <v>0</v>
      </c>
      <c r="D3218" s="4">
        <v>0</v>
      </c>
      <c r="E3218" s="4">
        <v>0</v>
      </c>
      <c r="F3218" s="4">
        <v>83.910467289085602</v>
      </c>
      <c r="G3218" s="4" t="str">
        <f t="shared" si="100"/>
        <v>OK</v>
      </c>
      <c r="H3218" s="4" t="str">
        <f t="shared" si="101"/>
        <v>ZERO</v>
      </c>
      <c r="I3218">
        <v>0</v>
      </c>
      <c r="J3218">
        <f>IFERROR(Table4[[#This Row],[energy_kwh]]/Table4[[#This Row],[expected_kwh]],0)</f>
        <v>0</v>
      </c>
      <c r="K3218" t="str">
        <f>IF(Table4[[#This Row],[Performance_Ratio]] &lt; 0.85, "Underperforming", "Performing")</f>
        <v>Underperforming</v>
      </c>
      <c r="L3218">
        <f>Table4[[#This Row],[energy_kwh]] - Table4[[#This Row],[expected_kwh]]</f>
        <v>0</v>
      </c>
      <c r="M3218" t="str">
        <f>IF(Table4[[#This Row],[Performance_Deviation]] &lt; 0, "Underperforming", "Outperforming")</f>
        <v>Outperforming</v>
      </c>
      <c r="N3218">
        <f>IF(Table4[[#This Row],[Performance_Ratio]] &lt; 0.85, Table4[[#This Row],[Performance_Deviation]] * 50 / 1000, 0)</f>
        <v>0</v>
      </c>
    </row>
    <row r="3219" spans="1:14" x14ac:dyDescent="0.3">
      <c r="A3219" s="6" t="s">
        <v>10</v>
      </c>
      <c r="B3219" s="5">
        <v>45302.041666666664</v>
      </c>
      <c r="C3219" s="6">
        <v>0</v>
      </c>
      <c r="D3219" s="6">
        <v>0</v>
      </c>
      <c r="E3219" s="6">
        <v>0</v>
      </c>
      <c r="F3219" s="6">
        <v>88.149167100526896</v>
      </c>
      <c r="G3219" s="6" t="str">
        <f t="shared" si="100"/>
        <v>OK</v>
      </c>
      <c r="H3219" s="6" t="str">
        <f t="shared" si="101"/>
        <v>ZERO</v>
      </c>
      <c r="I3219">
        <v>0</v>
      </c>
      <c r="J3219">
        <f>IFERROR(Table4[[#This Row],[energy_kwh]]/Table4[[#This Row],[expected_kwh]],0)</f>
        <v>0</v>
      </c>
      <c r="K3219" t="str">
        <f>IF(Table4[[#This Row],[Performance_Ratio]] &lt; 0.85, "Underperforming", "Performing")</f>
        <v>Underperforming</v>
      </c>
      <c r="L3219">
        <f>Table4[[#This Row],[energy_kwh]] - Table4[[#This Row],[expected_kwh]]</f>
        <v>0</v>
      </c>
      <c r="M3219" t="str">
        <f>IF(Table4[[#This Row],[Performance_Deviation]] &lt; 0, "Underperforming", "Outperforming")</f>
        <v>Outperforming</v>
      </c>
      <c r="N3219">
        <f>IF(Table4[[#This Row],[Performance_Ratio]] &lt; 0.85, Table4[[#This Row],[Performance_Deviation]] * 50 / 1000, 0)</f>
        <v>0</v>
      </c>
    </row>
    <row r="3220" spans="1:14" x14ac:dyDescent="0.3">
      <c r="A3220" s="4" t="s">
        <v>10</v>
      </c>
      <c r="B3220" s="3">
        <v>45302.083333333336</v>
      </c>
      <c r="C3220" s="4">
        <v>0</v>
      </c>
      <c r="D3220" s="4">
        <v>0</v>
      </c>
      <c r="E3220" s="4">
        <v>0</v>
      </c>
      <c r="F3220" s="4">
        <v>40.359549726574301</v>
      </c>
      <c r="G3220" s="4" t="str">
        <f t="shared" si="100"/>
        <v>OK</v>
      </c>
      <c r="H3220" s="4" t="str">
        <f t="shared" si="101"/>
        <v>ZERO</v>
      </c>
      <c r="I3220">
        <v>0</v>
      </c>
      <c r="J3220">
        <f>IFERROR(Table4[[#This Row],[energy_kwh]]/Table4[[#This Row],[expected_kwh]],0)</f>
        <v>0</v>
      </c>
      <c r="K3220" t="str">
        <f>IF(Table4[[#This Row],[Performance_Ratio]] &lt; 0.85, "Underperforming", "Performing")</f>
        <v>Underperforming</v>
      </c>
      <c r="L3220">
        <f>Table4[[#This Row],[energy_kwh]] - Table4[[#This Row],[expected_kwh]]</f>
        <v>0</v>
      </c>
      <c r="M3220" t="str">
        <f>IF(Table4[[#This Row],[Performance_Deviation]] &lt; 0, "Underperforming", "Outperforming")</f>
        <v>Outperforming</v>
      </c>
      <c r="N3220">
        <f>IF(Table4[[#This Row],[Performance_Ratio]] &lt; 0.85, Table4[[#This Row],[Performance_Deviation]] * 50 / 1000, 0)</f>
        <v>0</v>
      </c>
    </row>
    <row r="3221" spans="1:14" x14ac:dyDescent="0.3">
      <c r="A3221" s="6" t="s">
        <v>10</v>
      </c>
      <c r="B3221" s="5">
        <v>45302.125</v>
      </c>
      <c r="C3221" s="6">
        <v>0</v>
      </c>
      <c r="D3221" s="6">
        <v>0</v>
      </c>
      <c r="E3221" s="6">
        <v>0</v>
      </c>
      <c r="F3221" s="6">
        <v>80.432287440725503</v>
      </c>
      <c r="G3221" s="6" t="str">
        <f t="shared" si="100"/>
        <v>OK</v>
      </c>
      <c r="H3221" s="6" t="str">
        <f t="shared" si="101"/>
        <v>ZERO</v>
      </c>
      <c r="I3221">
        <v>0</v>
      </c>
      <c r="J3221">
        <f>IFERROR(Table4[[#This Row],[energy_kwh]]/Table4[[#This Row],[expected_kwh]],0)</f>
        <v>0</v>
      </c>
      <c r="K3221" t="str">
        <f>IF(Table4[[#This Row],[Performance_Ratio]] &lt; 0.85, "Underperforming", "Performing")</f>
        <v>Underperforming</v>
      </c>
      <c r="L3221">
        <f>Table4[[#This Row],[energy_kwh]] - Table4[[#This Row],[expected_kwh]]</f>
        <v>0</v>
      </c>
      <c r="M3221" t="str">
        <f>IF(Table4[[#This Row],[Performance_Deviation]] &lt; 0, "Underperforming", "Outperforming")</f>
        <v>Outperforming</v>
      </c>
      <c r="N3221">
        <f>IF(Table4[[#This Row],[Performance_Ratio]] &lt; 0.85, Table4[[#This Row],[Performance_Deviation]] * 50 / 1000, 0)</f>
        <v>0</v>
      </c>
    </row>
    <row r="3222" spans="1:14" x14ac:dyDescent="0.3">
      <c r="A3222" s="4" t="s">
        <v>10</v>
      </c>
      <c r="B3222" s="3">
        <v>45302.166666666664</v>
      </c>
      <c r="C3222" s="4">
        <v>0</v>
      </c>
      <c r="D3222" s="4">
        <v>0</v>
      </c>
      <c r="E3222" s="4">
        <v>0</v>
      </c>
      <c r="F3222" s="4">
        <v>56.625360799648902</v>
      </c>
      <c r="G3222" s="4" t="str">
        <f t="shared" si="100"/>
        <v>OK</v>
      </c>
      <c r="H3222" s="4" t="str">
        <f t="shared" si="101"/>
        <v>ZERO</v>
      </c>
      <c r="I3222">
        <v>0</v>
      </c>
      <c r="J3222">
        <f>IFERROR(Table4[[#This Row],[energy_kwh]]/Table4[[#This Row],[expected_kwh]],0)</f>
        <v>0</v>
      </c>
      <c r="K3222" t="str">
        <f>IF(Table4[[#This Row],[Performance_Ratio]] &lt; 0.85, "Underperforming", "Performing")</f>
        <v>Underperforming</v>
      </c>
      <c r="L3222">
        <f>Table4[[#This Row],[energy_kwh]] - Table4[[#This Row],[expected_kwh]]</f>
        <v>0</v>
      </c>
      <c r="M3222" t="str">
        <f>IF(Table4[[#This Row],[Performance_Deviation]] &lt; 0, "Underperforming", "Outperforming")</f>
        <v>Outperforming</v>
      </c>
      <c r="N3222">
        <f>IF(Table4[[#This Row],[Performance_Ratio]] &lt; 0.85, Table4[[#This Row],[Performance_Deviation]] * 50 / 1000, 0)</f>
        <v>0</v>
      </c>
    </row>
    <row r="3223" spans="1:14" x14ac:dyDescent="0.3">
      <c r="A3223" s="6" t="s">
        <v>10</v>
      </c>
      <c r="B3223" s="5">
        <v>45302.208333333336</v>
      </c>
      <c r="C3223" s="6">
        <v>0</v>
      </c>
      <c r="D3223" s="6">
        <v>0</v>
      </c>
      <c r="E3223" s="6">
        <v>0</v>
      </c>
      <c r="F3223" s="6">
        <v>33.163358934912203</v>
      </c>
      <c r="G3223" s="6" t="str">
        <f t="shared" si="100"/>
        <v>OK</v>
      </c>
      <c r="H3223" s="6" t="str">
        <f t="shared" si="101"/>
        <v>ZERO</v>
      </c>
      <c r="I3223">
        <v>0</v>
      </c>
      <c r="J3223">
        <f>IFERROR(Table4[[#This Row],[energy_kwh]]/Table4[[#This Row],[expected_kwh]],0)</f>
        <v>0</v>
      </c>
      <c r="K3223" t="str">
        <f>IF(Table4[[#This Row],[Performance_Ratio]] &lt; 0.85, "Underperforming", "Performing")</f>
        <v>Underperforming</v>
      </c>
      <c r="L3223">
        <f>Table4[[#This Row],[energy_kwh]] - Table4[[#This Row],[expected_kwh]]</f>
        <v>0</v>
      </c>
      <c r="M3223" t="str">
        <f>IF(Table4[[#This Row],[Performance_Deviation]] &lt; 0, "Underperforming", "Outperforming")</f>
        <v>Outperforming</v>
      </c>
      <c r="N3223">
        <f>IF(Table4[[#This Row],[Performance_Ratio]] &lt; 0.85, Table4[[#This Row],[Performance_Deviation]] * 50 / 1000, 0)</f>
        <v>0</v>
      </c>
    </row>
    <row r="3224" spans="1:14" x14ac:dyDescent="0.3">
      <c r="A3224" s="4" t="s">
        <v>10</v>
      </c>
      <c r="B3224" s="3">
        <v>45302.25</v>
      </c>
      <c r="C3224" s="4">
        <v>0</v>
      </c>
      <c r="D3224" s="4">
        <v>0</v>
      </c>
      <c r="E3224" s="4">
        <v>0</v>
      </c>
      <c r="F3224" s="4">
        <v>25.558938078946799</v>
      </c>
      <c r="G3224" s="4" t="str">
        <f t="shared" si="100"/>
        <v>OK</v>
      </c>
      <c r="H3224" s="4" t="str">
        <f t="shared" si="101"/>
        <v>ZERO</v>
      </c>
      <c r="I3224">
        <v>0</v>
      </c>
      <c r="J3224">
        <f>IFERROR(Table4[[#This Row],[energy_kwh]]/Table4[[#This Row],[expected_kwh]],0)</f>
        <v>0</v>
      </c>
      <c r="K3224" t="str">
        <f>IF(Table4[[#This Row],[Performance_Ratio]] &lt; 0.85, "Underperforming", "Performing")</f>
        <v>Underperforming</v>
      </c>
      <c r="L3224">
        <f>Table4[[#This Row],[energy_kwh]] - Table4[[#This Row],[expected_kwh]]</f>
        <v>0</v>
      </c>
      <c r="M3224" t="str">
        <f>IF(Table4[[#This Row],[Performance_Deviation]] &lt; 0, "Underperforming", "Outperforming")</f>
        <v>Outperforming</v>
      </c>
      <c r="N3224">
        <f>IF(Table4[[#This Row],[Performance_Ratio]] &lt; 0.85, Table4[[#This Row],[Performance_Deviation]] * 50 / 1000, 0)</f>
        <v>0</v>
      </c>
    </row>
    <row r="3225" spans="1:14" x14ac:dyDescent="0.3">
      <c r="A3225" s="6" t="s">
        <v>10</v>
      </c>
      <c r="B3225" s="5">
        <v>45302.291666666664</v>
      </c>
      <c r="C3225" s="6">
        <v>259.97842249235902</v>
      </c>
      <c r="D3225" s="6">
        <v>246.002176343683</v>
      </c>
      <c r="E3225" s="6">
        <v>246.002176343683</v>
      </c>
      <c r="F3225" s="6">
        <v>49.8994465638809</v>
      </c>
      <c r="G3225" s="6" t="str">
        <f t="shared" si="100"/>
        <v>OK</v>
      </c>
      <c r="H3225" s="6" t="str">
        <f t="shared" si="101"/>
        <v>NON-ZERO</v>
      </c>
      <c r="I3225">
        <v>310.58285412302399</v>
      </c>
      <c r="J3225">
        <f>IFERROR(Table4[[#This Row],[energy_kwh]]/Table4[[#This Row],[expected_kwh]],0)</f>
        <v>0.79206618484560598</v>
      </c>
      <c r="K3225" t="str">
        <f>IF(Table4[[#This Row],[Performance_Ratio]] &lt; 0.85, "Underperforming", "Performing")</f>
        <v>Underperforming</v>
      </c>
      <c r="L3225">
        <f>Table4[[#This Row],[energy_kwh]] - Table4[[#This Row],[expected_kwh]]</f>
        <v>-64.580677779340988</v>
      </c>
      <c r="M3225" t="str">
        <f>IF(Table4[[#This Row],[Performance_Deviation]] &lt; 0, "Underperforming", "Outperforming")</f>
        <v>Underperforming</v>
      </c>
      <c r="N3225">
        <f>IF(Table4[[#This Row],[Performance_Ratio]] &lt; 0.85, Table4[[#This Row],[Performance_Deviation]] * 50 / 1000, 0)</f>
        <v>-3.2290338889670491</v>
      </c>
    </row>
    <row r="3226" spans="1:14" x14ac:dyDescent="0.3">
      <c r="A3226" s="4" t="s">
        <v>10</v>
      </c>
      <c r="B3226" s="3">
        <v>45302.333333333336</v>
      </c>
      <c r="C3226" s="4">
        <v>587.31088155314706</v>
      </c>
      <c r="D3226" s="4">
        <v>555.73748647023695</v>
      </c>
      <c r="E3226" s="4">
        <v>555.73748647023695</v>
      </c>
      <c r="F3226" s="4">
        <v>66.841897693804498</v>
      </c>
      <c r="G3226" s="4" t="str">
        <f t="shared" si="100"/>
        <v>OK</v>
      </c>
      <c r="H3226" s="4" t="str">
        <f t="shared" si="101"/>
        <v>NON-ZERO</v>
      </c>
      <c r="I3226">
        <v>600</v>
      </c>
      <c r="J3226">
        <f>IFERROR(Table4[[#This Row],[energy_kwh]]/Table4[[#This Row],[expected_kwh]],0)</f>
        <v>0.92622914411706159</v>
      </c>
      <c r="K3226" t="str">
        <f>IF(Table4[[#This Row],[Performance_Ratio]] &lt; 0.85, "Underperforming", "Performing")</f>
        <v>Performing</v>
      </c>
      <c r="L3226">
        <f>Table4[[#This Row],[energy_kwh]] - Table4[[#This Row],[expected_kwh]]</f>
        <v>-44.262513529763055</v>
      </c>
      <c r="M3226" t="str">
        <f>IF(Table4[[#This Row],[Performance_Deviation]] &lt; 0, "Underperforming", "Outperforming")</f>
        <v>Underperforming</v>
      </c>
      <c r="N3226">
        <f>IF(Table4[[#This Row],[Performance_Ratio]] &lt; 0.85, Table4[[#This Row],[Performance_Deviation]] * 50 / 1000, 0)</f>
        <v>0</v>
      </c>
    </row>
    <row r="3227" spans="1:14" x14ac:dyDescent="0.3">
      <c r="A3227" s="6" t="s">
        <v>10</v>
      </c>
      <c r="B3227" s="5">
        <v>45302.375</v>
      </c>
      <c r="C3227" s="6">
        <v>758.71597300287704</v>
      </c>
      <c r="D3227" s="6">
        <v>717.92796800629901</v>
      </c>
      <c r="E3227" s="6">
        <v>717.92796800629901</v>
      </c>
      <c r="F3227" s="6">
        <v>54.766416747701399</v>
      </c>
      <c r="G3227" s="6" t="str">
        <f t="shared" si="100"/>
        <v>OK</v>
      </c>
      <c r="H3227" s="6" t="str">
        <f t="shared" si="101"/>
        <v>NON-ZERO</v>
      </c>
      <c r="I3227">
        <v>848.52813742385695</v>
      </c>
      <c r="J3227">
        <f>IFERROR(Table4[[#This Row],[energy_kwh]]/Table4[[#This Row],[expected_kwh]],0)</f>
        <v>0.84608622430122138</v>
      </c>
      <c r="K3227" t="str">
        <f>IF(Table4[[#This Row],[Performance_Ratio]] &lt; 0.85, "Underperforming", "Performing")</f>
        <v>Underperforming</v>
      </c>
      <c r="L3227">
        <f>Table4[[#This Row],[energy_kwh]] - Table4[[#This Row],[expected_kwh]]</f>
        <v>-130.60016941755794</v>
      </c>
      <c r="M3227" t="str">
        <f>IF(Table4[[#This Row],[Performance_Deviation]] &lt; 0, "Underperforming", "Outperforming")</f>
        <v>Underperforming</v>
      </c>
      <c r="N3227">
        <f>IF(Table4[[#This Row],[Performance_Ratio]] &lt; 0.85, Table4[[#This Row],[Performance_Deviation]] * 50 / 1000, 0)</f>
        <v>-6.5300084708778972</v>
      </c>
    </row>
    <row r="3228" spans="1:14" x14ac:dyDescent="0.3">
      <c r="A3228" s="4" t="s">
        <v>10</v>
      </c>
      <c r="B3228" s="3">
        <v>45302.416666666664</v>
      </c>
      <c r="C3228" s="4">
        <v>943.90960563909198</v>
      </c>
      <c r="D3228" s="4">
        <v>893.16572903564099</v>
      </c>
      <c r="E3228" s="4">
        <v>893.16572903564099</v>
      </c>
      <c r="F3228" s="4">
        <v>32.087276592212</v>
      </c>
      <c r="G3228" s="4" t="str">
        <f t="shared" si="100"/>
        <v>OK</v>
      </c>
      <c r="H3228" s="4" t="str">
        <f t="shared" si="101"/>
        <v>NON-ZERO</v>
      </c>
      <c r="I3228">
        <v>1039.23048454132</v>
      </c>
      <c r="J3228">
        <f>IFERROR(Table4[[#This Row],[energy_kwh]]/Table4[[#This Row],[expected_kwh]],0)</f>
        <v>0.85944912348279801</v>
      </c>
      <c r="K3228" t="str">
        <f>IF(Table4[[#This Row],[Performance_Ratio]] &lt; 0.85, "Underperforming", "Performing")</f>
        <v>Performing</v>
      </c>
      <c r="L3228">
        <f>Table4[[#This Row],[energy_kwh]] - Table4[[#This Row],[expected_kwh]]</f>
        <v>-146.06475550567905</v>
      </c>
      <c r="M3228" t="str">
        <f>IF(Table4[[#This Row],[Performance_Deviation]] &lt; 0, "Underperforming", "Outperforming")</f>
        <v>Underperforming</v>
      </c>
      <c r="N3228">
        <f>IF(Table4[[#This Row],[Performance_Ratio]] &lt; 0.85, Table4[[#This Row],[Performance_Deviation]] * 50 / 1000, 0)</f>
        <v>0</v>
      </c>
    </row>
    <row r="3229" spans="1:14" x14ac:dyDescent="0.3">
      <c r="A3229" s="6" t="s">
        <v>10</v>
      </c>
      <c r="B3229" s="5">
        <v>45302.458333333336</v>
      </c>
      <c r="C3229" s="6">
        <v>1132.0409737718801</v>
      </c>
      <c r="D3229" s="6">
        <v>1071.1832950916801</v>
      </c>
      <c r="E3229" s="6">
        <v>1071.1832950916801</v>
      </c>
      <c r="F3229" s="6">
        <v>72.423883113086404</v>
      </c>
      <c r="G3229" s="6" t="str">
        <f t="shared" si="100"/>
        <v>OK</v>
      </c>
      <c r="H3229" s="6" t="str">
        <f t="shared" si="101"/>
        <v>NON-ZERO</v>
      </c>
      <c r="I3229">
        <v>1159.1109915468801</v>
      </c>
      <c r="J3229">
        <f>IFERROR(Table4[[#This Row],[energy_kwh]]/Table4[[#This Row],[expected_kwh]],0)</f>
        <v>0.92414212521800265</v>
      </c>
      <c r="K3229" t="str">
        <f>IF(Table4[[#This Row],[Performance_Ratio]] &lt; 0.85, "Underperforming", "Performing")</f>
        <v>Performing</v>
      </c>
      <c r="L3229">
        <f>Table4[[#This Row],[energy_kwh]] - Table4[[#This Row],[expected_kwh]]</f>
        <v>-87.927696455200021</v>
      </c>
      <c r="M3229" t="str">
        <f>IF(Table4[[#This Row],[Performance_Deviation]] &lt; 0, "Underperforming", "Outperforming")</f>
        <v>Underperforming</v>
      </c>
      <c r="N3229">
        <f>IF(Table4[[#This Row],[Performance_Ratio]] &lt; 0.85, Table4[[#This Row],[Performance_Deviation]] * 50 / 1000, 0)</f>
        <v>0</v>
      </c>
    </row>
    <row r="3230" spans="1:14" x14ac:dyDescent="0.3">
      <c r="A3230" s="4" t="s">
        <v>10</v>
      </c>
      <c r="B3230" s="3">
        <v>45302.5</v>
      </c>
      <c r="C3230" s="4">
        <v>1285.5035044829101</v>
      </c>
      <c r="D3230" s="4">
        <v>1216.3957945760701</v>
      </c>
      <c r="E3230" s="4">
        <v>1216.3957945760701</v>
      </c>
      <c r="F3230" s="4">
        <v>63.756157644509301</v>
      </c>
      <c r="G3230" s="4" t="str">
        <f t="shared" si="100"/>
        <v>OK</v>
      </c>
      <c r="H3230" s="4" t="str">
        <f t="shared" si="101"/>
        <v>NON-ZERO</v>
      </c>
      <c r="I3230">
        <v>1200</v>
      </c>
      <c r="J3230">
        <f>IFERROR(Table4[[#This Row],[energy_kwh]]/Table4[[#This Row],[expected_kwh]],0)</f>
        <v>1.0136631621467251</v>
      </c>
      <c r="K3230" t="str">
        <f>IF(Table4[[#This Row],[Performance_Ratio]] &lt; 0.85, "Underperforming", "Performing")</f>
        <v>Performing</v>
      </c>
      <c r="L3230">
        <f>Table4[[#This Row],[energy_kwh]] - Table4[[#This Row],[expected_kwh]]</f>
        <v>16.395794576070102</v>
      </c>
      <c r="M3230" t="str">
        <f>IF(Table4[[#This Row],[Performance_Deviation]] &lt; 0, "Underperforming", "Outperforming")</f>
        <v>Outperforming</v>
      </c>
      <c r="N3230">
        <f>IF(Table4[[#This Row],[Performance_Ratio]] &lt; 0.85, Table4[[#This Row],[Performance_Deviation]] * 50 / 1000, 0)</f>
        <v>0</v>
      </c>
    </row>
    <row r="3231" spans="1:14" x14ac:dyDescent="0.3">
      <c r="A3231" s="6" t="s">
        <v>10</v>
      </c>
      <c r="B3231" s="5">
        <v>45302.541666666664</v>
      </c>
      <c r="C3231" s="6">
        <v>903.68099957679101</v>
      </c>
      <c r="D3231" s="6">
        <v>855.09978284008901</v>
      </c>
      <c r="E3231" s="6">
        <v>855.09978284008901</v>
      </c>
      <c r="F3231" s="6">
        <v>41.429857142433498</v>
      </c>
      <c r="G3231" s="6" t="str">
        <f t="shared" si="100"/>
        <v>OK</v>
      </c>
      <c r="H3231" s="6" t="str">
        <f t="shared" si="101"/>
        <v>NON-ZERO</v>
      </c>
      <c r="I3231">
        <v>1159.1109915468801</v>
      </c>
      <c r="J3231">
        <f>IFERROR(Table4[[#This Row],[energy_kwh]]/Table4[[#This Row],[expected_kwh]],0)</f>
        <v>0.73772036420681686</v>
      </c>
      <c r="K3231" t="str">
        <f>IF(Table4[[#This Row],[Performance_Ratio]] &lt; 0.85, "Underperforming", "Performing")</f>
        <v>Underperforming</v>
      </c>
      <c r="L3231">
        <f>Table4[[#This Row],[energy_kwh]] - Table4[[#This Row],[expected_kwh]]</f>
        <v>-304.01120870679108</v>
      </c>
      <c r="M3231" t="str">
        <f>IF(Table4[[#This Row],[Performance_Deviation]] &lt; 0, "Underperforming", "Outperforming")</f>
        <v>Underperforming</v>
      </c>
      <c r="N3231">
        <f>IF(Table4[[#This Row],[Performance_Ratio]] &lt; 0.85, Table4[[#This Row],[Performance_Deviation]] * 50 / 1000, 0)</f>
        <v>-15.200560435339554</v>
      </c>
    </row>
    <row r="3232" spans="1:14" x14ac:dyDescent="0.3">
      <c r="A3232" s="4" t="s">
        <v>10</v>
      </c>
      <c r="B3232" s="3">
        <v>45302.583333333336</v>
      </c>
      <c r="C3232" s="4">
        <v>992.26139653711198</v>
      </c>
      <c r="D3232" s="4">
        <v>938.91816370693505</v>
      </c>
      <c r="E3232" s="4">
        <v>938.91816370693505</v>
      </c>
      <c r="F3232" s="4">
        <v>42.283786859588098</v>
      </c>
      <c r="G3232" s="4" t="str">
        <f t="shared" si="100"/>
        <v>OK</v>
      </c>
      <c r="H3232" s="4" t="str">
        <f t="shared" si="101"/>
        <v>NON-ZERO</v>
      </c>
      <c r="I3232">
        <v>1039.23048454132</v>
      </c>
      <c r="J3232">
        <f>IFERROR(Table4[[#This Row],[energy_kwh]]/Table4[[#This Row],[expected_kwh]],0)</f>
        <v>0.90347442427205227</v>
      </c>
      <c r="K3232" t="str">
        <f>IF(Table4[[#This Row],[Performance_Ratio]] &lt; 0.85, "Underperforming", "Performing")</f>
        <v>Performing</v>
      </c>
      <c r="L3232">
        <f>Table4[[#This Row],[energy_kwh]] - Table4[[#This Row],[expected_kwh]]</f>
        <v>-100.31232083438499</v>
      </c>
      <c r="M3232" t="str">
        <f>IF(Table4[[#This Row],[Performance_Deviation]] &lt; 0, "Underperforming", "Outperforming")</f>
        <v>Underperforming</v>
      </c>
      <c r="N3232">
        <f>IF(Table4[[#This Row],[Performance_Ratio]] &lt; 0.85, Table4[[#This Row],[Performance_Deviation]] * 50 / 1000, 0)</f>
        <v>0</v>
      </c>
    </row>
    <row r="3233" spans="1:14" x14ac:dyDescent="0.3">
      <c r="A3233" s="6" t="s">
        <v>10</v>
      </c>
      <c r="B3233" s="5">
        <v>45302.625</v>
      </c>
      <c r="C3233" s="6">
        <v>869.19267538207396</v>
      </c>
      <c r="D3233" s="6">
        <v>822.46552523897503</v>
      </c>
      <c r="E3233" s="6">
        <v>822.46552523897503</v>
      </c>
      <c r="F3233" s="6">
        <v>74.284642263108907</v>
      </c>
      <c r="G3233" s="6" t="str">
        <f t="shared" si="100"/>
        <v>OK</v>
      </c>
      <c r="H3233" s="6" t="str">
        <f t="shared" si="101"/>
        <v>NON-ZERO</v>
      </c>
      <c r="I3233">
        <v>848.52813742385695</v>
      </c>
      <c r="J3233">
        <f>IFERROR(Table4[[#This Row],[energy_kwh]]/Table4[[#This Row],[expected_kwh]],0)</f>
        <v>0.96928491698105812</v>
      </c>
      <c r="K3233" t="str">
        <f>IF(Table4[[#This Row],[Performance_Ratio]] &lt; 0.85, "Underperforming", "Performing")</f>
        <v>Performing</v>
      </c>
      <c r="L3233">
        <f>Table4[[#This Row],[energy_kwh]] - Table4[[#This Row],[expected_kwh]]</f>
        <v>-26.062612184881914</v>
      </c>
      <c r="M3233" t="str">
        <f>IF(Table4[[#This Row],[Performance_Deviation]] &lt; 0, "Underperforming", "Outperforming")</f>
        <v>Underperforming</v>
      </c>
      <c r="N3233">
        <f>IF(Table4[[#This Row],[Performance_Ratio]] &lt; 0.85, Table4[[#This Row],[Performance_Deviation]] * 50 / 1000, 0)</f>
        <v>0</v>
      </c>
    </row>
    <row r="3234" spans="1:14" x14ac:dyDescent="0.3">
      <c r="A3234" s="4" t="s">
        <v>10</v>
      </c>
      <c r="B3234" s="3">
        <v>45302.666666666664</v>
      </c>
      <c r="C3234" s="4">
        <v>614.73432048674499</v>
      </c>
      <c r="D3234" s="4">
        <v>581.68666177416605</v>
      </c>
      <c r="E3234" s="4">
        <v>581.68666177416605</v>
      </c>
      <c r="F3234" s="4">
        <v>54.504967921846301</v>
      </c>
      <c r="G3234" s="4" t="str">
        <f t="shared" si="100"/>
        <v>OK</v>
      </c>
      <c r="H3234" s="4" t="str">
        <f t="shared" si="101"/>
        <v>NON-ZERO</v>
      </c>
      <c r="I3234">
        <v>600</v>
      </c>
      <c r="J3234">
        <f>IFERROR(Table4[[#This Row],[energy_kwh]]/Table4[[#This Row],[expected_kwh]],0)</f>
        <v>0.9694777696236101</v>
      </c>
      <c r="K3234" t="str">
        <f>IF(Table4[[#This Row],[Performance_Ratio]] &lt; 0.85, "Underperforming", "Performing")</f>
        <v>Performing</v>
      </c>
      <c r="L3234">
        <f>Table4[[#This Row],[energy_kwh]] - Table4[[#This Row],[expected_kwh]]</f>
        <v>-18.313338225833945</v>
      </c>
      <c r="M3234" t="str">
        <f>IF(Table4[[#This Row],[Performance_Deviation]] &lt; 0, "Underperforming", "Outperforming")</f>
        <v>Underperforming</v>
      </c>
      <c r="N3234">
        <f>IF(Table4[[#This Row],[Performance_Ratio]] &lt; 0.85, Table4[[#This Row],[Performance_Deviation]] * 50 / 1000, 0)</f>
        <v>0</v>
      </c>
    </row>
    <row r="3235" spans="1:14" x14ac:dyDescent="0.3">
      <c r="A3235" s="6" t="s">
        <v>10</v>
      </c>
      <c r="B3235" s="5">
        <v>45302.708333333336</v>
      </c>
      <c r="C3235" s="6">
        <v>308.209022248596</v>
      </c>
      <c r="D3235" s="6">
        <v>291.63993501861302</v>
      </c>
      <c r="E3235" s="6">
        <v>291.63993501861302</v>
      </c>
      <c r="F3235" s="6">
        <v>68.238396265242102</v>
      </c>
      <c r="G3235" s="6" t="str">
        <f t="shared" si="100"/>
        <v>OK</v>
      </c>
      <c r="H3235" s="6" t="str">
        <f t="shared" si="101"/>
        <v>NON-ZERO</v>
      </c>
      <c r="I3235">
        <v>310.58285412302502</v>
      </c>
      <c r="J3235">
        <f>IFERROR(Table4[[#This Row],[energy_kwh]]/Table4[[#This Row],[expected_kwh]],0)</f>
        <v>0.93900848403914627</v>
      </c>
      <c r="K3235" t="str">
        <f>IF(Table4[[#This Row],[Performance_Ratio]] &lt; 0.85, "Underperforming", "Performing")</f>
        <v>Performing</v>
      </c>
      <c r="L3235">
        <f>Table4[[#This Row],[energy_kwh]] - Table4[[#This Row],[expected_kwh]]</f>
        <v>-18.942919104411999</v>
      </c>
      <c r="M3235" t="str">
        <f>IF(Table4[[#This Row],[Performance_Deviation]] &lt; 0, "Underperforming", "Outperforming")</f>
        <v>Underperforming</v>
      </c>
      <c r="N3235">
        <f>IF(Table4[[#This Row],[Performance_Ratio]] &lt; 0.85, Table4[[#This Row],[Performance_Deviation]] * 50 / 1000, 0)</f>
        <v>0</v>
      </c>
    </row>
    <row r="3236" spans="1:14" x14ac:dyDescent="0.3">
      <c r="A3236" s="4" t="s">
        <v>10</v>
      </c>
      <c r="B3236" s="3">
        <v>45302.75</v>
      </c>
      <c r="C3236" s="7">
        <v>1.3712624126072601E-13</v>
      </c>
      <c r="D3236" s="7">
        <v>1.29754436774302E-13</v>
      </c>
      <c r="E3236" s="7">
        <v>1.29754436774302E-13</v>
      </c>
      <c r="F3236" s="4">
        <v>45.947936585526897</v>
      </c>
      <c r="G3236" s="4" t="str">
        <f t="shared" si="100"/>
        <v>OK</v>
      </c>
      <c r="H3236" s="4" t="str">
        <f t="shared" si="101"/>
        <v>NON-ZERO</v>
      </c>
      <c r="I3236" s="2">
        <v>1.46957615897682E-13</v>
      </c>
      <c r="J3236">
        <f>IFERROR(Table4[[#This Row],[energy_kwh]]/Table4[[#This Row],[expected_kwh]],0)</f>
        <v>0.8829378183750779</v>
      </c>
      <c r="K3236" t="str">
        <f>IF(Table4[[#This Row],[Performance_Ratio]] &lt; 0.85, "Underperforming", "Performing")</f>
        <v>Performing</v>
      </c>
      <c r="L3236">
        <f>Table4[[#This Row],[energy_kwh]] - Table4[[#This Row],[expected_kwh]]</f>
        <v>-1.7203179123379998E-14</v>
      </c>
      <c r="M3236" t="str">
        <f>IF(Table4[[#This Row],[Performance_Deviation]] &lt; 0, "Underperforming", "Outperforming")</f>
        <v>Underperforming</v>
      </c>
      <c r="N3236">
        <f>IF(Table4[[#This Row],[Performance_Ratio]] &lt; 0.85, Table4[[#This Row],[Performance_Deviation]] * 50 / 1000, 0)</f>
        <v>0</v>
      </c>
    </row>
    <row r="3237" spans="1:14" x14ac:dyDescent="0.3">
      <c r="A3237" s="6" t="s">
        <v>10</v>
      </c>
      <c r="B3237" s="5">
        <v>45302.791666666664</v>
      </c>
      <c r="C3237" s="6">
        <v>0</v>
      </c>
      <c r="D3237" s="6">
        <v>0</v>
      </c>
      <c r="E3237" s="6">
        <v>0</v>
      </c>
      <c r="F3237" s="6">
        <v>56.420623849763501</v>
      </c>
      <c r="G3237" s="6" t="str">
        <f t="shared" si="100"/>
        <v>OK</v>
      </c>
      <c r="H3237" s="6" t="str">
        <f t="shared" si="101"/>
        <v>ZERO</v>
      </c>
      <c r="I3237">
        <v>0</v>
      </c>
      <c r="J3237">
        <f>IFERROR(Table4[[#This Row],[energy_kwh]]/Table4[[#This Row],[expected_kwh]],0)</f>
        <v>0</v>
      </c>
      <c r="K3237" t="str">
        <f>IF(Table4[[#This Row],[Performance_Ratio]] &lt; 0.85, "Underperforming", "Performing")</f>
        <v>Underperforming</v>
      </c>
      <c r="L3237">
        <f>Table4[[#This Row],[energy_kwh]] - Table4[[#This Row],[expected_kwh]]</f>
        <v>0</v>
      </c>
      <c r="M3237" t="str">
        <f>IF(Table4[[#This Row],[Performance_Deviation]] &lt; 0, "Underperforming", "Outperforming")</f>
        <v>Outperforming</v>
      </c>
      <c r="N3237">
        <f>IF(Table4[[#This Row],[Performance_Ratio]] &lt; 0.85, Table4[[#This Row],[Performance_Deviation]] * 50 / 1000, 0)</f>
        <v>0</v>
      </c>
    </row>
    <row r="3238" spans="1:14" x14ac:dyDescent="0.3">
      <c r="A3238" s="4" t="s">
        <v>10</v>
      </c>
      <c r="B3238" s="3">
        <v>45302.833333333336</v>
      </c>
      <c r="C3238" s="4">
        <v>0</v>
      </c>
      <c r="D3238" s="4">
        <v>0</v>
      </c>
      <c r="E3238" s="4">
        <v>0</v>
      </c>
      <c r="F3238" s="4">
        <v>88.923449412529806</v>
      </c>
      <c r="G3238" s="4" t="str">
        <f t="shared" si="100"/>
        <v>OK</v>
      </c>
      <c r="H3238" s="4" t="str">
        <f t="shared" si="101"/>
        <v>ZERO</v>
      </c>
      <c r="I3238">
        <v>0</v>
      </c>
      <c r="J3238">
        <f>IFERROR(Table4[[#This Row],[energy_kwh]]/Table4[[#This Row],[expected_kwh]],0)</f>
        <v>0</v>
      </c>
      <c r="K3238" t="str">
        <f>IF(Table4[[#This Row],[Performance_Ratio]] &lt; 0.85, "Underperforming", "Performing")</f>
        <v>Underperforming</v>
      </c>
      <c r="L3238">
        <f>Table4[[#This Row],[energy_kwh]] - Table4[[#This Row],[expected_kwh]]</f>
        <v>0</v>
      </c>
      <c r="M3238" t="str">
        <f>IF(Table4[[#This Row],[Performance_Deviation]] &lt; 0, "Underperforming", "Outperforming")</f>
        <v>Outperforming</v>
      </c>
      <c r="N3238">
        <f>IF(Table4[[#This Row],[Performance_Ratio]] &lt; 0.85, Table4[[#This Row],[Performance_Deviation]] * 50 / 1000, 0)</f>
        <v>0</v>
      </c>
    </row>
    <row r="3239" spans="1:14" x14ac:dyDescent="0.3">
      <c r="A3239" s="6" t="s">
        <v>10</v>
      </c>
      <c r="B3239" s="5">
        <v>45302.875</v>
      </c>
      <c r="C3239" s="6">
        <v>0</v>
      </c>
      <c r="D3239" s="6">
        <v>0</v>
      </c>
      <c r="E3239" s="6">
        <v>0</v>
      </c>
      <c r="F3239" s="6">
        <v>35.346910441926397</v>
      </c>
      <c r="G3239" s="6" t="str">
        <f t="shared" si="100"/>
        <v>OK</v>
      </c>
      <c r="H3239" s="6" t="str">
        <f t="shared" si="101"/>
        <v>ZERO</v>
      </c>
      <c r="I3239">
        <v>0</v>
      </c>
      <c r="J3239">
        <f>IFERROR(Table4[[#This Row],[energy_kwh]]/Table4[[#This Row],[expected_kwh]],0)</f>
        <v>0</v>
      </c>
      <c r="K3239" t="str">
        <f>IF(Table4[[#This Row],[Performance_Ratio]] &lt; 0.85, "Underperforming", "Performing")</f>
        <v>Underperforming</v>
      </c>
      <c r="L3239">
        <f>Table4[[#This Row],[energy_kwh]] - Table4[[#This Row],[expected_kwh]]</f>
        <v>0</v>
      </c>
      <c r="M3239" t="str">
        <f>IF(Table4[[#This Row],[Performance_Deviation]] &lt; 0, "Underperforming", "Outperforming")</f>
        <v>Outperforming</v>
      </c>
      <c r="N3239">
        <f>IF(Table4[[#This Row],[Performance_Ratio]] &lt; 0.85, Table4[[#This Row],[Performance_Deviation]] * 50 / 1000, 0)</f>
        <v>0</v>
      </c>
    </row>
    <row r="3240" spans="1:14" x14ac:dyDescent="0.3">
      <c r="A3240" s="4" t="s">
        <v>10</v>
      </c>
      <c r="B3240" s="3">
        <v>45302.916666666664</v>
      </c>
      <c r="C3240" s="4">
        <v>0</v>
      </c>
      <c r="D3240" s="4">
        <v>0</v>
      </c>
      <c r="E3240" s="4">
        <v>0</v>
      </c>
      <c r="F3240" s="4">
        <v>89.827144720817202</v>
      </c>
      <c r="G3240" s="4" t="str">
        <f t="shared" si="100"/>
        <v>OK</v>
      </c>
      <c r="H3240" s="4" t="str">
        <f t="shared" si="101"/>
        <v>ZERO</v>
      </c>
      <c r="I3240">
        <v>0</v>
      </c>
      <c r="J3240">
        <f>IFERROR(Table4[[#This Row],[energy_kwh]]/Table4[[#This Row],[expected_kwh]],0)</f>
        <v>0</v>
      </c>
      <c r="K3240" t="str">
        <f>IF(Table4[[#This Row],[Performance_Ratio]] &lt; 0.85, "Underperforming", "Performing")</f>
        <v>Underperforming</v>
      </c>
      <c r="L3240">
        <f>Table4[[#This Row],[energy_kwh]] - Table4[[#This Row],[expected_kwh]]</f>
        <v>0</v>
      </c>
      <c r="M3240" t="str">
        <f>IF(Table4[[#This Row],[Performance_Deviation]] &lt; 0, "Underperforming", "Outperforming")</f>
        <v>Outperforming</v>
      </c>
      <c r="N3240">
        <f>IF(Table4[[#This Row],[Performance_Ratio]] &lt; 0.85, Table4[[#This Row],[Performance_Deviation]] * 50 / 1000, 0)</f>
        <v>0</v>
      </c>
    </row>
    <row r="3241" spans="1:14" x14ac:dyDescent="0.3">
      <c r="A3241" s="6" t="s">
        <v>10</v>
      </c>
      <c r="B3241" s="5">
        <v>45302.958333333336</v>
      </c>
      <c r="C3241" s="6">
        <v>0</v>
      </c>
      <c r="D3241" s="6">
        <v>0</v>
      </c>
      <c r="E3241" s="6">
        <v>0</v>
      </c>
      <c r="F3241" s="6">
        <v>64.755414708493106</v>
      </c>
      <c r="G3241" s="6" t="str">
        <f t="shared" si="100"/>
        <v>OK</v>
      </c>
      <c r="H3241" s="6" t="str">
        <f t="shared" si="101"/>
        <v>ZERO</v>
      </c>
      <c r="I3241">
        <v>0</v>
      </c>
      <c r="J3241">
        <f>IFERROR(Table4[[#This Row],[energy_kwh]]/Table4[[#This Row],[expected_kwh]],0)</f>
        <v>0</v>
      </c>
      <c r="K3241" t="str">
        <f>IF(Table4[[#This Row],[Performance_Ratio]] &lt; 0.85, "Underperforming", "Performing")</f>
        <v>Underperforming</v>
      </c>
      <c r="L3241">
        <f>Table4[[#This Row],[energy_kwh]] - Table4[[#This Row],[expected_kwh]]</f>
        <v>0</v>
      </c>
      <c r="M3241" t="str">
        <f>IF(Table4[[#This Row],[Performance_Deviation]] &lt; 0, "Underperforming", "Outperforming")</f>
        <v>Outperforming</v>
      </c>
      <c r="N3241">
        <f>IF(Table4[[#This Row],[Performance_Ratio]] &lt; 0.85, Table4[[#This Row],[Performance_Deviation]] * 50 / 1000, 0)</f>
        <v>0</v>
      </c>
    </row>
    <row r="3242" spans="1:14" x14ac:dyDescent="0.3">
      <c r="A3242" s="4" t="s">
        <v>10</v>
      </c>
      <c r="B3242" s="3">
        <v>45303</v>
      </c>
      <c r="C3242" s="4">
        <v>0</v>
      </c>
      <c r="D3242" s="4">
        <v>0</v>
      </c>
      <c r="E3242" s="4">
        <v>0</v>
      </c>
      <c r="F3242" s="4">
        <v>82.861187403226694</v>
      </c>
      <c r="G3242" s="4" t="str">
        <f t="shared" si="100"/>
        <v>OK</v>
      </c>
      <c r="H3242" s="4" t="str">
        <f t="shared" si="101"/>
        <v>ZERO</v>
      </c>
      <c r="I3242">
        <v>0</v>
      </c>
      <c r="J3242">
        <f>IFERROR(Table4[[#This Row],[energy_kwh]]/Table4[[#This Row],[expected_kwh]],0)</f>
        <v>0</v>
      </c>
      <c r="K3242" t="str">
        <f>IF(Table4[[#This Row],[Performance_Ratio]] &lt; 0.85, "Underperforming", "Performing")</f>
        <v>Underperforming</v>
      </c>
      <c r="L3242">
        <f>Table4[[#This Row],[energy_kwh]] - Table4[[#This Row],[expected_kwh]]</f>
        <v>0</v>
      </c>
      <c r="M3242" t="str">
        <f>IF(Table4[[#This Row],[Performance_Deviation]] &lt; 0, "Underperforming", "Outperforming")</f>
        <v>Outperforming</v>
      </c>
      <c r="N3242">
        <f>IF(Table4[[#This Row],[Performance_Ratio]] &lt; 0.85, Table4[[#This Row],[Performance_Deviation]] * 50 / 1000, 0)</f>
        <v>0</v>
      </c>
    </row>
    <row r="3243" spans="1:14" x14ac:dyDescent="0.3">
      <c r="A3243" s="6" t="s">
        <v>10</v>
      </c>
      <c r="B3243" s="5">
        <v>45303.041666666664</v>
      </c>
      <c r="C3243" s="6">
        <v>0</v>
      </c>
      <c r="D3243" s="6">
        <v>0</v>
      </c>
      <c r="E3243" s="6">
        <v>0</v>
      </c>
      <c r="F3243" s="6">
        <v>89.138412466083807</v>
      </c>
      <c r="G3243" s="6" t="str">
        <f t="shared" si="100"/>
        <v>OK</v>
      </c>
      <c r="H3243" s="6" t="str">
        <f t="shared" si="101"/>
        <v>ZERO</v>
      </c>
      <c r="I3243">
        <v>0</v>
      </c>
      <c r="J3243">
        <f>IFERROR(Table4[[#This Row],[energy_kwh]]/Table4[[#This Row],[expected_kwh]],0)</f>
        <v>0</v>
      </c>
      <c r="K3243" t="str">
        <f>IF(Table4[[#This Row],[Performance_Ratio]] &lt; 0.85, "Underperforming", "Performing")</f>
        <v>Underperforming</v>
      </c>
      <c r="L3243">
        <f>Table4[[#This Row],[energy_kwh]] - Table4[[#This Row],[expected_kwh]]</f>
        <v>0</v>
      </c>
      <c r="M3243" t="str">
        <f>IF(Table4[[#This Row],[Performance_Deviation]] &lt; 0, "Underperforming", "Outperforming")</f>
        <v>Outperforming</v>
      </c>
      <c r="N3243">
        <f>IF(Table4[[#This Row],[Performance_Ratio]] &lt; 0.85, Table4[[#This Row],[Performance_Deviation]] * 50 / 1000, 0)</f>
        <v>0</v>
      </c>
    </row>
    <row r="3244" spans="1:14" x14ac:dyDescent="0.3">
      <c r="A3244" s="4" t="s">
        <v>10</v>
      </c>
      <c r="B3244" s="3">
        <v>45303.083333333336</v>
      </c>
      <c r="C3244" s="4">
        <v>0</v>
      </c>
      <c r="D3244" s="4">
        <v>0</v>
      </c>
      <c r="E3244" s="4">
        <v>0</v>
      </c>
      <c r="F3244" s="4">
        <v>86.608093925860402</v>
      </c>
      <c r="G3244" s="4" t="str">
        <f t="shared" si="100"/>
        <v>OK</v>
      </c>
      <c r="H3244" s="4" t="str">
        <f t="shared" si="101"/>
        <v>ZERO</v>
      </c>
      <c r="I3244">
        <v>0</v>
      </c>
      <c r="J3244">
        <f>IFERROR(Table4[[#This Row],[energy_kwh]]/Table4[[#This Row],[expected_kwh]],0)</f>
        <v>0</v>
      </c>
      <c r="K3244" t="str">
        <f>IF(Table4[[#This Row],[Performance_Ratio]] &lt; 0.85, "Underperforming", "Performing")</f>
        <v>Underperforming</v>
      </c>
      <c r="L3244">
        <f>Table4[[#This Row],[energy_kwh]] - Table4[[#This Row],[expected_kwh]]</f>
        <v>0</v>
      </c>
      <c r="M3244" t="str">
        <f>IF(Table4[[#This Row],[Performance_Deviation]] &lt; 0, "Underperforming", "Outperforming")</f>
        <v>Outperforming</v>
      </c>
      <c r="N3244">
        <f>IF(Table4[[#This Row],[Performance_Ratio]] &lt; 0.85, Table4[[#This Row],[Performance_Deviation]] * 50 / 1000, 0)</f>
        <v>0</v>
      </c>
    </row>
    <row r="3245" spans="1:14" x14ac:dyDescent="0.3">
      <c r="A3245" s="6" t="s">
        <v>10</v>
      </c>
      <c r="B3245" s="5">
        <v>45303.125</v>
      </c>
      <c r="C3245" s="6">
        <v>0</v>
      </c>
      <c r="D3245" s="6">
        <v>0</v>
      </c>
      <c r="E3245" s="6">
        <v>0</v>
      </c>
      <c r="F3245" s="6">
        <v>80.350371339166799</v>
      </c>
      <c r="G3245" s="6" t="str">
        <f t="shared" si="100"/>
        <v>OK</v>
      </c>
      <c r="H3245" s="6" t="str">
        <f t="shared" si="101"/>
        <v>ZERO</v>
      </c>
      <c r="I3245">
        <v>0</v>
      </c>
      <c r="J3245">
        <f>IFERROR(Table4[[#This Row],[energy_kwh]]/Table4[[#This Row],[expected_kwh]],0)</f>
        <v>0</v>
      </c>
      <c r="K3245" t="str">
        <f>IF(Table4[[#This Row],[Performance_Ratio]] &lt; 0.85, "Underperforming", "Performing")</f>
        <v>Underperforming</v>
      </c>
      <c r="L3245">
        <f>Table4[[#This Row],[energy_kwh]] - Table4[[#This Row],[expected_kwh]]</f>
        <v>0</v>
      </c>
      <c r="M3245" t="str">
        <f>IF(Table4[[#This Row],[Performance_Deviation]] &lt; 0, "Underperforming", "Outperforming")</f>
        <v>Outperforming</v>
      </c>
      <c r="N3245">
        <f>IF(Table4[[#This Row],[Performance_Ratio]] &lt; 0.85, Table4[[#This Row],[Performance_Deviation]] * 50 / 1000, 0)</f>
        <v>0</v>
      </c>
    </row>
    <row r="3246" spans="1:14" x14ac:dyDescent="0.3">
      <c r="A3246" s="4" t="s">
        <v>10</v>
      </c>
      <c r="B3246" s="3">
        <v>45303.166666666664</v>
      </c>
      <c r="C3246" s="4">
        <v>0</v>
      </c>
      <c r="D3246" s="4">
        <v>0</v>
      </c>
      <c r="E3246" s="4">
        <v>0</v>
      </c>
      <c r="F3246" s="4">
        <v>23.585829777685898</v>
      </c>
      <c r="G3246" s="4" t="str">
        <f t="shared" si="100"/>
        <v>OK</v>
      </c>
      <c r="H3246" s="4" t="str">
        <f t="shared" si="101"/>
        <v>ZERO</v>
      </c>
      <c r="I3246">
        <v>0</v>
      </c>
      <c r="J3246">
        <f>IFERROR(Table4[[#This Row],[energy_kwh]]/Table4[[#This Row],[expected_kwh]],0)</f>
        <v>0</v>
      </c>
      <c r="K3246" t="str">
        <f>IF(Table4[[#This Row],[Performance_Ratio]] &lt; 0.85, "Underperforming", "Performing")</f>
        <v>Underperforming</v>
      </c>
      <c r="L3246">
        <f>Table4[[#This Row],[energy_kwh]] - Table4[[#This Row],[expected_kwh]]</f>
        <v>0</v>
      </c>
      <c r="M3246" t="str">
        <f>IF(Table4[[#This Row],[Performance_Deviation]] &lt; 0, "Underperforming", "Outperforming")</f>
        <v>Outperforming</v>
      </c>
      <c r="N3246">
        <f>IF(Table4[[#This Row],[Performance_Ratio]] &lt; 0.85, Table4[[#This Row],[Performance_Deviation]] * 50 / 1000, 0)</f>
        <v>0</v>
      </c>
    </row>
    <row r="3247" spans="1:14" x14ac:dyDescent="0.3">
      <c r="A3247" s="6" t="s">
        <v>10</v>
      </c>
      <c r="B3247" s="5">
        <v>45303.208333333336</v>
      </c>
      <c r="C3247" s="6">
        <v>0</v>
      </c>
      <c r="D3247" s="6">
        <v>0</v>
      </c>
      <c r="E3247" s="6">
        <v>0</v>
      </c>
      <c r="F3247" s="6">
        <v>61.846155607585999</v>
      </c>
      <c r="G3247" s="6" t="str">
        <f t="shared" si="100"/>
        <v>OK</v>
      </c>
      <c r="H3247" s="6" t="str">
        <f t="shared" si="101"/>
        <v>ZERO</v>
      </c>
      <c r="I3247">
        <v>0</v>
      </c>
      <c r="J3247">
        <f>IFERROR(Table4[[#This Row],[energy_kwh]]/Table4[[#This Row],[expected_kwh]],0)</f>
        <v>0</v>
      </c>
      <c r="K3247" t="str">
        <f>IF(Table4[[#This Row],[Performance_Ratio]] &lt; 0.85, "Underperforming", "Performing")</f>
        <v>Underperforming</v>
      </c>
      <c r="L3247">
        <f>Table4[[#This Row],[energy_kwh]] - Table4[[#This Row],[expected_kwh]]</f>
        <v>0</v>
      </c>
      <c r="M3247" t="str">
        <f>IF(Table4[[#This Row],[Performance_Deviation]] &lt; 0, "Underperforming", "Outperforming")</f>
        <v>Outperforming</v>
      </c>
      <c r="N3247">
        <f>IF(Table4[[#This Row],[Performance_Ratio]] &lt; 0.85, Table4[[#This Row],[Performance_Deviation]] * 50 / 1000, 0)</f>
        <v>0</v>
      </c>
    </row>
    <row r="3248" spans="1:14" x14ac:dyDescent="0.3">
      <c r="A3248" s="4" t="s">
        <v>10</v>
      </c>
      <c r="B3248" s="3">
        <v>45303.25</v>
      </c>
      <c r="C3248" s="4">
        <v>0</v>
      </c>
      <c r="D3248" s="4">
        <v>0</v>
      </c>
      <c r="E3248" s="4">
        <v>0</v>
      </c>
      <c r="F3248" s="4">
        <v>93.524155454586904</v>
      </c>
      <c r="G3248" s="4" t="str">
        <f t="shared" si="100"/>
        <v>OK</v>
      </c>
      <c r="H3248" s="4" t="str">
        <f t="shared" si="101"/>
        <v>ZERO</v>
      </c>
      <c r="I3248">
        <v>0</v>
      </c>
      <c r="J3248">
        <f>IFERROR(Table4[[#This Row],[energy_kwh]]/Table4[[#This Row],[expected_kwh]],0)</f>
        <v>0</v>
      </c>
      <c r="K3248" t="str">
        <f>IF(Table4[[#This Row],[Performance_Ratio]] &lt; 0.85, "Underperforming", "Performing")</f>
        <v>Underperforming</v>
      </c>
      <c r="L3248">
        <f>Table4[[#This Row],[energy_kwh]] - Table4[[#This Row],[expected_kwh]]</f>
        <v>0</v>
      </c>
      <c r="M3248" t="str">
        <f>IF(Table4[[#This Row],[Performance_Deviation]] &lt; 0, "Underperforming", "Outperforming")</f>
        <v>Outperforming</v>
      </c>
      <c r="N3248">
        <f>IF(Table4[[#This Row],[Performance_Ratio]] &lt; 0.85, Table4[[#This Row],[Performance_Deviation]] * 50 / 1000, 0)</f>
        <v>0</v>
      </c>
    </row>
    <row r="3249" spans="1:14" x14ac:dyDescent="0.3">
      <c r="A3249" s="6" t="s">
        <v>10</v>
      </c>
      <c r="B3249" s="5">
        <v>45303.291666666664</v>
      </c>
      <c r="C3249" s="6">
        <v>319.59543816299902</v>
      </c>
      <c r="D3249" s="6">
        <v>302.41422570337102</v>
      </c>
      <c r="E3249" s="6">
        <v>302.41422570337102</v>
      </c>
      <c r="F3249" s="6">
        <v>70.930182423272598</v>
      </c>
      <c r="G3249" s="6" t="str">
        <f t="shared" si="100"/>
        <v>OK</v>
      </c>
      <c r="H3249" s="6" t="str">
        <f t="shared" si="101"/>
        <v>NON-ZERO</v>
      </c>
      <c r="I3249">
        <v>310.58285412302399</v>
      </c>
      <c r="J3249">
        <f>IFERROR(Table4[[#This Row],[energy_kwh]]/Table4[[#This Row],[expected_kwh]],0)</f>
        <v>0.97369903614699438</v>
      </c>
      <c r="K3249" t="str">
        <f>IF(Table4[[#This Row],[Performance_Ratio]] &lt; 0.85, "Underperforming", "Performing")</f>
        <v>Performing</v>
      </c>
      <c r="L3249">
        <f>Table4[[#This Row],[energy_kwh]] - Table4[[#This Row],[expected_kwh]]</f>
        <v>-8.1686284196529755</v>
      </c>
      <c r="M3249" t="str">
        <f>IF(Table4[[#This Row],[Performance_Deviation]] &lt; 0, "Underperforming", "Outperforming")</f>
        <v>Underperforming</v>
      </c>
      <c r="N3249">
        <f>IF(Table4[[#This Row],[Performance_Ratio]] &lt; 0.85, Table4[[#This Row],[Performance_Deviation]] * 50 / 1000, 0)</f>
        <v>0</v>
      </c>
    </row>
    <row r="3250" spans="1:14" x14ac:dyDescent="0.3">
      <c r="A3250" s="4" t="s">
        <v>10</v>
      </c>
      <c r="B3250" s="3">
        <v>45303.333333333336</v>
      </c>
      <c r="C3250" s="4">
        <v>553.05317664936899</v>
      </c>
      <c r="D3250" s="4">
        <v>523.32145023893497</v>
      </c>
      <c r="E3250" s="4">
        <v>523.32145023893497</v>
      </c>
      <c r="F3250" s="4">
        <v>40.912818768320598</v>
      </c>
      <c r="G3250" s="4" t="str">
        <f t="shared" si="100"/>
        <v>OK</v>
      </c>
      <c r="H3250" s="4" t="str">
        <f t="shared" si="101"/>
        <v>NON-ZERO</v>
      </c>
      <c r="I3250">
        <v>600</v>
      </c>
      <c r="J3250">
        <f>IFERROR(Table4[[#This Row],[energy_kwh]]/Table4[[#This Row],[expected_kwh]],0)</f>
        <v>0.87220241706489166</v>
      </c>
      <c r="K3250" t="str">
        <f>IF(Table4[[#This Row],[Performance_Ratio]] &lt; 0.85, "Underperforming", "Performing")</f>
        <v>Performing</v>
      </c>
      <c r="L3250">
        <f>Table4[[#This Row],[energy_kwh]] - Table4[[#This Row],[expected_kwh]]</f>
        <v>-76.678549761065028</v>
      </c>
      <c r="M3250" t="str">
        <f>IF(Table4[[#This Row],[Performance_Deviation]] &lt; 0, "Underperforming", "Outperforming")</f>
        <v>Underperforming</v>
      </c>
      <c r="N3250">
        <f>IF(Table4[[#This Row],[Performance_Ratio]] &lt; 0.85, Table4[[#This Row],[Performance_Deviation]] * 50 / 1000, 0)</f>
        <v>0</v>
      </c>
    </row>
    <row r="3251" spans="1:14" x14ac:dyDescent="0.3">
      <c r="A3251" s="6" t="s">
        <v>10</v>
      </c>
      <c r="B3251" s="5">
        <v>45303.375</v>
      </c>
      <c r="C3251" s="6">
        <v>895.43878836427996</v>
      </c>
      <c r="D3251" s="6">
        <v>847.30066675682394</v>
      </c>
      <c r="E3251" s="6">
        <v>847.30066675682394</v>
      </c>
      <c r="F3251" s="6">
        <v>37.904660893335802</v>
      </c>
      <c r="G3251" s="6" t="str">
        <f t="shared" si="100"/>
        <v>OK</v>
      </c>
      <c r="H3251" s="6" t="str">
        <f t="shared" si="101"/>
        <v>NON-ZERO</v>
      </c>
      <c r="I3251">
        <v>848.52813742385695</v>
      </c>
      <c r="J3251">
        <f>IFERROR(Table4[[#This Row],[energy_kwh]]/Table4[[#This Row],[expected_kwh]],0)</f>
        <v>0.99855341194605562</v>
      </c>
      <c r="K3251" t="str">
        <f>IF(Table4[[#This Row],[Performance_Ratio]] &lt; 0.85, "Underperforming", "Performing")</f>
        <v>Performing</v>
      </c>
      <c r="L3251">
        <f>Table4[[#This Row],[energy_kwh]] - Table4[[#This Row],[expected_kwh]]</f>
        <v>-1.2274706670330033</v>
      </c>
      <c r="M3251" t="str">
        <f>IF(Table4[[#This Row],[Performance_Deviation]] &lt; 0, "Underperforming", "Outperforming")</f>
        <v>Underperforming</v>
      </c>
      <c r="N3251">
        <f>IF(Table4[[#This Row],[Performance_Ratio]] &lt; 0.85, Table4[[#This Row],[Performance_Deviation]] * 50 / 1000, 0)</f>
        <v>0</v>
      </c>
    </row>
    <row r="3252" spans="1:14" x14ac:dyDescent="0.3">
      <c r="A3252" s="4" t="s">
        <v>10</v>
      </c>
      <c r="B3252" s="3">
        <v>45303.416666666664</v>
      </c>
      <c r="C3252" s="4">
        <v>1067.6884548154701</v>
      </c>
      <c r="D3252" s="4">
        <v>1010.290319572</v>
      </c>
      <c r="E3252" s="4">
        <v>1010.290319572</v>
      </c>
      <c r="F3252" s="4">
        <v>76.504108618987601</v>
      </c>
      <c r="G3252" s="4" t="str">
        <f t="shared" si="100"/>
        <v>OK</v>
      </c>
      <c r="H3252" s="4" t="str">
        <f t="shared" si="101"/>
        <v>NON-ZERO</v>
      </c>
      <c r="I3252">
        <v>1039.23048454132</v>
      </c>
      <c r="J3252">
        <f>IFERROR(Table4[[#This Row],[energy_kwh]]/Table4[[#This Row],[expected_kwh]],0)</f>
        <v>0.97215231327428475</v>
      </c>
      <c r="K3252" t="str">
        <f>IF(Table4[[#This Row],[Performance_Ratio]] &lt; 0.85, "Underperforming", "Performing")</f>
        <v>Performing</v>
      </c>
      <c r="L3252">
        <f>Table4[[#This Row],[energy_kwh]] - Table4[[#This Row],[expected_kwh]]</f>
        <v>-28.940164969319994</v>
      </c>
      <c r="M3252" t="str">
        <f>IF(Table4[[#This Row],[Performance_Deviation]] &lt; 0, "Underperforming", "Outperforming")</f>
        <v>Underperforming</v>
      </c>
      <c r="N3252">
        <f>IF(Table4[[#This Row],[Performance_Ratio]] &lt; 0.85, Table4[[#This Row],[Performance_Deviation]] * 50 / 1000, 0)</f>
        <v>0</v>
      </c>
    </row>
    <row r="3253" spans="1:14" x14ac:dyDescent="0.3">
      <c r="A3253" s="6" t="s">
        <v>10</v>
      </c>
      <c r="B3253" s="5">
        <v>45303.458333333336</v>
      </c>
      <c r="C3253" s="6">
        <v>900.20302497862895</v>
      </c>
      <c r="D3253" s="6">
        <v>851.80878156308495</v>
      </c>
      <c r="E3253" s="6">
        <v>851.80878156308495</v>
      </c>
      <c r="F3253" s="6">
        <v>92.240198072856202</v>
      </c>
      <c r="G3253" s="6" t="str">
        <f t="shared" si="100"/>
        <v>OK</v>
      </c>
      <c r="H3253" s="6" t="str">
        <f t="shared" si="101"/>
        <v>NON-ZERO</v>
      </c>
      <c r="I3253">
        <v>1159.1109915468801</v>
      </c>
      <c r="J3253">
        <f>IFERROR(Table4[[#This Row],[energy_kwh]]/Table4[[#This Row],[expected_kwh]],0)</f>
        <v>0.7348811181803323</v>
      </c>
      <c r="K3253" t="str">
        <f>IF(Table4[[#This Row],[Performance_Ratio]] &lt; 0.85, "Underperforming", "Performing")</f>
        <v>Underperforming</v>
      </c>
      <c r="L3253">
        <f>Table4[[#This Row],[energy_kwh]] - Table4[[#This Row],[expected_kwh]]</f>
        <v>-307.30220998379514</v>
      </c>
      <c r="M3253" t="str">
        <f>IF(Table4[[#This Row],[Performance_Deviation]] &lt; 0, "Underperforming", "Outperforming")</f>
        <v>Underperforming</v>
      </c>
      <c r="N3253">
        <f>IF(Table4[[#This Row],[Performance_Ratio]] &lt; 0.85, Table4[[#This Row],[Performance_Deviation]] * 50 / 1000, 0)</f>
        <v>-15.365110499189758</v>
      </c>
    </row>
    <row r="3254" spans="1:14" x14ac:dyDescent="0.3">
      <c r="A3254" s="4" t="s">
        <v>10</v>
      </c>
      <c r="B3254" s="3">
        <v>45303.5</v>
      </c>
      <c r="C3254" s="4">
        <v>1101.6108391324101</v>
      </c>
      <c r="D3254" s="4">
        <v>1042.3890618011901</v>
      </c>
      <c r="E3254" s="4">
        <v>1042.3890618011901</v>
      </c>
      <c r="F3254" s="4">
        <v>46.303888209068802</v>
      </c>
      <c r="G3254" s="4" t="str">
        <f t="shared" si="100"/>
        <v>OK</v>
      </c>
      <c r="H3254" s="4" t="str">
        <f t="shared" si="101"/>
        <v>NON-ZERO</v>
      </c>
      <c r="I3254">
        <v>1200</v>
      </c>
      <c r="J3254">
        <f>IFERROR(Table4[[#This Row],[energy_kwh]]/Table4[[#This Row],[expected_kwh]],0)</f>
        <v>0.86865755150099178</v>
      </c>
      <c r="K3254" t="str">
        <f>IF(Table4[[#This Row],[Performance_Ratio]] &lt; 0.85, "Underperforming", "Performing")</f>
        <v>Performing</v>
      </c>
      <c r="L3254">
        <f>Table4[[#This Row],[energy_kwh]] - Table4[[#This Row],[expected_kwh]]</f>
        <v>-157.61093819880989</v>
      </c>
      <c r="M3254" t="str">
        <f>IF(Table4[[#This Row],[Performance_Deviation]] &lt; 0, "Underperforming", "Outperforming")</f>
        <v>Underperforming</v>
      </c>
      <c r="N3254">
        <f>IF(Table4[[#This Row],[Performance_Ratio]] &lt; 0.85, Table4[[#This Row],[Performance_Deviation]] * 50 / 1000, 0)</f>
        <v>0</v>
      </c>
    </row>
    <row r="3255" spans="1:14" x14ac:dyDescent="0.3">
      <c r="A3255" s="6" t="s">
        <v>10</v>
      </c>
      <c r="B3255" s="5">
        <v>45303.541666666664</v>
      </c>
      <c r="C3255" s="6">
        <v>1119.44471814453</v>
      </c>
      <c r="D3255" s="6">
        <v>1059.26420477488</v>
      </c>
      <c r="E3255" s="6">
        <v>1059.26420477488</v>
      </c>
      <c r="F3255" s="6">
        <v>90.0126407526826</v>
      </c>
      <c r="G3255" s="6" t="str">
        <f t="shared" si="100"/>
        <v>OK</v>
      </c>
      <c r="H3255" s="6" t="str">
        <f t="shared" si="101"/>
        <v>NON-ZERO</v>
      </c>
      <c r="I3255">
        <v>1159.1109915468801</v>
      </c>
      <c r="J3255">
        <f>IFERROR(Table4[[#This Row],[energy_kwh]]/Table4[[#This Row],[expected_kwh]],0)</f>
        <v>0.91385916663705302</v>
      </c>
      <c r="K3255" t="str">
        <f>IF(Table4[[#This Row],[Performance_Ratio]] &lt; 0.85, "Underperforming", "Performing")</f>
        <v>Performing</v>
      </c>
      <c r="L3255">
        <f>Table4[[#This Row],[energy_kwh]] - Table4[[#This Row],[expected_kwh]]</f>
        <v>-99.846786772000087</v>
      </c>
      <c r="M3255" t="str">
        <f>IF(Table4[[#This Row],[Performance_Deviation]] &lt; 0, "Underperforming", "Outperforming")</f>
        <v>Underperforming</v>
      </c>
      <c r="N3255">
        <f>IF(Table4[[#This Row],[Performance_Ratio]] &lt; 0.85, Table4[[#This Row],[Performance_Deviation]] * 50 / 1000, 0)</f>
        <v>0</v>
      </c>
    </row>
    <row r="3256" spans="1:14" x14ac:dyDescent="0.3">
      <c r="A3256" s="4" t="s">
        <v>10</v>
      </c>
      <c r="B3256" s="3">
        <v>45303.583333333336</v>
      </c>
      <c r="C3256" s="4">
        <v>882.32279259600602</v>
      </c>
      <c r="D3256" s="4">
        <v>834.88977714153395</v>
      </c>
      <c r="E3256" s="4">
        <v>834.88977714153395</v>
      </c>
      <c r="F3256" s="4">
        <v>87.175190947841898</v>
      </c>
      <c r="G3256" s="4" t="str">
        <f t="shared" si="100"/>
        <v>OK</v>
      </c>
      <c r="H3256" s="4" t="str">
        <f t="shared" si="101"/>
        <v>NON-ZERO</v>
      </c>
      <c r="I3256">
        <v>1039.23048454132</v>
      </c>
      <c r="J3256">
        <f>IFERROR(Table4[[#This Row],[energy_kwh]]/Table4[[#This Row],[expected_kwh]],0)</f>
        <v>0.80337306262722374</v>
      </c>
      <c r="K3256" t="str">
        <f>IF(Table4[[#This Row],[Performance_Ratio]] &lt; 0.85, "Underperforming", "Performing")</f>
        <v>Underperforming</v>
      </c>
      <c r="L3256">
        <f>Table4[[#This Row],[energy_kwh]] - Table4[[#This Row],[expected_kwh]]</f>
        <v>-204.34070739978608</v>
      </c>
      <c r="M3256" t="str">
        <f>IF(Table4[[#This Row],[Performance_Deviation]] &lt; 0, "Underperforming", "Outperforming")</f>
        <v>Underperforming</v>
      </c>
      <c r="N3256">
        <f>IF(Table4[[#This Row],[Performance_Ratio]] &lt; 0.85, Table4[[#This Row],[Performance_Deviation]] * 50 / 1000, 0)</f>
        <v>-10.217035369989304</v>
      </c>
    </row>
    <row r="3257" spans="1:14" x14ac:dyDescent="0.3">
      <c r="A3257" s="6" t="s">
        <v>10</v>
      </c>
      <c r="B3257" s="5">
        <v>45303.625</v>
      </c>
      <c r="C3257" s="6">
        <v>812.01515015271605</v>
      </c>
      <c r="D3257" s="6">
        <v>768.36182113337304</v>
      </c>
      <c r="E3257" s="6">
        <v>768.36182113337304</v>
      </c>
      <c r="F3257" s="6">
        <v>64.976473567104406</v>
      </c>
      <c r="G3257" s="6" t="str">
        <f t="shared" si="100"/>
        <v>OK</v>
      </c>
      <c r="H3257" s="6" t="str">
        <f t="shared" si="101"/>
        <v>NON-ZERO</v>
      </c>
      <c r="I3257">
        <v>848.52813742385695</v>
      </c>
      <c r="J3257">
        <f>IFERROR(Table4[[#This Row],[energy_kwh]]/Table4[[#This Row],[expected_kwh]],0)</f>
        <v>0.90552309021375543</v>
      </c>
      <c r="K3257" t="str">
        <f>IF(Table4[[#This Row],[Performance_Ratio]] &lt; 0.85, "Underperforming", "Performing")</f>
        <v>Performing</v>
      </c>
      <c r="L3257">
        <f>Table4[[#This Row],[energy_kwh]] - Table4[[#This Row],[expected_kwh]]</f>
        <v>-80.166316290483906</v>
      </c>
      <c r="M3257" t="str">
        <f>IF(Table4[[#This Row],[Performance_Deviation]] &lt; 0, "Underperforming", "Outperforming")</f>
        <v>Underperforming</v>
      </c>
      <c r="N3257">
        <f>IF(Table4[[#This Row],[Performance_Ratio]] &lt; 0.85, Table4[[#This Row],[Performance_Deviation]] * 50 / 1000, 0)</f>
        <v>0</v>
      </c>
    </row>
    <row r="3258" spans="1:14" x14ac:dyDescent="0.3">
      <c r="A3258" s="4" t="s">
        <v>10</v>
      </c>
      <c r="B3258" s="3">
        <v>45303.666666666664</v>
      </c>
      <c r="C3258" s="4">
        <v>560.25919191122705</v>
      </c>
      <c r="D3258" s="4">
        <v>530.14007549324799</v>
      </c>
      <c r="E3258" s="4">
        <v>530.14007549324799</v>
      </c>
      <c r="F3258" s="4">
        <v>41.352347666566601</v>
      </c>
      <c r="G3258" s="4" t="str">
        <f t="shared" si="100"/>
        <v>OK</v>
      </c>
      <c r="H3258" s="4" t="str">
        <f t="shared" si="101"/>
        <v>NON-ZERO</v>
      </c>
      <c r="I3258">
        <v>600</v>
      </c>
      <c r="J3258">
        <f>IFERROR(Table4[[#This Row],[energy_kwh]]/Table4[[#This Row],[expected_kwh]],0)</f>
        <v>0.8835667924887467</v>
      </c>
      <c r="K3258" t="str">
        <f>IF(Table4[[#This Row],[Performance_Ratio]] &lt; 0.85, "Underperforming", "Performing")</f>
        <v>Performing</v>
      </c>
      <c r="L3258">
        <f>Table4[[#This Row],[energy_kwh]] - Table4[[#This Row],[expected_kwh]]</f>
        <v>-69.859924506752009</v>
      </c>
      <c r="M3258" t="str">
        <f>IF(Table4[[#This Row],[Performance_Deviation]] &lt; 0, "Underperforming", "Outperforming")</f>
        <v>Underperforming</v>
      </c>
      <c r="N3258">
        <f>IF(Table4[[#This Row],[Performance_Ratio]] &lt; 0.85, Table4[[#This Row],[Performance_Deviation]] * 50 / 1000, 0)</f>
        <v>0</v>
      </c>
    </row>
    <row r="3259" spans="1:14" x14ac:dyDescent="0.3">
      <c r="A3259" s="6" t="s">
        <v>10</v>
      </c>
      <c r="B3259" s="5">
        <v>45303.708333333336</v>
      </c>
      <c r="C3259" s="6">
        <v>291.14566931688398</v>
      </c>
      <c r="D3259" s="6">
        <v>275.49389521777198</v>
      </c>
      <c r="E3259" s="6">
        <v>275.49389521777198</v>
      </c>
      <c r="F3259" s="6">
        <v>20.718923010829499</v>
      </c>
      <c r="G3259" s="6" t="str">
        <f t="shared" si="100"/>
        <v>OK</v>
      </c>
      <c r="H3259" s="6" t="str">
        <f t="shared" si="101"/>
        <v>NON-ZERO</v>
      </c>
      <c r="I3259">
        <v>310.58285412302502</v>
      </c>
      <c r="J3259">
        <f>IFERROR(Table4[[#This Row],[energy_kwh]]/Table4[[#This Row],[expected_kwh]],0)</f>
        <v>0.887022227919401</v>
      </c>
      <c r="K3259" t="str">
        <f>IF(Table4[[#This Row],[Performance_Ratio]] &lt; 0.85, "Underperforming", "Performing")</f>
        <v>Performing</v>
      </c>
      <c r="L3259">
        <f>Table4[[#This Row],[energy_kwh]] - Table4[[#This Row],[expected_kwh]]</f>
        <v>-35.088958905253037</v>
      </c>
      <c r="M3259" t="str">
        <f>IF(Table4[[#This Row],[Performance_Deviation]] &lt; 0, "Underperforming", "Outperforming")</f>
        <v>Underperforming</v>
      </c>
      <c r="N3259">
        <f>IF(Table4[[#This Row],[Performance_Ratio]] &lt; 0.85, Table4[[#This Row],[Performance_Deviation]] * 50 / 1000, 0)</f>
        <v>0</v>
      </c>
    </row>
    <row r="3260" spans="1:14" x14ac:dyDescent="0.3">
      <c r="A3260" s="4" t="s">
        <v>10</v>
      </c>
      <c r="B3260" s="3">
        <v>45303.75</v>
      </c>
      <c r="C3260" s="7">
        <v>1.3308782335295501E-13</v>
      </c>
      <c r="D3260" s="7">
        <v>1.25933121202137E-13</v>
      </c>
      <c r="E3260" s="7">
        <v>1.25933121202137E-13</v>
      </c>
      <c r="F3260" s="4">
        <v>64.494460263153201</v>
      </c>
      <c r="G3260" s="4" t="str">
        <f t="shared" si="100"/>
        <v>OK</v>
      </c>
      <c r="H3260" s="4" t="str">
        <f t="shared" si="101"/>
        <v>NON-ZERO</v>
      </c>
      <c r="I3260" s="2">
        <v>1.46957615897682E-13</v>
      </c>
      <c r="J3260">
        <f>IFERROR(Table4[[#This Row],[energy_kwh]]/Table4[[#This Row],[expected_kwh]],0)</f>
        <v>0.85693497701961141</v>
      </c>
      <c r="K3260" t="str">
        <f>IF(Table4[[#This Row],[Performance_Ratio]] &lt; 0.85, "Underperforming", "Performing")</f>
        <v>Performing</v>
      </c>
      <c r="L3260">
        <f>Table4[[#This Row],[energy_kwh]] - Table4[[#This Row],[expected_kwh]]</f>
        <v>-2.1024494695545003E-14</v>
      </c>
      <c r="M3260" t="str">
        <f>IF(Table4[[#This Row],[Performance_Deviation]] &lt; 0, "Underperforming", "Outperforming")</f>
        <v>Underperforming</v>
      </c>
      <c r="N3260">
        <f>IF(Table4[[#This Row],[Performance_Ratio]] &lt; 0.85, Table4[[#This Row],[Performance_Deviation]] * 50 / 1000, 0)</f>
        <v>0</v>
      </c>
    </row>
    <row r="3261" spans="1:14" x14ac:dyDescent="0.3">
      <c r="A3261" s="6" t="s">
        <v>10</v>
      </c>
      <c r="B3261" s="5">
        <v>45303.791666666664</v>
      </c>
      <c r="C3261" s="6">
        <v>0</v>
      </c>
      <c r="D3261" s="6">
        <v>0</v>
      </c>
      <c r="E3261" s="6">
        <v>0</v>
      </c>
      <c r="F3261" s="6">
        <v>84.651328709751198</v>
      </c>
      <c r="G3261" s="6" t="str">
        <f t="shared" si="100"/>
        <v>OK</v>
      </c>
      <c r="H3261" s="6" t="str">
        <f t="shared" si="101"/>
        <v>ZERO</v>
      </c>
      <c r="I3261">
        <v>0</v>
      </c>
      <c r="J3261">
        <f>IFERROR(Table4[[#This Row],[energy_kwh]]/Table4[[#This Row],[expected_kwh]],0)</f>
        <v>0</v>
      </c>
      <c r="K3261" t="str">
        <f>IF(Table4[[#This Row],[Performance_Ratio]] &lt; 0.85, "Underperforming", "Performing")</f>
        <v>Underperforming</v>
      </c>
      <c r="L3261">
        <f>Table4[[#This Row],[energy_kwh]] - Table4[[#This Row],[expected_kwh]]</f>
        <v>0</v>
      </c>
      <c r="M3261" t="str">
        <f>IF(Table4[[#This Row],[Performance_Deviation]] &lt; 0, "Underperforming", "Outperforming")</f>
        <v>Outperforming</v>
      </c>
      <c r="N3261">
        <f>IF(Table4[[#This Row],[Performance_Ratio]] &lt; 0.85, Table4[[#This Row],[Performance_Deviation]] * 50 / 1000, 0)</f>
        <v>0</v>
      </c>
    </row>
    <row r="3262" spans="1:14" x14ac:dyDescent="0.3">
      <c r="A3262" s="4" t="s">
        <v>10</v>
      </c>
      <c r="B3262" s="3">
        <v>45303.833333333336</v>
      </c>
      <c r="C3262" s="4">
        <v>0</v>
      </c>
      <c r="D3262" s="4">
        <v>0</v>
      </c>
      <c r="E3262" s="4">
        <v>0</v>
      </c>
      <c r="F3262" s="4">
        <v>76.279169531802594</v>
      </c>
      <c r="G3262" s="4" t="str">
        <f t="shared" si="100"/>
        <v>OK</v>
      </c>
      <c r="H3262" s="4" t="str">
        <f t="shared" si="101"/>
        <v>ZERO</v>
      </c>
      <c r="I3262">
        <v>0</v>
      </c>
      <c r="J3262">
        <f>IFERROR(Table4[[#This Row],[energy_kwh]]/Table4[[#This Row],[expected_kwh]],0)</f>
        <v>0</v>
      </c>
      <c r="K3262" t="str">
        <f>IF(Table4[[#This Row],[Performance_Ratio]] &lt; 0.85, "Underperforming", "Performing")</f>
        <v>Underperforming</v>
      </c>
      <c r="L3262">
        <f>Table4[[#This Row],[energy_kwh]] - Table4[[#This Row],[expected_kwh]]</f>
        <v>0</v>
      </c>
      <c r="M3262" t="str">
        <f>IF(Table4[[#This Row],[Performance_Deviation]] &lt; 0, "Underperforming", "Outperforming")</f>
        <v>Outperforming</v>
      </c>
      <c r="N3262">
        <f>IF(Table4[[#This Row],[Performance_Ratio]] &lt; 0.85, Table4[[#This Row],[Performance_Deviation]] * 50 / 1000, 0)</f>
        <v>0</v>
      </c>
    </row>
    <row r="3263" spans="1:14" x14ac:dyDescent="0.3">
      <c r="A3263" s="6" t="s">
        <v>10</v>
      </c>
      <c r="B3263" s="5">
        <v>45303.875</v>
      </c>
      <c r="C3263" s="6">
        <v>0</v>
      </c>
      <c r="D3263" s="6">
        <v>0</v>
      </c>
      <c r="E3263" s="6">
        <v>0</v>
      </c>
      <c r="F3263" s="6">
        <v>68.898028544222001</v>
      </c>
      <c r="G3263" s="6" t="str">
        <f t="shared" si="100"/>
        <v>OK</v>
      </c>
      <c r="H3263" s="6" t="str">
        <f t="shared" si="101"/>
        <v>ZERO</v>
      </c>
      <c r="I3263">
        <v>0</v>
      </c>
      <c r="J3263">
        <f>IFERROR(Table4[[#This Row],[energy_kwh]]/Table4[[#This Row],[expected_kwh]],0)</f>
        <v>0</v>
      </c>
      <c r="K3263" t="str">
        <f>IF(Table4[[#This Row],[Performance_Ratio]] &lt; 0.85, "Underperforming", "Performing")</f>
        <v>Underperforming</v>
      </c>
      <c r="L3263">
        <f>Table4[[#This Row],[energy_kwh]] - Table4[[#This Row],[expected_kwh]]</f>
        <v>0</v>
      </c>
      <c r="M3263" t="str">
        <f>IF(Table4[[#This Row],[Performance_Deviation]] &lt; 0, "Underperforming", "Outperforming")</f>
        <v>Outperforming</v>
      </c>
      <c r="N3263">
        <f>IF(Table4[[#This Row],[Performance_Ratio]] &lt; 0.85, Table4[[#This Row],[Performance_Deviation]] * 50 / 1000, 0)</f>
        <v>0</v>
      </c>
    </row>
    <row r="3264" spans="1:14" x14ac:dyDescent="0.3">
      <c r="A3264" s="4" t="s">
        <v>10</v>
      </c>
      <c r="B3264" s="3">
        <v>45303.916666666664</v>
      </c>
      <c r="C3264" s="4">
        <v>0</v>
      </c>
      <c r="D3264" s="4">
        <v>0</v>
      </c>
      <c r="E3264" s="4">
        <v>0</v>
      </c>
      <c r="F3264" s="4">
        <v>64.730751993848401</v>
      </c>
      <c r="G3264" s="4" t="str">
        <f t="shared" si="100"/>
        <v>OK</v>
      </c>
      <c r="H3264" s="4" t="str">
        <f t="shared" si="101"/>
        <v>ZERO</v>
      </c>
      <c r="I3264">
        <v>0</v>
      </c>
      <c r="J3264">
        <f>IFERROR(Table4[[#This Row],[energy_kwh]]/Table4[[#This Row],[expected_kwh]],0)</f>
        <v>0</v>
      </c>
      <c r="K3264" t="str">
        <f>IF(Table4[[#This Row],[Performance_Ratio]] &lt; 0.85, "Underperforming", "Performing")</f>
        <v>Underperforming</v>
      </c>
      <c r="L3264">
        <f>Table4[[#This Row],[energy_kwh]] - Table4[[#This Row],[expected_kwh]]</f>
        <v>0</v>
      </c>
      <c r="M3264" t="str">
        <f>IF(Table4[[#This Row],[Performance_Deviation]] &lt; 0, "Underperforming", "Outperforming")</f>
        <v>Outperforming</v>
      </c>
      <c r="N3264">
        <f>IF(Table4[[#This Row],[Performance_Ratio]] &lt; 0.85, Table4[[#This Row],[Performance_Deviation]] * 50 / 1000, 0)</f>
        <v>0</v>
      </c>
    </row>
    <row r="3265" spans="1:14" x14ac:dyDescent="0.3">
      <c r="A3265" s="6" t="s">
        <v>10</v>
      </c>
      <c r="B3265" s="5">
        <v>45303.958333333336</v>
      </c>
      <c r="C3265" s="6">
        <v>0</v>
      </c>
      <c r="D3265" s="6">
        <v>0</v>
      </c>
      <c r="E3265" s="6">
        <v>0</v>
      </c>
      <c r="F3265" s="6">
        <v>82.3313305517446</v>
      </c>
      <c r="G3265" s="6" t="str">
        <f t="shared" si="100"/>
        <v>OK</v>
      </c>
      <c r="H3265" s="6" t="str">
        <f t="shared" si="101"/>
        <v>ZERO</v>
      </c>
      <c r="I3265">
        <v>0</v>
      </c>
      <c r="J3265">
        <f>IFERROR(Table4[[#This Row],[energy_kwh]]/Table4[[#This Row],[expected_kwh]],0)</f>
        <v>0</v>
      </c>
      <c r="K3265" t="str">
        <f>IF(Table4[[#This Row],[Performance_Ratio]] &lt; 0.85, "Underperforming", "Performing")</f>
        <v>Underperforming</v>
      </c>
      <c r="L3265">
        <f>Table4[[#This Row],[energy_kwh]] - Table4[[#This Row],[expected_kwh]]</f>
        <v>0</v>
      </c>
      <c r="M3265" t="str">
        <f>IF(Table4[[#This Row],[Performance_Deviation]] &lt; 0, "Underperforming", "Outperforming")</f>
        <v>Outperforming</v>
      </c>
      <c r="N3265">
        <f>IF(Table4[[#This Row],[Performance_Ratio]] &lt; 0.85, Table4[[#This Row],[Performance_Deviation]] * 50 / 1000, 0)</f>
        <v>0</v>
      </c>
    </row>
    <row r="3266" spans="1:14" x14ac:dyDescent="0.3">
      <c r="A3266" s="4" t="s">
        <v>10</v>
      </c>
      <c r="B3266" s="3">
        <v>45304</v>
      </c>
      <c r="C3266" s="4">
        <v>0</v>
      </c>
      <c r="D3266" s="4">
        <v>0</v>
      </c>
      <c r="E3266" s="4">
        <v>0</v>
      </c>
      <c r="F3266" s="4">
        <v>35.655690007129202</v>
      </c>
      <c r="G3266" s="4" t="str">
        <f t="shared" ref="G3266:G3329" si="102">IF(D3266 &gt; C3266, "ERROR", "OK")</f>
        <v>OK</v>
      </c>
      <c r="H3266" s="4" t="str">
        <f t="shared" ref="H3266:H3329" si="103">IF(E3266=0,"ZERO","NON-ZERO")</f>
        <v>ZERO</v>
      </c>
      <c r="I3266">
        <v>0</v>
      </c>
      <c r="J3266">
        <f>IFERROR(Table4[[#This Row],[energy_kwh]]/Table4[[#This Row],[expected_kwh]],0)</f>
        <v>0</v>
      </c>
      <c r="K3266" t="str">
        <f>IF(Table4[[#This Row],[Performance_Ratio]] &lt; 0.85, "Underperforming", "Performing")</f>
        <v>Underperforming</v>
      </c>
      <c r="L3266">
        <f>Table4[[#This Row],[energy_kwh]] - Table4[[#This Row],[expected_kwh]]</f>
        <v>0</v>
      </c>
      <c r="M3266" t="str">
        <f>IF(Table4[[#This Row],[Performance_Deviation]] &lt; 0, "Underperforming", "Outperforming")</f>
        <v>Outperforming</v>
      </c>
      <c r="N3266">
        <f>IF(Table4[[#This Row],[Performance_Ratio]] &lt; 0.85, Table4[[#This Row],[Performance_Deviation]] * 50 / 1000, 0)</f>
        <v>0</v>
      </c>
    </row>
    <row r="3267" spans="1:14" x14ac:dyDescent="0.3">
      <c r="A3267" s="6" t="s">
        <v>10</v>
      </c>
      <c r="B3267" s="5">
        <v>45304.041666666664</v>
      </c>
      <c r="C3267" s="6">
        <v>0</v>
      </c>
      <c r="D3267" s="6">
        <v>0</v>
      </c>
      <c r="E3267" s="6">
        <v>0</v>
      </c>
      <c r="F3267" s="6">
        <v>92.404152774757193</v>
      </c>
      <c r="G3267" s="6" t="str">
        <f t="shared" si="102"/>
        <v>OK</v>
      </c>
      <c r="H3267" s="6" t="str">
        <f t="shared" si="103"/>
        <v>ZERO</v>
      </c>
      <c r="I3267">
        <v>0</v>
      </c>
      <c r="J3267">
        <f>IFERROR(Table4[[#This Row],[energy_kwh]]/Table4[[#This Row],[expected_kwh]],0)</f>
        <v>0</v>
      </c>
      <c r="K3267" t="str">
        <f>IF(Table4[[#This Row],[Performance_Ratio]] &lt; 0.85, "Underperforming", "Performing")</f>
        <v>Underperforming</v>
      </c>
      <c r="L3267">
        <f>Table4[[#This Row],[energy_kwh]] - Table4[[#This Row],[expected_kwh]]</f>
        <v>0</v>
      </c>
      <c r="M3267" t="str">
        <f>IF(Table4[[#This Row],[Performance_Deviation]] &lt; 0, "Underperforming", "Outperforming")</f>
        <v>Outperforming</v>
      </c>
      <c r="N3267">
        <f>IF(Table4[[#This Row],[Performance_Ratio]] &lt; 0.85, Table4[[#This Row],[Performance_Deviation]] * 50 / 1000, 0)</f>
        <v>0</v>
      </c>
    </row>
    <row r="3268" spans="1:14" x14ac:dyDescent="0.3">
      <c r="A3268" s="4" t="s">
        <v>10</v>
      </c>
      <c r="B3268" s="3">
        <v>45304.083333333336</v>
      </c>
      <c r="C3268" s="4">
        <v>0</v>
      </c>
      <c r="D3268" s="4">
        <v>0</v>
      </c>
      <c r="E3268" s="4">
        <v>0</v>
      </c>
      <c r="F3268" s="4">
        <v>36.256828349148797</v>
      </c>
      <c r="G3268" s="4" t="str">
        <f t="shared" si="102"/>
        <v>OK</v>
      </c>
      <c r="H3268" s="4" t="str">
        <f t="shared" si="103"/>
        <v>ZERO</v>
      </c>
      <c r="I3268">
        <v>0</v>
      </c>
      <c r="J3268">
        <f>IFERROR(Table4[[#This Row],[energy_kwh]]/Table4[[#This Row],[expected_kwh]],0)</f>
        <v>0</v>
      </c>
      <c r="K3268" t="str">
        <f>IF(Table4[[#This Row],[Performance_Ratio]] &lt; 0.85, "Underperforming", "Performing")</f>
        <v>Underperforming</v>
      </c>
      <c r="L3268">
        <f>Table4[[#This Row],[energy_kwh]] - Table4[[#This Row],[expected_kwh]]</f>
        <v>0</v>
      </c>
      <c r="M3268" t="str">
        <f>IF(Table4[[#This Row],[Performance_Deviation]] &lt; 0, "Underperforming", "Outperforming")</f>
        <v>Outperforming</v>
      </c>
      <c r="N3268">
        <f>IF(Table4[[#This Row],[Performance_Ratio]] &lt; 0.85, Table4[[#This Row],[Performance_Deviation]] * 50 / 1000, 0)</f>
        <v>0</v>
      </c>
    </row>
    <row r="3269" spans="1:14" x14ac:dyDescent="0.3">
      <c r="A3269" s="6" t="s">
        <v>10</v>
      </c>
      <c r="B3269" s="5">
        <v>45304.125</v>
      </c>
      <c r="C3269" s="6">
        <v>0</v>
      </c>
      <c r="D3269" s="6">
        <v>0</v>
      </c>
      <c r="E3269" s="6">
        <v>0</v>
      </c>
      <c r="F3269" s="6">
        <v>69.304477962099696</v>
      </c>
      <c r="G3269" s="6" t="str">
        <f t="shared" si="102"/>
        <v>OK</v>
      </c>
      <c r="H3269" s="6" t="str">
        <f t="shared" si="103"/>
        <v>ZERO</v>
      </c>
      <c r="I3269">
        <v>0</v>
      </c>
      <c r="J3269">
        <f>IFERROR(Table4[[#This Row],[energy_kwh]]/Table4[[#This Row],[expected_kwh]],0)</f>
        <v>0</v>
      </c>
      <c r="K3269" t="str">
        <f>IF(Table4[[#This Row],[Performance_Ratio]] &lt; 0.85, "Underperforming", "Performing")</f>
        <v>Underperforming</v>
      </c>
      <c r="L3269">
        <f>Table4[[#This Row],[energy_kwh]] - Table4[[#This Row],[expected_kwh]]</f>
        <v>0</v>
      </c>
      <c r="M3269" t="str">
        <f>IF(Table4[[#This Row],[Performance_Deviation]] &lt; 0, "Underperforming", "Outperforming")</f>
        <v>Outperforming</v>
      </c>
      <c r="N3269">
        <f>IF(Table4[[#This Row],[Performance_Ratio]] &lt; 0.85, Table4[[#This Row],[Performance_Deviation]] * 50 / 1000, 0)</f>
        <v>0</v>
      </c>
    </row>
    <row r="3270" spans="1:14" x14ac:dyDescent="0.3">
      <c r="A3270" s="4" t="s">
        <v>10</v>
      </c>
      <c r="B3270" s="3">
        <v>45304.166666666664</v>
      </c>
      <c r="C3270" s="4">
        <v>0</v>
      </c>
      <c r="D3270" s="4">
        <v>0</v>
      </c>
      <c r="E3270" s="4">
        <v>0</v>
      </c>
      <c r="F3270" s="4">
        <v>38.360805504567502</v>
      </c>
      <c r="G3270" s="4" t="str">
        <f t="shared" si="102"/>
        <v>OK</v>
      </c>
      <c r="H3270" s="4" t="str">
        <f t="shared" si="103"/>
        <v>ZERO</v>
      </c>
      <c r="I3270">
        <v>0</v>
      </c>
      <c r="J3270">
        <f>IFERROR(Table4[[#This Row],[energy_kwh]]/Table4[[#This Row],[expected_kwh]],0)</f>
        <v>0</v>
      </c>
      <c r="K3270" t="str">
        <f>IF(Table4[[#This Row],[Performance_Ratio]] &lt; 0.85, "Underperforming", "Performing")</f>
        <v>Underperforming</v>
      </c>
      <c r="L3270">
        <f>Table4[[#This Row],[energy_kwh]] - Table4[[#This Row],[expected_kwh]]</f>
        <v>0</v>
      </c>
      <c r="M3270" t="str">
        <f>IF(Table4[[#This Row],[Performance_Deviation]] &lt; 0, "Underperforming", "Outperforming")</f>
        <v>Outperforming</v>
      </c>
      <c r="N3270">
        <f>IF(Table4[[#This Row],[Performance_Ratio]] &lt; 0.85, Table4[[#This Row],[Performance_Deviation]] * 50 / 1000, 0)</f>
        <v>0</v>
      </c>
    </row>
    <row r="3271" spans="1:14" x14ac:dyDescent="0.3">
      <c r="A3271" s="6" t="s">
        <v>10</v>
      </c>
      <c r="B3271" s="5">
        <v>45304.208333333336</v>
      </c>
      <c r="C3271" s="6">
        <v>0</v>
      </c>
      <c r="D3271" s="6">
        <v>0</v>
      </c>
      <c r="E3271" s="6">
        <v>0</v>
      </c>
      <c r="F3271" s="6">
        <v>41.662207243970599</v>
      </c>
      <c r="G3271" s="6" t="str">
        <f t="shared" si="102"/>
        <v>OK</v>
      </c>
      <c r="H3271" s="6" t="str">
        <f t="shared" si="103"/>
        <v>ZERO</v>
      </c>
      <c r="I3271">
        <v>0</v>
      </c>
      <c r="J3271">
        <f>IFERROR(Table4[[#This Row],[energy_kwh]]/Table4[[#This Row],[expected_kwh]],0)</f>
        <v>0</v>
      </c>
      <c r="K3271" t="str">
        <f>IF(Table4[[#This Row],[Performance_Ratio]] &lt; 0.85, "Underperforming", "Performing")</f>
        <v>Underperforming</v>
      </c>
      <c r="L3271">
        <f>Table4[[#This Row],[energy_kwh]] - Table4[[#This Row],[expected_kwh]]</f>
        <v>0</v>
      </c>
      <c r="M3271" t="str">
        <f>IF(Table4[[#This Row],[Performance_Deviation]] &lt; 0, "Underperforming", "Outperforming")</f>
        <v>Outperforming</v>
      </c>
      <c r="N3271">
        <f>IF(Table4[[#This Row],[Performance_Ratio]] &lt; 0.85, Table4[[#This Row],[Performance_Deviation]] * 50 / 1000, 0)</f>
        <v>0</v>
      </c>
    </row>
    <row r="3272" spans="1:14" x14ac:dyDescent="0.3">
      <c r="A3272" s="4" t="s">
        <v>10</v>
      </c>
      <c r="B3272" s="3">
        <v>45304.25</v>
      </c>
      <c r="C3272" s="4">
        <v>0</v>
      </c>
      <c r="D3272" s="4">
        <v>0</v>
      </c>
      <c r="E3272" s="4">
        <v>0</v>
      </c>
      <c r="F3272" s="4">
        <v>31.460435698871201</v>
      </c>
      <c r="G3272" s="4" t="str">
        <f t="shared" si="102"/>
        <v>OK</v>
      </c>
      <c r="H3272" s="4" t="str">
        <f t="shared" si="103"/>
        <v>ZERO</v>
      </c>
      <c r="I3272">
        <v>0</v>
      </c>
      <c r="J3272">
        <f>IFERROR(Table4[[#This Row],[energy_kwh]]/Table4[[#This Row],[expected_kwh]],0)</f>
        <v>0</v>
      </c>
      <c r="K3272" t="str">
        <f>IF(Table4[[#This Row],[Performance_Ratio]] &lt; 0.85, "Underperforming", "Performing")</f>
        <v>Underperforming</v>
      </c>
      <c r="L3272">
        <f>Table4[[#This Row],[energy_kwh]] - Table4[[#This Row],[expected_kwh]]</f>
        <v>0</v>
      </c>
      <c r="M3272" t="str">
        <f>IF(Table4[[#This Row],[Performance_Deviation]] &lt; 0, "Underperforming", "Outperforming")</f>
        <v>Outperforming</v>
      </c>
      <c r="N3272">
        <f>IF(Table4[[#This Row],[Performance_Ratio]] &lt; 0.85, Table4[[#This Row],[Performance_Deviation]] * 50 / 1000, 0)</f>
        <v>0</v>
      </c>
    </row>
    <row r="3273" spans="1:14" x14ac:dyDescent="0.3">
      <c r="A3273" s="6" t="s">
        <v>10</v>
      </c>
      <c r="B3273" s="5">
        <v>45304.291666666664</v>
      </c>
      <c r="C3273" s="6">
        <v>240.71296219448399</v>
      </c>
      <c r="D3273" s="6">
        <v>227.772412826753</v>
      </c>
      <c r="E3273" s="6">
        <v>227.772412826753</v>
      </c>
      <c r="F3273" s="6">
        <v>34.227227363759603</v>
      </c>
      <c r="G3273" s="6" t="str">
        <f t="shared" si="102"/>
        <v>OK</v>
      </c>
      <c r="H3273" s="6" t="str">
        <f t="shared" si="103"/>
        <v>NON-ZERO</v>
      </c>
      <c r="I3273">
        <v>310.58285412302399</v>
      </c>
      <c r="J3273">
        <f>IFERROR(Table4[[#This Row],[energy_kwh]]/Table4[[#This Row],[expected_kwh]],0)</f>
        <v>0.73337085355178944</v>
      </c>
      <c r="K3273" t="str">
        <f>IF(Table4[[#This Row],[Performance_Ratio]] &lt; 0.85, "Underperforming", "Performing")</f>
        <v>Underperforming</v>
      </c>
      <c r="L3273">
        <f>Table4[[#This Row],[energy_kwh]] - Table4[[#This Row],[expected_kwh]]</f>
        <v>-82.810441296270994</v>
      </c>
      <c r="M3273" t="str">
        <f>IF(Table4[[#This Row],[Performance_Deviation]] &lt; 0, "Underperforming", "Outperforming")</f>
        <v>Underperforming</v>
      </c>
      <c r="N3273">
        <f>IF(Table4[[#This Row],[Performance_Ratio]] &lt; 0.85, Table4[[#This Row],[Performance_Deviation]] * 50 / 1000, 0)</f>
        <v>-4.1405220648135499</v>
      </c>
    </row>
    <row r="3274" spans="1:14" x14ac:dyDescent="0.3">
      <c r="A3274" s="4" t="s">
        <v>10</v>
      </c>
      <c r="B3274" s="3">
        <v>45304.333333333336</v>
      </c>
      <c r="C3274" s="4">
        <v>545.14343917837698</v>
      </c>
      <c r="D3274" s="4">
        <v>515.836934356744</v>
      </c>
      <c r="E3274" s="4">
        <v>515.836934356744</v>
      </c>
      <c r="F3274" s="4">
        <v>21.447434917023799</v>
      </c>
      <c r="G3274" s="4" t="str">
        <f t="shared" si="102"/>
        <v>OK</v>
      </c>
      <c r="H3274" s="4" t="str">
        <f t="shared" si="103"/>
        <v>NON-ZERO</v>
      </c>
      <c r="I3274">
        <v>600</v>
      </c>
      <c r="J3274">
        <f>IFERROR(Table4[[#This Row],[energy_kwh]]/Table4[[#This Row],[expected_kwh]],0)</f>
        <v>0.85972822392790671</v>
      </c>
      <c r="K3274" t="str">
        <f>IF(Table4[[#This Row],[Performance_Ratio]] &lt; 0.85, "Underperforming", "Performing")</f>
        <v>Performing</v>
      </c>
      <c r="L3274">
        <f>Table4[[#This Row],[energy_kwh]] - Table4[[#This Row],[expected_kwh]]</f>
        <v>-84.163065643256004</v>
      </c>
      <c r="M3274" t="str">
        <f>IF(Table4[[#This Row],[Performance_Deviation]] &lt; 0, "Underperforming", "Outperforming")</f>
        <v>Underperforming</v>
      </c>
      <c r="N3274">
        <f>IF(Table4[[#This Row],[Performance_Ratio]] &lt; 0.85, Table4[[#This Row],[Performance_Deviation]] * 50 / 1000, 0)</f>
        <v>0</v>
      </c>
    </row>
    <row r="3275" spans="1:14" x14ac:dyDescent="0.3">
      <c r="A3275" s="6" t="s">
        <v>10</v>
      </c>
      <c r="B3275" s="5">
        <v>45304.375</v>
      </c>
      <c r="C3275" s="6">
        <v>792.59916075524097</v>
      </c>
      <c r="D3275" s="6">
        <v>749.98962084900097</v>
      </c>
      <c r="E3275" s="6">
        <v>749.98962084900097</v>
      </c>
      <c r="F3275" s="6">
        <v>70.448655457427805</v>
      </c>
      <c r="G3275" s="6" t="str">
        <f t="shared" si="102"/>
        <v>OK</v>
      </c>
      <c r="H3275" s="6" t="str">
        <f t="shared" si="103"/>
        <v>NON-ZERO</v>
      </c>
      <c r="I3275">
        <v>848.52813742385695</v>
      </c>
      <c r="J3275">
        <f>IFERROR(Table4[[#This Row],[energy_kwh]]/Table4[[#This Row],[expected_kwh]],0)</f>
        <v>0.88387124453642718</v>
      </c>
      <c r="K3275" t="str">
        <f>IF(Table4[[#This Row],[Performance_Ratio]] &lt; 0.85, "Underperforming", "Performing")</f>
        <v>Performing</v>
      </c>
      <c r="L3275">
        <f>Table4[[#This Row],[energy_kwh]] - Table4[[#This Row],[expected_kwh]]</f>
        <v>-98.538516574855976</v>
      </c>
      <c r="M3275" t="str">
        <f>IF(Table4[[#This Row],[Performance_Deviation]] &lt; 0, "Underperforming", "Outperforming")</f>
        <v>Underperforming</v>
      </c>
      <c r="N3275">
        <f>IF(Table4[[#This Row],[Performance_Ratio]] &lt; 0.85, Table4[[#This Row],[Performance_Deviation]] * 50 / 1000, 0)</f>
        <v>0</v>
      </c>
    </row>
    <row r="3276" spans="1:14" x14ac:dyDescent="0.3">
      <c r="A3276" s="4" t="s">
        <v>10</v>
      </c>
      <c r="B3276" s="3">
        <v>45304.416666666664</v>
      </c>
      <c r="C3276" s="4">
        <v>885.14114656686502</v>
      </c>
      <c r="D3276" s="4">
        <v>837.55661850433398</v>
      </c>
      <c r="E3276" s="4">
        <v>837.55661850433398</v>
      </c>
      <c r="F3276" s="4">
        <v>81.690201418510298</v>
      </c>
      <c r="G3276" s="4" t="str">
        <f t="shared" si="102"/>
        <v>OK</v>
      </c>
      <c r="H3276" s="4" t="str">
        <f t="shared" si="103"/>
        <v>NON-ZERO</v>
      </c>
      <c r="I3276">
        <v>1039.23048454132</v>
      </c>
      <c r="J3276">
        <f>IFERROR(Table4[[#This Row],[energy_kwh]]/Table4[[#This Row],[expected_kwh]],0)</f>
        <v>0.80593923192505479</v>
      </c>
      <c r="K3276" t="str">
        <f>IF(Table4[[#This Row],[Performance_Ratio]] &lt; 0.85, "Underperforming", "Performing")</f>
        <v>Underperforming</v>
      </c>
      <c r="L3276">
        <f>Table4[[#This Row],[energy_kwh]] - Table4[[#This Row],[expected_kwh]]</f>
        <v>-201.67386603698606</v>
      </c>
      <c r="M3276" t="str">
        <f>IF(Table4[[#This Row],[Performance_Deviation]] &lt; 0, "Underperforming", "Outperforming")</f>
        <v>Underperforming</v>
      </c>
      <c r="N3276">
        <f>IF(Table4[[#This Row],[Performance_Ratio]] &lt; 0.85, Table4[[#This Row],[Performance_Deviation]] * 50 / 1000, 0)</f>
        <v>-10.083693301849303</v>
      </c>
    </row>
    <row r="3277" spans="1:14" x14ac:dyDescent="0.3">
      <c r="A3277" s="6" t="s">
        <v>10</v>
      </c>
      <c r="B3277" s="5">
        <v>45304.458333333336</v>
      </c>
      <c r="C3277" s="6">
        <v>1137.6933070970799</v>
      </c>
      <c r="D3277" s="6">
        <v>1076.5317631918001</v>
      </c>
      <c r="E3277" s="6">
        <v>1076.5317631918001</v>
      </c>
      <c r="F3277" s="6">
        <v>77.786701887597204</v>
      </c>
      <c r="G3277" s="6" t="str">
        <f t="shared" si="102"/>
        <v>OK</v>
      </c>
      <c r="H3277" s="6" t="str">
        <f t="shared" si="103"/>
        <v>NON-ZERO</v>
      </c>
      <c r="I3277">
        <v>1159.1109915468801</v>
      </c>
      <c r="J3277">
        <f>IFERROR(Table4[[#This Row],[energy_kwh]]/Table4[[#This Row],[expected_kwh]],0)</f>
        <v>0.92875640990611719</v>
      </c>
      <c r="K3277" t="str">
        <f>IF(Table4[[#This Row],[Performance_Ratio]] &lt; 0.85, "Underperforming", "Performing")</f>
        <v>Performing</v>
      </c>
      <c r="L3277">
        <f>Table4[[#This Row],[energy_kwh]] - Table4[[#This Row],[expected_kwh]]</f>
        <v>-82.579228355079977</v>
      </c>
      <c r="M3277" t="str">
        <f>IF(Table4[[#This Row],[Performance_Deviation]] &lt; 0, "Underperforming", "Outperforming")</f>
        <v>Underperforming</v>
      </c>
      <c r="N3277">
        <f>IF(Table4[[#This Row],[Performance_Ratio]] &lt; 0.85, Table4[[#This Row],[Performance_Deviation]] * 50 / 1000, 0)</f>
        <v>0</v>
      </c>
    </row>
    <row r="3278" spans="1:14" x14ac:dyDescent="0.3">
      <c r="A3278" s="4" t="s">
        <v>10</v>
      </c>
      <c r="B3278" s="3">
        <v>45304.5</v>
      </c>
      <c r="C3278" s="4">
        <v>1141.3665622083299</v>
      </c>
      <c r="D3278" s="4">
        <v>1080.00754684712</v>
      </c>
      <c r="E3278" s="4">
        <v>1080.00754684712</v>
      </c>
      <c r="F3278" s="4">
        <v>86.021844726007203</v>
      </c>
      <c r="G3278" s="4" t="str">
        <f t="shared" si="102"/>
        <v>OK</v>
      </c>
      <c r="H3278" s="4" t="str">
        <f t="shared" si="103"/>
        <v>NON-ZERO</v>
      </c>
      <c r="I3278">
        <v>1200</v>
      </c>
      <c r="J3278">
        <f>IFERROR(Table4[[#This Row],[energy_kwh]]/Table4[[#This Row],[expected_kwh]],0)</f>
        <v>0.90000628903926672</v>
      </c>
      <c r="K3278" t="str">
        <f>IF(Table4[[#This Row],[Performance_Ratio]] &lt; 0.85, "Underperforming", "Performing")</f>
        <v>Performing</v>
      </c>
      <c r="L3278">
        <f>Table4[[#This Row],[energy_kwh]] - Table4[[#This Row],[expected_kwh]]</f>
        <v>-119.99245315287999</v>
      </c>
      <c r="M3278" t="str">
        <f>IF(Table4[[#This Row],[Performance_Deviation]] &lt; 0, "Underperforming", "Outperforming")</f>
        <v>Underperforming</v>
      </c>
      <c r="N3278">
        <f>IF(Table4[[#This Row],[Performance_Ratio]] &lt; 0.85, Table4[[#This Row],[Performance_Deviation]] * 50 / 1000, 0)</f>
        <v>0</v>
      </c>
    </row>
    <row r="3279" spans="1:14" x14ac:dyDescent="0.3">
      <c r="A3279" s="6" t="s">
        <v>10</v>
      </c>
      <c r="B3279" s="5">
        <v>45304.541666666664</v>
      </c>
      <c r="C3279" s="6">
        <v>1144.0866616386099</v>
      </c>
      <c r="D3279" s="6">
        <v>1082.5814157601801</v>
      </c>
      <c r="E3279" s="6">
        <v>1082.5814157601801</v>
      </c>
      <c r="F3279" s="6">
        <v>79.902843038197901</v>
      </c>
      <c r="G3279" s="6" t="str">
        <f t="shared" si="102"/>
        <v>OK</v>
      </c>
      <c r="H3279" s="6" t="str">
        <f t="shared" si="103"/>
        <v>NON-ZERO</v>
      </c>
      <c r="I3279">
        <v>1159.1109915468801</v>
      </c>
      <c r="J3279">
        <f>IFERROR(Table4[[#This Row],[energy_kwh]]/Table4[[#This Row],[expected_kwh]],0)</f>
        <v>0.93397562757595098</v>
      </c>
      <c r="K3279" t="str">
        <f>IF(Table4[[#This Row],[Performance_Ratio]] &lt; 0.85, "Underperforming", "Performing")</f>
        <v>Performing</v>
      </c>
      <c r="L3279">
        <f>Table4[[#This Row],[energy_kwh]] - Table4[[#This Row],[expected_kwh]]</f>
        <v>-76.529575786699979</v>
      </c>
      <c r="M3279" t="str">
        <f>IF(Table4[[#This Row],[Performance_Deviation]] &lt; 0, "Underperforming", "Outperforming")</f>
        <v>Underperforming</v>
      </c>
      <c r="N3279">
        <f>IF(Table4[[#This Row],[Performance_Ratio]] &lt; 0.85, Table4[[#This Row],[Performance_Deviation]] * 50 / 1000, 0)</f>
        <v>0</v>
      </c>
    </row>
    <row r="3280" spans="1:14" x14ac:dyDescent="0.3">
      <c r="A3280" s="4" t="s">
        <v>10</v>
      </c>
      <c r="B3280" s="3">
        <v>45304.583333333336</v>
      </c>
      <c r="C3280" s="4">
        <v>1003.82153952593</v>
      </c>
      <c r="D3280" s="4">
        <v>949.85684202812399</v>
      </c>
      <c r="E3280" s="4">
        <v>949.85684202812399</v>
      </c>
      <c r="F3280" s="4">
        <v>89.851877540484395</v>
      </c>
      <c r="G3280" s="4" t="str">
        <f t="shared" si="102"/>
        <v>OK</v>
      </c>
      <c r="H3280" s="4" t="str">
        <f t="shared" si="103"/>
        <v>NON-ZERO</v>
      </c>
      <c r="I3280">
        <v>1039.23048454132</v>
      </c>
      <c r="J3280">
        <f>IFERROR(Table4[[#This Row],[energy_kwh]]/Table4[[#This Row],[expected_kwh]],0)</f>
        <v>0.91400017239424758</v>
      </c>
      <c r="K3280" t="str">
        <f>IF(Table4[[#This Row],[Performance_Ratio]] &lt; 0.85, "Underperforming", "Performing")</f>
        <v>Performing</v>
      </c>
      <c r="L3280">
        <f>Table4[[#This Row],[energy_kwh]] - Table4[[#This Row],[expected_kwh]]</f>
        <v>-89.373642513196046</v>
      </c>
      <c r="M3280" t="str">
        <f>IF(Table4[[#This Row],[Performance_Deviation]] &lt; 0, "Underperforming", "Outperforming")</f>
        <v>Underperforming</v>
      </c>
      <c r="N3280">
        <f>IF(Table4[[#This Row],[Performance_Ratio]] &lt; 0.85, Table4[[#This Row],[Performance_Deviation]] * 50 / 1000, 0)</f>
        <v>0</v>
      </c>
    </row>
    <row r="3281" spans="1:14" x14ac:dyDescent="0.3">
      <c r="A3281" s="6" t="s">
        <v>10</v>
      </c>
      <c r="B3281" s="5">
        <v>45304.625</v>
      </c>
      <c r="C3281" s="6">
        <v>720.29335362141398</v>
      </c>
      <c r="D3281" s="6">
        <v>681.57091999419799</v>
      </c>
      <c r="E3281" s="6">
        <v>681.57091999419799</v>
      </c>
      <c r="F3281" s="6">
        <v>64.471570469555203</v>
      </c>
      <c r="G3281" s="6" t="str">
        <f t="shared" si="102"/>
        <v>OK</v>
      </c>
      <c r="H3281" s="6" t="str">
        <f t="shared" si="103"/>
        <v>NON-ZERO</v>
      </c>
      <c r="I3281">
        <v>848.52813742385695</v>
      </c>
      <c r="J3281">
        <f>IFERROR(Table4[[#This Row],[energy_kwh]]/Table4[[#This Row],[expected_kwh]],0)</f>
        <v>0.80323903231241878</v>
      </c>
      <c r="K3281" t="str">
        <f>IF(Table4[[#This Row],[Performance_Ratio]] &lt; 0.85, "Underperforming", "Performing")</f>
        <v>Underperforming</v>
      </c>
      <c r="L3281">
        <f>Table4[[#This Row],[energy_kwh]] - Table4[[#This Row],[expected_kwh]]</f>
        <v>-166.95721742965895</v>
      </c>
      <c r="M3281" t="str">
        <f>IF(Table4[[#This Row],[Performance_Deviation]] &lt; 0, "Underperforming", "Outperforming")</f>
        <v>Underperforming</v>
      </c>
      <c r="N3281">
        <f>IF(Table4[[#This Row],[Performance_Ratio]] &lt; 0.85, Table4[[#This Row],[Performance_Deviation]] * 50 / 1000, 0)</f>
        <v>-8.3478608714829488</v>
      </c>
    </row>
    <row r="3282" spans="1:14" x14ac:dyDescent="0.3">
      <c r="A3282" s="4" t="s">
        <v>10</v>
      </c>
      <c r="B3282" s="3">
        <v>45304.666666666664</v>
      </c>
      <c r="C3282" s="4">
        <v>555.10251833805796</v>
      </c>
      <c r="D3282" s="4">
        <v>525.26062084646503</v>
      </c>
      <c r="E3282" s="4">
        <v>525.26062084646503</v>
      </c>
      <c r="F3282" s="4">
        <v>80.046774230961105</v>
      </c>
      <c r="G3282" s="4" t="str">
        <f t="shared" si="102"/>
        <v>OK</v>
      </c>
      <c r="H3282" s="4" t="str">
        <f t="shared" si="103"/>
        <v>NON-ZERO</v>
      </c>
      <c r="I3282">
        <v>600</v>
      </c>
      <c r="J3282">
        <f>IFERROR(Table4[[#This Row],[energy_kwh]]/Table4[[#This Row],[expected_kwh]],0)</f>
        <v>0.87543436807744168</v>
      </c>
      <c r="K3282" t="str">
        <f>IF(Table4[[#This Row],[Performance_Ratio]] &lt; 0.85, "Underperforming", "Performing")</f>
        <v>Performing</v>
      </c>
      <c r="L3282">
        <f>Table4[[#This Row],[energy_kwh]] - Table4[[#This Row],[expected_kwh]]</f>
        <v>-74.739379153534969</v>
      </c>
      <c r="M3282" t="str">
        <f>IF(Table4[[#This Row],[Performance_Deviation]] &lt; 0, "Underperforming", "Outperforming")</f>
        <v>Underperforming</v>
      </c>
      <c r="N3282">
        <f>IF(Table4[[#This Row],[Performance_Ratio]] &lt; 0.85, Table4[[#This Row],[Performance_Deviation]] * 50 / 1000, 0)</f>
        <v>0</v>
      </c>
    </row>
    <row r="3283" spans="1:14" x14ac:dyDescent="0.3">
      <c r="A3283" s="6" t="s">
        <v>10</v>
      </c>
      <c r="B3283" s="5">
        <v>45304.708333333336</v>
      </c>
      <c r="C3283" s="6">
        <v>278.24724306433899</v>
      </c>
      <c r="D3283" s="6">
        <v>263.28887874326898</v>
      </c>
      <c r="E3283" s="6">
        <v>263.28887874326898</v>
      </c>
      <c r="F3283" s="6">
        <v>34.018397359293097</v>
      </c>
      <c r="G3283" s="6" t="str">
        <f t="shared" si="102"/>
        <v>OK</v>
      </c>
      <c r="H3283" s="6" t="str">
        <f t="shared" si="103"/>
        <v>NON-ZERO</v>
      </c>
      <c r="I3283">
        <v>310.58285412302502</v>
      </c>
      <c r="J3283">
        <f>IFERROR(Table4[[#This Row],[energy_kwh]]/Table4[[#This Row],[expected_kwh]],0)</f>
        <v>0.84772509250938111</v>
      </c>
      <c r="K3283" t="str">
        <f>IF(Table4[[#This Row],[Performance_Ratio]] &lt; 0.85, "Underperforming", "Performing")</f>
        <v>Underperforming</v>
      </c>
      <c r="L3283">
        <f>Table4[[#This Row],[energy_kwh]] - Table4[[#This Row],[expected_kwh]]</f>
        <v>-47.293975379756034</v>
      </c>
      <c r="M3283" t="str">
        <f>IF(Table4[[#This Row],[Performance_Deviation]] &lt; 0, "Underperforming", "Outperforming")</f>
        <v>Underperforming</v>
      </c>
      <c r="N3283">
        <f>IF(Table4[[#This Row],[Performance_Ratio]] &lt; 0.85, Table4[[#This Row],[Performance_Deviation]] * 50 / 1000, 0)</f>
        <v>-2.3646987689878016</v>
      </c>
    </row>
    <row r="3284" spans="1:14" x14ac:dyDescent="0.3">
      <c r="A3284" s="4" t="s">
        <v>10</v>
      </c>
      <c r="B3284" s="3">
        <v>45304.75</v>
      </c>
      <c r="C3284" s="7">
        <v>1.56373367170624E-13</v>
      </c>
      <c r="D3284" s="7">
        <v>1.4796685154628099E-13</v>
      </c>
      <c r="E3284" s="7">
        <v>1.4796685154628099E-13</v>
      </c>
      <c r="F3284" s="4">
        <v>60.591547102466997</v>
      </c>
      <c r="G3284" s="4" t="str">
        <f t="shared" si="102"/>
        <v>OK</v>
      </c>
      <c r="H3284" s="4" t="str">
        <f t="shared" si="103"/>
        <v>NON-ZERO</v>
      </c>
      <c r="I3284" s="2">
        <v>1.46957615897682E-13</v>
      </c>
      <c r="J3284">
        <f>IFERROR(Table4[[#This Row],[energy_kwh]]/Table4[[#This Row],[expected_kwh]],0)</f>
        <v>1.0068675287254365</v>
      </c>
      <c r="K3284" t="str">
        <f>IF(Table4[[#This Row],[Performance_Ratio]] &lt; 0.85, "Underperforming", "Performing")</f>
        <v>Performing</v>
      </c>
      <c r="L3284">
        <f>Table4[[#This Row],[energy_kwh]] - Table4[[#This Row],[expected_kwh]]</f>
        <v>1.0092356485989931E-15</v>
      </c>
      <c r="M3284" t="str">
        <f>IF(Table4[[#This Row],[Performance_Deviation]] &lt; 0, "Underperforming", "Outperforming")</f>
        <v>Outperforming</v>
      </c>
      <c r="N3284">
        <f>IF(Table4[[#This Row],[Performance_Ratio]] &lt; 0.85, Table4[[#This Row],[Performance_Deviation]] * 50 / 1000, 0)</f>
        <v>0</v>
      </c>
    </row>
    <row r="3285" spans="1:14" x14ac:dyDescent="0.3">
      <c r="A3285" s="6" t="s">
        <v>10</v>
      </c>
      <c r="B3285" s="5">
        <v>45304.791666666664</v>
      </c>
      <c r="C3285" s="6">
        <v>0</v>
      </c>
      <c r="D3285" s="6">
        <v>0</v>
      </c>
      <c r="E3285" s="6">
        <v>0</v>
      </c>
      <c r="F3285" s="6">
        <v>51.510091563732502</v>
      </c>
      <c r="G3285" s="6" t="str">
        <f t="shared" si="102"/>
        <v>OK</v>
      </c>
      <c r="H3285" s="6" t="str">
        <f t="shared" si="103"/>
        <v>ZERO</v>
      </c>
      <c r="I3285">
        <v>0</v>
      </c>
      <c r="J3285">
        <f>IFERROR(Table4[[#This Row],[energy_kwh]]/Table4[[#This Row],[expected_kwh]],0)</f>
        <v>0</v>
      </c>
      <c r="K3285" t="str">
        <f>IF(Table4[[#This Row],[Performance_Ratio]] &lt; 0.85, "Underperforming", "Performing")</f>
        <v>Underperforming</v>
      </c>
      <c r="L3285">
        <f>Table4[[#This Row],[energy_kwh]] - Table4[[#This Row],[expected_kwh]]</f>
        <v>0</v>
      </c>
      <c r="M3285" t="str">
        <f>IF(Table4[[#This Row],[Performance_Deviation]] &lt; 0, "Underperforming", "Outperforming")</f>
        <v>Outperforming</v>
      </c>
      <c r="N3285">
        <f>IF(Table4[[#This Row],[Performance_Ratio]] &lt; 0.85, Table4[[#This Row],[Performance_Deviation]] * 50 / 1000, 0)</f>
        <v>0</v>
      </c>
    </row>
    <row r="3286" spans="1:14" x14ac:dyDescent="0.3">
      <c r="A3286" s="4" t="s">
        <v>10</v>
      </c>
      <c r="B3286" s="3">
        <v>45304.833333333336</v>
      </c>
      <c r="C3286" s="4">
        <v>0</v>
      </c>
      <c r="D3286" s="4">
        <v>0</v>
      </c>
      <c r="E3286" s="4">
        <v>0</v>
      </c>
      <c r="F3286" s="4">
        <v>87.127456370387705</v>
      </c>
      <c r="G3286" s="4" t="str">
        <f t="shared" si="102"/>
        <v>OK</v>
      </c>
      <c r="H3286" s="4" t="str">
        <f t="shared" si="103"/>
        <v>ZERO</v>
      </c>
      <c r="I3286">
        <v>0</v>
      </c>
      <c r="J3286">
        <f>IFERROR(Table4[[#This Row],[energy_kwh]]/Table4[[#This Row],[expected_kwh]],0)</f>
        <v>0</v>
      </c>
      <c r="K3286" t="str">
        <f>IF(Table4[[#This Row],[Performance_Ratio]] &lt; 0.85, "Underperforming", "Performing")</f>
        <v>Underperforming</v>
      </c>
      <c r="L3286">
        <f>Table4[[#This Row],[energy_kwh]] - Table4[[#This Row],[expected_kwh]]</f>
        <v>0</v>
      </c>
      <c r="M3286" t="str">
        <f>IF(Table4[[#This Row],[Performance_Deviation]] &lt; 0, "Underperforming", "Outperforming")</f>
        <v>Outperforming</v>
      </c>
      <c r="N3286">
        <f>IF(Table4[[#This Row],[Performance_Ratio]] &lt; 0.85, Table4[[#This Row],[Performance_Deviation]] * 50 / 1000, 0)</f>
        <v>0</v>
      </c>
    </row>
    <row r="3287" spans="1:14" x14ac:dyDescent="0.3">
      <c r="A3287" s="6" t="s">
        <v>10</v>
      </c>
      <c r="B3287" s="5">
        <v>45304.875</v>
      </c>
      <c r="C3287" s="6">
        <v>0</v>
      </c>
      <c r="D3287" s="6">
        <v>0</v>
      </c>
      <c r="E3287" s="6">
        <v>0</v>
      </c>
      <c r="F3287" s="6">
        <v>41.780819160668401</v>
      </c>
      <c r="G3287" s="6" t="str">
        <f t="shared" si="102"/>
        <v>OK</v>
      </c>
      <c r="H3287" s="6" t="str">
        <f t="shared" si="103"/>
        <v>ZERO</v>
      </c>
      <c r="I3287">
        <v>0</v>
      </c>
      <c r="J3287">
        <f>IFERROR(Table4[[#This Row],[energy_kwh]]/Table4[[#This Row],[expected_kwh]],0)</f>
        <v>0</v>
      </c>
      <c r="K3287" t="str">
        <f>IF(Table4[[#This Row],[Performance_Ratio]] &lt; 0.85, "Underperforming", "Performing")</f>
        <v>Underperforming</v>
      </c>
      <c r="L3287">
        <f>Table4[[#This Row],[energy_kwh]] - Table4[[#This Row],[expected_kwh]]</f>
        <v>0</v>
      </c>
      <c r="M3287" t="str">
        <f>IF(Table4[[#This Row],[Performance_Deviation]] &lt; 0, "Underperforming", "Outperforming")</f>
        <v>Outperforming</v>
      </c>
      <c r="N3287">
        <f>IF(Table4[[#This Row],[Performance_Ratio]] &lt; 0.85, Table4[[#This Row],[Performance_Deviation]] * 50 / 1000, 0)</f>
        <v>0</v>
      </c>
    </row>
    <row r="3288" spans="1:14" x14ac:dyDescent="0.3">
      <c r="A3288" s="4" t="s">
        <v>10</v>
      </c>
      <c r="B3288" s="3">
        <v>45304.916666666664</v>
      </c>
      <c r="C3288" s="4">
        <v>0</v>
      </c>
      <c r="D3288" s="4">
        <v>0</v>
      </c>
      <c r="E3288" s="4">
        <v>0</v>
      </c>
      <c r="F3288" s="4">
        <v>38.701423318002597</v>
      </c>
      <c r="G3288" s="4" t="str">
        <f t="shared" si="102"/>
        <v>OK</v>
      </c>
      <c r="H3288" s="4" t="str">
        <f t="shared" si="103"/>
        <v>ZERO</v>
      </c>
      <c r="I3288">
        <v>0</v>
      </c>
      <c r="J3288">
        <f>IFERROR(Table4[[#This Row],[energy_kwh]]/Table4[[#This Row],[expected_kwh]],0)</f>
        <v>0</v>
      </c>
      <c r="K3288" t="str">
        <f>IF(Table4[[#This Row],[Performance_Ratio]] &lt; 0.85, "Underperforming", "Performing")</f>
        <v>Underperforming</v>
      </c>
      <c r="L3288">
        <f>Table4[[#This Row],[energy_kwh]] - Table4[[#This Row],[expected_kwh]]</f>
        <v>0</v>
      </c>
      <c r="M3288" t="str">
        <f>IF(Table4[[#This Row],[Performance_Deviation]] &lt; 0, "Underperforming", "Outperforming")</f>
        <v>Outperforming</v>
      </c>
      <c r="N3288">
        <f>IF(Table4[[#This Row],[Performance_Ratio]] &lt; 0.85, Table4[[#This Row],[Performance_Deviation]] * 50 / 1000, 0)</f>
        <v>0</v>
      </c>
    </row>
    <row r="3289" spans="1:14" x14ac:dyDescent="0.3">
      <c r="A3289" s="6" t="s">
        <v>10</v>
      </c>
      <c r="B3289" s="5">
        <v>45304.958333333336</v>
      </c>
      <c r="C3289" s="6">
        <v>0</v>
      </c>
      <c r="D3289" s="6">
        <v>0</v>
      </c>
      <c r="E3289" s="6">
        <v>0</v>
      </c>
      <c r="F3289" s="6">
        <v>82.208497982124797</v>
      </c>
      <c r="G3289" s="6" t="str">
        <f t="shared" si="102"/>
        <v>OK</v>
      </c>
      <c r="H3289" s="6" t="str">
        <f t="shared" si="103"/>
        <v>ZERO</v>
      </c>
      <c r="I3289">
        <v>0</v>
      </c>
      <c r="J3289">
        <f>IFERROR(Table4[[#This Row],[energy_kwh]]/Table4[[#This Row],[expected_kwh]],0)</f>
        <v>0</v>
      </c>
      <c r="K3289" t="str">
        <f>IF(Table4[[#This Row],[Performance_Ratio]] &lt; 0.85, "Underperforming", "Performing")</f>
        <v>Underperforming</v>
      </c>
      <c r="L3289">
        <f>Table4[[#This Row],[energy_kwh]] - Table4[[#This Row],[expected_kwh]]</f>
        <v>0</v>
      </c>
      <c r="M3289" t="str">
        <f>IF(Table4[[#This Row],[Performance_Deviation]] &lt; 0, "Underperforming", "Outperforming")</f>
        <v>Outperforming</v>
      </c>
      <c r="N3289">
        <f>IF(Table4[[#This Row],[Performance_Ratio]] &lt; 0.85, Table4[[#This Row],[Performance_Deviation]] * 50 / 1000, 0)</f>
        <v>0</v>
      </c>
    </row>
    <row r="3290" spans="1:14" x14ac:dyDescent="0.3">
      <c r="A3290" s="4" t="s">
        <v>10</v>
      </c>
      <c r="B3290" s="3">
        <v>45305</v>
      </c>
      <c r="C3290" s="4">
        <v>0</v>
      </c>
      <c r="D3290" s="4">
        <v>0</v>
      </c>
      <c r="E3290" s="4">
        <v>0</v>
      </c>
      <c r="F3290" s="4">
        <v>44.260050104787197</v>
      </c>
      <c r="G3290" s="4" t="str">
        <f t="shared" si="102"/>
        <v>OK</v>
      </c>
      <c r="H3290" s="4" t="str">
        <f t="shared" si="103"/>
        <v>ZERO</v>
      </c>
      <c r="I3290">
        <v>0</v>
      </c>
      <c r="J3290">
        <f>IFERROR(Table4[[#This Row],[energy_kwh]]/Table4[[#This Row],[expected_kwh]],0)</f>
        <v>0</v>
      </c>
      <c r="K3290" t="str">
        <f>IF(Table4[[#This Row],[Performance_Ratio]] &lt; 0.85, "Underperforming", "Performing")</f>
        <v>Underperforming</v>
      </c>
      <c r="L3290">
        <f>Table4[[#This Row],[energy_kwh]] - Table4[[#This Row],[expected_kwh]]</f>
        <v>0</v>
      </c>
      <c r="M3290" t="str">
        <f>IF(Table4[[#This Row],[Performance_Deviation]] &lt; 0, "Underperforming", "Outperforming")</f>
        <v>Outperforming</v>
      </c>
      <c r="N3290">
        <f>IF(Table4[[#This Row],[Performance_Ratio]] &lt; 0.85, Table4[[#This Row],[Performance_Deviation]] * 50 / 1000, 0)</f>
        <v>0</v>
      </c>
    </row>
    <row r="3291" spans="1:14" x14ac:dyDescent="0.3">
      <c r="A3291" s="6" t="s">
        <v>10</v>
      </c>
      <c r="B3291" s="5">
        <v>45305.041666666664</v>
      </c>
      <c r="C3291" s="6">
        <v>0</v>
      </c>
      <c r="D3291" s="6">
        <v>0</v>
      </c>
      <c r="E3291" s="6">
        <v>0</v>
      </c>
      <c r="F3291" s="6">
        <v>93.9471263301063</v>
      </c>
      <c r="G3291" s="6" t="str">
        <f t="shared" si="102"/>
        <v>OK</v>
      </c>
      <c r="H3291" s="6" t="str">
        <f t="shared" si="103"/>
        <v>ZERO</v>
      </c>
      <c r="I3291">
        <v>0</v>
      </c>
      <c r="J3291">
        <f>IFERROR(Table4[[#This Row],[energy_kwh]]/Table4[[#This Row],[expected_kwh]],0)</f>
        <v>0</v>
      </c>
      <c r="K3291" t="str">
        <f>IF(Table4[[#This Row],[Performance_Ratio]] &lt; 0.85, "Underperforming", "Performing")</f>
        <v>Underperforming</v>
      </c>
      <c r="L3291">
        <f>Table4[[#This Row],[energy_kwh]] - Table4[[#This Row],[expected_kwh]]</f>
        <v>0</v>
      </c>
      <c r="M3291" t="str">
        <f>IF(Table4[[#This Row],[Performance_Deviation]] &lt; 0, "Underperforming", "Outperforming")</f>
        <v>Outperforming</v>
      </c>
      <c r="N3291">
        <f>IF(Table4[[#This Row],[Performance_Ratio]] &lt; 0.85, Table4[[#This Row],[Performance_Deviation]] * 50 / 1000, 0)</f>
        <v>0</v>
      </c>
    </row>
    <row r="3292" spans="1:14" x14ac:dyDescent="0.3">
      <c r="A3292" s="4" t="s">
        <v>10</v>
      </c>
      <c r="B3292" s="3">
        <v>45305.083333333336</v>
      </c>
      <c r="C3292" s="4">
        <v>0</v>
      </c>
      <c r="D3292" s="4">
        <v>0</v>
      </c>
      <c r="E3292" s="4">
        <v>0</v>
      </c>
      <c r="F3292" s="4">
        <v>46.718618981568703</v>
      </c>
      <c r="G3292" s="4" t="str">
        <f t="shared" si="102"/>
        <v>OK</v>
      </c>
      <c r="H3292" s="4" t="str">
        <f t="shared" si="103"/>
        <v>ZERO</v>
      </c>
      <c r="I3292">
        <v>0</v>
      </c>
      <c r="J3292">
        <f>IFERROR(Table4[[#This Row],[energy_kwh]]/Table4[[#This Row],[expected_kwh]],0)</f>
        <v>0</v>
      </c>
      <c r="K3292" t="str">
        <f>IF(Table4[[#This Row],[Performance_Ratio]] &lt; 0.85, "Underperforming", "Performing")</f>
        <v>Underperforming</v>
      </c>
      <c r="L3292">
        <f>Table4[[#This Row],[energy_kwh]] - Table4[[#This Row],[expected_kwh]]</f>
        <v>0</v>
      </c>
      <c r="M3292" t="str">
        <f>IF(Table4[[#This Row],[Performance_Deviation]] &lt; 0, "Underperforming", "Outperforming")</f>
        <v>Outperforming</v>
      </c>
      <c r="N3292">
        <f>IF(Table4[[#This Row],[Performance_Ratio]] &lt; 0.85, Table4[[#This Row],[Performance_Deviation]] * 50 / 1000, 0)</f>
        <v>0</v>
      </c>
    </row>
    <row r="3293" spans="1:14" x14ac:dyDescent="0.3">
      <c r="A3293" s="6" t="s">
        <v>10</v>
      </c>
      <c r="B3293" s="5">
        <v>45305.125</v>
      </c>
      <c r="C3293" s="6">
        <v>0</v>
      </c>
      <c r="D3293" s="6">
        <v>0</v>
      </c>
      <c r="E3293" s="6">
        <v>0</v>
      </c>
      <c r="F3293" s="6">
        <v>71.791448029973296</v>
      </c>
      <c r="G3293" s="6" t="str">
        <f t="shared" si="102"/>
        <v>OK</v>
      </c>
      <c r="H3293" s="6" t="str">
        <f t="shared" si="103"/>
        <v>ZERO</v>
      </c>
      <c r="I3293">
        <v>0</v>
      </c>
      <c r="J3293">
        <f>IFERROR(Table4[[#This Row],[energy_kwh]]/Table4[[#This Row],[expected_kwh]],0)</f>
        <v>0</v>
      </c>
      <c r="K3293" t="str">
        <f>IF(Table4[[#This Row],[Performance_Ratio]] &lt; 0.85, "Underperforming", "Performing")</f>
        <v>Underperforming</v>
      </c>
      <c r="L3293">
        <f>Table4[[#This Row],[energy_kwh]] - Table4[[#This Row],[expected_kwh]]</f>
        <v>0</v>
      </c>
      <c r="M3293" t="str">
        <f>IF(Table4[[#This Row],[Performance_Deviation]] &lt; 0, "Underperforming", "Outperforming")</f>
        <v>Outperforming</v>
      </c>
      <c r="N3293">
        <f>IF(Table4[[#This Row],[Performance_Ratio]] &lt; 0.85, Table4[[#This Row],[Performance_Deviation]] * 50 / 1000, 0)</f>
        <v>0</v>
      </c>
    </row>
    <row r="3294" spans="1:14" x14ac:dyDescent="0.3">
      <c r="A3294" s="4" t="s">
        <v>10</v>
      </c>
      <c r="B3294" s="3">
        <v>45305.166666666664</v>
      </c>
      <c r="C3294" s="4">
        <v>0</v>
      </c>
      <c r="D3294" s="4">
        <v>0</v>
      </c>
      <c r="E3294" s="4">
        <v>0</v>
      </c>
      <c r="F3294" s="4">
        <v>51.112300391671504</v>
      </c>
      <c r="G3294" s="4" t="str">
        <f t="shared" si="102"/>
        <v>OK</v>
      </c>
      <c r="H3294" s="4" t="str">
        <f t="shared" si="103"/>
        <v>ZERO</v>
      </c>
      <c r="I3294">
        <v>0</v>
      </c>
      <c r="J3294">
        <f>IFERROR(Table4[[#This Row],[energy_kwh]]/Table4[[#This Row],[expected_kwh]],0)</f>
        <v>0</v>
      </c>
      <c r="K3294" t="str">
        <f>IF(Table4[[#This Row],[Performance_Ratio]] &lt; 0.85, "Underperforming", "Performing")</f>
        <v>Underperforming</v>
      </c>
      <c r="L3294">
        <f>Table4[[#This Row],[energy_kwh]] - Table4[[#This Row],[expected_kwh]]</f>
        <v>0</v>
      </c>
      <c r="M3294" t="str">
        <f>IF(Table4[[#This Row],[Performance_Deviation]] &lt; 0, "Underperforming", "Outperforming")</f>
        <v>Outperforming</v>
      </c>
      <c r="N3294">
        <f>IF(Table4[[#This Row],[Performance_Ratio]] &lt; 0.85, Table4[[#This Row],[Performance_Deviation]] * 50 / 1000, 0)</f>
        <v>0</v>
      </c>
    </row>
    <row r="3295" spans="1:14" x14ac:dyDescent="0.3">
      <c r="A3295" s="6" t="s">
        <v>10</v>
      </c>
      <c r="B3295" s="5">
        <v>45305.208333333336</v>
      </c>
      <c r="C3295" s="6">
        <v>0</v>
      </c>
      <c r="D3295" s="6">
        <v>0</v>
      </c>
      <c r="E3295" s="6">
        <v>0</v>
      </c>
      <c r="F3295" s="6">
        <v>72.861812404303706</v>
      </c>
      <c r="G3295" s="6" t="str">
        <f t="shared" si="102"/>
        <v>OK</v>
      </c>
      <c r="H3295" s="6" t="str">
        <f t="shared" si="103"/>
        <v>ZERO</v>
      </c>
      <c r="I3295">
        <v>0</v>
      </c>
      <c r="J3295">
        <f>IFERROR(Table4[[#This Row],[energy_kwh]]/Table4[[#This Row],[expected_kwh]],0)</f>
        <v>0</v>
      </c>
      <c r="K3295" t="str">
        <f>IF(Table4[[#This Row],[Performance_Ratio]] &lt; 0.85, "Underperforming", "Performing")</f>
        <v>Underperforming</v>
      </c>
      <c r="L3295">
        <f>Table4[[#This Row],[energy_kwh]] - Table4[[#This Row],[expected_kwh]]</f>
        <v>0</v>
      </c>
      <c r="M3295" t="str">
        <f>IF(Table4[[#This Row],[Performance_Deviation]] &lt; 0, "Underperforming", "Outperforming")</f>
        <v>Outperforming</v>
      </c>
      <c r="N3295">
        <f>IF(Table4[[#This Row],[Performance_Ratio]] &lt; 0.85, Table4[[#This Row],[Performance_Deviation]] * 50 / 1000, 0)</f>
        <v>0</v>
      </c>
    </row>
    <row r="3296" spans="1:14" x14ac:dyDescent="0.3">
      <c r="A3296" s="4" t="s">
        <v>10</v>
      </c>
      <c r="B3296" s="3">
        <v>45305.25</v>
      </c>
      <c r="C3296" s="4">
        <v>0</v>
      </c>
      <c r="D3296" s="4">
        <v>0</v>
      </c>
      <c r="E3296" s="4">
        <v>0</v>
      </c>
      <c r="F3296" s="4">
        <v>62.586956854968797</v>
      </c>
      <c r="G3296" s="4" t="str">
        <f t="shared" si="102"/>
        <v>OK</v>
      </c>
      <c r="H3296" s="4" t="str">
        <f t="shared" si="103"/>
        <v>ZERO</v>
      </c>
      <c r="I3296">
        <v>0</v>
      </c>
      <c r="J3296">
        <f>IFERROR(Table4[[#This Row],[energy_kwh]]/Table4[[#This Row],[expected_kwh]],0)</f>
        <v>0</v>
      </c>
      <c r="K3296" t="str">
        <f>IF(Table4[[#This Row],[Performance_Ratio]] &lt; 0.85, "Underperforming", "Performing")</f>
        <v>Underperforming</v>
      </c>
      <c r="L3296">
        <f>Table4[[#This Row],[energy_kwh]] - Table4[[#This Row],[expected_kwh]]</f>
        <v>0</v>
      </c>
      <c r="M3296" t="str">
        <f>IF(Table4[[#This Row],[Performance_Deviation]] &lt; 0, "Underperforming", "Outperforming")</f>
        <v>Outperforming</v>
      </c>
      <c r="N3296">
        <f>IF(Table4[[#This Row],[Performance_Ratio]] &lt; 0.85, Table4[[#This Row],[Performance_Deviation]] * 50 / 1000, 0)</f>
        <v>0</v>
      </c>
    </row>
    <row r="3297" spans="1:14" x14ac:dyDescent="0.3">
      <c r="A3297" s="6" t="s">
        <v>10</v>
      </c>
      <c r="B3297" s="5">
        <v>45305.291666666664</v>
      </c>
      <c r="C3297" s="6">
        <v>270.200485554728</v>
      </c>
      <c r="D3297" s="6">
        <v>255.67470891756901</v>
      </c>
      <c r="E3297" s="6">
        <v>255.67470891756901</v>
      </c>
      <c r="F3297" s="6">
        <v>60.301831192015698</v>
      </c>
      <c r="G3297" s="6" t="str">
        <f t="shared" si="102"/>
        <v>OK</v>
      </c>
      <c r="H3297" s="6" t="str">
        <f t="shared" si="103"/>
        <v>NON-ZERO</v>
      </c>
      <c r="I3297">
        <v>310.58285412302399</v>
      </c>
      <c r="J3297">
        <f>IFERROR(Table4[[#This Row],[energy_kwh]]/Table4[[#This Row],[expected_kwh]],0)</f>
        <v>0.82320934824140202</v>
      </c>
      <c r="K3297" t="str">
        <f>IF(Table4[[#This Row],[Performance_Ratio]] &lt; 0.85, "Underperforming", "Performing")</f>
        <v>Underperforming</v>
      </c>
      <c r="L3297">
        <f>Table4[[#This Row],[energy_kwh]] - Table4[[#This Row],[expected_kwh]]</f>
        <v>-54.908145205454986</v>
      </c>
      <c r="M3297" t="str">
        <f>IF(Table4[[#This Row],[Performance_Deviation]] &lt; 0, "Underperforming", "Outperforming")</f>
        <v>Underperforming</v>
      </c>
      <c r="N3297">
        <f>IF(Table4[[#This Row],[Performance_Ratio]] &lt; 0.85, Table4[[#This Row],[Performance_Deviation]] * 50 / 1000, 0)</f>
        <v>-2.7454072602727493</v>
      </c>
    </row>
    <row r="3298" spans="1:14" x14ac:dyDescent="0.3">
      <c r="A3298" s="4" t="s">
        <v>10</v>
      </c>
      <c r="B3298" s="3">
        <v>45305.333333333336</v>
      </c>
      <c r="C3298" s="4">
        <v>617.91324079728997</v>
      </c>
      <c r="D3298" s="4">
        <v>584.69468569907599</v>
      </c>
      <c r="E3298" s="4">
        <v>584.69468569907599</v>
      </c>
      <c r="F3298" s="4">
        <v>41.671836435553701</v>
      </c>
      <c r="G3298" s="4" t="str">
        <f t="shared" si="102"/>
        <v>OK</v>
      </c>
      <c r="H3298" s="4" t="str">
        <f t="shared" si="103"/>
        <v>NON-ZERO</v>
      </c>
      <c r="I3298">
        <v>600</v>
      </c>
      <c r="J3298">
        <f>IFERROR(Table4[[#This Row],[energy_kwh]]/Table4[[#This Row],[expected_kwh]],0)</f>
        <v>0.97449114283179328</v>
      </c>
      <c r="K3298" t="str">
        <f>IF(Table4[[#This Row],[Performance_Ratio]] &lt; 0.85, "Underperforming", "Performing")</f>
        <v>Performing</v>
      </c>
      <c r="L3298">
        <f>Table4[[#This Row],[energy_kwh]] - Table4[[#This Row],[expected_kwh]]</f>
        <v>-15.30531430092401</v>
      </c>
      <c r="M3298" t="str">
        <f>IF(Table4[[#This Row],[Performance_Deviation]] &lt; 0, "Underperforming", "Outperforming")</f>
        <v>Underperforming</v>
      </c>
      <c r="N3298">
        <f>IF(Table4[[#This Row],[Performance_Ratio]] &lt; 0.85, Table4[[#This Row],[Performance_Deviation]] * 50 / 1000, 0)</f>
        <v>0</v>
      </c>
    </row>
    <row r="3299" spans="1:14" x14ac:dyDescent="0.3">
      <c r="A3299" s="6" t="s">
        <v>10</v>
      </c>
      <c r="B3299" s="5">
        <v>45305.375</v>
      </c>
      <c r="C3299" s="6">
        <v>622.08117813832598</v>
      </c>
      <c r="D3299" s="6">
        <v>588.63855783634494</v>
      </c>
      <c r="E3299" s="6">
        <v>588.63855783634494</v>
      </c>
      <c r="F3299" s="6">
        <v>67.954316442725101</v>
      </c>
      <c r="G3299" s="6" t="str">
        <f t="shared" si="102"/>
        <v>OK</v>
      </c>
      <c r="H3299" s="6" t="str">
        <f t="shared" si="103"/>
        <v>NON-ZERO</v>
      </c>
      <c r="I3299">
        <v>848.52813742385695</v>
      </c>
      <c r="J3299">
        <f>IFERROR(Table4[[#This Row],[energy_kwh]]/Table4[[#This Row],[expected_kwh]],0)</f>
        <v>0.69371719318991554</v>
      </c>
      <c r="K3299" t="str">
        <f>IF(Table4[[#This Row],[Performance_Ratio]] &lt; 0.85, "Underperforming", "Performing")</f>
        <v>Underperforming</v>
      </c>
      <c r="L3299">
        <f>Table4[[#This Row],[energy_kwh]] - Table4[[#This Row],[expected_kwh]]</f>
        <v>-259.889579587512</v>
      </c>
      <c r="M3299" t="str">
        <f>IF(Table4[[#This Row],[Performance_Deviation]] &lt; 0, "Underperforming", "Outperforming")</f>
        <v>Underperforming</v>
      </c>
      <c r="N3299">
        <f>IF(Table4[[#This Row],[Performance_Ratio]] &lt; 0.85, Table4[[#This Row],[Performance_Deviation]] * 50 / 1000, 0)</f>
        <v>-12.9944789793756</v>
      </c>
    </row>
    <row r="3300" spans="1:14" x14ac:dyDescent="0.3">
      <c r="A3300" s="4" t="s">
        <v>10</v>
      </c>
      <c r="B3300" s="3">
        <v>45305.416666666664</v>
      </c>
      <c r="C3300" s="4">
        <v>969.61137356151096</v>
      </c>
      <c r="D3300" s="4">
        <v>917.48578907824299</v>
      </c>
      <c r="E3300" s="4">
        <v>917.48578907824299</v>
      </c>
      <c r="F3300" s="4">
        <v>82.436710581458598</v>
      </c>
      <c r="G3300" s="4" t="str">
        <f t="shared" si="102"/>
        <v>OK</v>
      </c>
      <c r="H3300" s="4" t="str">
        <f t="shared" si="103"/>
        <v>NON-ZERO</v>
      </c>
      <c r="I3300">
        <v>1039.23048454132</v>
      </c>
      <c r="J3300">
        <f>IFERROR(Table4[[#This Row],[energy_kwh]]/Table4[[#This Row],[expected_kwh]],0)</f>
        <v>0.8828511121699717</v>
      </c>
      <c r="K3300" t="str">
        <f>IF(Table4[[#This Row],[Performance_Ratio]] &lt; 0.85, "Underperforming", "Performing")</f>
        <v>Performing</v>
      </c>
      <c r="L3300">
        <f>Table4[[#This Row],[energy_kwh]] - Table4[[#This Row],[expected_kwh]]</f>
        <v>-121.74469546307705</v>
      </c>
      <c r="M3300" t="str">
        <f>IF(Table4[[#This Row],[Performance_Deviation]] &lt; 0, "Underperforming", "Outperforming")</f>
        <v>Underperforming</v>
      </c>
      <c r="N3300">
        <f>IF(Table4[[#This Row],[Performance_Ratio]] &lt; 0.85, Table4[[#This Row],[Performance_Deviation]] * 50 / 1000, 0)</f>
        <v>0</v>
      </c>
    </row>
    <row r="3301" spans="1:14" x14ac:dyDescent="0.3">
      <c r="A3301" s="6" t="s">
        <v>10</v>
      </c>
      <c r="B3301" s="5">
        <v>45305.458333333336</v>
      </c>
      <c r="C3301" s="6">
        <v>1182.2962496486</v>
      </c>
      <c r="D3301" s="6">
        <v>1118.7368848085</v>
      </c>
      <c r="E3301" s="6">
        <v>1118.7368848085</v>
      </c>
      <c r="F3301" s="6">
        <v>84.554641954106302</v>
      </c>
      <c r="G3301" s="6" t="str">
        <f t="shared" si="102"/>
        <v>OK</v>
      </c>
      <c r="H3301" s="6" t="str">
        <f t="shared" si="103"/>
        <v>NON-ZERO</v>
      </c>
      <c r="I3301">
        <v>1159.1109915468801</v>
      </c>
      <c r="J3301">
        <f>IFERROR(Table4[[#This Row],[energy_kwh]]/Table4[[#This Row],[expected_kwh]],0)</f>
        <v>0.96516804082368401</v>
      </c>
      <c r="K3301" t="str">
        <f>IF(Table4[[#This Row],[Performance_Ratio]] &lt; 0.85, "Underperforming", "Performing")</f>
        <v>Performing</v>
      </c>
      <c r="L3301">
        <f>Table4[[#This Row],[energy_kwh]] - Table4[[#This Row],[expected_kwh]]</f>
        <v>-40.374106738380078</v>
      </c>
      <c r="M3301" t="str">
        <f>IF(Table4[[#This Row],[Performance_Deviation]] &lt; 0, "Underperforming", "Outperforming")</f>
        <v>Underperforming</v>
      </c>
      <c r="N3301">
        <f>IF(Table4[[#This Row],[Performance_Ratio]] &lt; 0.85, Table4[[#This Row],[Performance_Deviation]] * 50 / 1000, 0)</f>
        <v>0</v>
      </c>
    </row>
    <row r="3302" spans="1:14" x14ac:dyDescent="0.3">
      <c r="A3302" s="4" t="s">
        <v>10</v>
      </c>
      <c r="B3302" s="3">
        <v>45305.5</v>
      </c>
      <c r="C3302" s="4">
        <v>1162.5712580475299</v>
      </c>
      <c r="D3302" s="4">
        <v>1100.0722940486</v>
      </c>
      <c r="E3302" s="4">
        <v>1100.0722940486</v>
      </c>
      <c r="F3302" s="4">
        <v>55.453017397721602</v>
      </c>
      <c r="G3302" s="4" t="str">
        <f t="shared" si="102"/>
        <v>OK</v>
      </c>
      <c r="H3302" s="4" t="str">
        <f t="shared" si="103"/>
        <v>NON-ZERO</v>
      </c>
      <c r="I3302">
        <v>1200</v>
      </c>
      <c r="J3302">
        <f>IFERROR(Table4[[#This Row],[energy_kwh]]/Table4[[#This Row],[expected_kwh]],0)</f>
        <v>0.91672691170716669</v>
      </c>
      <c r="K3302" t="str">
        <f>IF(Table4[[#This Row],[Performance_Ratio]] &lt; 0.85, "Underperforming", "Performing")</f>
        <v>Performing</v>
      </c>
      <c r="L3302">
        <f>Table4[[#This Row],[energy_kwh]] - Table4[[#This Row],[expected_kwh]]</f>
        <v>-99.927705951399957</v>
      </c>
      <c r="M3302" t="str">
        <f>IF(Table4[[#This Row],[Performance_Deviation]] &lt; 0, "Underperforming", "Outperforming")</f>
        <v>Underperforming</v>
      </c>
      <c r="N3302">
        <f>IF(Table4[[#This Row],[Performance_Ratio]] &lt; 0.85, Table4[[#This Row],[Performance_Deviation]] * 50 / 1000, 0)</f>
        <v>0</v>
      </c>
    </row>
    <row r="3303" spans="1:14" x14ac:dyDescent="0.3">
      <c r="A3303" s="6" t="s">
        <v>10</v>
      </c>
      <c r="B3303" s="5">
        <v>45305.541666666664</v>
      </c>
      <c r="C3303" s="6">
        <v>1059.3749786410999</v>
      </c>
      <c r="D3303" s="6">
        <v>1002.42376967809</v>
      </c>
      <c r="E3303" s="6">
        <v>1002.42376967809</v>
      </c>
      <c r="F3303" s="6">
        <v>32.782490140999698</v>
      </c>
      <c r="G3303" s="6" t="str">
        <f t="shared" si="102"/>
        <v>OK</v>
      </c>
      <c r="H3303" s="6" t="str">
        <f t="shared" si="103"/>
        <v>NON-ZERO</v>
      </c>
      <c r="I3303">
        <v>1159.1109915468801</v>
      </c>
      <c r="J3303">
        <f>IFERROR(Table4[[#This Row],[energy_kwh]]/Table4[[#This Row],[expected_kwh]],0)</f>
        <v>0.86482120952050956</v>
      </c>
      <c r="K3303" t="str">
        <f>IF(Table4[[#This Row],[Performance_Ratio]] &lt; 0.85, "Underperforming", "Performing")</f>
        <v>Performing</v>
      </c>
      <c r="L3303">
        <f>Table4[[#This Row],[energy_kwh]] - Table4[[#This Row],[expected_kwh]]</f>
        <v>-156.68722186879006</v>
      </c>
      <c r="M3303" t="str">
        <f>IF(Table4[[#This Row],[Performance_Deviation]] &lt; 0, "Underperforming", "Outperforming")</f>
        <v>Underperforming</v>
      </c>
      <c r="N3303">
        <f>IF(Table4[[#This Row],[Performance_Ratio]] &lt; 0.85, Table4[[#This Row],[Performance_Deviation]] * 50 / 1000, 0)</f>
        <v>0</v>
      </c>
    </row>
    <row r="3304" spans="1:14" x14ac:dyDescent="0.3">
      <c r="A3304" s="4" t="s">
        <v>10</v>
      </c>
      <c r="B3304" s="3">
        <v>45305.583333333336</v>
      </c>
      <c r="C3304" s="4">
        <v>1075.4485210563601</v>
      </c>
      <c r="D3304" s="4">
        <v>1017.63321043782</v>
      </c>
      <c r="E3304" s="4">
        <v>1017.63321043782</v>
      </c>
      <c r="F3304" s="4">
        <v>81.229829477117704</v>
      </c>
      <c r="G3304" s="4" t="str">
        <f t="shared" si="102"/>
        <v>OK</v>
      </c>
      <c r="H3304" s="4" t="str">
        <f t="shared" si="103"/>
        <v>NON-ZERO</v>
      </c>
      <c r="I3304">
        <v>1039.23048454132</v>
      </c>
      <c r="J3304">
        <f>IFERROR(Table4[[#This Row],[energy_kwh]]/Table4[[#This Row],[expected_kwh]],0)</f>
        <v>0.97921801330430347</v>
      </c>
      <c r="K3304" t="str">
        <f>IF(Table4[[#This Row],[Performance_Ratio]] &lt; 0.85, "Underperforming", "Performing")</f>
        <v>Performing</v>
      </c>
      <c r="L3304">
        <f>Table4[[#This Row],[energy_kwh]] - Table4[[#This Row],[expected_kwh]]</f>
        <v>-21.597274103500013</v>
      </c>
      <c r="M3304" t="str">
        <f>IF(Table4[[#This Row],[Performance_Deviation]] &lt; 0, "Underperforming", "Outperforming")</f>
        <v>Underperforming</v>
      </c>
      <c r="N3304">
        <f>IF(Table4[[#This Row],[Performance_Ratio]] &lt; 0.85, Table4[[#This Row],[Performance_Deviation]] * 50 / 1000, 0)</f>
        <v>0</v>
      </c>
    </row>
    <row r="3305" spans="1:14" x14ac:dyDescent="0.3">
      <c r="A3305" s="6" t="s">
        <v>10</v>
      </c>
      <c r="B3305" s="5">
        <v>45305.625</v>
      </c>
      <c r="C3305" s="6">
        <v>767.35798744706005</v>
      </c>
      <c r="D3305" s="6">
        <v>726.10539419760198</v>
      </c>
      <c r="E3305" s="6">
        <v>726.10539419760198</v>
      </c>
      <c r="F3305" s="6">
        <v>43.9538087625263</v>
      </c>
      <c r="G3305" s="6" t="str">
        <f t="shared" si="102"/>
        <v>OK</v>
      </c>
      <c r="H3305" s="6" t="str">
        <f t="shared" si="103"/>
        <v>NON-ZERO</v>
      </c>
      <c r="I3305">
        <v>848.52813742385695</v>
      </c>
      <c r="J3305">
        <f>IFERROR(Table4[[#This Row],[energy_kwh]]/Table4[[#This Row],[expected_kwh]],0)</f>
        <v>0.85572341348875935</v>
      </c>
      <c r="K3305" t="str">
        <f>IF(Table4[[#This Row],[Performance_Ratio]] &lt; 0.85, "Underperforming", "Performing")</f>
        <v>Performing</v>
      </c>
      <c r="L3305">
        <f>Table4[[#This Row],[energy_kwh]] - Table4[[#This Row],[expected_kwh]]</f>
        <v>-122.42274322625497</v>
      </c>
      <c r="M3305" t="str">
        <f>IF(Table4[[#This Row],[Performance_Deviation]] &lt; 0, "Underperforming", "Outperforming")</f>
        <v>Underperforming</v>
      </c>
      <c r="N3305">
        <f>IF(Table4[[#This Row],[Performance_Ratio]] &lt; 0.85, Table4[[#This Row],[Performance_Deviation]] * 50 / 1000, 0)</f>
        <v>0</v>
      </c>
    </row>
    <row r="3306" spans="1:14" x14ac:dyDescent="0.3">
      <c r="A3306" s="4" t="s">
        <v>10</v>
      </c>
      <c r="B3306" s="3">
        <v>45305.666666666664</v>
      </c>
      <c r="C3306" s="4">
        <v>538.39407118756196</v>
      </c>
      <c r="D3306" s="4">
        <v>509.45040735666601</v>
      </c>
      <c r="E3306" s="4">
        <v>509.45040735666601</v>
      </c>
      <c r="F3306" s="4">
        <v>43.639046761547199</v>
      </c>
      <c r="G3306" s="4" t="str">
        <f t="shared" si="102"/>
        <v>OK</v>
      </c>
      <c r="H3306" s="4" t="str">
        <f t="shared" si="103"/>
        <v>NON-ZERO</v>
      </c>
      <c r="I3306">
        <v>600</v>
      </c>
      <c r="J3306">
        <f>IFERROR(Table4[[#This Row],[energy_kwh]]/Table4[[#This Row],[expected_kwh]],0)</f>
        <v>0.84908401226110997</v>
      </c>
      <c r="K3306" t="str">
        <f>IF(Table4[[#This Row],[Performance_Ratio]] &lt; 0.85, "Underperforming", "Performing")</f>
        <v>Underperforming</v>
      </c>
      <c r="L3306">
        <f>Table4[[#This Row],[energy_kwh]] - Table4[[#This Row],[expected_kwh]]</f>
        <v>-90.549592643333995</v>
      </c>
      <c r="M3306" t="str">
        <f>IF(Table4[[#This Row],[Performance_Deviation]] &lt; 0, "Underperforming", "Outperforming")</f>
        <v>Underperforming</v>
      </c>
      <c r="N3306">
        <f>IF(Table4[[#This Row],[Performance_Ratio]] &lt; 0.85, Table4[[#This Row],[Performance_Deviation]] * 50 / 1000, 0)</f>
        <v>-4.5274796321666999</v>
      </c>
    </row>
    <row r="3307" spans="1:14" x14ac:dyDescent="0.3">
      <c r="A3307" s="6" t="s">
        <v>10</v>
      </c>
      <c r="B3307" s="5">
        <v>45305.708333333336</v>
      </c>
      <c r="C3307" s="6">
        <v>298.39634914029199</v>
      </c>
      <c r="D3307" s="6">
        <v>282.354783900109</v>
      </c>
      <c r="E3307" s="6">
        <v>282.354783900109</v>
      </c>
      <c r="F3307" s="6">
        <v>62.142357725106898</v>
      </c>
      <c r="G3307" s="6" t="str">
        <f t="shared" si="102"/>
        <v>OK</v>
      </c>
      <c r="H3307" s="6" t="str">
        <f t="shared" si="103"/>
        <v>NON-ZERO</v>
      </c>
      <c r="I3307">
        <v>310.58285412302502</v>
      </c>
      <c r="J3307">
        <f>IFERROR(Table4[[#This Row],[energy_kwh]]/Table4[[#This Row],[expected_kwh]],0)</f>
        <v>0.90911259315128001</v>
      </c>
      <c r="K3307" t="str">
        <f>IF(Table4[[#This Row],[Performance_Ratio]] &lt; 0.85, "Underperforming", "Performing")</f>
        <v>Performing</v>
      </c>
      <c r="L3307">
        <f>Table4[[#This Row],[energy_kwh]] - Table4[[#This Row],[expected_kwh]]</f>
        <v>-28.228070222916017</v>
      </c>
      <c r="M3307" t="str">
        <f>IF(Table4[[#This Row],[Performance_Deviation]] &lt; 0, "Underperforming", "Outperforming")</f>
        <v>Underperforming</v>
      </c>
      <c r="N3307">
        <f>IF(Table4[[#This Row],[Performance_Ratio]] &lt; 0.85, Table4[[#This Row],[Performance_Deviation]] * 50 / 1000, 0)</f>
        <v>0</v>
      </c>
    </row>
    <row r="3308" spans="1:14" x14ac:dyDescent="0.3">
      <c r="A3308" s="4" t="s">
        <v>10</v>
      </c>
      <c r="B3308" s="3">
        <v>45305.75</v>
      </c>
      <c r="C3308" s="7">
        <v>1.2490324161358999E-13</v>
      </c>
      <c r="D3308" s="7">
        <v>1.1818853647450999E-13</v>
      </c>
      <c r="E3308" s="7">
        <v>1.1818853647450999E-13</v>
      </c>
      <c r="F3308" s="4">
        <v>67.0493352142378</v>
      </c>
      <c r="G3308" s="4" t="str">
        <f t="shared" si="102"/>
        <v>OK</v>
      </c>
      <c r="H3308" s="4" t="str">
        <f t="shared" si="103"/>
        <v>NON-ZERO</v>
      </c>
      <c r="I3308" s="2">
        <v>1.46957615897682E-13</v>
      </c>
      <c r="J3308">
        <f>IFERROR(Table4[[#This Row],[energy_kwh]]/Table4[[#This Row],[expected_kwh]],0)</f>
        <v>0.80423553248712043</v>
      </c>
      <c r="K3308" t="str">
        <f>IF(Table4[[#This Row],[Performance_Ratio]] &lt; 0.85, "Underperforming", "Performing")</f>
        <v>Underperforming</v>
      </c>
      <c r="L3308">
        <f>Table4[[#This Row],[energy_kwh]] - Table4[[#This Row],[expected_kwh]]</f>
        <v>-2.8769079423172008E-14</v>
      </c>
      <c r="M3308" t="str">
        <f>IF(Table4[[#This Row],[Performance_Deviation]] &lt; 0, "Underperforming", "Outperforming")</f>
        <v>Underperforming</v>
      </c>
      <c r="N3308">
        <f>IF(Table4[[#This Row],[Performance_Ratio]] &lt; 0.85, Table4[[#This Row],[Performance_Deviation]] * 50 / 1000, 0)</f>
        <v>-1.4384539711586004E-15</v>
      </c>
    </row>
    <row r="3309" spans="1:14" x14ac:dyDescent="0.3">
      <c r="A3309" s="6" t="s">
        <v>10</v>
      </c>
      <c r="B3309" s="5">
        <v>45305.791666666664</v>
      </c>
      <c r="C3309" s="6">
        <v>0</v>
      </c>
      <c r="D3309" s="6">
        <v>0</v>
      </c>
      <c r="E3309" s="6">
        <v>0</v>
      </c>
      <c r="F3309" s="6">
        <v>56.6998123718177</v>
      </c>
      <c r="G3309" s="6" t="str">
        <f t="shared" si="102"/>
        <v>OK</v>
      </c>
      <c r="H3309" s="6" t="str">
        <f t="shared" si="103"/>
        <v>ZERO</v>
      </c>
      <c r="I3309">
        <v>0</v>
      </c>
      <c r="J3309">
        <f>IFERROR(Table4[[#This Row],[energy_kwh]]/Table4[[#This Row],[expected_kwh]],0)</f>
        <v>0</v>
      </c>
      <c r="K3309" t="str">
        <f>IF(Table4[[#This Row],[Performance_Ratio]] &lt; 0.85, "Underperforming", "Performing")</f>
        <v>Underperforming</v>
      </c>
      <c r="L3309">
        <f>Table4[[#This Row],[energy_kwh]] - Table4[[#This Row],[expected_kwh]]</f>
        <v>0</v>
      </c>
      <c r="M3309" t="str">
        <f>IF(Table4[[#This Row],[Performance_Deviation]] &lt; 0, "Underperforming", "Outperforming")</f>
        <v>Outperforming</v>
      </c>
      <c r="N3309">
        <f>IF(Table4[[#This Row],[Performance_Ratio]] &lt; 0.85, Table4[[#This Row],[Performance_Deviation]] * 50 / 1000, 0)</f>
        <v>0</v>
      </c>
    </row>
    <row r="3310" spans="1:14" x14ac:dyDescent="0.3">
      <c r="A3310" s="4" t="s">
        <v>10</v>
      </c>
      <c r="B3310" s="3">
        <v>45305.833333333336</v>
      </c>
      <c r="C3310" s="4">
        <v>0</v>
      </c>
      <c r="D3310" s="4">
        <v>0</v>
      </c>
      <c r="E3310" s="4">
        <v>0</v>
      </c>
      <c r="F3310" s="4">
        <v>86.624436102696606</v>
      </c>
      <c r="G3310" s="4" t="str">
        <f t="shared" si="102"/>
        <v>OK</v>
      </c>
      <c r="H3310" s="4" t="str">
        <f t="shared" si="103"/>
        <v>ZERO</v>
      </c>
      <c r="I3310">
        <v>0</v>
      </c>
      <c r="J3310">
        <f>IFERROR(Table4[[#This Row],[energy_kwh]]/Table4[[#This Row],[expected_kwh]],0)</f>
        <v>0</v>
      </c>
      <c r="K3310" t="str">
        <f>IF(Table4[[#This Row],[Performance_Ratio]] &lt; 0.85, "Underperforming", "Performing")</f>
        <v>Underperforming</v>
      </c>
      <c r="L3310">
        <f>Table4[[#This Row],[energy_kwh]] - Table4[[#This Row],[expected_kwh]]</f>
        <v>0</v>
      </c>
      <c r="M3310" t="str">
        <f>IF(Table4[[#This Row],[Performance_Deviation]] &lt; 0, "Underperforming", "Outperforming")</f>
        <v>Outperforming</v>
      </c>
      <c r="N3310">
        <f>IF(Table4[[#This Row],[Performance_Ratio]] &lt; 0.85, Table4[[#This Row],[Performance_Deviation]] * 50 / 1000, 0)</f>
        <v>0</v>
      </c>
    </row>
    <row r="3311" spans="1:14" x14ac:dyDescent="0.3">
      <c r="A3311" s="6" t="s">
        <v>10</v>
      </c>
      <c r="B3311" s="5">
        <v>45305.875</v>
      </c>
      <c r="C3311" s="6">
        <v>0</v>
      </c>
      <c r="D3311" s="6">
        <v>0</v>
      </c>
      <c r="E3311" s="6">
        <v>0</v>
      </c>
      <c r="F3311" s="6">
        <v>80.994672601299001</v>
      </c>
      <c r="G3311" s="6" t="str">
        <f t="shared" si="102"/>
        <v>OK</v>
      </c>
      <c r="H3311" s="6" t="str">
        <f t="shared" si="103"/>
        <v>ZERO</v>
      </c>
      <c r="I3311">
        <v>0</v>
      </c>
      <c r="J3311">
        <f>IFERROR(Table4[[#This Row],[energy_kwh]]/Table4[[#This Row],[expected_kwh]],0)</f>
        <v>0</v>
      </c>
      <c r="K3311" t="str">
        <f>IF(Table4[[#This Row],[Performance_Ratio]] &lt; 0.85, "Underperforming", "Performing")</f>
        <v>Underperforming</v>
      </c>
      <c r="L3311">
        <f>Table4[[#This Row],[energy_kwh]] - Table4[[#This Row],[expected_kwh]]</f>
        <v>0</v>
      </c>
      <c r="M3311" t="str">
        <f>IF(Table4[[#This Row],[Performance_Deviation]] &lt; 0, "Underperforming", "Outperforming")</f>
        <v>Outperforming</v>
      </c>
      <c r="N3311">
        <f>IF(Table4[[#This Row],[Performance_Ratio]] &lt; 0.85, Table4[[#This Row],[Performance_Deviation]] * 50 / 1000, 0)</f>
        <v>0</v>
      </c>
    </row>
    <row r="3312" spans="1:14" x14ac:dyDescent="0.3">
      <c r="A3312" s="4" t="s">
        <v>10</v>
      </c>
      <c r="B3312" s="3">
        <v>45305.916666666664</v>
      </c>
      <c r="C3312" s="4">
        <v>0</v>
      </c>
      <c r="D3312" s="4">
        <v>0</v>
      </c>
      <c r="E3312" s="4">
        <v>0</v>
      </c>
      <c r="F3312" s="4">
        <v>21.785453244375699</v>
      </c>
      <c r="G3312" s="4" t="str">
        <f t="shared" si="102"/>
        <v>OK</v>
      </c>
      <c r="H3312" s="4" t="str">
        <f t="shared" si="103"/>
        <v>ZERO</v>
      </c>
      <c r="I3312">
        <v>0</v>
      </c>
      <c r="J3312">
        <f>IFERROR(Table4[[#This Row],[energy_kwh]]/Table4[[#This Row],[expected_kwh]],0)</f>
        <v>0</v>
      </c>
      <c r="K3312" t="str">
        <f>IF(Table4[[#This Row],[Performance_Ratio]] &lt; 0.85, "Underperforming", "Performing")</f>
        <v>Underperforming</v>
      </c>
      <c r="L3312">
        <f>Table4[[#This Row],[energy_kwh]] - Table4[[#This Row],[expected_kwh]]</f>
        <v>0</v>
      </c>
      <c r="M3312" t="str">
        <f>IF(Table4[[#This Row],[Performance_Deviation]] &lt; 0, "Underperforming", "Outperforming")</f>
        <v>Outperforming</v>
      </c>
      <c r="N3312">
        <f>IF(Table4[[#This Row],[Performance_Ratio]] &lt; 0.85, Table4[[#This Row],[Performance_Deviation]] * 50 / 1000, 0)</f>
        <v>0</v>
      </c>
    </row>
    <row r="3313" spans="1:14" x14ac:dyDescent="0.3">
      <c r="A3313" s="6" t="s">
        <v>10</v>
      </c>
      <c r="B3313" s="5">
        <v>45305.958333333336</v>
      </c>
      <c r="C3313" s="6">
        <v>0</v>
      </c>
      <c r="D3313" s="6">
        <v>0</v>
      </c>
      <c r="E3313" s="6">
        <v>0</v>
      </c>
      <c r="F3313" s="6">
        <v>40.7870460383146</v>
      </c>
      <c r="G3313" s="6" t="str">
        <f t="shared" si="102"/>
        <v>OK</v>
      </c>
      <c r="H3313" s="6" t="str">
        <f t="shared" si="103"/>
        <v>ZERO</v>
      </c>
      <c r="I3313">
        <v>0</v>
      </c>
      <c r="J3313">
        <f>IFERROR(Table4[[#This Row],[energy_kwh]]/Table4[[#This Row],[expected_kwh]],0)</f>
        <v>0</v>
      </c>
      <c r="K3313" t="str">
        <f>IF(Table4[[#This Row],[Performance_Ratio]] &lt; 0.85, "Underperforming", "Performing")</f>
        <v>Underperforming</v>
      </c>
      <c r="L3313">
        <f>Table4[[#This Row],[energy_kwh]] - Table4[[#This Row],[expected_kwh]]</f>
        <v>0</v>
      </c>
      <c r="M3313" t="str">
        <f>IF(Table4[[#This Row],[Performance_Deviation]] &lt; 0, "Underperforming", "Outperforming")</f>
        <v>Outperforming</v>
      </c>
      <c r="N3313">
        <f>IF(Table4[[#This Row],[Performance_Ratio]] &lt; 0.85, Table4[[#This Row],[Performance_Deviation]] * 50 / 1000, 0)</f>
        <v>0</v>
      </c>
    </row>
    <row r="3314" spans="1:14" x14ac:dyDescent="0.3">
      <c r="A3314" s="4" t="s">
        <v>10</v>
      </c>
      <c r="B3314" s="3">
        <v>45306</v>
      </c>
      <c r="C3314" s="4">
        <v>0</v>
      </c>
      <c r="D3314" s="4">
        <v>0</v>
      </c>
      <c r="E3314" s="4">
        <v>0</v>
      </c>
      <c r="F3314" s="4">
        <v>31.7380924310342</v>
      </c>
      <c r="G3314" s="4" t="str">
        <f t="shared" si="102"/>
        <v>OK</v>
      </c>
      <c r="H3314" s="4" t="str">
        <f t="shared" si="103"/>
        <v>ZERO</v>
      </c>
      <c r="I3314">
        <v>0</v>
      </c>
      <c r="J3314">
        <f>IFERROR(Table4[[#This Row],[energy_kwh]]/Table4[[#This Row],[expected_kwh]],0)</f>
        <v>0</v>
      </c>
      <c r="K3314" t="str">
        <f>IF(Table4[[#This Row],[Performance_Ratio]] &lt; 0.85, "Underperforming", "Performing")</f>
        <v>Underperforming</v>
      </c>
      <c r="L3314">
        <f>Table4[[#This Row],[energy_kwh]] - Table4[[#This Row],[expected_kwh]]</f>
        <v>0</v>
      </c>
      <c r="M3314" t="str">
        <f>IF(Table4[[#This Row],[Performance_Deviation]] &lt; 0, "Underperforming", "Outperforming")</f>
        <v>Outperforming</v>
      </c>
      <c r="N3314">
        <f>IF(Table4[[#This Row],[Performance_Ratio]] &lt; 0.85, Table4[[#This Row],[Performance_Deviation]] * 50 / 1000, 0)</f>
        <v>0</v>
      </c>
    </row>
    <row r="3315" spans="1:14" x14ac:dyDescent="0.3">
      <c r="A3315" s="6" t="s">
        <v>10</v>
      </c>
      <c r="B3315" s="5">
        <v>45306.041666666664</v>
      </c>
      <c r="C3315" s="6">
        <v>0</v>
      </c>
      <c r="D3315" s="6">
        <v>0</v>
      </c>
      <c r="E3315" s="6">
        <v>0</v>
      </c>
      <c r="F3315" s="6">
        <v>72.612342542433694</v>
      </c>
      <c r="G3315" s="6" t="str">
        <f t="shared" si="102"/>
        <v>OK</v>
      </c>
      <c r="H3315" s="6" t="str">
        <f t="shared" si="103"/>
        <v>ZERO</v>
      </c>
      <c r="I3315">
        <v>0</v>
      </c>
      <c r="J3315">
        <f>IFERROR(Table4[[#This Row],[energy_kwh]]/Table4[[#This Row],[expected_kwh]],0)</f>
        <v>0</v>
      </c>
      <c r="K3315" t="str">
        <f>IF(Table4[[#This Row],[Performance_Ratio]] &lt; 0.85, "Underperforming", "Performing")</f>
        <v>Underperforming</v>
      </c>
      <c r="L3315">
        <f>Table4[[#This Row],[energy_kwh]] - Table4[[#This Row],[expected_kwh]]</f>
        <v>0</v>
      </c>
      <c r="M3315" t="str">
        <f>IF(Table4[[#This Row],[Performance_Deviation]] &lt; 0, "Underperforming", "Outperforming")</f>
        <v>Outperforming</v>
      </c>
      <c r="N3315">
        <f>IF(Table4[[#This Row],[Performance_Ratio]] &lt; 0.85, Table4[[#This Row],[Performance_Deviation]] * 50 / 1000, 0)</f>
        <v>0</v>
      </c>
    </row>
    <row r="3316" spans="1:14" x14ac:dyDescent="0.3">
      <c r="A3316" s="4" t="s">
        <v>10</v>
      </c>
      <c r="B3316" s="3">
        <v>45306.083333333336</v>
      </c>
      <c r="C3316" s="4">
        <v>0</v>
      </c>
      <c r="D3316" s="4">
        <v>0</v>
      </c>
      <c r="E3316" s="4">
        <v>0</v>
      </c>
      <c r="F3316" s="4">
        <v>60.457576661595198</v>
      </c>
      <c r="G3316" s="4" t="str">
        <f t="shared" si="102"/>
        <v>OK</v>
      </c>
      <c r="H3316" s="4" t="str">
        <f t="shared" si="103"/>
        <v>ZERO</v>
      </c>
      <c r="I3316">
        <v>0</v>
      </c>
      <c r="J3316">
        <f>IFERROR(Table4[[#This Row],[energy_kwh]]/Table4[[#This Row],[expected_kwh]],0)</f>
        <v>0</v>
      </c>
      <c r="K3316" t="str">
        <f>IF(Table4[[#This Row],[Performance_Ratio]] &lt; 0.85, "Underperforming", "Performing")</f>
        <v>Underperforming</v>
      </c>
      <c r="L3316">
        <f>Table4[[#This Row],[energy_kwh]] - Table4[[#This Row],[expected_kwh]]</f>
        <v>0</v>
      </c>
      <c r="M3316" t="str">
        <f>IF(Table4[[#This Row],[Performance_Deviation]] &lt; 0, "Underperforming", "Outperforming")</f>
        <v>Outperforming</v>
      </c>
      <c r="N3316">
        <f>IF(Table4[[#This Row],[Performance_Ratio]] &lt; 0.85, Table4[[#This Row],[Performance_Deviation]] * 50 / 1000, 0)</f>
        <v>0</v>
      </c>
    </row>
    <row r="3317" spans="1:14" x14ac:dyDescent="0.3">
      <c r="A3317" s="6" t="s">
        <v>10</v>
      </c>
      <c r="B3317" s="5">
        <v>45306.125</v>
      </c>
      <c r="C3317" s="6">
        <v>0</v>
      </c>
      <c r="D3317" s="6">
        <v>0</v>
      </c>
      <c r="E3317" s="6">
        <v>0</v>
      </c>
      <c r="F3317" s="6">
        <v>20.129361658238</v>
      </c>
      <c r="G3317" s="6" t="str">
        <f t="shared" si="102"/>
        <v>OK</v>
      </c>
      <c r="H3317" s="6" t="str">
        <f t="shared" si="103"/>
        <v>ZERO</v>
      </c>
      <c r="I3317">
        <v>0</v>
      </c>
      <c r="J3317">
        <f>IFERROR(Table4[[#This Row],[energy_kwh]]/Table4[[#This Row],[expected_kwh]],0)</f>
        <v>0</v>
      </c>
      <c r="K3317" t="str">
        <f>IF(Table4[[#This Row],[Performance_Ratio]] &lt; 0.85, "Underperforming", "Performing")</f>
        <v>Underperforming</v>
      </c>
      <c r="L3317">
        <f>Table4[[#This Row],[energy_kwh]] - Table4[[#This Row],[expected_kwh]]</f>
        <v>0</v>
      </c>
      <c r="M3317" t="str">
        <f>IF(Table4[[#This Row],[Performance_Deviation]] &lt; 0, "Underperforming", "Outperforming")</f>
        <v>Outperforming</v>
      </c>
      <c r="N3317">
        <f>IF(Table4[[#This Row],[Performance_Ratio]] &lt; 0.85, Table4[[#This Row],[Performance_Deviation]] * 50 / 1000, 0)</f>
        <v>0</v>
      </c>
    </row>
    <row r="3318" spans="1:14" x14ac:dyDescent="0.3">
      <c r="A3318" s="4" t="s">
        <v>10</v>
      </c>
      <c r="B3318" s="3">
        <v>45306.166666666664</v>
      </c>
      <c r="C3318" s="4">
        <v>0</v>
      </c>
      <c r="D3318" s="4">
        <v>0</v>
      </c>
      <c r="E3318" s="4">
        <v>0</v>
      </c>
      <c r="F3318" s="4">
        <v>93.192000342192401</v>
      </c>
      <c r="G3318" s="4" t="str">
        <f t="shared" si="102"/>
        <v>OK</v>
      </c>
      <c r="H3318" s="4" t="str">
        <f t="shared" si="103"/>
        <v>ZERO</v>
      </c>
      <c r="I3318">
        <v>0</v>
      </c>
      <c r="J3318">
        <f>IFERROR(Table4[[#This Row],[energy_kwh]]/Table4[[#This Row],[expected_kwh]],0)</f>
        <v>0</v>
      </c>
      <c r="K3318" t="str">
        <f>IF(Table4[[#This Row],[Performance_Ratio]] &lt; 0.85, "Underperforming", "Performing")</f>
        <v>Underperforming</v>
      </c>
      <c r="L3318">
        <f>Table4[[#This Row],[energy_kwh]] - Table4[[#This Row],[expected_kwh]]</f>
        <v>0</v>
      </c>
      <c r="M3318" t="str">
        <f>IF(Table4[[#This Row],[Performance_Deviation]] &lt; 0, "Underperforming", "Outperforming")</f>
        <v>Outperforming</v>
      </c>
      <c r="N3318">
        <f>IF(Table4[[#This Row],[Performance_Ratio]] &lt; 0.85, Table4[[#This Row],[Performance_Deviation]] * 50 / 1000, 0)</f>
        <v>0</v>
      </c>
    </row>
    <row r="3319" spans="1:14" x14ac:dyDescent="0.3">
      <c r="A3319" s="6" t="s">
        <v>10</v>
      </c>
      <c r="B3319" s="5">
        <v>45306.208333333336</v>
      </c>
      <c r="C3319" s="6">
        <v>0</v>
      </c>
      <c r="D3319" s="6">
        <v>0</v>
      </c>
      <c r="E3319" s="6">
        <v>0</v>
      </c>
      <c r="F3319" s="6">
        <v>58.233263352763402</v>
      </c>
      <c r="G3319" s="6" t="str">
        <f t="shared" si="102"/>
        <v>OK</v>
      </c>
      <c r="H3319" s="6" t="str">
        <f t="shared" si="103"/>
        <v>ZERO</v>
      </c>
      <c r="I3319">
        <v>0</v>
      </c>
      <c r="J3319">
        <f>IFERROR(Table4[[#This Row],[energy_kwh]]/Table4[[#This Row],[expected_kwh]],0)</f>
        <v>0</v>
      </c>
      <c r="K3319" t="str">
        <f>IF(Table4[[#This Row],[Performance_Ratio]] &lt; 0.85, "Underperforming", "Performing")</f>
        <v>Underperforming</v>
      </c>
      <c r="L3319">
        <f>Table4[[#This Row],[energy_kwh]] - Table4[[#This Row],[expected_kwh]]</f>
        <v>0</v>
      </c>
      <c r="M3319" t="str">
        <f>IF(Table4[[#This Row],[Performance_Deviation]] &lt; 0, "Underperforming", "Outperforming")</f>
        <v>Outperforming</v>
      </c>
      <c r="N3319">
        <f>IF(Table4[[#This Row],[Performance_Ratio]] &lt; 0.85, Table4[[#This Row],[Performance_Deviation]] * 50 / 1000, 0)</f>
        <v>0</v>
      </c>
    </row>
    <row r="3320" spans="1:14" x14ac:dyDescent="0.3">
      <c r="A3320" s="4" t="s">
        <v>10</v>
      </c>
      <c r="B3320" s="3">
        <v>45306.25</v>
      </c>
      <c r="C3320" s="4">
        <v>0</v>
      </c>
      <c r="D3320" s="4">
        <v>0</v>
      </c>
      <c r="E3320" s="4">
        <v>0</v>
      </c>
      <c r="F3320" s="4">
        <v>52.502521152262602</v>
      </c>
      <c r="G3320" s="4" t="str">
        <f t="shared" si="102"/>
        <v>OK</v>
      </c>
      <c r="H3320" s="4" t="str">
        <f t="shared" si="103"/>
        <v>ZERO</v>
      </c>
      <c r="I3320">
        <v>0</v>
      </c>
      <c r="J3320">
        <f>IFERROR(Table4[[#This Row],[energy_kwh]]/Table4[[#This Row],[expected_kwh]],0)</f>
        <v>0</v>
      </c>
      <c r="K3320" t="str">
        <f>IF(Table4[[#This Row],[Performance_Ratio]] &lt; 0.85, "Underperforming", "Performing")</f>
        <v>Underperforming</v>
      </c>
      <c r="L3320">
        <f>Table4[[#This Row],[energy_kwh]] - Table4[[#This Row],[expected_kwh]]</f>
        <v>0</v>
      </c>
      <c r="M3320" t="str">
        <f>IF(Table4[[#This Row],[Performance_Deviation]] &lt; 0, "Underperforming", "Outperforming")</f>
        <v>Outperforming</v>
      </c>
      <c r="N3320">
        <f>IF(Table4[[#This Row],[Performance_Ratio]] &lt; 0.85, Table4[[#This Row],[Performance_Deviation]] * 50 / 1000, 0)</f>
        <v>0</v>
      </c>
    </row>
    <row r="3321" spans="1:14" x14ac:dyDescent="0.3">
      <c r="A3321" s="6" t="s">
        <v>10</v>
      </c>
      <c r="B3321" s="5">
        <v>45306.291666666664</v>
      </c>
      <c r="C3321" s="6">
        <v>284.38275118611301</v>
      </c>
      <c r="D3321" s="6">
        <v>269.09454652315901</v>
      </c>
      <c r="E3321" s="6">
        <v>269.09454652315901</v>
      </c>
      <c r="F3321" s="6">
        <v>23.018357796443802</v>
      </c>
      <c r="G3321" s="6" t="str">
        <f t="shared" si="102"/>
        <v>OK</v>
      </c>
      <c r="H3321" s="6" t="str">
        <f t="shared" si="103"/>
        <v>NON-ZERO</v>
      </c>
      <c r="I3321">
        <v>310.58285412302399</v>
      </c>
      <c r="J3321">
        <f>IFERROR(Table4[[#This Row],[energy_kwh]]/Table4[[#This Row],[expected_kwh]],0)</f>
        <v>0.86641790733421753</v>
      </c>
      <c r="K3321" t="str">
        <f>IF(Table4[[#This Row],[Performance_Ratio]] &lt; 0.85, "Underperforming", "Performing")</f>
        <v>Performing</v>
      </c>
      <c r="L3321">
        <f>Table4[[#This Row],[energy_kwh]] - Table4[[#This Row],[expected_kwh]]</f>
        <v>-41.488307599864982</v>
      </c>
      <c r="M3321" t="str">
        <f>IF(Table4[[#This Row],[Performance_Deviation]] &lt; 0, "Underperforming", "Outperforming")</f>
        <v>Underperforming</v>
      </c>
      <c r="N3321">
        <f>IF(Table4[[#This Row],[Performance_Ratio]] &lt; 0.85, Table4[[#This Row],[Performance_Deviation]] * 50 / 1000, 0)</f>
        <v>0</v>
      </c>
    </row>
    <row r="3322" spans="1:14" x14ac:dyDescent="0.3">
      <c r="A3322" s="4" t="s">
        <v>10</v>
      </c>
      <c r="B3322" s="3">
        <v>45306.333333333336</v>
      </c>
      <c r="C3322" s="4">
        <v>551.02053729264003</v>
      </c>
      <c r="D3322" s="4">
        <v>521.39808405845201</v>
      </c>
      <c r="E3322" s="4">
        <v>521.39808405845201</v>
      </c>
      <c r="F3322" s="4">
        <v>84.172076115142502</v>
      </c>
      <c r="G3322" s="4" t="str">
        <f t="shared" si="102"/>
        <v>OK</v>
      </c>
      <c r="H3322" s="4" t="str">
        <f t="shared" si="103"/>
        <v>NON-ZERO</v>
      </c>
      <c r="I3322">
        <v>600</v>
      </c>
      <c r="J3322">
        <f>IFERROR(Table4[[#This Row],[energy_kwh]]/Table4[[#This Row],[expected_kwh]],0)</f>
        <v>0.86899680676408664</v>
      </c>
      <c r="K3322" t="str">
        <f>IF(Table4[[#This Row],[Performance_Ratio]] &lt; 0.85, "Underperforming", "Performing")</f>
        <v>Performing</v>
      </c>
      <c r="L3322">
        <f>Table4[[#This Row],[energy_kwh]] - Table4[[#This Row],[expected_kwh]]</f>
        <v>-78.601915941547986</v>
      </c>
      <c r="M3322" t="str">
        <f>IF(Table4[[#This Row],[Performance_Deviation]] &lt; 0, "Underperforming", "Outperforming")</f>
        <v>Underperforming</v>
      </c>
      <c r="N3322">
        <f>IF(Table4[[#This Row],[Performance_Ratio]] &lt; 0.85, Table4[[#This Row],[Performance_Deviation]] * 50 / 1000, 0)</f>
        <v>0</v>
      </c>
    </row>
    <row r="3323" spans="1:14" x14ac:dyDescent="0.3">
      <c r="A3323" s="6" t="s">
        <v>10</v>
      </c>
      <c r="B3323" s="5">
        <v>45306.375</v>
      </c>
      <c r="C3323" s="6">
        <v>897.16137302661696</v>
      </c>
      <c r="D3323" s="6">
        <v>848.93064655210298</v>
      </c>
      <c r="E3323" s="6">
        <v>848.93064655210298</v>
      </c>
      <c r="F3323" s="6">
        <v>81.284546162760805</v>
      </c>
      <c r="G3323" s="6" t="str">
        <f t="shared" si="102"/>
        <v>OK</v>
      </c>
      <c r="H3323" s="6" t="str">
        <f t="shared" si="103"/>
        <v>NON-ZERO</v>
      </c>
      <c r="I3323">
        <v>848.52813742385695</v>
      </c>
      <c r="J3323">
        <f>IFERROR(Table4[[#This Row],[energy_kwh]]/Table4[[#This Row],[expected_kwh]],0)</f>
        <v>1.000474361556787</v>
      </c>
      <c r="K3323" t="str">
        <f>IF(Table4[[#This Row],[Performance_Ratio]] &lt; 0.85, "Underperforming", "Performing")</f>
        <v>Performing</v>
      </c>
      <c r="L3323">
        <f>Table4[[#This Row],[energy_kwh]] - Table4[[#This Row],[expected_kwh]]</f>
        <v>0.40250912824603802</v>
      </c>
      <c r="M3323" t="str">
        <f>IF(Table4[[#This Row],[Performance_Deviation]] &lt; 0, "Underperforming", "Outperforming")</f>
        <v>Outperforming</v>
      </c>
      <c r="N3323">
        <f>IF(Table4[[#This Row],[Performance_Ratio]] &lt; 0.85, Table4[[#This Row],[Performance_Deviation]] * 50 / 1000, 0)</f>
        <v>0</v>
      </c>
    </row>
    <row r="3324" spans="1:14" x14ac:dyDescent="0.3">
      <c r="A3324" s="4" t="s">
        <v>10</v>
      </c>
      <c r="B3324" s="3">
        <v>45306.416666666664</v>
      </c>
      <c r="C3324" s="4">
        <v>969.51545744439204</v>
      </c>
      <c r="D3324" s="4">
        <v>917.39502934006396</v>
      </c>
      <c r="E3324" s="4">
        <v>917.39502934006396</v>
      </c>
      <c r="F3324" s="4">
        <v>26.147658319511699</v>
      </c>
      <c r="G3324" s="4" t="str">
        <f t="shared" si="102"/>
        <v>OK</v>
      </c>
      <c r="H3324" s="4" t="str">
        <f t="shared" si="103"/>
        <v>NON-ZERO</v>
      </c>
      <c r="I3324">
        <v>1039.23048454132</v>
      </c>
      <c r="J3324">
        <f>IFERROR(Table4[[#This Row],[energy_kwh]]/Table4[[#This Row],[expected_kwh]],0)</f>
        <v>0.88276377857118959</v>
      </c>
      <c r="K3324" t="str">
        <f>IF(Table4[[#This Row],[Performance_Ratio]] &lt; 0.85, "Underperforming", "Performing")</f>
        <v>Performing</v>
      </c>
      <c r="L3324">
        <f>Table4[[#This Row],[energy_kwh]] - Table4[[#This Row],[expected_kwh]]</f>
        <v>-121.83545520125608</v>
      </c>
      <c r="M3324" t="str">
        <f>IF(Table4[[#This Row],[Performance_Deviation]] &lt; 0, "Underperforming", "Outperforming")</f>
        <v>Underperforming</v>
      </c>
      <c r="N3324">
        <f>IF(Table4[[#This Row],[Performance_Ratio]] &lt; 0.85, Table4[[#This Row],[Performance_Deviation]] * 50 / 1000, 0)</f>
        <v>0</v>
      </c>
    </row>
    <row r="3325" spans="1:14" x14ac:dyDescent="0.3">
      <c r="A3325" s="6" t="s">
        <v>10</v>
      </c>
      <c r="B3325" s="5">
        <v>45306.458333333336</v>
      </c>
      <c r="C3325" s="6">
        <v>1141.9036448526299</v>
      </c>
      <c r="D3325" s="6">
        <v>1080.5157563289199</v>
      </c>
      <c r="E3325" s="6">
        <v>1080.5157563289199</v>
      </c>
      <c r="F3325" s="6">
        <v>55.506584797508403</v>
      </c>
      <c r="G3325" s="6" t="str">
        <f t="shared" si="102"/>
        <v>OK</v>
      </c>
      <c r="H3325" s="6" t="str">
        <f t="shared" si="103"/>
        <v>NON-ZERO</v>
      </c>
      <c r="I3325">
        <v>1159.1109915468801</v>
      </c>
      <c r="J3325">
        <f>IFERROR(Table4[[#This Row],[energy_kwh]]/Table4[[#This Row],[expected_kwh]],0)</f>
        <v>0.93219352090426499</v>
      </c>
      <c r="K3325" t="str">
        <f>IF(Table4[[#This Row],[Performance_Ratio]] &lt; 0.85, "Underperforming", "Performing")</f>
        <v>Performing</v>
      </c>
      <c r="L3325">
        <f>Table4[[#This Row],[energy_kwh]] - Table4[[#This Row],[expected_kwh]]</f>
        <v>-78.59523521796018</v>
      </c>
      <c r="M3325" t="str">
        <f>IF(Table4[[#This Row],[Performance_Deviation]] &lt; 0, "Underperforming", "Outperforming")</f>
        <v>Underperforming</v>
      </c>
      <c r="N3325">
        <f>IF(Table4[[#This Row],[Performance_Ratio]] &lt; 0.85, Table4[[#This Row],[Performance_Deviation]] * 50 / 1000, 0)</f>
        <v>0</v>
      </c>
    </row>
    <row r="3326" spans="1:14" x14ac:dyDescent="0.3">
      <c r="A3326" s="4" t="s">
        <v>10</v>
      </c>
      <c r="B3326" s="3">
        <v>45306.5</v>
      </c>
      <c r="C3326" s="4">
        <v>1185.02477494967</v>
      </c>
      <c r="D3326" s="4">
        <v>1121.3187266238201</v>
      </c>
      <c r="E3326" s="4">
        <v>1121.3187266238201</v>
      </c>
      <c r="F3326" s="4">
        <v>24.558587647205201</v>
      </c>
      <c r="G3326" s="4" t="str">
        <f t="shared" si="102"/>
        <v>OK</v>
      </c>
      <c r="H3326" s="4" t="str">
        <f t="shared" si="103"/>
        <v>NON-ZERO</v>
      </c>
      <c r="I3326">
        <v>1200</v>
      </c>
      <c r="J3326">
        <f>IFERROR(Table4[[#This Row],[energy_kwh]]/Table4[[#This Row],[expected_kwh]],0)</f>
        <v>0.93443227218651681</v>
      </c>
      <c r="K3326" t="str">
        <f>IF(Table4[[#This Row],[Performance_Ratio]] &lt; 0.85, "Underperforming", "Performing")</f>
        <v>Performing</v>
      </c>
      <c r="L3326">
        <f>Table4[[#This Row],[energy_kwh]] - Table4[[#This Row],[expected_kwh]]</f>
        <v>-78.681273376179888</v>
      </c>
      <c r="M3326" t="str">
        <f>IF(Table4[[#This Row],[Performance_Deviation]] &lt; 0, "Underperforming", "Outperforming")</f>
        <v>Underperforming</v>
      </c>
      <c r="N3326">
        <f>IF(Table4[[#This Row],[Performance_Ratio]] &lt; 0.85, Table4[[#This Row],[Performance_Deviation]] * 50 / 1000, 0)</f>
        <v>0</v>
      </c>
    </row>
    <row r="3327" spans="1:14" x14ac:dyDescent="0.3">
      <c r="A3327" s="6" t="s">
        <v>10</v>
      </c>
      <c r="B3327" s="5">
        <v>45306.541666666664</v>
      </c>
      <c r="C3327" s="6">
        <v>1163.5050088318601</v>
      </c>
      <c r="D3327" s="6">
        <v>1100.9558470869799</v>
      </c>
      <c r="E3327" s="6">
        <v>1100.9558470869799</v>
      </c>
      <c r="F3327" s="6">
        <v>57.511106237329898</v>
      </c>
      <c r="G3327" s="6" t="str">
        <f t="shared" si="102"/>
        <v>OK</v>
      </c>
      <c r="H3327" s="6" t="str">
        <f t="shared" si="103"/>
        <v>NON-ZERO</v>
      </c>
      <c r="I3327">
        <v>1159.1109915468801</v>
      </c>
      <c r="J3327">
        <f>IFERROR(Table4[[#This Row],[energy_kwh]]/Table4[[#This Row],[expected_kwh]],0)</f>
        <v>0.94982780347696494</v>
      </c>
      <c r="K3327" t="str">
        <f>IF(Table4[[#This Row],[Performance_Ratio]] &lt; 0.85, "Underperforming", "Performing")</f>
        <v>Performing</v>
      </c>
      <c r="L3327">
        <f>Table4[[#This Row],[energy_kwh]] - Table4[[#This Row],[expected_kwh]]</f>
        <v>-58.155144459900157</v>
      </c>
      <c r="M3327" t="str">
        <f>IF(Table4[[#This Row],[Performance_Deviation]] &lt; 0, "Underperforming", "Outperforming")</f>
        <v>Underperforming</v>
      </c>
      <c r="N3327">
        <f>IF(Table4[[#This Row],[Performance_Ratio]] &lt; 0.85, Table4[[#This Row],[Performance_Deviation]] * 50 / 1000, 0)</f>
        <v>0</v>
      </c>
    </row>
    <row r="3328" spans="1:14" x14ac:dyDescent="0.3">
      <c r="A3328" s="4" t="s">
        <v>10</v>
      </c>
      <c r="B3328" s="3">
        <v>45306.583333333336</v>
      </c>
      <c r="C3328" s="4">
        <v>898.41475919713503</v>
      </c>
      <c r="D3328" s="4">
        <v>850.11665161664098</v>
      </c>
      <c r="E3328" s="4">
        <v>850.11665161664098</v>
      </c>
      <c r="F3328" s="4">
        <v>35.291485659539198</v>
      </c>
      <c r="G3328" s="4" t="str">
        <f t="shared" si="102"/>
        <v>OK</v>
      </c>
      <c r="H3328" s="4" t="str">
        <f t="shared" si="103"/>
        <v>NON-ZERO</v>
      </c>
      <c r="I3328">
        <v>1039.23048454132</v>
      </c>
      <c r="J3328">
        <f>IFERROR(Table4[[#This Row],[energy_kwh]]/Table4[[#This Row],[expected_kwh]],0)</f>
        <v>0.81802512942242323</v>
      </c>
      <c r="K3328" t="str">
        <f>IF(Table4[[#This Row],[Performance_Ratio]] &lt; 0.85, "Underperforming", "Performing")</f>
        <v>Underperforming</v>
      </c>
      <c r="L3328">
        <f>Table4[[#This Row],[energy_kwh]] - Table4[[#This Row],[expected_kwh]]</f>
        <v>-189.11383292467906</v>
      </c>
      <c r="M3328" t="str">
        <f>IF(Table4[[#This Row],[Performance_Deviation]] &lt; 0, "Underperforming", "Outperforming")</f>
        <v>Underperforming</v>
      </c>
      <c r="N3328">
        <f>IF(Table4[[#This Row],[Performance_Ratio]] &lt; 0.85, Table4[[#This Row],[Performance_Deviation]] * 50 / 1000, 0)</f>
        <v>-9.4556916462339515</v>
      </c>
    </row>
    <row r="3329" spans="1:14" x14ac:dyDescent="0.3">
      <c r="A3329" s="6" t="s">
        <v>10</v>
      </c>
      <c r="B3329" s="5">
        <v>45306.625</v>
      </c>
      <c r="C3329" s="6">
        <v>788.93567646890301</v>
      </c>
      <c r="D3329" s="6">
        <v>746.52308274633697</v>
      </c>
      <c r="E3329" s="6">
        <v>746.52308274633697</v>
      </c>
      <c r="F3329" s="6">
        <v>79.844852563348596</v>
      </c>
      <c r="G3329" s="6" t="str">
        <f t="shared" si="102"/>
        <v>OK</v>
      </c>
      <c r="H3329" s="6" t="str">
        <f t="shared" si="103"/>
        <v>NON-ZERO</v>
      </c>
      <c r="I3329">
        <v>848.52813742385695</v>
      </c>
      <c r="J3329">
        <f>IFERROR(Table4[[#This Row],[energy_kwh]]/Table4[[#This Row],[expected_kwh]],0)</f>
        <v>0.87978589020370179</v>
      </c>
      <c r="K3329" t="str">
        <f>IF(Table4[[#This Row],[Performance_Ratio]] &lt; 0.85, "Underperforming", "Performing")</f>
        <v>Performing</v>
      </c>
      <c r="L3329">
        <f>Table4[[#This Row],[energy_kwh]] - Table4[[#This Row],[expected_kwh]]</f>
        <v>-102.00505467751998</v>
      </c>
      <c r="M3329" t="str">
        <f>IF(Table4[[#This Row],[Performance_Deviation]] &lt; 0, "Underperforming", "Outperforming")</f>
        <v>Underperforming</v>
      </c>
      <c r="N3329">
        <f>IF(Table4[[#This Row],[Performance_Ratio]] &lt; 0.85, Table4[[#This Row],[Performance_Deviation]] * 50 / 1000, 0)</f>
        <v>0</v>
      </c>
    </row>
    <row r="3330" spans="1:14" x14ac:dyDescent="0.3">
      <c r="A3330" s="4" t="s">
        <v>10</v>
      </c>
      <c r="B3330" s="3">
        <v>45306.666666666664</v>
      </c>
      <c r="C3330" s="4">
        <v>609.25614664022203</v>
      </c>
      <c r="D3330" s="4">
        <v>576.50299046900898</v>
      </c>
      <c r="E3330" s="4">
        <v>576.50299046900898</v>
      </c>
      <c r="F3330" s="4">
        <v>70.070542229525202</v>
      </c>
      <c r="G3330" s="4" t="str">
        <f t="shared" ref="G3330:G3393" si="104">IF(D3330 &gt; C3330, "ERROR", "OK")</f>
        <v>OK</v>
      </c>
      <c r="H3330" s="4" t="str">
        <f t="shared" ref="H3330:H3393" si="105">IF(E3330=0,"ZERO","NON-ZERO")</f>
        <v>NON-ZERO</v>
      </c>
      <c r="I3330">
        <v>600</v>
      </c>
      <c r="J3330">
        <f>IFERROR(Table4[[#This Row],[energy_kwh]]/Table4[[#This Row],[expected_kwh]],0)</f>
        <v>0.96083831744834824</v>
      </c>
      <c r="K3330" t="str">
        <f>IF(Table4[[#This Row],[Performance_Ratio]] &lt; 0.85, "Underperforming", "Performing")</f>
        <v>Performing</v>
      </c>
      <c r="L3330">
        <f>Table4[[#This Row],[energy_kwh]] - Table4[[#This Row],[expected_kwh]]</f>
        <v>-23.497009530991022</v>
      </c>
      <c r="M3330" t="str">
        <f>IF(Table4[[#This Row],[Performance_Deviation]] &lt; 0, "Underperforming", "Outperforming")</f>
        <v>Underperforming</v>
      </c>
      <c r="N3330">
        <f>IF(Table4[[#This Row],[Performance_Ratio]] &lt; 0.85, Table4[[#This Row],[Performance_Deviation]] * 50 / 1000, 0)</f>
        <v>0</v>
      </c>
    </row>
    <row r="3331" spans="1:14" x14ac:dyDescent="0.3">
      <c r="A3331" s="6" t="s">
        <v>10</v>
      </c>
      <c r="B3331" s="5">
        <v>45306.708333333336</v>
      </c>
      <c r="C3331" s="6">
        <v>298.61800563286499</v>
      </c>
      <c r="D3331" s="6">
        <v>282.56452430491203</v>
      </c>
      <c r="E3331" s="6">
        <v>282.56452430491203</v>
      </c>
      <c r="F3331" s="6">
        <v>25.228080985171999</v>
      </c>
      <c r="G3331" s="6" t="str">
        <f t="shared" si="104"/>
        <v>OK</v>
      </c>
      <c r="H3331" s="6" t="str">
        <f t="shared" si="105"/>
        <v>NON-ZERO</v>
      </c>
      <c r="I3331">
        <v>310.58285412302502</v>
      </c>
      <c r="J3331">
        <f>IFERROR(Table4[[#This Row],[energy_kwh]]/Table4[[#This Row],[expected_kwh]],0)</f>
        <v>0.9097879053973319</v>
      </c>
      <c r="K3331" t="str">
        <f>IF(Table4[[#This Row],[Performance_Ratio]] &lt; 0.85, "Underperforming", "Performing")</f>
        <v>Performing</v>
      </c>
      <c r="L3331">
        <f>Table4[[#This Row],[energy_kwh]] - Table4[[#This Row],[expected_kwh]]</f>
        <v>-28.018329818112989</v>
      </c>
      <c r="M3331" t="str">
        <f>IF(Table4[[#This Row],[Performance_Deviation]] &lt; 0, "Underperforming", "Outperforming")</f>
        <v>Underperforming</v>
      </c>
      <c r="N3331">
        <f>IF(Table4[[#This Row],[Performance_Ratio]] &lt; 0.85, Table4[[#This Row],[Performance_Deviation]] * 50 / 1000, 0)</f>
        <v>0</v>
      </c>
    </row>
    <row r="3332" spans="1:14" x14ac:dyDescent="0.3">
      <c r="A3332" s="4" t="s">
        <v>10</v>
      </c>
      <c r="B3332" s="3">
        <v>45306.75</v>
      </c>
      <c r="C3332" s="7">
        <v>1.43488222618609E-13</v>
      </c>
      <c r="D3332" s="7">
        <v>1.3577440275799101E-13</v>
      </c>
      <c r="E3332" s="7">
        <v>1.3577440275799101E-13</v>
      </c>
      <c r="F3332" s="4">
        <v>20.9481951050013</v>
      </c>
      <c r="G3332" s="4" t="str">
        <f t="shared" si="104"/>
        <v>OK</v>
      </c>
      <c r="H3332" s="4" t="str">
        <f t="shared" si="105"/>
        <v>NON-ZERO</v>
      </c>
      <c r="I3332" s="2">
        <v>1.46957615897682E-13</v>
      </c>
      <c r="J3332">
        <f>IFERROR(Table4[[#This Row],[energy_kwh]]/Table4[[#This Row],[expected_kwh]],0)</f>
        <v>0.92390177894912773</v>
      </c>
      <c r="K3332" t="str">
        <f>IF(Table4[[#This Row],[Performance_Ratio]] &lt; 0.85, "Underperforming", "Performing")</f>
        <v>Performing</v>
      </c>
      <c r="L3332">
        <f>Table4[[#This Row],[energy_kwh]] - Table4[[#This Row],[expected_kwh]]</f>
        <v>-1.1183213139690989E-14</v>
      </c>
      <c r="M3332" t="str">
        <f>IF(Table4[[#This Row],[Performance_Deviation]] &lt; 0, "Underperforming", "Outperforming")</f>
        <v>Underperforming</v>
      </c>
      <c r="N3332">
        <f>IF(Table4[[#This Row],[Performance_Ratio]] &lt; 0.85, Table4[[#This Row],[Performance_Deviation]] * 50 / 1000, 0)</f>
        <v>0</v>
      </c>
    </row>
    <row r="3333" spans="1:14" x14ac:dyDescent="0.3">
      <c r="A3333" s="6" t="s">
        <v>10</v>
      </c>
      <c r="B3333" s="5">
        <v>45306.791666666664</v>
      </c>
      <c r="C3333" s="6">
        <v>0</v>
      </c>
      <c r="D3333" s="6">
        <v>0</v>
      </c>
      <c r="E3333" s="6">
        <v>0</v>
      </c>
      <c r="F3333" s="6">
        <v>78.517018746342103</v>
      </c>
      <c r="G3333" s="6" t="str">
        <f t="shared" si="104"/>
        <v>OK</v>
      </c>
      <c r="H3333" s="6" t="str">
        <f t="shared" si="105"/>
        <v>ZERO</v>
      </c>
      <c r="I3333">
        <v>0</v>
      </c>
      <c r="J3333">
        <f>IFERROR(Table4[[#This Row],[energy_kwh]]/Table4[[#This Row],[expected_kwh]],0)</f>
        <v>0</v>
      </c>
      <c r="K3333" t="str">
        <f>IF(Table4[[#This Row],[Performance_Ratio]] &lt; 0.85, "Underperforming", "Performing")</f>
        <v>Underperforming</v>
      </c>
      <c r="L3333">
        <f>Table4[[#This Row],[energy_kwh]] - Table4[[#This Row],[expected_kwh]]</f>
        <v>0</v>
      </c>
      <c r="M3333" t="str">
        <f>IF(Table4[[#This Row],[Performance_Deviation]] &lt; 0, "Underperforming", "Outperforming")</f>
        <v>Outperforming</v>
      </c>
      <c r="N3333">
        <f>IF(Table4[[#This Row],[Performance_Ratio]] &lt; 0.85, Table4[[#This Row],[Performance_Deviation]] * 50 / 1000, 0)</f>
        <v>0</v>
      </c>
    </row>
    <row r="3334" spans="1:14" x14ac:dyDescent="0.3">
      <c r="A3334" s="4" t="s">
        <v>10</v>
      </c>
      <c r="B3334" s="3">
        <v>45306.833333333336</v>
      </c>
      <c r="C3334" s="4">
        <v>0</v>
      </c>
      <c r="D3334" s="4">
        <v>0</v>
      </c>
      <c r="E3334" s="4">
        <v>0</v>
      </c>
      <c r="F3334" s="4">
        <v>72.862714813800196</v>
      </c>
      <c r="G3334" s="4" t="str">
        <f t="shared" si="104"/>
        <v>OK</v>
      </c>
      <c r="H3334" s="4" t="str">
        <f t="shared" si="105"/>
        <v>ZERO</v>
      </c>
      <c r="I3334">
        <v>0</v>
      </c>
      <c r="J3334">
        <f>IFERROR(Table4[[#This Row],[energy_kwh]]/Table4[[#This Row],[expected_kwh]],0)</f>
        <v>0</v>
      </c>
      <c r="K3334" t="str">
        <f>IF(Table4[[#This Row],[Performance_Ratio]] &lt; 0.85, "Underperforming", "Performing")</f>
        <v>Underperforming</v>
      </c>
      <c r="L3334">
        <f>Table4[[#This Row],[energy_kwh]] - Table4[[#This Row],[expected_kwh]]</f>
        <v>0</v>
      </c>
      <c r="M3334" t="str">
        <f>IF(Table4[[#This Row],[Performance_Deviation]] &lt; 0, "Underperforming", "Outperforming")</f>
        <v>Outperforming</v>
      </c>
      <c r="N3334">
        <f>IF(Table4[[#This Row],[Performance_Ratio]] &lt; 0.85, Table4[[#This Row],[Performance_Deviation]] * 50 / 1000, 0)</f>
        <v>0</v>
      </c>
    </row>
    <row r="3335" spans="1:14" x14ac:dyDescent="0.3">
      <c r="A3335" s="6" t="s">
        <v>10</v>
      </c>
      <c r="B3335" s="5">
        <v>45306.875</v>
      </c>
      <c r="C3335" s="6">
        <v>0</v>
      </c>
      <c r="D3335" s="6">
        <v>0</v>
      </c>
      <c r="E3335" s="6">
        <v>0</v>
      </c>
      <c r="F3335" s="6">
        <v>26.308257448226399</v>
      </c>
      <c r="G3335" s="6" t="str">
        <f t="shared" si="104"/>
        <v>OK</v>
      </c>
      <c r="H3335" s="6" t="str">
        <f t="shared" si="105"/>
        <v>ZERO</v>
      </c>
      <c r="I3335">
        <v>0</v>
      </c>
      <c r="J3335">
        <f>IFERROR(Table4[[#This Row],[energy_kwh]]/Table4[[#This Row],[expected_kwh]],0)</f>
        <v>0</v>
      </c>
      <c r="K3335" t="str">
        <f>IF(Table4[[#This Row],[Performance_Ratio]] &lt; 0.85, "Underperforming", "Performing")</f>
        <v>Underperforming</v>
      </c>
      <c r="L3335">
        <f>Table4[[#This Row],[energy_kwh]] - Table4[[#This Row],[expected_kwh]]</f>
        <v>0</v>
      </c>
      <c r="M3335" t="str">
        <f>IF(Table4[[#This Row],[Performance_Deviation]] &lt; 0, "Underperforming", "Outperforming")</f>
        <v>Outperforming</v>
      </c>
      <c r="N3335">
        <f>IF(Table4[[#This Row],[Performance_Ratio]] &lt; 0.85, Table4[[#This Row],[Performance_Deviation]] * 50 / 1000, 0)</f>
        <v>0</v>
      </c>
    </row>
    <row r="3336" spans="1:14" x14ac:dyDescent="0.3">
      <c r="A3336" s="4" t="s">
        <v>10</v>
      </c>
      <c r="B3336" s="3">
        <v>45306.916666666664</v>
      </c>
      <c r="C3336" s="4">
        <v>0</v>
      </c>
      <c r="D3336" s="4">
        <v>0</v>
      </c>
      <c r="E3336" s="4">
        <v>0</v>
      </c>
      <c r="F3336" s="4">
        <v>33.891749812320299</v>
      </c>
      <c r="G3336" s="4" t="str">
        <f t="shared" si="104"/>
        <v>OK</v>
      </c>
      <c r="H3336" s="4" t="str">
        <f t="shared" si="105"/>
        <v>ZERO</v>
      </c>
      <c r="I3336">
        <v>0</v>
      </c>
      <c r="J3336">
        <f>IFERROR(Table4[[#This Row],[energy_kwh]]/Table4[[#This Row],[expected_kwh]],0)</f>
        <v>0</v>
      </c>
      <c r="K3336" t="str">
        <f>IF(Table4[[#This Row],[Performance_Ratio]] &lt; 0.85, "Underperforming", "Performing")</f>
        <v>Underperforming</v>
      </c>
      <c r="L3336">
        <f>Table4[[#This Row],[energy_kwh]] - Table4[[#This Row],[expected_kwh]]</f>
        <v>0</v>
      </c>
      <c r="M3336" t="str">
        <f>IF(Table4[[#This Row],[Performance_Deviation]] &lt; 0, "Underperforming", "Outperforming")</f>
        <v>Outperforming</v>
      </c>
      <c r="N3336">
        <f>IF(Table4[[#This Row],[Performance_Ratio]] &lt; 0.85, Table4[[#This Row],[Performance_Deviation]] * 50 / 1000, 0)</f>
        <v>0</v>
      </c>
    </row>
    <row r="3337" spans="1:14" x14ac:dyDescent="0.3">
      <c r="A3337" s="6" t="s">
        <v>10</v>
      </c>
      <c r="B3337" s="5">
        <v>45306.958333333336</v>
      </c>
      <c r="C3337" s="6">
        <v>0</v>
      </c>
      <c r="D3337" s="6">
        <v>0</v>
      </c>
      <c r="E3337" s="6">
        <v>0</v>
      </c>
      <c r="F3337" s="6">
        <v>36.991538639471798</v>
      </c>
      <c r="G3337" s="6" t="str">
        <f t="shared" si="104"/>
        <v>OK</v>
      </c>
      <c r="H3337" s="6" t="str">
        <f t="shared" si="105"/>
        <v>ZERO</v>
      </c>
      <c r="I3337">
        <v>0</v>
      </c>
      <c r="J3337">
        <f>IFERROR(Table4[[#This Row],[energy_kwh]]/Table4[[#This Row],[expected_kwh]],0)</f>
        <v>0</v>
      </c>
      <c r="K3337" t="str">
        <f>IF(Table4[[#This Row],[Performance_Ratio]] &lt; 0.85, "Underperforming", "Performing")</f>
        <v>Underperforming</v>
      </c>
      <c r="L3337">
        <f>Table4[[#This Row],[energy_kwh]] - Table4[[#This Row],[expected_kwh]]</f>
        <v>0</v>
      </c>
      <c r="M3337" t="str">
        <f>IF(Table4[[#This Row],[Performance_Deviation]] &lt; 0, "Underperforming", "Outperforming")</f>
        <v>Outperforming</v>
      </c>
      <c r="N3337">
        <f>IF(Table4[[#This Row],[Performance_Ratio]] &lt; 0.85, Table4[[#This Row],[Performance_Deviation]] * 50 / 1000, 0)</f>
        <v>0</v>
      </c>
    </row>
    <row r="3338" spans="1:14" x14ac:dyDescent="0.3">
      <c r="A3338" s="4" t="s">
        <v>10</v>
      </c>
      <c r="B3338" s="3">
        <v>45307</v>
      </c>
      <c r="C3338" s="4">
        <v>0</v>
      </c>
      <c r="D3338" s="4">
        <v>0</v>
      </c>
      <c r="E3338" s="4">
        <v>0</v>
      </c>
      <c r="F3338" s="4">
        <v>73.945137946146104</v>
      </c>
      <c r="G3338" s="4" t="str">
        <f t="shared" si="104"/>
        <v>OK</v>
      </c>
      <c r="H3338" s="4" t="str">
        <f t="shared" si="105"/>
        <v>ZERO</v>
      </c>
      <c r="I3338">
        <v>0</v>
      </c>
      <c r="J3338">
        <f>IFERROR(Table4[[#This Row],[energy_kwh]]/Table4[[#This Row],[expected_kwh]],0)</f>
        <v>0</v>
      </c>
      <c r="K3338" t="str">
        <f>IF(Table4[[#This Row],[Performance_Ratio]] &lt; 0.85, "Underperforming", "Performing")</f>
        <v>Underperforming</v>
      </c>
      <c r="L3338">
        <f>Table4[[#This Row],[energy_kwh]] - Table4[[#This Row],[expected_kwh]]</f>
        <v>0</v>
      </c>
      <c r="M3338" t="str">
        <f>IF(Table4[[#This Row],[Performance_Deviation]] &lt; 0, "Underperforming", "Outperforming")</f>
        <v>Outperforming</v>
      </c>
      <c r="N3338">
        <f>IF(Table4[[#This Row],[Performance_Ratio]] &lt; 0.85, Table4[[#This Row],[Performance_Deviation]] * 50 / 1000, 0)</f>
        <v>0</v>
      </c>
    </row>
    <row r="3339" spans="1:14" x14ac:dyDescent="0.3">
      <c r="A3339" s="6" t="s">
        <v>10</v>
      </c>
      <c r="B3339" s="5">
        <v>45307.041666666664</v>
      </c>
      <c r="C3339" s="6">
        <v>0</v>
      </c>
      <c r="D3339" s="6">
        <v>0</v>
      </c>
      <c r="E3339" s="6">
        <v>0</v>
      </c>
      <c r="F3339" s="6">
        <v>85.845617299970399</v>
      </c>
      <c r="G3339" s="6" t="str">
        <f t="shared" si="104"/>
        <v>OK</v>
      </c>
      <c r="H3339" s="6" t="str">
        <f t="shared" si="105"/>
        <v>ZERO</v>
      </c>
      <c r="I3339">
        <v>0</v>
      </c>
      <c r="J3339">
        <f>IFERROR(Table4[[#This Row],[energy_kwh]]/Table4[[#This Row],[expected_kwh]],0)</f>
        <v>0</v>
      </c>
      <c r="K3339" t="str">
        <f>IF(Table4[[#This Row],[Performance_Ratio]] &lt; 0.85, "Underperforming", "Performing")</f>
        <v>Underperforming</v>
      </c>
      <c r="L3339">
        <f>Table4[[#This Row],[energy_kwh]] - Table4[[#This Row],[expected_kwh]]</f>
        <v>0</v>
      </c>
      <c r="M3339" t="str">
        <f>IF(Table4[[#This Row],[Performance_Deviation]] &lt; 0, "Underperforming", "Outperforming")</f>
        <v>Outperforming</v>
      </c>
      <c r="N3339">
        <f>IF(Table4[[#This Row],[Performance_Ratio]] &lt; 0.85, Table4[[#This Row],[Performance_Deviation]] * 50 / 1000, 0)</f>
        <v>0</v>
      </c>
    </row>
    <row r="3340" spans="1:14" x14ac:dyDescent="0.3">
      <c r="A3340" s="4" t="s">
        <v>10</v>
      </c>
      <c r="B3340" s="3">
        <v>45307.083333333336</v>
      </c>
      <c r="C3340" s="4">
        <v>0</v>
      </c>
      <c r="D3340" s="4">
        <v>0</v>
      </c>
      <c r="E3340" s="4">
        <v>0</v>
      </c>
      <c r="F3340" s="4">
        <v>86.519929723787897</v>
      </c>
      <c r="G3340" s="4" t="str">
        <f t="shared" si="104"/>
        <v>OK</v>
      </c>
      <c r="H3340" s="4" t="str">
        <f t="shared" si="105"/>
        <v>ZERO</v>
      </c>
      <c r="I3340">
        <v>0</v>
      </c>
      <c r="J3340">
        <f>IFERROR(Table4[[#This Row],[energy_kwh]]/Table4[[#This Row],[expected_kwh]],0)</f>
        <v>0</v>
      </c>
      <c r="K3340" t="str">
        <f>IF(Table4[[#This Row],[Performance_Ratio]] &lt; 0.85, "Underperforming", "Performing")</f>
        <v>Underperforming</v>
      </c>
      <c r="L3340">
        <f>Table4[[#This Row],[energy_kwh]] - Table4[[#This Row],[expected_kwh]]</f>
        <v>0</v>
      </c>
      <c r="M3340" t="str">
        <f>IF(Table4[[#This Row],[Performance_Deviation]] &lt; 0, "Underperforming", "Outperforming")</f>
        <v>Outperforming</v>
      </c>
      <c r="N3340">
        <f>IF(Table4[[#This Row],[Performance_Ratio]] &lt; 0.85, Table4[[#This Row],[Performance_Deviation]] * 50 / 1000, 0)</f>
        <v>0</v>
      </c>
    </row>
    <row r="3341" spans="1:14" x14ac:dyDescent="0.3">
      <c r="A3341" s="6" t="s">
        <v>10</v>
      </c>
      <c r="B3341" s="5">
        <v>45307.125</v>
      </c>
      <c r="C3341" s="6">
        <v>0</v>
      </c>
      <c r="D3341" s="6">
        <v>0</v>
      </c>
      <c r="E3341" s="6">
        <v>0</v>
      </c>
      <c r="F3341" s="6">
        <v>42.263902570998802</v>
      </c>
      <c r="G3341" s="6" t="str">
        <f t="shared" si="104"/>
        <v>OK</v>
      </c>
      <c r="H3341" s="6" t="str">
        <f t="shared" si="105"/>
        <v>ZERO</v>
      </c>
      <c r="I3341">
        <v>0</v>
      </c>
      <c r="J3341">
        <f>IFERROR(Table4[[#This Row],[energy_kwh]]/Table4[[#This Row],[expected_kwh]],0)</f>
        <v>0</v>
      </c>
      <c r="K3341" t="str">
        <f>IF(Table4[[#This Row],[Performance_Ratio]] &lt; 0.85, "Underperforming", "Performing")</f>
        <v>Underperforming</v>
      </c>
      <c r="L3341">
        <f>Table4[[#This Row],[energy_kwh]] - Table4[[#This Row],[expected_kwh]]</f>
        <v>0</v>
      </c>
      <c r="M3341" t="str">
        <f>IF(Table4[[#This Row],[Performance_Deviation]] &lt; 0, "Underperforming", "Outperforming")</f>
        <v>Outperforming</v>
      </c>
      <c r="N3341">
        <f>IF(Table4[[#This Row],[Performance_Ratio]] &lt; 0.85, Table4[[#This Row],[Performance_Deviation]] * 50 / 1000, 0)</f>
        <v>0</v>
      </c>
    </row>
    <row r="3342" spans="1:14" x14ac:dyDescent="0.3">
      <c r="A3342" s="4" t="s">
        <v>10</v>
      </c>
      <c r="B3342" s="3">
        <v>45307.166666666664</v>
      </c>
      <c r="C3342" s="4">
        <v>0</v>
      </c>
      <c r="D3342" s="4">
        <v>0</v>
      </c>
      <c r="E3342" s="4">
        <v>0</v>
      </c>
      <c r="F3342" s="4">
        <v>94.069683088496006</v>
      </c>
      <c r="G3342" s="4" t="str">
        <f t="shared" si="104"/>
        <v>OK</v>
      </c>
      <c r="H3342" s="4" t="str">
        <f t="shared" si="105"/>
        <v>ZERO</v>
      </c>
      <c r="I3342">
        <v>0</v>
      </c>
      <c r="J3342">
        <f>IFERROR(Table4[[#This Row],[energy_kwh]]/Table4[[#This Row],[expected_kwh]],0)</f>
        <v>0</v>
      </c>
      <c r="K3342" t="str">
        <f>IF(Table4[[#This Row],[Performance_Ratio]] &lt; 0.85, "Underperforming", "Performing")</f>
        <v>Underperforming</v>
      </c>
      <c r="L3342">
        <f>Table4[[#This Row],[energy_kwh]] - Table4[[#This Row],[expected_kwh]]</f>
        <v>0</v>
      </c>
      <c r="M3342" t="str">
        <f>IF(Table4[[#This Row],[Performance_Deviation]] &lt; 0, "Underperforming", "Outperforming")</f>
        <v>Outperforming</v>
      </c>
      <c r="N3342">
        <f>IF(Table4[[#This Row],[Performance_Ratio]] &lt; 0.85, Table4[[#This Row],[Performance_Deviation]] * 50 / 1000, 0)</f>
        <v>0</v>
      </c>
    </row>
    <row r="3343" spans="1:14" x14ac:dyDescent="0.3">
      <c r="A3343" s="6" t="s">
        <v>10</v>
      </c>
      <c r="B3343" s="5">
        <v>45307.208333333336</v>
      </c>
      <c r="C3343" s="6">
        <v>0</v>
      </c>
      <c r="D3343" s="6">
        <v>0</v>
      </c>
      <c r="E3343" s="6">
        <v>0</v>
      </c>
      <c r="F3343" s="6">
        <v>44.343399437395902</v>
      </c>
      <c r="G3343" s="6" t="str">
        <f t="shared" si="104"/>
        <v>OK</v>
      </c>
      <c r="H3343" s="6" t="str">
        <f t="shared" si="105"/>
        <v>ZERO</v>
      </c>
      <c r="I3343">
        <v>0</v>
      </c>
      <c r="J3343">
        <f>IFERROR(Table4[[#This Row],[energy_kwh]]/Table4[[#This Row],[expected_kwh]],0)</f>
        <v>0</v>
      </c>
      <c r="K3343" t="str">
        <f>IF(Table4[[#This Row],[Performance_Ratio]] &lt; 0.85, "Underperforming", "Performing")</f>
        <v>Underperforming</v>
      </c>
      <c r="L3343">
        <f>Table4[[#This Row],[energy_kwh]] - Table4[[#This Row],[expected_kwh]]</f>
        <v>0</v>
      </c>
      <c r="M3343" t="str">
        <f>IF(Table4[[#This Row],[Performance_Deviation]] &lt; 0, "Underperforming", "Outperforming")</f>
        <v>Outperforming</v>
      </c>
      <c r="N3343">
        <f>IF(Table4[[#This Row],[Performance_Ratio]] &lt; 0.85, Table4[[#This Row],[Performance_Deviation]] * 50 / 1000, 0)</f>
        <v>0</v>
      </c>
    </row>
    <row r="3344" spans="1:14" x14ac:dyDescent="0.3">
      <c r="A3344" s="4" t="s">
        <v>10</v>
      </c>
      <c r="B3344" s="3">
        <v>45307.25</v>
      </c>
      <c r="C3344" s="4">
        <v>0</v>
      </c>
      <c r="D3344" s="4">
        <v>0</v>
      </c>
      <c r="E3344" s="4">
        <v>0</v>
      </c>
      <c r="F3344" s="4">
        <v>23.368212238154801</v>
      </c>
      <c r="G3344" s="4" t="str">
        <f t="shared" si="104"/>
        <v>OK</v>
      </c>
      <c r="H3344" s="4" t="str">
        <f t="shared" si="105"/>
        <v>ZERO</v>
      </c>
      <c r="I3344">
        <v>0</v>
      </c>
      <c r="J3344">
        <f>IFERROR(Table4[[#This Row],[energy_kwh]]/Table4[[#This Row],[expected_kwh]],0)</f>
        <v>0</v>
      </c>
      <c r="K3344" t="str">
        <f>IF(Table4[[#This Row],[Performance_Ratio]] &lt; 0.85, "Underperforming", "Performing")</f>
        <v>Underperforming</v>
      </c>
      <c r="L3344">
        <f>Table4[[#This Row],[energy_kwh]] - Table4[[#This Row],[expected_kwh]]</f>
        <v>0</v>
      </c>
      <c r="M3344" t="str">
        <f>IF(Table4[[#This Row],[Performance_Deviation]] &lt; 0, "Underperforming", "Outperforming")</f>
        <v>Outperforming</v>
      </c>
      <c r="N3344">
        <f>IF(Table4[[#This Row],[Performance_Ratio]] &lt; 0.85, Table4[[#This Row],[Performance_Deviation]] * 50 / 1000, 0)</f>
        <v>0</v>
      </c>
    </row>
    <row r="3345" spans="1:14" x14ac:dyDescent="0.3">
      <c r="A3345" s="6" t="s">
        <v>10</v>
      </c>
      <c r="B3345" s="5">
        <v>45307.291666666664</v>
      </c>
      <c r="C3345" s="6">
        <v>288.83897430567202</v>
      </c>
      <c r="D3345" s="6">
        <v>273.31120641044998</v>
      </c>
      <c r="E3345" s="6">
        <v>273.31120641044998</v>
      </c>
      <c r="F3345" s="6">
        <v>33.975010725830501</v>
      </c>
      <c r="G3345" s="6" t="str">
        <f t="shared" si="104"/>
        <v>OK</v>
      </c>
      <c r="H3345" s="6" t="str">
        <f t="shared" si="105"/>
        <v>NON-ZERO</v>
      </c>
      <c r="I3345">
        <v>310.58285412302399</v>
      </c>
      <c r="J3345">
        <f>IFERROR(Table4[[#This Row],[energy_kwh]]/Table4[[#This Row],[expected_kwh]],0)</f>
        <v>0.87999450962025594</v>
      </c>
      <c r="K3345" t="str">
        <f>IF(Table4[[#This Row],[Performance_Ratio]] &lt; 0.85, "Underperforming", "Performing")</f>
        <v>Performing</v>
      </c>
      <c r="L3345">
        <f>Table4[[#This Row],[energy_kwh]] - Table4[[#This Row],[expected_kwh]]</f>
        <v>-37.271647712574008</v>
      </c>
      <c r="M3345" t="str">
        <f>IF(Table4[[#This Row],[Performance_Deviation]] &lt; 0, "Underperforming", "Outperforming")</f>
        <v>Underperforming</v>
      </c>
      <c r="N3345">
        <f>IF(Table4[[#This Row],[Performance_Ratio]] &lt; 0.85, Table4[[#This Row],[Performance_Deviation]] * 50 / 1000, 0)</f>
        <v>0</v>
      </c>
    </row>
    <row r="3346" spans="1:14" x14ac:dyDescent="0.3">
      <c r="A3346" s="4" t="s">
        <v>10</v>
      </c>
      <c r="B3346" s="3">
        <v>45307.333333333336</v>
      </c>
      <c r="C3346" s="4">
        <v>531.73283854145495</v>
      </c>
      <c r="D3346" s="4">
        <v>503.14727761088102</v>
      </c>
      <c r="E3346" s="4">
        <v>503.14727761088102</v>
      </c>
      <c r="F3346" s="4">
        <v>46.392879181899502</v>
      </c>
      <c r="G3346" s="4" t="str">
        <f t="shared" si="104"/>
        <v>OK</v>
      </c>
      <c r="H3346" s="4" t="str">
        <f t="shared" si="105"/>
        <v>NON-ZERO</v>
      </c>
      <c r="I3346">
        <v>600</v>
      </c>
      <c r="J3346">
        <f>IFERROR(Table4[[#This Row],[energy_kwh]]/Table4[[#This Row],[expected_kwh]],0)</f>
        <v>0.83857879601813501</v>
      </c>
      <c r="K3346" t="str">
        <f>IF(Table4[[#This Row],[Performance_Ratio]] &lt; 0.85, "Underperforming", "Performing")</f>
        <v>Underperforming</v>
      </c>
      <c r="L3346">
        <f>Table4[[#This Row],[energy_kwh]] - Table4[[#This Row],[expected_kwh]]</f>
        <v>-96.852722389118981</v>
      </c>
      <c r="M3346" t="str">
        <f>IF(Table4[[#This Row],[Performance_Deviation]] &lt; 0, "Underperforming", "Outperforming")</f>
        <v>Underperforming</v>
      </c>
      <c r="N3346">
        <f>IF(Table4[[#This Row],[Performance_Ratio]] &lt; 0.85, Table4[[#This Row],[Performance_Deviation]] * 50 / 1000, 0)</f>
        <v>-4.8426361194559489</v>
      </c>
    </row>
    <row r="3347" spans="1:14" x14ac:dyDescent="0.3">
      <c r="A3347" s="6" t="s">
        <v>10</v>
      </c>
      <c r="B3347" s="5">
        <v>45307.375</v>
      </c>
      <c r="C3347" s="6">
        <v>786.24074370441201</v>
      </c>
      <c r="D3347" s="6">
        <v>743.97302755787598</v>
      </c>
      <c r="E3347" s="6">
        <v>743.97302755787598</v>
      </c>
      <c r="F3347" s="6">
        <v>93.7443208221177</v>
      </c>
      <c r="G3347" s="6" t="str">
        <f t="shared" si="104"/>
        <v>OK</v>
      </c>
      <c r="H3347" s="6" t="str">
        <f t="shared" si="105"/>
        <v>NON-ZERO</v>
      </c>
      <c r="I3347">
        <v>848.52813742385695</v>
      </c>
      <c r="J3347">
        <f>IFERROR(Table4[[#This Row],[energy_kwh]]/Table4[[#This Row],[expected_kwh]],0)</f>
        <v>0.87678062134343393</v>
      </c>
      <c r="K3347" t="str">
        <f>IF(Table4[[#This Row],[Performance_Ratio]] &lt; 0.85, "Underperforming", "Performing")</f>
        <v>Performing</v>
      </c>
      <c r="L3347">
        <f>Table4[[#This Row],[energy_kwh]] - Table4[[#This Row],[expected_kwh]]</f>
        <v>-104.55510986598097</v>
      </c>
      <c r="M3347" t="str">
        <f>IF(Table4[[#This Row],[Performance_Deviation]] &lt; 0, "Underperforming", "Outperforming")</f>
        <v>Underperforming</v>
      </c>
      <c r="N3347">
        <f>IF(Table4[[#This Row],[Performance_Ratio]] &lt; 0.85, Table4[[#This Row],[Performance_Deviation]] * 50 / 1000, 0)</f>
        <v>0</v>
      </c>
    </row>
    <row r="3348" spans="1:14" x14ac:dyDescent="0.3">
      <c r="A3348" s="4" t="s">
        <v>10</v>
      </c>
      <c r="B3348" s="3">
        <v>45307.416666666664</v>
      </c>
      <c r="C3348" s="4">
        <v>1044.98539391243</v>
      </c>
      <c r="D3348" s="4">
        <v>988.80775829530899</v>
      </c>
      <c r="E3348" s="4">
        <v>988.80775829530899</v>
      </c>
      <c r="F3348" s="4">
        <v>79.258213420032007</v>
      </c>
      <c r="G3348" s="4" t="str">
        <f t="shared" si="104"/>
        <v>OK</v>
      </c>
      <c r="H3348" s="4" t="str">
        <f t="shared" si="105"/>
        <v>NON-ZERO</v>
      </c>
      <c r="I3348">
        <v>1039.23048454132</v>
      </c>
      <c r="J3348">
        <f>IFERROR(Table4[[#This Row],[energy_kwh]]/Table4[[#This Row],[expected_kwh]],0)</f>
        <v>0.95148070904765092</v>
      </c>
      <c r="K3348" t="str">
        <f>IF(Table4[[#This Row],[Performance_Ratio]] &lt; 0.85, "Underperforming", "Performing")</f>
        <v>Performing</v>
      </c>
      <c r="L3348">
        <f>Table4[[#This Row],[energy_kwh]] - Table4[[#This Row],[expected_kwh]]</f>
        <v>-50.422726246011052</v>
      </c>
      <c r="M3348" t="str">
        <f>IF(Table4[[#This Row],[Performance_Deviation]] &lt; 0, "Underperforming", "Outperforming")</f>
        <v>Underperforming</v>
      </c>
      <c r="N3348">
        <f>IF(Table4[[#This Row],[Performance_Ratio]] &lt; 0.85, Table4[[#This Row],[Performance_Deviation]] * 50 / 1000, 0)</f>
        <v>0</v>
      </c>
    </row>
    <row r="3349" spans="1:14" x14ac:dyDescent="0.3">
      <c r="A3349" s="6" t="s">
        <v>10</v>
      </c>
      <c r="B3349" s="5">
        <v>45307.458333333336</v>
      </c>
      <c r="C3349" s="6">
        <v>1071.88365992536</v>
      </c>
      <c r="D3349" s="6">
        <v>1014.25999358319</v>
      </c>
      <c r="E3349" s="6">
        <v>1014.25999358319</v>
      </c>
      <c r="F3349" s="6">
        <v>25.6733510493012</v>
      </c>
      <c r="G3349" s="6" t="str">
        <f t="shared" si="104"/>
        <v>OK</v>
      </c>
      <c r="H3349" s="6" t="str">
        <f t="shared" si="105"/>
        <v>NON-ZERO</v>
      </c>
      <c r="I3349">
        <v>1159.1109915468801</v>
      </c>
      <c r="J3349">
        <f>IFERROR(Table4[[#This Row],[energy_kwh]]/Table4[[#This Row],[expected_kwh]],0)</f>
        <v>0.87503267674963492</v>
      </c>
      <c r="K3349" t="str">
        <f>IF(Table4[[#This Row],[Performance_Ratio]] &lt; 0.85, "Underperforming", "Performing")</f>
        <v>Performing</v>
      </c>
      <c r="L3349">
        <f>Table4[[#This Row],[energy_kwh]] - Table4[[#This Row],[expected_kwh]]</f>
        <v>-144.85099796369013</v>
      </c>
      <c r="M3349" t="str">
        <f>IF(Table4[[#This Row],[Performance_Deviation]] &lt; 0, "Underperforming", "Outperforming")</f>
        <v>Underperforming</v>
      </c>
      <c r="N3349">
        <f>IF(Table4[[#This Row],[Performance_Ratio]] &lt; 0.85, Table4[[#This Row],[Performance_Deviation]] * 50 / 1000, 0)</f>
        <v>0</v>
      </c>
    </row>
    <row r="3350" spans="1:14" x14ac:dyDescent="0.3">
      <c r="A3350" s="4" t="s">
        <v>10</v>
      </c>
      <c r="B3350" s="3">
        <v>45307.5</v>
      </c>
      <c r="C3350" s="4">
        <v>1162.99581525897</v>
      </c>
      <c r="D3350" s="4">
        <v>1100.47402738091</v>
      </c>
      <c r="E3350" s="4">
        <v>1100.47402738091</v>
      </c>
      <c r="F3350" s="4">
        <v>78.472576710010898</v>
      </c>
      <c r="G3350" s="4" t="str">
        <f t="shared" si="104"/>
        <v>OK</v>
      </c>
      <c r="H3350" s="4" t="str">
        <f t="shared" si="105"/>
        <v>NON-ZERO</v>
      </c>
      <c r="I3350">
        <v>1200</v>
      </c>
      <c r="J3350">
        <f>IFERROR(Table4[[#This Row],[energy_kwh]]/Table4[[#This Row],[expected_kwh]],0)</f>
        <v>0.91706168948409161</v>
      </c>
      <c r="K3350" t="str">
        <f>IF(Table4[[#This Row],[Performance_Ratio]] &lt; 0.85, "Underperforming", "Performing")</f>
        <v>Performing</v>
      </c>
      <c r="L3350">
        <f>Table4[[#This Row],[energy_kwh]] - Table4[[#This Row],[expected_kwh]]</f>
        <v>-99.525972619089998</v>
      </c>
      <c r="M3350" t="str">
        <f>IF(Table4[[#This Row],[Performance_Deviation]] &lt; 0, "Underperforming", "Outperforming")</f>
        <v>Underperforming</v>
      </c>
      <c r="N3350">
        <f>IF(Table4[[#This Row],[Performance_Ratio]] &lt; 0.85, Table4[[#This Row],[Performance_Deviation]] * 50 / 1000, 0)</f>
        <v>0</v>
      </c>
    </row>
    <row r="3351" spans="1:14" x14ac:dyDescent="0.3">
      <c r="A3351" s="6" t="s">
        <v>10</v>
      </c>
      <c r="B3351" s="5">
        <v>45307.541666666664</v>
      </c>
      <c r="C3351" s="6">
        <v>1099.46795239162</v>
      </c>
      <c r="D3351" s="6">
        <v>1040.36137505381</v>
      </c>
      <c r="E3351" s="6">
        <v>1040.36137505381</v>
      </c>
      <c r="F3351" s="6">
        <v>77.037650331292895</v>
      </c>
      <c r="G3351" s="6" t="str">
        <f t="shared" si="104"/>
        <v>OK</v>
      </c>
      <c r="H3351" s="6" t="str">
        <f t="shared" si="105"/>
        <v>NON-ZERO</v>
      </c>
      <c r="I3351">
        <v>1159.1109915468801</v>
      </c>
      <c r="J3351">
        <f>IFERROR(Table4[[#This Row],[energy_kwh]]/Table4[[#This Row],[expected_kwh]],0)</f>
        <v>0.89755112550991001</v>
      </c>
      <c r="K3351" t="str">
        <f>IF(Table4[[#This Row],[Performance_Ratio]] &lt; 0.85, "Underperforming", "Performing")</f>
        <v>Performing</v>
      </c>
      <c r="L3351">
        <f>Table4[[#This Row],[energy_kwh]] - Table4[[#This Row],[expected_kwh]]</f>
        <v>-118.74961649307011</v>
      </c>
      <c r="M3351" t="str">
        <f>IF(Table4[[#This Row],[Performance_Deviation]] &lt; 0, "Underperforming", "Outperforming")</f>
        <v>Underperforming</v>
      </c>
      <c r="N3351">
        <f>IF(Table4[[#This Row],[Performance_Ratio]] &lt; 0.85, Table4[[#This Row],[Performance_Deviation]] * 50 / 1000, 0)</f>
        <v>0</v>
      </c>
    </row>
    <row r="3352" spans="1:14" x14ac:dyDescent="0.3">
      <c r="A3352" s="4" t="s">
        <v>10</v>
      </c>
      <c r="B3352" s="3">
        <v>45307.583333333336</v>
      </c>
      <c r="C3352" s="4">
        <v>1045.8897744784999</v>
      </c>
      <c r="D3352" s="4">
        <v>989.66352003646398</v>
      </c>
      <c r="E3352" s="4">
        <v>989.66352003646398</v>
      </c>
      <c r="F3352" s="4">
        <v>70.475682572228905</v>
      </c>
      <c r="G3352" s="4" t="str">
        <f t="shared" si="104"/>
        <v>OK</v>
      </c>
      <c r="H3352" s="4" t="str">
        <f t="shared" si="105"/>
        <v>NON-ZERO</v>
      </c>
      <c r="I3352">
        <v>1039.23048454132</v>
      </c>
      <c r="J3352">
        <f>IFERROR(Table4[[#This Row],[energy_kwh]]/Table4[[#This Row],[expected_kwh]],0)</f>
        <v>0.9523041661670143</v>
      </c>
      <c r="K3352" t="str">
        <f>IF(Table4[[#This Row],[Performance_Ratio]] &lt; 0.85, "Underperforming", "Performing")</f>
        <v>Performing</v>
      </c>
      <c r="L3352">
        <f>Table4[[#This Row],[energy_kwh]] - Table4[[#This Row],[expected_kwh]]</f>
        <v>-49.56696450485606</v>
      </c>
      <c r="M3352" t="str">
        <f>IF(Table4[[#This Row],[Performance_Deviation]] &lt; 0, "Underperforming", "Outperforming")</f>
        <v>Underperforming</v>
      </c>
      <c r="N3352">
        <f>IF(Table4[[#This Row],[Performance_Ratio]] &lt; 0.85, Table4[[#This Row],[Performance_Deviation]] * 50 / 1000, 0)</f>
        <v>0</v>
      </c>
    </row>
    <row r="3353" spans="1:14" x14ac:dyDescent="0.3">
      <c r="A3353" s="6" t="s">
        <v>10</v>
      </c>
      <c r="B3353" s="5">
        <v>45307.625</v>
      </c>
      <c r="C3353" s="6">
        <v>808.71673901643896</v>
      </c>
      <c r="D3353" s="6">
        <v>765.240730120428</v>
      </c>
      <c r="E3353" s="6">
        <v>765.240730120428</v>
      </c>
      <c r="F3353" s="6">
        <v>90.174134705715801</v>
      </c>
      <c r="G3353" s="6" t="str">
        <f t="shared" si="104"/>
        <v>OK</v>
      </c>
      <c r="H3353" s="6" t="str">
        <f t="shared" si="105"/>
        <v>NON-ZERO</v>
      </c>
      <c r="I3353">
        <v>848.52813742385695</v>
      </c>
      <c r="J3353">
        <f>IFERROR(Table4[[#This Row],[energy_kwh]]/Table4[[#This Row],[expected_kwh]],0)</f>
        <v>0.90184484918049901</v>
      </c>
      <c r="K3353" t="str">
        <f>IF(Table4[[#This Row],[Performance_Ratio]] &lt; 0.85, "Underperforming", "Performing")</f>
        <v>Performing</v>
      </c>
      <c r="L3353">
        <f>Table4[[#This Row],[energy_kwh]] - Table4[[#This Row],[expected_kwh]]</f>
        <v>-83.287407303428949</v>
      </c>
      <c r="M3353" t="str">
        <f>IF(Table4[[#This Row],[Performance_Deviation]] &lt; 0, "Underperforming", "Outperforming")</f>
        <v>Underperforming</v>
      </c>
      <c r="N3353">
        <f>IF(Table4[[#This Row],[Performance_Ratio]] &lt; 0.85, Table4[[#This Row],[Performance_Deviation]] * 50 / 1000, 0)</f>
        <v>0</v>
      </c>
    </row>
    <row r="3354" spans="1:14" x14ac:dyDescent="0.3">
      <c r="A3354" s="4" t="s">
        <v>10</v>
      </c>
      <c r="B3354" s="3">
        <v>45307.666666666664</v>
      </c>
      <c r="C3354" s="4">
        <v>499.88979774233201</v>
      </c>
      <c r="D3354" s="4">
        <v>473.01609494238397</v>
      </c>
      <c r="E3354" s="4">
        <v>473.01609494238397</v>
      </c>
      <c r="F3354" s="4">
        <v>82.739014583568405</v>
      </c>
      <c r="G3354" s="4" t="str">
        <f t="shared" si="104"/>
        <v>OK</v>
      </c>
      <c r="H3354" s="4" t="str">
        <f t="shared" si="105"/>
        <v>NON-ZERO</v>
      </c>
      <c r="I3354">
        <v>600</v>
      </c>
      <c r="J3354">
        <f>IFERROR(Table4[[#This Row],[energy_kwh]]/Table4[[#This Row],[expected_kwh]],0)</f>
        <v>0.78836015823730665</v>
      </c>
      <c r="K3354" t="str">
        <f>IF(Table4[[#This Row],[Performance_Ratio]] &lt; 0.85, "Underperforming", "Performing")</f>
        <v>Underperforming</v>
      </c>
      <c r="L3354">
        <f>Table4[[#This Row],[energy_kwh]] - Table4[[#This Row],[expected_kwh]]</f>
        <v>-126.98390505761603</v>
      </c>
      <c r="M3354" t="str">
        <f>IF(Table4[[#This Row],[Performance_Deviation]] &lt; 0, "Underperforming", "Outperforming")</f>
        <v>Underperforming</v>
      </c>
      <c r="N3354">
        <f>IF(Table4[[#This Row],[Performance_Ratio]] &lt; 0.85, Table4[[#This Row],[Performance_Deviation]] * 50 / 1000, 0)</f>
        <v>-6.3491952528808016</v>
      </c>
    </row>
    <row r="3355" spans="1:14" x14ac:dyDescent="0.3">
      <c r="A3355" s="6" t="s">
        <v>10</v>
      </c>
      <c r="B3355" s="5">
        <v>45307.708333333336</v>
      </c>
      <c r="C3355" s="6">
        <v>310.537218952464</v>
      </c>
      <c r="D3355" s="6">
        <v>293.84296960362502</v>
      </c>
      <c r="E3355" s="6">
        <v>293.84296960362502</v>
      </c>
      <c r="F3355" s="6">
        <v>47.451154069390697</v>
      </c>
      <c r="G3355" s="6" t="str">
        <f t="shared" si="104"/>
        <v>OK</v>
      </c>
      <c r="H3355" s="6" t="str">
        <f t="shared" si="105"/>
        <v>NON-ZERO</v>
      </c>
      <c r="I3355">
        <v>310.58285412302502</v>
      </c>
      <c r="J3355">
        <f>IFERROR(Table4[[#This Row],[energy_kwh]]/Table4[[#This Row],[expected_kwh]],0)</f>
        <v>0.94610171071204996</v>
      </c>
      <c r="K3355" t="str">
        <f>IF(Table4[[#This Row],[Performance_Ratio]] &lt; 0.85, "Underperforming", "Performing")</f>
        <v>Performing</v>
      </c>
      <c r="L3355">
        <f>Table4[[#This Row],[energy_kwh]] - Table4[[#This Row],[expected_kwh]]</f>
        <v>-16.739884519399993</v>
      </c>
      <c r="M3355" t="str">
        <f>IF(Table4[[#This Row],[Performance_Deviation]] &lt; 0, "Underperforming", "Outperforming")</f>
        <v>Underperforming</v>
      </c>
      <c r="N3355">
        <f>IF(Table4[[#This Row],[Performance_Ratio]] &lt; 0.85, Table4[[#This Row],[Performance_Deviation]] * 50 / 1000, 0)</f>
        <v>0</v>
      </c>
    </row>
    <row r="3356" spans="1:14" x14ac:dyDescent="0.3">
      <c r="A3356" s="4" t="s">
        <v>10</v>
      </c>
      <c r="B3356" s="3">
        <v>45307.75</v>
      </c>
      <c r="C3356" s="7">
        <v>1.40351821651466E-13</v>
      </c>
      <c r="D3356" s="7">
        <v>1.32806612368285E-13</v>
      </c>
      <c r="E3356" s="7">
        <v>1.32806612368285E-13</v>
      </c>
      <c r="F3356" s="4">
        <v>22.371125845343101</v>
      </c>
      <c r="G3356" s="4" t="str">
        <f t="shared" si="104"/>
        <v>OK</v>
      </c>
      <c r="H3356" s="4" t="str">
        <f t="shared" si="105"/>
        <v>NON-ZERO</v>
      </c>
      <c r="I3356" s="2">
        <v>1.46957615897682E-13</v>
      </c>
      <c r="J3356">
        <f>IFERROR(Table4[[#This Row],[energy_kwh]]/Table4[[#This Row],[expected_kwh]],0)</f>
        <v>0.90370690594729353</v>
      </c>
      <c r="K3356" t="str">
        <f>IF(Table4[[#This Row],[Performance_Ratio]] &lt; 0.85, "Underperforming", "Performing")</f>
        <v>Performing</v>
      </c>
      <c r="L3356">
        <f>Table4[[#This Row],[energy_kwh]] - Table4[[#This Row],[expected_kwh]]</f>
        <v>-1.4151003529397003E-14</v>
      </c>
      <c r="M3356" t="str">
        <f>IF(Table4[[#This Row],[Performance_Deviation]] &lt; 0, "Underperforming", "Outperforming")</f>
        <v>Underperforming</v>
      </c>
      <c r="N3356">
        <f>IF(Table4[[#This Row],[Performance_Ratio]] &lt; 0.85, Table4[[#This Row],[Performance_Deviation]] * 50 / 1000, 0)</f>
        <v>0</v>
      </c>
    </row>
    <row r="3357" spans="1:14" x14ac:dyDescent="0.3">
      <c r="A3357" s="6" t="s">
        <v>10</v>
      </c>
      <c r="B3357" s="5">
        <v>45307.791666666664</v>
      </c>
      <c r="C3357" s="6">
        <v>0</v>
      </c>
      <c r="D3357" s="6">
        <v>0</v>
      </c>
      <c r="E3357" s="6">
        <v>0</v>
      </c>
      <c r="F3357" s="6">
        <v>22.8615204451532</v>
      </c>
      <c r="G3357" s="6" t="str">
        <f t="shared" si="104"/>
        <v>OK</v>
      </c>
      <c r="H3357" s="6" t="str">
        <f t="shared" si="105"/>
        <v>ZERO</v>
      </c>
      <c r="I3357">
        <v>0</v>
      </c>
      <c r="J3357">
        <f>IFERROR(Table4[[#This Row],[energy_kwh]]/Table4[[#This Row],[expected_kwh]],0)</f>
        <v>0</v>
      </c>
      <c r="K3357" t="str">
        <f>IF(Table4[[#This Row],[Performance_Ratio]] &lt; 0.85, "Underperforming", "Performing")</f>
        <v>Underperforming</v>
      </c>
      <c r="L3357">
        <f>Table4[[#This Row],[energy_kwh]] - Table4[[#This Row],[expected_kwh]]</f>
        <v>0</v>
      </c>
      <c r="M3357" t="str">
        <f>IF(Table4[[#This Row],[Performance_Deviation]] &lt; 0, "Underperforming", "Outperforming")</f>
        <v>Outperforming</v>
      </c>
      <c r="N3357">
        <f>IF(Table4[[#This Row],[Performance_Ratio]] &lt; 0.85, Table4[[#This Row],[Performance_Deviation]] * 50 / 1000, 0)</f>
        <v>0</v>
      </c>
    </row>
    <row r="3358" spans="1:14" x14ac:dyDescent="0.3">
      <c r="A3358" s="4" t="s">
        <v>10</v>
      </c>
      <c r="B3358" s="3">
        <v>45307.833333333336</v>
      </c>
      <c r="C3358" s="4">
        <v>0</v>
      </c>
      <c r="D3358" s="4">
        <v>0</v>
      </c>
      <c r="E3358" s="4">
        <v>0</v>
      </c>
      <c r="F3358" s="4">
        <v>22.177908699483002</v>
      </c>
      <c r="G3358" s="4" t="str">
        <f t="shared" si="104"/>
        <v>OK</v>
      </c>
      <c r="H3358" s="4" t="str">
        <f t="shared" si="105"/>
        <v>ZERO</v>
      </c>
      <c r="I3358">
        <v>0</v>
      </c>
      <c r="J3358">
        <f>IFERROR(Table4[[#This Row],[energy_kwh]]/Table4[[#This Row],[expected_kwh]],0)</f>
        <v>0</v>
      </c>
      <c r="K3358" t="str">
        <f>IF(Table4[[#This Row],[Performance_Ratio]] &lt; 0.85, "Underperforming", "Performing")</f>
        <v>Underperforming</v>
      </c>
      <c r="L3358">
        <f>Table4[[#This Row],[energy_kwh]] - Table4[[#This Row],[expected_kwh]]</f>
        <v>0</v>
      </c>
      <c r="M3358" t="str">
        <f>IF(Table4[[#This Row],[Performance_Deviation]] &lt; 0, "Underperforming", "Outperforming")</f>
        <v>Outperforming</v>
      </c>
      <c r="N3358">
        <f>IF(Table4[[#This Row],[Performance_Ratio]] &lt; 0.85, Table4[[#This Row],[Performance_Deviation]] * 50 / 1000, 0)</f>
        <v>0</v>
      </c>
    </row>
    <row r="3359" spans="1:14" x14ac:dyDescent="0.3">
      <c r="A3359" s="6" t="s">
        <v>10</v>
      </c>
      <c r="B3359" s="5">
        <v>45307.875</v>
      </c>
      <c r="C3359" s="6">
        <v>0</v>
      </c>
      <c r="D3359" s="6">
        <v>0</v>
      </c>
      <c r="E3359" s="6">
        <v>0</v>
      </c>
      <c r="F3359" s="6">
        <v>80.458386324380299</v>
      </c>
      <c r="G3359" s="6" t="str">
        <f t="shared" si="104"/>
        <v>OK</v>
      </c>
      <c r="H3359" s="6" t="str">
        <f t="shared" si="105"/>
        <v>ZERO</v>
      </c>
      <c r="I3359">
        <v>0</v>
      </c>
      <c r="J3359">
        <f>IFERROR(Table4[[#This Row],[energy_kwh]]/Table4[[#This Row],[expected_kwh]],0)</f>
        <v>0</v>
      </c>
      <c r="K3359" t="str">
        <f>IF(Table4[[#This Row],[Performance_Ratio]] &lt; 0.85, "Underperforming", "Performing")</f>
        <v>Underperforming</v>
      </c>
      <c r="L3359">
        <f>Table4[[#This Row],[energy_kwh]] - Table4[[#This Row],[expected_kwh]]</f>
        <v>0</v>
      </c>
      <c r="M3359" t="str">
        <f>IF(Table4[[#This Row],[Performance_Deviation]] &lt; 0, "Underperforming", "Outperforming")</f>
        <v>Outperforming</v>
      </c>
      <c r="N3359">
        <f>IF(Table4[[#This Row],[Performance_Ratio]] &lt; 0.85, Table4[[#This Row],[Performance_Deviation]] * 50 / 1000, 0)</f>
        <v>0</v>
      </c>
    </row>
    <row r="3360" spans="1:14" x14ac:dyDescent="0.3">
      <c r="A3360" s="4" t="s">
        <v>10</v>
      </c>
      <c r="B3360" s="3">
        <v>45307.916666666664</v>
      </c>
      <c r="C3360" s="4">
        <v>0</v>
      </c>
      <c r="D3360" s="4">
        <v>0</v>
      </c>
      <c r="E3360" s="4">
        <v>0</v>
      </c>
      <c r="F3360" s="4">
        <v>36.8570178244114</v>
      </c>
      <c r="G3360" s="4" t="str">
        <f t="shared" si="104"/>
        <v>OK</v>
      </c>
      <c r="H3360" s="4" t="str">
        <f t="shared" si="105"/>
        <v>ZERO</v>
      </c>
      <c r="I3360">
        <v>0</v>
      </c>
      <c r="J3360">
        <f>IFERROR(Table4[[#This Row],[energy_kwh]]/Table4[[#This Row],[expected_kwh]],0)</f>
        <v>0</v>
      </c>
      <c r="K3360" t="str">
        <f>IF(Table4[[#This Row],[Performance_Ratio]] &lt; 0.85, "Underperforming", "Performing")</f>
        <v>Underperforming</v>
      </c>
      <c r="L3360">
        <f>Table4[[#This Row],[energy_kwh]] - Table4[[#This Row],[expected_kwh]]</f>
        <v>0</v>
      </c>
      <c r="M3360" t="str">
        <f>IF(Table4[[#This Row],[Performance_Deviation]] &lt; 0, "Underperforming", "Outperforming")</f>
        <v>Outperforming</v>
      </c>
      <c r="N3360">
        <f>IF(Table4[[#This Row],[Performance_Ratio]] &lt; 0.85, Table4[[#This Row],[Performance_Deviation]] * 50 / 1000, 0)</f>
        <v>0</v>
      </c>
    </row>
    <row r="3361" spans="1:14" x14ac:dyDescent="0.3">
      <c r="A3361" s="6" t="s">
        <v>10</v>
      </c>
      <c r="B3361" s="5">
        <v>45307.958333333336</v>
      </c>
      <c r="C3361" s="6">
        <v>0</v>
      </c>
      <c r="D3361" s="6">
        <v>0</v>
      </c>
      <c r="E3361" s="6">
        <v>0</v>
      </c>
      <c r="F3361" s="6">
        <v>75.058023566084501</v>
      </c>
      <c r="G3361" s="6" t="str">
        <f t="shared" si="104"/>
        <v>OK</v>
      </c>
      <c r="H3361" s="6" t="str">
        <f t="shared" si="105"/>
        <v>ZERO</v>
      </c>
      <c r="I3361">
        <v>0</v>
      </c>
      <c r="J3361">
        <f>IFERROR(Table4[[#This Row],[energy_kwh]]/Table4[[#This Row],[expected_kwh]],0)</f>
        <v>0</v>
      </c>
      <c r="K3361" t="str">
        <f>IF(Table4[[#This Row],[Performance_Ratio]] &lt; 0.85, "Underperforming", "Performing")</f>
        <v>Underperforming</v>
      </c>
      <c r="L3361">
        <f>Table4[[#This Row],[energy_kwh]] - Table4[[#This Row],[expected_kwh]]</f>
        <v>0</v>
      </c>
      <c r="M3361" t="str">
        <f>IF(Table4[[#This Row],[Performance_Deviation]] &lt; 0, "Underperforming", "Outperforming")</f>
        <v>Outperforming</v>
      </c>
      <c r="N3361">
        <f>IF(Table4[[#This Row],[Performance_Ratio]] &lt; 0.85, Table4[[#This Row],[Performance_Deviation]] * 50 / 1000, 0)</f>
        <v>0</v>
      </c>
    </row>
    <row r="3362" spans="1:14" x14ac:dyDescent="0.3">
      <c r="A3362" s="4" t="s">
        <v>10</v>
      </c>
      <c r="B3362" s="3">
        <v>45308</v>
      </c>
      <c r="C3362" s="4">
        <v>0</v>
      </c>
      <c r="D3362" s="4">
        <v>0</v>
      </c>
      <c r="E3362" s="4">
        <v>0</v>
      </c>
      <c r="F3362" s="4">
        <v>60.3754617762512</v>
      </c>
      <c r="G3362" s="4" t="str">
        <f t="shared" si="104"/>
        <v>OK</v>
      </c>
      <c r="H3362" s="4" t="str">
        <f t="shared" si="105"/>
        <v>ZERO</v>
      </c>
      <c r="I3362">
        <v>0</v>
      </c>
      <c r="J3362">
        <f>IFERROR(Table4[[#This Row],[energy_kwh]]/Table4[[#This Row],[expected_kwh]],0)</f>
        <v>0</v>
      </c>
      <c r="K3362" t="str">
        <f>IF(Table4[[#This Row],[Performance_Ratio]] &lt; 0.85, "Underperforming", "Performing")</f>
        <v>Underperforming</v>
      </c>
      <c r="L3362">
        <f>Table4[[#This Row],[energy_kwh]] - Table4[[#This Row],[expected_kwh]]</f>
        <v>0</v>
      </c>
      <c r="M3362" t="str">
        <f>IF(Table4[[#This Row],[Performance_Deviation]] &lt; 0, "Underperforming", "Outperforming")</f>
        <v>Outperforming</v>
      </c>
      <c r="N3362">
        <f>IF(Table4[[#This Row],[Performance_Ratio]] &lt; 0.85, Table4[[#This Row],[Performance_Deviation]] * 50 / 1000, 0)</f>
        <v>0</v>
      </c>
    </row>
    <row r="3363" spans="1:14" x14ac:dyDescent="0.3">
      <c r="A3363" s="6" t="s">
        <v>10</v>
      </c>
      <c r="B3363" s="5">
        <v>45308.041666666664</v>
      </c>
      <c r="C3363" s="6">
        <v>0</v>
      </c>
      <c r="D3363" s="6">
        <v>0</v>
      </c>
      <c r="E3363" s="6">
        <v>0</v>
      </c>
      <c r="F3363" s="6">
        <v>48.543195603358001</v>
      </c>
      <c r="G3363" s="6" t="str">
        <f t="shared" si="104"/>
        <v>OK</v>
      </c>
      <c r="H3363" s="6" t="str">
        <f t="shared" si="105"/>
        <v>ZERO</v>
      </c>
      <c r="I3363">
        <v>0</v>
      </c>
      <c r="J3363">
        <f>IFERROR(Table4[[#This Row],[energy_kwh]]/Table4[[#This Row],[expected_kwh]],0)</f>
        <v>0</v>
      </c>
      <c r="K3363" t="str">
        <f>IF(Table4[[#This Row],[Performance_Ratio]] &lt; 0.85, "Underperforming", "Performing")</f>
        <v>Underperforming</v>
      </c>
      <c r="L3363">
        <f>Table4[[#This Row],[energy_kwh]] - Table4[[#This Row],[expected_kwh]]</f>
        <v>0</v>
      </c>
      <c r="M3363" t="str">
        <f>IF(Table4[[#This Row],[Performance_Deviation]] &lt; 0, "Underperforming", "Outperforming")</f>
        <v>Outperforming</v>
      </c>
      <c r="N3363">
        <f>IF(Table4[[#This Row],[Performance_Ratio]] &lt; 0.85, Table4[[#This Row],[Performance_Deviation]] * 50 / 1000, 0)</f>
        <v>0</v>
      </c>
    </row>
    <row r="3364" spans="1:14" x14ac:dyDescent="0.3">
      <c r="A3364" s="4" t="s">
        <v>10</v>
      </c>
      <c r="B3364" s="3">
        <v>45308.083333333336</v>
      </c>
      <c r="C3364" s="4">
        <v>0</v>
      </c>
      <c r="D3364" s="4">
        <v>0</v>
      </c>
      <c r="E3364" s="4">
        <v>0</v>
      </c>
      <c r="F3364" s="4">
        <v>26.6208644726307</v>
      </c>
      <c r="G3364" s="4" t="str">
        <f t="shared" si="104"/>
        <v>OK</v>
      </c>
      <c r="H3364" s="4" t="str">
        <f t="shared" si="105"/>
        <v>ZERO</v>
      </c>
      <c r="I3364">
        <v>0</v>
      </c>
      <c r="J3364">
        <f>IFERROR(Table4[[#This Row],[energy_kwh]]/Table4[[#This Row],[expected_kwh]],0)</f>
        <v>0</v>
      </c>
      <c r="K3364" t="str">
        <f>IF(Table4[[#This Row],[Performance_Ratio]] &lt; 0.85, "Underperforming", "Performing")</f>
        <v>Underperforming</v>
      </c>
      <c r="L3364">
        <f>Table4[[#This Row],[energy_kwh]] - Table4[[#This Row],[expected_kwh]]</f>
        <v>0</v>
      </c>
      <c r="M3364" t="str">
        <f>IF(Table4[[#This Row],[Performance_Deviation]] &lt; 0, "Underperforming", "Outperforming")</f>
        <v>Outperforming</v>
      </c>
      <c r="N3364">
        <f>IF(Table4[[#This Row],[Performance_Ratio]] &lt; 0.85, Table4[[#This Row],[Performance_Deviation]] * 50 / 1000, 0)</f>
        <v>0</v>
      </c>
    </row>
    <row r="3365" spans="1:14" x14ac:dyDescent="0.3">
      <c r="A3365" s="6" t="s">
        <v>10</v>
      </c>
      <c r="B3365" s="5">
        <v>45308.125</v>
      </c>
      <c r="C3365" s="6">
        <v>0</v>
      </c>
      <c r="D3365" s="6">
        <v>0</v>
      </c>
      <c r="E3365" s="6">
        <v>0</v>
      </c>
      <c r="F3365" s="6">
        <v>21.581049532140199</v>
      </c>
      <c r="G3365" s="6" t="str">
        <f t="shared" si="104"/>
        <v>OK</v>
      </c>
      <c r="H3365" s="6" t="str">
        <f t="shared" si="105"/>
        <v>ZERO</v>
      </c>
      <c r="I3365">
        <v>0</v>
      </c>
      <c r="J3365">
        <f>IFERROR(Table4[[#This Row],[energy_kwh]]/Table4[[#This Row],[expected_kwh]],0)</f>
        <v>0</v>
      </c>
      <c r="K3365" t="str">
        <f>IF(Table4[[#This Row],[Performance_Ratio]] &lt; 0.85, "Underperforming", "Performing")</f>
        <v>Underperforming</v>
      </c>
      <c r="L3365">
        <f>Table4[[#This Row],[energy_kwh]] - Table4[[#This Row],[expected_kwh]]</f>
        <v>0</v>
      </c>
      <c r="M3365" t="str">
        <f>IF(Table4[[#This Row],[Performance_Deviation]] &lt; 0, "Underperforming", "Outperforming")</f>
        <v>Outperforming</v>
      </c>
      <c r="N3365">
        <f>IF(Table4[[#This Row],[Performance_Ratio]] &lt; 0.85, Table4[[#This Row],[Performance_Deviation]] * 50 / 1000, 0)</f>
        <v>0</v>
      </c>
    </row>
    <row r="3366" spans="1:14" x14ac:dyDescent="0.3">
      <c r="A3366" s="4" t="s">
        <v>10</v>
      </c>
      <c r="B3366" s="3">
        <v>45308.166666666664</v>
      </c>
      <c r="C3366" s="4">
        <v>0</v>
      </c>
      <c r="D3366" s="4">
        <v>0</v>
      </c>
      <c r="E3366" s="4">
        <v>0</v>
      </c>
      <c r="F3366" s="4">
        <v>45.523805322364304</v>
      </c>
      <c r="G3366" s="4" t="str">
        <f t="shared" si="104"/>
        <v>OK</v>
      </c>
      <c r="H3366" s="4" t="str">
        <f t="shared" si="105"/>
        <v>ZERO</v>
      </c>
      <c r="I3366">
        <v>0</v>
      </c>
      <c r="J3366">
        <f>IFERROR(Table4[[#This Row],[energy_kwh]]/Table4[[#This Row],[expected_kwh]],0)</f>
        <v>0</v>
      </c>
      <c r="K3366" t="str">
        <f>IF(Table4[[#This Row],[Performance_Ratio]] &lt; 0.85, "Underperforming", "Performing")</f>
        <v>Underperforming</v>
      </c>
      <c r="L3366">
        <f>Table4[[#This Row],[energy_kwh]] - Table4[[#This Row],[expected_kwh]]</f>
        <v>0</v>
      </c>
      <c r="M3366" t="str">
        <f>IF(Table4[[#This Row],[Performance_Deviation]] &lt; 0, "Underperforming", "Outperforming")</f>
        <v>Outperforming</v>
      </c>
      <c r="N3366">
        <f>IF(Table4[[#This Row],[Performance_Ratio]] &lt; 0.85, Table4[[#This Row],[Performance_Deviation]] * 50 / 1000, 0)</f>
        <v>0</v>
      </c>
    </row>
    <row r="3367" spans="1:14" x14ac:dyDescent="0.3">
      <c r="A3367" s="6" t="s">
        <v>10</v>
      </c>
      <c r="B3367" s="5">
        <v>45308.208333333336</v>
      </c>
      <c r="C3367" s="6">
        <v>0</v>
      </c>
      <c r="D3367" s="6">
        <v>0</v>
      </c>
      <c r="E3367" s="6">
        <v>0</v>
      </c>
      <c r="F3367" s="6">
        <v>30.917581898937499</v>
      </c>
      <c r="G3367" s="6" t="str">
        <f t="shared" si="104"/>
        <v>OK</v>
      </c>
      <c r="H3367" s="6" t="str">
        <f t="shared" si="105"/>
        <v>ZERO</v>
      </c>
      <c r="I3367">
        <v>0</v>
      </c>
      <c r="J3367">
        <f>IFERROR(Table4[[#This Row],[energy_kwh]]/Table4[[#This Row],[expected_kwh]],0)</f>
        <v>0</v>
      </c>
      <c r="K3367" t="str">
        <f>IF(Table4[[#This Row],[Performance_Ratio]] &lt; 0.85, "Underperforming", "Performing")</f>
        <v>Underperforming</v>
      </c>
      <c r="L3367">
        <f>Table4[[#This Row],[energy_kwh]] - Table4[[#This Row],[expected_kwh]]</f>
        <v>0</v>
      </c>
      <c r="M3367" t="str">
        <f>IF(Table4[[#This Row],[Performance_Deviation]] &lt; 0, "Underperforming", "Outperforming")</f>
        <v>Outperforming</v>
      </c>
      <c r="N3367">
        <f>IF(Table4[[#This Row],[Performance_Ratio]] &lt; 0.85, Table4[[#This Row],[Performance_Deviation]] * 50 / 1000, 0)</f>
        <v>0</v>
      </c>
    </row>
    <row r="3368" spans="1:14" x14ac:dyDescent="0.3">
      <c r="A3368" s="4" t="s">
        <v>10</v>
      </c>
      <c r="B3368" s="3">
        <v>45308.25</v>
      </c>
      <c r="C3368" s="4">
        <v>0</v>
      </c>
      <c r="D3368" s="4">
        <v>0</v>
      </c>
      <c r="E3368" s="4">
        <v>0</v>
      </c>
      <c r="F3368" s="4">
        <v>57.246786054737797</v>
      </c>
      <c r="G3368" s="4" t="str">
        <f t="shared" si="104"/>
        <v>OK</v>
      </c>
      <c r="H3368" s="4" t="str">
        <f t="shared" si="105"/>
        <v>ZERO</v>
      </c>
      <c r="I3368">
        <v>0</v>
      </c>
      <c r="J3368">
        <f>IFERROR(Table4[[#This Row],[energy_kwh]]/Table4[[#This Row],[expected_kwh]],0)</f>
        <v>0</v>
      </c>
      <c r="K3368" t="str">
        <f>IF(Table4[[#This Row],[Performance_Ratio]] &lt; 0.85, "Underperforming", "Performing")</f>
        <v>Underperforming</v>
      </c>
      <c r="L3368">
        <f>Table4[[#This Row],[energy_kwh]] - Table4[[#This Row],[expected_kwh]]</f>
        <v>0</v>
      </c>
      <c r="M3368" t="str">
        <f>IF(Table4[[#This Row],[Performance_Deviation]] &lt; 0, "Underperforming", "Outperforming")</f>
        <v>Outperforming</v>
      </c>
      <c r="N3368">
        <f>IF(Table4[[#This Row],[Performance_Ratio]] &lt; 0.85, Table4[[#This Row],[Performance_Deviation]] * 50 / 1000, 0)</f>
        <v>0</v>
      </c>
    </row>
    <row r="3369" spans="1:14" x14ac:dyDescent="0.3">
      <c r="A3369" s="6" t="s">
        <v>10</v>
      </c>
      <c r="B3369" s="5">
        <v>45308.291666666664</v>
      </c>
      <c r="C3369" s="6">
        <v>317.330200703956</v>
      </c>
      <c r="D3369" s="6">
        <v>300.27076572112497</v>
      </c>
      <c r="E3369" s="6">
        <v>300.27076572112497</v>
      </c>
      <c r="F3369" s="6">
        <v>86.504478735874102</v>
      </c>
      <c r="G3369" s="6" t="str">
        <f t="shared" si="104"/>
        <v>OK</v>
      </c>
      <c r="H3369" s="6" t="str">
        <f t="shared" si="105"/>
        <v>NON-ZERO</v>
      </c>
      <c r="I3369">
        <v>310.58285412302399</v>
      </c>
      <c r="J3369">
        <f>IFERROR(Table4[[#This Row],[energy_kwh]]/Table4[[#This Row],[expected_kwh]],0)</f>
        <v>0.96679762496543253</v>
      </c>
      <c r="K3369" t="str">
        <f>IF(Table4[[#This Row],[Performance_Ratio]] &lt; 0.85, "Underperforming", "Performing")</f>
        <v>Performing</v>
      </c>
      <c r="L3369">
        <f>Table4[[#This Row],[energy_kwh]] - Table4[[#This Row],[expected_kwh]]</f>
        <v>-10.312088401899018</v>
      </c>
      <c r="M3369" t="str">
        <f>IF(Table4[[#This Row],[Performance_Deviation]] &lt; 0, "Underperforming", "Outperforming")</f>
        <v>Underperforming</v>
      </c>
      <c r="N3369">
        <f>IF(Table4[[#This Row],[Performance_Ratio]] &lt; 0.85, Table4[[#This Row],[Performance_Deviation]] * 50 / 1000, 0)</f>
        <v>0</v>
      </c>
    </row>
    <row r="3370" spans="1:14" x14ac:dyDescent="0.3">
      <c r="A3370" s="4" t="s">
        <v>10</v>
      </c>
      <c r="B3370" s="3">
        <v>45308.333333333336</v>
      </c>
      <c r="C3370" s="4">
        <v>565.65231308735895</v>
      </c>
      <c r="D3370" s="4">
        <v>535.24326649615796</v>
      </c>
      <c r="E3370" s="4">
        <v>535.24326649615796</v>
      </c>
      <c r="F3370" s="4">
        <v>47.867983138714997</v>
      </c>
      <c r="G3370" s="4" t="str">
        <f t="shared" si="104"/>
        <v>OK</v>
      </c>
      <c r="H3370" s="4" t="str">
        <f t="shared" si="105"/>
        <v>NON-ZERO</v>
      </c>
      <c r="I3370">
        <v>600</v>
      </c>
      <c r="J3370">
        <f>IFERROR(Table4[[#This Row],[energy_kwh]]/Table4[[#This Row],[expected_kwh]],0)</f>
        <v>0.89207211082692994</v>
      </c>
      <c r="K3370" t="str">
        <f>IF(Table4[[#This Row],[Performance_Ratio]] &lt; 0.85, "Underperforming", "Performing")</f>
        <v>Performing</v>
      </c>
      <c r="L3370">
        <f>Table4[[#This Row],[energy_kwh]] - Table4[[#This Row],[expected_kwh]]</f>
        <v>-64.756733503842042</v>
      </c>
      <c r="M3370" t="str">
        <f>IF(Table4[[#This Row],[Performance_Deviation]] &lt; 0, "Underperforming", "Outperforming")</f>
        <v>Underperforming</v>
      </c>
      <c r="N3370">
        <f>IF(Table4[[#This Row],[Performance_Ratio]] &lt; 0.85, Table4[[#This Row],[Performance_Deviation]] * 50 / 1000, 0)</f>
        <v>0</v>
      </c>
    </row>
    <row r="3371" spans="1:14" x14ac:dyDescent="0.3">
      <c r="A3371" s="6" t="s">
        <v>10</v>
      </c>
      <c r="B3371" s="5">
        <v>45308.375</v>
      </c>
      <c r="C3371" s="6">
        <v>730.22697549582301</v>
      </c>
      <c r="D3371" s="6">
        <v>690.97051776332398</v>
      </c>
      <c r="E3371" s="6">
        <v>690.97051776332398</v>
      </c>
      <c r="F3371" s="6">
        <v>75.522859306698606</v>
      </c>
      <c r="G3371" s="6" t="str">
        <f t="shared" si="104"/>
        <v>OK</v>
      </c>
      <c r="H3371" s="6" t="str">
        <f t="shared" si="105"/>
        <v>NON-ZERO</v>
      </c>
      <c r="I3371">
        <v>848.52813742385695</v>
      </c>
      <c r="J3371">
        <f>IFERROR(Table4[[#This Row],[energy_kwh]]/Table4[[#This Row],[expected_kwh]],0)</f>
        <v>0.814316564517377</v>
      </c>
      <c r="K3371" t="str">
        <f>IF(Table4[[#This Row],[Performance_Ratio]] &lt; 0.85, "Underperforming", "Performing")</f>
        <v>Underperforming</v>
      </c>
      <c r="L3371">
        <f>Table4[[#This Row],[energy_kwh]] - Table4[[#This Row],[expected_kwh]]</f>
        <v>-157.55761966053296</v>
      </c>
      <c r="M3371" t="str">
        <f>IF(Table4[[#This Row],[Performance_Deviation]] &lt; 0, "Underperforming", "Outperforming")</f>
        <v>Underperforming</v>
      </c>
      <c r="N3371">
        <f>IF(Table4[[#This Row],[Performance_Ratio]] &lt; 0.85, Table4[[#This Row],[Performance_Deviation]] * 50 / 1000, 0)</f>
        <v>-7.8778809830266479</v>
      </c>
    </row>
    <row r="3372" spans="1:14" x14ac:dyDescent="0.3">
      <c r="A3372" s="4" t="s">
        <v>10</v>
      </c>
      <c r="B3372" s="3">
        <v>45308.416666666664</v>
      </c>
      <c r="C3372" s="4">
        <v>933.86171884391297</v>
      </c>
      <c r="D3372" s="4">
        <v>883.65800914268902</v>
      </c>
      <c r="E3372" s="4">
        <v>883.65800914268902</v>
      </c>
      <c r="F3372" s="4">
        <v>45.533802165770403</v>
      </c>
      <c r="G3372" s="4" t="str">
        <f t="shared" si="104"/>
        <v>OK</v>
      </c>
      <c r="H3372" s="4" t="str">
        <f t="shared" si="105"/>
        <v>NON-ZERO</v>
      </c>
      <c r="I3372">
        <v>1039.23048454132</v>
      </c>
      <c r="J3372">
        <f>IFERROR(Table4[[#This Row],[energy_kwh]]/Table4[[#This Row],[expected_kwh]],0)</f>
        <v>0.85030031575017229</v>
      </c>
      <c r="K3372" t="str">
        <f>IF(Table4[[#This Row],[Performance_Ratio]] &lt; 0.85, "Underperforming", "Performing")</f>
        <v>Performing</v>
      </c>
      <c r="L3372">
        <f>Table4[[#This Row],[energy_kwh]] - Table4[[#This Row],[expected_kwh]]</f>
        <v>-155.57247539863101</v>
      </c>
      <c r="M3372" t="str">
        <f>IF(Table4[[#This Row],[Performance_Deviation]] &lt; 0, "Underperforming", "Outperforming")</f>
        <v>Underperforming</v>
      </c>
      <c r="N3372">
        <f>IF(Table4[[#This Row],[Performance_Ratio]] &lt; 0.85, Table4[[#This Row],[Performance_Deviation]] * 50 / 1000, 0)</f>
        <v>0</v>
      </c>
    </row>
    <row r="3373" spans="1:14" x14ac:dyDescent="0.3">
      <c r="A3373" s="6" t="s">
        <v>10</v>
      </c>
      <c r="B3373" s="5">
        <v>45308.458333333336</v>
      </c>
      <c r="C3373" s="6">
        <v>1164.61597012262</v>
      </c>
      <c r="D3373" s="6">
        <v>1102.0070839271</v>
      </c>
      <c r="E3373" s="6">
        <v>1102.0070839271</v>
      </c>
      <c r="F3373" s="6">
        <v>63.8824923908739</v>
      </c>
      <c r="G3373" s="6" t="str">
        <f t="shared" si="104"/>
        <v>OK</v>
      </c>
      <c r="H3373" s="6" t="str">
        <f t="shared" si="105"/>
        <v>NON-ZERO</v>
      </c>
      <c r="I3373">
        <v>1159.1109915468801</v>
      </c>
      <c r="J3373">
        <f>IFERROR(Table4[[#This Row],[energy_kwh]]/Table4[[#This Row],[expected_kwh]],0)</f>
        <v>0.95073473719408641</v>
      </c>
      <c r="K3373" t="str">
        <f>IF(Table4[[#This Row],[Performance_Ratio]] &lt; 0.85, "Underperforming", "Performing")</f>
        <v>Performing</v>
      </c>
      <c r="L3373">
        <f>Table4[[#This Row],[energy_kwh]] - Table4[[#This Row],[expected_kwh]]</f>
        <v>-57.103907619780102</v>
      </c>
      <c r="M3373" t="str">
        <f>IF(Table4[[#This Row],[Performance_Deviation]] &lt; 0, "Underperforming", "Outperforming")</f>
        <v>Underperforming</v>
      </c>
      <c r="N3373">
        <f>IF(Table4[[#This Row],[Performance_Ratio]] &lt; 0.85, Table4[[#This Row],[Performance_Deviation]] * 50 / 1000, 0)</f>
        <v>0</v>
      </c>
    </row>
    <row r="3374" spans="1:14" x14ac:dyDescent="0.3">
      <c r="A3374" s="4" t="s">
        <v>10</v>
      </c>
      <c r="B3374" s="3">
        <v>45308.5</v>
      </c>
      <c r="C3374" s="4">
        <v>1165.6640131630299</v>
      </c>
      <c r="D3374" s="4">
        <v>1102.9987849551001</v>
      </c>
      <c r="E3374" s="4">
        <v>1102.9987849551001</v>
      </c>
      <c r="F3374" s="4">
        <v>84.668872122686494</v>
      </c>
      <c r="G3374" s="4" t="str">
        <f t="shared" si="104"/>
        <v>OK</v>
      </c>
      <c r="H3374" s="4" t="str">
        <f t="shared" si="105"/>
        <v>NON-ZERO</v>
      </c>
      <c r="I3374">
        <v>1200</v>
      </c>
      <c r="J3374">
        <f>IFERROR(Table4[[#This Row],[energy_kwh]]/Table4[[#This Row],[expected_kwh]],0)</f>
        <v>0.91916565412925</v>
      </c>
      <c r="K3374" t="str">
        <f>IF(Table4[[#This Row],[Performance_Ratio]] &lt; 0.85, "Underperforming", "Performing")</f>
        <v>Performing</v>
      </c>
      <c r="L3374">
        <f>Table4[[#This Row],[energy_kwh]] - Table4[[#This Row],[expected_kwh]]</f>
        <v>-97.001215044899936</v>
      </c>
      <c r="M3374" t="str">
        <f>IF(Table4[[#This Row],[Performance_Deviation]] &lt; 0, "Underperforming", "Outperforming")</f>
        <v>Underperforming</v>
      </c>
      <c r="N3374">
        <f>IF(Table4[[#This Row],[Performance_Ratio]] &lt; 0.85, Table4[[#This Row],[Performance_Deviation]] * 50 / 1000, 0)</f>
        <v>0</v>
      </c>
    </row>
    <row r="3375" spans="1:14" x14ac:dyDescent="0.3">
      <c r="A3375" s="6" t="s">
        <v>10</v>
      </c>
      <c r="B3375" s="5">
        <v>45308.541666666664</v>
      </c>
      <c r="C3375" s="6">
        <v>1082.9897294709899</v>
      </c>
      <c r="D3375" s="6">
        <v>1024.76900911094</v>
      </c>
      <c r="E3375" s="6">
        <v>1024.76900911094</v>
      </c>
      <c r="F3375" s="6">
        <v>88.611198182373499</v>
      </c>
      <c r="G3375" s="6" t="str">
        <f t="shared" si="104"/>
        <v>OK</v>
      </c>
      <c r="H3375" s="6" t="str">
        <f t="shared" si="105"/>
        <v>NON-ZERO</v>
      </c>
      <c r="I3375">
        <v>1159.1109915468801</v>
      </c>
      <c r="J3375">
        <f>IFERROR(Table4[[#This Row],[energy_kwh]]/Table4[[#This Row],[expected_kwh]],0)</f>
        <v>0.88409912129583446</v>
      </c>
      <c r="K3375" t="str">
        <f>IF(Table4[[#This Row],[Performance_Ratio]] &lt; 0.85, "Underperforming", "Performing")</f>
        <v>Performing</v>
      </c>
      <c r="L3375">
        <f>Table4[[#This Row],[energy_kwh]] - Table4[[#This Row],[expected_kwh]]</f>
        <v>-134.34198243594005</v>
      </c>
      <c r="M3375" t="str">
        <f>IF(Table4[[#This Row],[Performance_Deviation]] &lt; 0, "Underperforming", "Outperforming")</f>
        <v>Underperforming</v>
      </c>
      <c r="N3375">
        <f>IF(Table4[[#This Row],[Performance_Ratio]] &lt; 0.85, Table4[[#This Row],[Performance_Deviation]] * 50 / 1000, 0)</f>
        <v>0</v>
      </c>
    </row>
    <row r="3376" spans="1:14" x14ac:dyDescent="0.3">
      <c r="A3376" s="4" t="s">
        <v>10</v>
      </c>
      <c r="B3376" s="3">
        <v>45308.583333333336</v>
      </c>
      <c r="C3376" s="4">
        <v>967.07327324876303</v>
      </c>
      <c r="D3376" s="4">
        <v>915.08413514585698</v>
      </c>
      <c r="E3376" s="4">
        <v>915.08413514585698</v>
      </c>
      <c r="F3376" s="4">
        <v>50.391933719699999</v>
      </c>
      <c r="G3376" s="4" t="str">
        <f t="shared" si="104"/>
        <v>OK</v>
      </c>
      <c r="H3376" s="4" t="str">
        <f t="shared" si="105"/>
        <v>NON-ZERO</v>
      </c>
      <c r="I3376">
        <v>1039.23048454132</v>
      </c>
      <c r="J3376">
        <f>IFERROR(Table4[[#This Row],[energy_kwh]]/Table4[[#This Row],[expected_kwh]],0)</f>
        <v>0.88054011959603273</v>
      </c>
      <c r="K3376" t="str">
        <f>IF(Table4[[#This Row],[Performance_Ratio]] &lt; 0.85, "Underperforming", "Performing")</f>
        <v>Performing</v>
      </c>
      <c r="L3376">
        <f>Table4[[#This Row],[energy_kwh]] - Table4[[#This Row],[expected_kwh]]</f>
        <v>-124.14634939546306</v>
      </c>
      <c r="M3376" t="str">
        <f>IF(Table4[[#This Row],[Performance_Deviation]] &lt; 0, "Underperforming", "Outperforming")</f>
        <v>Underperforming</v>
      </c>
      <c r="N3376">
        <f>IF(Table4[[#This Row],[Performance_Ratio]] &lt; 0.85, Table4[[#This Row],[Performance_Deviation]] * 50 / 1000, 0)</f>
        <v>0</v>
      </c>
    </row>
    <row r="3377" spans="1:14" x14ac:dyDescent="0.3">
      <c r="A3377" s="6" t="s">
        <v>10</v>
      </c>
      <c r="B3377" s="5">
        <v>45308.625</v>
      </c>
      <c r="C3377" s="6">
        <v>808.196791907636</v>
      </c>
      <c r="D3377" s="6">
        <v>764.74873498051295</v>
      </c>
      <c r="E3377" s="6">
        <v>764.74873498051295</v>
      </c>
      <c r="F3377" s="6">
        <v>35.730424545392403</v>
      </c>
      <c r="G3377" s="6" t="str">
        <f t="shared" si="104"/>
        <v>OK</v>
      </c>
      <c r="H3377" s="6" t="str">
        <f t="shared" si="105"/>
        <v>NON-ZERO</v>
      </c>
      <c r="I3377">
        <v>848.52813742385695</v>
      </c>
      <c r="J3377">
        <f>IFERROR(Table4[[#This Row],[energy_kwh]]/Table4[[#This Row],[expected_kwh]],0)</f>
        <v>0.90126502734759106</v>
      </c>
      <c r="K3377" t="str">
        <f>IF(Table4[[#This Row],[Performance_Ratio]] &lt; 0.85, "Underperforming", "Performing")</f>
        <v>Performing</v>
      </c>
      <c r="L3377">
        <f>Table4[[#This Row],[energy_kwh]] - Table4[[#This Row],[expected_kwh]]</f>
        <v>-83.779402443343997</v>
      </c>
      <c r="M3377" t="str">
        <f>IF(Table4[[#This Row],[Performance_Deviation]] &lt; 0, "Underperforming", "Outperforming")</f>
        <v>Underperforming</v>
      </c>
      <c r="N3377">
        <f>IF(Table4[[#This Row],[Performance_Ratio]] &lt; 0.85, Table4[[#This Row],[Performance_Deviation]] * 50 / 1000, 0)</f>
        <v>0</v>
      </c>
    </row>
    <row r="3378" spans="1:14" x14ac:dyDescent="0.3">
      <c r="A3378" s="4" t="s">
        <v>10</v>
      </c>
      <c r="B3378" s="3">
        <v>45308.666666666664</v>
      </c>
      <c r="C3378" s="4">
        <v>604.37302679367599</v>
      </c>
      <c r="D3378" s="4">
        <v>571.88238350447205</v>
      </c>
      <c r="E3378" s="4">
        <v>571.88238350447205</v>
      </c>
      <c r="F3378" s="4">
        <v>25.392456399312199</v>
      </c>
      <c r="G3378" s="4" t="str">
        <f t="shared" si="104"/>
        <v>OK</v>
      </c>
      <c r="H3378" s="4" t="str">
        <f t="shared" si="105"/>
        <v>NON-ZERO</v>
      </c>
      <c r="I3378">
        <v>600</v>
      </c>
      <c r="J3378">
        <f>IFERROR(Table4[[#This Row],[energy_kwh]]/Table4[[#This Row],[expected_kwh]],0)</f>
        <v>0.95313730584078671</v>
      </c>
      <c r="K3378" t="str">
        <f>IF(Table4[[#This Row],[Performance_Ratio]] &lt; 0.85, "Underperforming", "Performing")</f>
        <v>Performing</v>
      </c>
      <c r="L3378">
        <f>Table4[[#This Row],[energy_kwh]] - Table4[[#This Row],[expected_kwh]]</f>
        <v>-28.117616495527955</v>
      </c>
      <c r="M3378" t="str">
        <f>IF(Table4[[#This Row],[Performance_Deviation]] &lt; 0, "Underperforming", "Outperforming")</f>
        <v>Underperforming</v>
      </c>
      <c r="N3378">
        <f>IF(Table4[[#This Row],[Performance_Ratio]] &lt; 0.85, Table4[[#This Row],[Performance_Deviation]] * 50 / 1000, 0)</f>
        <v>0</v>
      </c>
    </row>
    <row r="3379" spans="1:14" x14ac:dyDescent="0.3">
      <c r="A3379" s="6" t="s">
        <v>10</v>
      </c>
      <c r="B3379" s="5">
        <v>45308.708333333336</v>
      </c>
      <c r="C3379" s="6">
        <v>286.79838579301702</v>
      </c>
      <c r="D3379" s="6">
        <v>271.38031841473702</v>
      </c>
      <c r="E3379" s="6">
        <v>271.38031841473702</v>
      </c>
      <c r="F3379" s="6">
        <v>77.455999933866593</v>
      </c>
      <c r="G3379" s="6" t="str">
        <f t="shared" si="104"/>
        <v>OK</v>
      </c>
      <c r="H3379" s="6" t="str">
        <f t="shared" si="105"/>
        <v>NON-ZERO</v>
      </c>
      <c r="I3379">
        <v>310.58285412302502</v>
      </c>
      <c r="J3379">
        <f>IFERROR(Table4[[#This Row],[energy_kwh]]/Table4[[#This Row],[expected_kwh]],0)</f>
        <v>0.87377752767781747</v>
      </c>
      <c r="K3379" t="str">
        <f>IF(Table4[[#This Row],[Performance_Ratio]] &lt; 0.85, "Underperforming", "Performing")</f>
        <v>Performing</v>
      </c>
      <c r="L3379">
        <f>Table4[[#This Row],[energy_kwh]] - Table4[[#This Row],[expected_kwh]]</f>
        <v>-39.202535708287996</v>
      </c>
      <c r="M3379" t="str">
        <f>IF(Table4[[#This Row],[Performance_Deviation]] &lt; 0, "Underperforming", "Outperforming")</f>
        <v>Underperforming</v>
      </c>
      <c r="N3379">
        <f>IF(Table4[[#This Row],[Performance_Ratio]] &lt; 0.85, Table4[[#This Row],[Performance_Deviation]] * 50 / 1000, 0)</f>
        <v>0</v>
      </c>
    </row>
    <row r="3380" spans="1:14" x14ac:dyDescent="0.3">
      <c r="A3380" s="4" t="s">
        <v>10</v>
      </c>
      <c r="B3380" s="3">
        <v>45308.75</v>
      </c>
      <c r="C3380" s="7">
        <v>1.19108333231619E-13</v>
      </c>
      <c r="D3380" s="7">
        <v>1.12705158046368E-13</v>
      </c>
      <c r="E3380" s="7">
        <v>1.12705158046368E-13</v>
      </c>
      <c r="F3380" s="4">
        <v>87.666521490527998</v>
      </c>
      <c r="G3380" s="4" t="str">
        <f t="shared" si="104"/>
        <v>OK</v>
      </c>
      <c r="H3380" s="4" t="str">
        <f t="shared" si="105"/>
        <v>NON-ZERO</v>
      </c>
      <c r="I3380" s="2">
        <v>1.46957615897682E-13</v>
      </c>
      <c r="J3380">
        <f>IFERROR(Table4[[#This Row],[energy_kwh]]/Table4[[#This Row],[expected_kwh]],0)</f>
        <v>0.766922880164564</v>
      </c>
      <c r="K3380" t="str">
        <f>IF(Table4[[#This Row],[Performance_Ratio]] &lt; 0.85, "Underperforming", "Performing")</f>
        <v>Underperforming</v>
      </c>
      <c r="L3380">
        <f>Table4[[#This Row],[energy_kwh]] - Table4[[#This Row],[expected_kwh]]</f>
        <v>-3.4252457851313999E-14</v>
      </c>
      <c r="M3380" t="str">
        <f>IF(Table4[[#This Row],[Performance_Deviation]] &lt; 0, "Underperforming", "Outperforming")</f>
        <v>Underperforming</v>
      </c>
      <c r="N3380">
        <f>IF(Table4[[#This Row],[Performance_Ratio]] &lt; 0.85, Table4[[#This Row],[Performance_Deviation]] * 50 / 1000, 0)</f>
        <v>-1.7126228925657E-15</v>
      </c>
    </row>
    <row r="3381" spans="1:14" x14ac:dyDescent="0.3">
      <c r="A3381" s="6" t="s">
        <v>10</v>
      </c>
      <c r="B3381" s="5">
        <v>45308.791666666664</v>
      </c>
      <c r="C3381" s="6">
        <v>0</v>
      </c>
      <c r="D3381" s="6">
        <v>0</v>
      </c>
      <c r="E3381" s="6">
        <v>0</v>
      </c>
      <c r="F3381" s="6">
        <v>22.462657181290801</v>
      </c>
      <c r="G3381" s="6" t="str">
        <f t="shared" si="104"/>
        <v>OK</v>
      </c>
      <c r="H3381" s="6" t="str">
        <f t="shared" si="105"/>
        <v>ZERO</v>
      </c>
      <c r="I3381">
        <v>0</v>
      </c>
      <c r="J3381">
        <f>IFERROR(Table4[[#This Row],[energy_kwh]]/Table4[[#This Row],[expected_kwh]],0)</f>
        <v>0</v>
      </c>
      <c r="K3381" t="str">
        <f>IF(Table4[[#This Row],[Performance_Ratio]] &lt; 0.85, "Underperforming", "Performing")</f>
        <v>Underperforming</v>
      </c>
      <c r="L3381">
        <f>Table4[[#This Row],[energy_kwh]] - Table4[[#This Row],[expected_kwh]]</f>
        <v>0</v>
      </c>
      <c r="M3381" t="str">
        <f>IF(Table4[[#This Row],[Performance_Deviation]] &lt; 0, "Underperforming", "Outperforming")</f>
        <v>Outperforming</v>
      </c>
      <c r="N3381">
        <f>IF(Table4[[#This Row],[Performance_Ratio]] &lt; 0.85, Table4[[#This Row],[Performance_Deviation]] * 50 / 1000, 0)</f>
        <v>0</v>
      </c>
    </row>
    <row r="3382" spans="1:14" x14ac:dyDescent="0.3">
      <c r="A3382" s="4" t="s">
        <v>10</v>
      </c>
      <c r="B3382" s="3">
        <v>45308.833333333336</v>
      </c>
      <c r="C3382" s="4">
        <v>0</v>
      </c>
      <c r="D3382" s="4">
        <v>0</v>
      </c>
      <c r="E3382" s="4">
        <v>0</v>
      </c>
      <c r="F3382" s="4">
        <v>67.295635373795704</v>
      </c>
      <c r="G3382" s="4" t="str">
        <f t="shared" si="104"/>
        <v>OK</v>
      </c>
      <c r="H3382" s="4" t="str">
        <f t="shared" si="105"/>
        <v>ZERO</v>
      </c>
      <c r="I3382">
        <v>0</v>
      </c>
      <c r="J3382">
        <f>IFERROR(Table4[[#This Row],[energy_kwh]]/Table4[[#This Row],[expected_kwh]],0)</f>
        <v>0</v>
      </c>
      <c r="K3382" t="str">
        <f>IF(Table4[[#This Row],[Performance_Ratio]] &lt; 0.85, "Underperforming", "Performing")</f>
        <v>Underperforming</v>
      </c>
      <c r="L3382">
        <f>Table4[[#This Row],[energy_kwh]] - Table4[[#This Row],[expected_kwh]]</f>
        <v>0</v>
      </c>
      <c r="M3382" t="str">
        <f>IF(Table4[[#This Row],[Performance_Deviation]] &lt; 0, "Underperforming", "Outperforming")</f>
        <v>Outperforming</v>
      </c>
      <c r="N3382">
        <f>IF(Table4[[#This Row],[Performance_Ratio]] &lt; 0.85, Table4[[#This Row],[Performance_Deviation]] * 50 / 1000, 0)</f>
        <v>0</v>
      </c>
    </row>
    <row r="3383" spans="1:14" x14ac:dyDescent="0.3">
      <c r="A3383" s="6" t="s">
        <v>10</v>
      </c>
      <c r="B3383" s="5">
        <v>45308.875</v>
      </c>
      <c r="C3383" s="6">
        <v>0</v>
      </c>
      <c r="D3383" s="6">
        <v>0</v>
      </c>
      <c r="E3383" s="6">
        <v>0</v>
      </c>
      <c r="F3383" s="6">
        <v>27.7576374986571</v>
      </c>
      <c r="G3383" s="6" t="str">
        <f t="shared" si="104"/>
        <v>OK</v>
      </c>
      <c r="H3383" s="6" t="str">
        <f t="shared" si="105"/>
        <v>ZERO</v>
      </c>
      <c r="I3383">
        <v>0</v>
      </c>
      <c r="J3383">
        <f>IFERROR(Table4[[#This Row],[energy_kwh]]/Table4[[#This Row],[expected_kwh]],0)</f>
        <v>0</v>
      </c>
      <c r="K3383" t="str">
        <f>IF(Table4[[#This Row],[Performance_Ratio]] &lt; 0.85, "Underperforming", "Performing")</f>
        <v>Underperforming</v>
      </c>
      <c r="L3383">
        <f>Table4[[#This Row],[energy_kwh]] - Table4[[#This Row],[expected_kwh]]</f>
        <v>0</v>
      </c>
      <c r="M3383" t="str">
        <f>IF(Table4[[#This Row],[Performance_Deviation]] &lt; 0, "Underperforming", "Outperforming")</f>
        <v>Outperforming</v>
      </c>
      <c r="N3383">
        <f>IF(Table4[[#This Row],[Performance_Ratio]] &lt; 0.85, Table4[[#This Row],[Performance_Deviation]] * 50 / 1000, 0)</f>
        <v>0</v>
      </c>
    </row>
    <row r="3384" spans="1:14" x14ac:dyDescent="0.3">
      <c r="A3384" s="4" t="s">
        <v>10</v>
      </c>
      <c r="B3384" s="3">
        <v>45308.916666666664</v>
      </c>
      <c r="C3384" s="4">
        <v>0</v>
      </c>
      <c r="D3384" s="4">
        <v>0</v>
      </c>
      <c r="E3384" s="4">
        <v>0</v>
      </c>
      <c r="F3384" s="4">
        <v>55.352611677611797</v>
      </c>
      <c r="G3384" s="4" t="str">
        <f t="shared" si="104"/>
        <v>OK</v>
      </c>
      <c r="H3384" s="4" t="str">
        <f t="shared" si="105"/>
        <v>ZERO</v>
      </c>
      <c r="I3384">
        <v>0</v>
      </c>
      <c r="J3384">
        <f>IFERROR(Table4[[#This Row],[energy_kwh]]/Table4[[#This Row],[expected_kwh]],0)</f>
        <v>0</v>
      </c>
      <c r="K3384" t="str">
        <f>IF(Table4[[#This Row],[Performance_Ratio]] &lt; 0.85, "Underperforming", "Performing")</f>
        <v>Underperforming</v>
      </c>
      <c r="L3384">
        <f>Table4[[#This Row],[energy_kwh]] - Table4[[#This Row],[expected_kwh]]</f>
        <v>0</v>
      </c>
      <c r="M3384" t="str">
        <f>IF(Table4[[#This Row],[Performance_Deviation]] &lt; 0, "Underperforming", "Outperforming")</f>
        <v>Outperforming</v>
      </c>
      <c r="N3384">
        <f>IF(Table4[[#This Row],[Performance_Ratio]] &lt; 0.85, Table4[[#This Row],[Performance_Deviation]] * 50 / 1000, 0)</f>
        <v>0</v>
      </c>
    </row>
    <row r="3385" spans="1:14" x14ac:dyDescent="0.3">
      <c r="A3385" s="6" t="s">
        <v>10</v>
      </c>
      <c r="B3385" s="5">
        <v>45308.958333333336</v>
      </c>
      <c r="C3385" s="6">
        <v>0</v>
      </c>
      <c r="D3385" s="6">
        <v>0</v>
      </c>
      <c r="E3385" s="6">
        <v>0</v>
      </c>
      <c r="F3385" s="6">
        <v>78.922010321599799</v>
      </c>
      <c r="G3385" s="6" t="str">
        <f t="shared" si="104"/>
        <v>OK</v>
      </c>
      <c r="H3385" s="6" t="str">
        <f t="shared" si="105"/>
        <v>ZERO</v>
      </c>
      <c r="I3385">
        <v>0</v>
      </c>
      <c r="J3385">
        <f>IFERROR(Table4[[#This Row],[energy_kwh]]/Table4[[#This Row],[expected_kwh]],0)</f>
        <v>0</v>
      </c>
      <c r="K3385" t="str">
        <f>IF(Table4[[#This Row],[Performance_Ratio]] &lt; 0.85, "Underperforming", "Performing")</f>
        <v>Underperforming</v>
      </c>
      <c r="L3385">
        <f>Table4[[#This Row],[energy_kwh]] - Table4[[#This Row],[expected_kwh]]</f>
        <v>0</v>
      </c>
      <c r="M3385" t="str">
        <f>IF(Table4[[#This Row],[Performance_Deviation]] &lt; 0, "Underperforming", "Outperforming")</f>
        <v>Outperforming</v>
      </c>
      <c r="N3385">
        <f>IF(Table4[[#This Row],[Performance_Ratio]] &lt; 0.85, Table4[[#This Row],[Performance_Deviation]] * 50 / 1000, 0)</f>
        <v>0</v>
      </c>
    </row>
    <row r="3386" spans="1:14" x14ac:dyDescent="0.3">
      <c r="A3386" s="4" t="s">
        <v>10</v>
      </c>
      <c r="B3386" s="3">
        <v>45309</v>
      </c>
      <c r="C3386" s="4">
        <v>0</v>
      </c>
      <c r="D3386" s="4">
        <v>0</v>
      </c>
      <c r="E3386" s="4">
        <v>0</v>
      </c>
      <c r="F3386" s="4">
        <v>47.0605119684313</v>
      </c>
      <c r="G3386" s="4" t="str">
        <f t="shared" si="104"/>
        <v>OK</v>
      </c>
      <c r="H3386" s="4" t="str">
        <f t="shared" si="105"/>
        <v>ZERO</v>
      </c>
      <c r="I3386">
        <v>0</v>
      </c>
      <c r="J3386">
        <f>IFERROR(Table4[[#This Row],[energy_kwh]]/Table4[[#This Row],[expected_kwh]],0)</f>
        <v>0</v>
      </c>
      <c r="K3386" t="str">
        <f>IF(Table4[[#This Row],[Performance_Ratio]] &lt; 0.85, "Underperforming", "Performing")</f>
        <v>Underperforming</v>
      </c>
      <c r="L3386">
        <f>Table4[[#This Row],[energy_kwh]] - Table4[[#This Row],[expected_kwh]]</f>
        <v>0</v>
      </c>
      <c r="M3386" t="str">
        <f>IF(Table4[[#This Row],[Performance_Deviation]] &lt; 0, "Underperforming", "Outperforming")</f>
        <v>Outperforming</v>
      </c>
      <c r="N3386">
        <f>IF(Table4[[#This Row],[Performance_Ratio]] &lt; 0.85, Table4[[#This Row],[Performance_Deviation]] * 50 / 1000, 0)</f>
        <v>0</v>
      </c>
    </row>
    <row r="3387" spans="1:14" x14ac:dyDescent="0.3">
      <c r="A3387" s="6" t="s">
        <v>10</v>
      </c>
      <c r="B3387" s="5">
        <v>45309.041666666664</v>
      </c>
      <c r="C3387" s="6">
        <v>0</v>
      </c>
      <c r="D3387" s="6">
        <v>0</v>
      </c>
      <c r="E3387" s="6">
        <v>0</v>
      </c>
      <c r="F3387" s="6">
        <v>59.277074918351602</v>
      </c>
      <c r="G3387" s="6" t="str">
        <f t="shared" si="104"/>
        <v>OK</v>
      </c>
      <c r="H3387" s="6" t="str">
        <f t="shared" si="105"/>
        <v>ZERO</v>
      </c>
      <c r="I3387">
        <v>0</v>
      </c>
      <c r="J3387">
        <f>IFERROR(Table4[[#This Row],[energy_kwh]]/Table4[[#This Row],[expected_kwh]],0)</f>
        <v>0</v>
      </c>
      <c r="K3387" t="str">
        <f>IF(Table4[[#This Row],[Performance_Ratio]] &lt; 0.85, "Underperforming", "Performing")</f>
        <v>Underperforming</v>
      </c>
      <c r="L3387">
        <f>Table4[[#This Row],[energy_kwh]] - Table4[[#This Row],[expected_kwh]]</f>
        <v>0</v>
      </c>
      <c r="M3387" t="str">
        <f>IF(Table4[[#This Row],[Performance_Deviation]] &lt; 0, "Underperforming", "Outperforming")</f>
        <v>Outperforming</v>
      </c>
      <c r="N3387">
        <f>IF(Table4[[#This Row],[Performance_Ratio]] &lt; 0.85, Table4[[#This Row],[Performance_Deviation]] * 50 / 1000, 0)</f>
        <v>0</v>
      </c>
    </row>
    <row r="3388" spans="1:14" x14ac:dyDescent="0.3">
      <c r="A3388" s="4" t="s">
        <v>10</v>
      </c>
      <c r="B3388" s="3">
        <v>45309.083333333336</v>
      </c>
      <c r="C3388" s="4">
        <v>0</v>
      </c>
      <c r="D3388" s="4">
        <v>0</v>
      </c>
      <c r="E3388" s="4">
        <v>0</v>
      </c>
      <c r="F3388" s="4">
        <v>37.959858465084999</v>
      </c>
      <c r="G3388" s="4" t="str">
        <f t="shared" si="104"/>
        <v>OK</v>
      </c>
      <c r="H3388" s="4" t="str">
        <f t="shared" si="105"/>
        <v>ZERO</v>
      </c>
      <c r="I3388">
        <v>0</v>
      </c>
      <c r="J3388">
        <f>IFERROR(Table4[[#This Row],[energy_kwh]]/Table4[[#This Row],[expected_kwh]],0)</f>
        <v>0</v>
      </c>
      <c r="K3388" t="str">
        <f>IF(Table4[[#This Row],[Performance_Ratio]] &lt; 0.85, "Underperforming", "Performing")</f>
        <v>Underperforming</v>
      </c>
      <c r="L3388">
        <f>Table4[[#This Row],[energy_kwh]] - Table4[[#This Row],[expected_kwh]]</f>
        <v>0</v>
      </c>
      <c r="M3388" t="str">
        <f>IF(Table4[[#This Row],[Performance_Deviation]] &lt; 0, "Underperforming", "Outperforming")</f>
        <v>Outperforming</v>
      </c>
      <c r="N3388">
        <f>IF(Table4[[#This Row],[Performance_Ratio]] &lt; 0.85, Table4[[#This Row],[Performance_Deviation]] * 50 / 1000, 0)</f>
        <v>0</v>
      </c>
    </row>
    <row r="3389" spans="1:14" x14ac:dyDescent="0.3">
      <c r="A3389" s="6" t="s">
        <v>10</v>
      </c>
      <c r="B3389" s="5">
        <v>45309.125</v>
      </c>
      <c r="C3389" s="6">
        <v>0</v>
      </c>
      <c r="D3389" s="6">
        <v>0</v>
      </c>
      <c r="E3389" s="6">
        <v>0</v>
      </c>
      <c r="F3389" s="6">
        <v>44.679711267568202</v>
      </c>
      <c r="G3389" s="6" t="str">
        <f t="shared" si="104"/>
        <v>OK</v>
      </c>
      <c r="H3389" s="6" t="str">
        <f t="shared" si="105"/>
        <v>ZERO</v>
      </c>
      <c r="I3389">
        <v>0</v>
      </c>
      <c r="J3389">
        <f>IFERROR(Table4[[#This Row],[energy_kwh]]/Table4[[#This Row],[expected_kwh]],0)</f>
        <v>0</v>
      </c>
      <c r="K3389" t="str">
        <f>IF(Table4[[#This Row],[Performance_Ratio]] &lt; 0.85, "Underperforming", "Performing")</f>
        <v>Underperforming</v>
      </c>
      <c r="L3389">
        <f>Table4[[#This Row],[energy_kwh]] - Table4[[#This Row],[expected_kwh]]</f>
        <v>0</v>
      </c>
      <c r="M3389" t="str">
        <f>IF(Table4[[#This Row],[Performance_Deviation]] &lt; 0, "Underperforming", "Outperforming")</f>
        <v>Outperforming</v>
      </c>
      <c r="N3389">
        <f>IF(Table4[[#This Row],[Performance_Ratio]] &lt; 0.85, Table4[[#This Row],[Performance_Deviation]] * 50 / 1000, 0)</f>
        <v>0</v>
      </c>
    </row>
    <row r="3390" spans="1:14" x14ac:dyDescent="0.3">
      <c r="A3390" s="4" t="s">
        <v>10</v>
      </c>
      <c r="B3390" s="3">
        <v>45309.166666666664</v>
      </c>
      <c r="C3390" s="4">
        <v>0</v>
      </c>
      <c r="D3390" s="4">
        <v>0</v>
      </c>
      <c r="E3390" s="4">
        <v>0</v>
      </c>
      <c r="F3390" s="4">
        <v>46.5228397355082</v>
      </c>
      <c r="G3390" s="4" t="str">
        <f t="shared" si="104"/>
        <v>OK</v>
      </c>
      <c r="H3390" s="4" t="str">
        <f t="shared" si="105"/>
        <v>ZERO</v>
      </c>
      <c r="I3390">
        <v>0</v>
      </c>
      <c r="J3390">
        <f>IFERROR(Table4[[#This Row],[energy_kwh]]/Table4[[#This Row],[expected_kwh]],0)</f>
        <v>0</v>
      </c>
      <c r="K3390" t="str">
        <f>IF(Table4[[#This Row],[Performance_Ratio]] &lt; 0.85, "Underperforming", "Performing")</f>
        <v>Underperforming</v>
      </c>
      <c r="L3390">
        <f>Table4[[#This Row],[energy_kwh]] - Table4[[#This Row],[expected_kwh]]</f>
        <v>0</v>
      </c>
      <c r="M3390" t="str">
        <f>IF(Table4[[#This Row],[Performance_Deviation]] &lt; 0, "Underperforming", "Outperforming")</f>
        <v>Outperforming</v>
      </c>
      <c r="N3390">
        <f>IF(Table4[[#This Row],[Performance_Ratio]] &lt; 0.85, Table4[[#This Row],[Performance_Deviation]] * 50 / 1000, 0)</f>
        <v>0</v>
      </c>
    </row>
    <row r="3391" spans="1:14" x14ac:dyDescent="0.3">
      <c r="A3391" s="6" t="s">
        <v>10</v>
      </c>
      <c r="B3391" s="5">
        <v>45309.208333333336</v>
      </c>
      <c r="C3391" s="6">
        <v>0</v>
      </c>
      <c r="D3391" s="6">
        <v>0</v>
      </c>
      <c r="E3391" s="6">
        <v>0</v>
      </c>
      <c r="F3391" s="6">
        <v>62.500059031262303</v>
      </c>
      <c r="G3391" s="6" t="str">
        <f t="shared" si="104"/>
        <v>OK</v>
      </c>
      <c r="H3391" s="6" t="str">
        <f t="shared" si="105"/>
        <v>ZERO</v>
      </c>
      <c r="I3391">
        <v>0</v>
      </c>
      <c r="J3391">
        <f>IFERROR(Table4[[#This Row],[energy_kwh]]/Table4[[#This Row],[expected_kwh]],0)</f>
        <v>0</v>
      </c>
      <c r="K3391" t="str">
        <f>IF(Table4[[#This Row],[Performance_Ratio]] &lt; 0.85, "Underperforming", "Performing")</f>
        <v>Underperforming</v>
      </c>
      <c r="L3391">
        <f>Table4[[#This Row],[energy_kwh]] - Table4[[#This Row],[expected_kwh]]</f>
        <v>0</v>
      </c>
      <c r="M3391" t="str">
        <f>IF(Table4[[#This Row],[Performance_Deviation]] &lt; 0, "Underperforming", "Outperforming")</f>
        <v>Outperforming</v>
      </c>
      <c r="N3391">
        <f>IF(Table4[[#This Row],[Performance_Ratio]] &lt; 0.85, Table4[[#This Row],[Performance_Deviation]] * 50 / 1000, 0)</f>
        <v>0</v>
      </c>
    </row>
    <row r="3392" spans="1:14" x14ac:dyDescent="0.3">
      <c r="A3392" s="4" t="s">
        <v>10</v>
      </c>
      <c r="B3392" s="3">
        <v>45309.25</v>
      </c>
      <c r="C3392" s="4">
        <v>0</v>
      </c>
      <c r="D3392" s="4">
        <v>0</v>
      </c>
      <c r="E3392" s="4">
        <v>0</v>
      </c>
      <c r="F3392" s="4">
        <v>83.808528697301099</v>
      </c>
      <c r="G3392" s="4" t="str">
        <f t="shared" si="104"/>
        <v>OK</v>
      </c>
      <c r="H3392" s="4" t="str">
        <f t="shared" si="105"/>
        <v>ZERO</v>
      </c>
      <c r="I3392">
        <v>0</v>
      </c>
      <c r="J3392">
        <f>IFERROR(Table4[[#This Row],[energy_kwh]]/Table4[[#This Row],[expected_kwh]],0)</f>
        <v>0</v>
      </c>
      <c r="K3392" t="str">
        <f>IF(Table4[[#This Row],[Performance_Ratio]] &lt; 0.85, "Underperforming", "Performing")</f>
        <v>Underperforming</v>
      </c>
      <c r="L3392">
        <f>Table4[[#This Row],[energy_kwh]] - Table4[[#This Row],[expected_kwh]]</f>
        <v>0</v>
      </c>
      <c r="M3392" t="str">
        <f>IF(Table4[[#This Row],[Performance_Deviation]] &lt; 0, "Underperforming", "Outperforming")</f>
        <v>Outperforming</v>
      </c>
      <c r="N3392">
        <f>IF(Table4[[#This Row],[Performance_Ratio]] &lt; 0.85, Table4[[#This Row],[Performance_Deviation]] * 50 / 1000, 0)</f>
        <v>0</v>
      </c>
    </row>
    <row r="3393" spans="1:14" x14ac:dyDescent="0.3">
      <c r="A3393" s="6" t="s">
        <v>10</v>
      </c>
      <c r="B3393" s="5">
        <v>45309.291666666664</v>
      </c>
      <c r="C3393" s="6">
        <v>317.93482988619201</v>
      </c>
      <c r="D3393" s="6">
        <v>300.84289048934602</v>
      </c>
      <c r="E3393" s="6">
        <v>300.84289048934602</v>
      </c>
      <c r="F3393" s="6">
        <v>57.392691272266603</v>
      </c>
      <c r="G3393" s="6" t="str">
        <f t="shared" si="104"/>
        <v>OK</v>
      </c>
      <c r="H3393" s="6" t="str">
        <f t="shared" si="105"/>
        <v>NON-ZERO</v>
      </c>
      <c r="I3393">
        <v>310.58285412302399</v>
      </c>
      <c r="J3393">
        <f>IFERROR(Table4[[#This Row],[energy_kwh]]/Table4[[#This Row],[expected_kwh]],0)</f>
        <v>0.96863972526371367</v>
      </c>
      <c r="K3393" t="str">
        <f>IF(Table4[[#This Row],[Performance_Ratio]] &lt; 0.85, "Underperforming", "Performing")</f>
        <v>Performing</v>
      </c>
      <c r="L3393">
        <f>Table4[[#This Row],[energy_kwh]] - Table4[[#This Row],[expected_kwh]]</f>
        <v>-9.7399636336779736</v>
      </c>
      <c r="M3393" t="str">
        <f>IF(Table4[[#This Row],[Performance_Deviation]] &lt; 0, "Underperforming", "Outperforming")</f>
        <v>Underperforming</v>
      </c>
      <c r="N3393">
        <f>IF(Table4[[#This Row],[Performance_Ratio]] &lt; 0.85, Table4[[#This Row],[Performance_Deviation]] * 50 / 1000, 0)</f>
        <v>0</v>
      </c>
    </row>
    <row r="3394" spans="1:14" x14ac:dyDescent="0.3">
      <c r="A3394" s="4" t="s">
        <v>10</v>
      </c>
      <c r="B3394" s="3">
        <v>45309.333333333336</v>
      </c>
      <c r="C3394" s="4">
        <v>657.06660492614799</v>
      </c>
      <c r="D3394" s="4">
        <v>621.74319416580704</v>
      </c>
      <c r="E3394" s="4">
        <v>621.74319416580704</v>
      </c>
      <c r="F3394" s="4">
        <v>24.647825523455701</v>
      </c>
      <c r="G3394" s="4" t="str">
        <f t="shared" ref="G3394:G3457" si="106">IF(D3394 &gt; C3394, "ERROR", "OK")</f>
        <v>OK</v>
      </c>
      <c r="H3394" s="4" t="str">
        <f t="shared" ref="H3394:H3457" si="107">IF(E3394=0,"ZERO","NON-ZERO")</f>
        <v>NON-ZERO</v>
      </c>
      <c r="I3394">
        <v>600</v>
      </c>
      <c r="J3394">
        <f>IFERROR(Table4[[#This Row],[energy_kwh]]/Table4[[#This Row],[expected_kwh]],0)</f>
        <v>1.0362386569430118</v>
      </c>
      <c r="K3394" t="str">
        <f>IF(Table4[[#This Row],[Performance_Ratio]] &lt; 0.85, "Underperforming", "Performing")</f>
        <v>Performing</v>
      </c>
      <c r="L3394">
        <f>Table4[[#This Row],[energy_kwh]] - Table4[[#This Row],[expected_kwh]]</f>
        <v>21.74319416580704</v>
      </c>
      <c r="M3394" t="str">
        <f>IF(Table4[[#This Row],[Performance_Deviation]] &lt; 0, "Underperforming", "Outperforming")</f>
        <v>Outperforming</v>
      </c>
      <c r="N3394">
        <f>IF(Table4[[#This Row],[Performance_Ratio]] &lt; 0.85, Table4[[#This Row],[Performance_Deviation]] * 50 / 1000, 0)</f>
        <v>0</v>
      </c>
    </row>
    <row r="3395" spans="1:14" x14ac:dyDescent="0.3">
      <c r="A3395" s="6" t="s">
        <v>10</v>
      </c>
      <c r="B3395" s="5">
        <v>45309.375</v>
      </c>
      <c r="C3395" s="6">
        <v>831.83096451762799</v>
      </c>
      <c r="D3395" s="6">
        <v>787.11235209304903</v>
      </c>
      <c r="E3395" s="6">
        <v>787.11235209304903</v>
      </c>
      <c r="F3395" s="6">
        <v>53.8411484958797</v>
      </c>
      <c r="G3395" s="6" t="str">
        <f t="shared" si="106"/>
        <v>OK</v>
      </c>
      <c r="H3395" s="6" t="str">
        <f t="shared" si="107"/>
        <v>NON-ZERO</v>
      </c>
      <c r="I3395">
        <v>848.52813742385695</v>
      </c>
      <c r="J3395">
        <f>IFERROR(Table4[[#This Row],[energy_kwh]]/Table4[[#This Row],[expected_kwh]],0)</f>
        <v>0.92762080286781401</v>
      </c>
      <c r="K3395" t="str">
        <f>IF(Table4[[#This Row],[Performance_Ratio]] &lt; 0.85, "Underperforming", "Performing")</f>
        <v>Performing</v>
      </c>
      <c r="L3395">
        <f>Table4[[#This Row],[energy_kwh]] - Table4[[#This Row],[expected_kwh]]</f>
        <v>-61.415785330807921</v>
      </c>
      <c r="M3395" t="str">
        <f>IF(Table4[[#This Row],[Performance_Deviation]] &lt; 0, "Underperforming", "Outperforming")</f>
        <v>Underperforming</v>
      </c>
      <c r="N3395">
        <f>IF(Table4[[#This Row],[Performance_Ratio]] &lt; 0.85, Table4[[#This Row],[Performance_Deviation]] * 50 / 1000, 0)</f>
        <v>0</v>
      </c>
    </row>
    <row r="3396" spans="1:14" x14ac:dyDescent="0.3">
      <c r="A3396" s="4" t="s">
        <v>10</v>
      </c>
      <c r="B3396" s="3">
        <v>45309.416666666664</v>
      </c>
      <c r="C3396" s="4">
        <v>1006.30068998914</v>
      </c>
      <c r="D3396" s="4">
        <v>952.202715210934</v>
      </c>
      <c r="E3396" s="4">
        <v>952.202715210934</v>
      </c>
      <c r="F3396" s="4">
        <v>90.605838606387593</v>
      </c>
      <c r="G3396" s="4" t="str">
        <f t="shared" si="106"/>
        <v>OK</v>
      </c>
      <c r="H3396" s="4" t="str">
        <f t="shared" si="107"/>
        <v>NON-ZERO</v>
      </c>
      <c r="I3396">
        <v>1039.23048454132</v>
      </c>
      <c r="J3396">
        <f>IFERROR(Table4[[#This Row],[energy_kwh]]/Table4[[#This Row],[expected_kwh]],0)</f>
        <v>0.91625748991688105</v>
      </c>
      <c r="K3396" t="str">
        <f>IF(Table4[[#This Row],[Performance_Ratio]] &lt; 0.85, "Underperforming", "Performing")</f>
        <v>Performing</v>
      </c>
      <c r="L3396">
        <f>Table4[[#This Row],[energy_kwh]] - Table4[[#This Row],[expected_kwh]]</f>
        <v>-87.027769330386036</v>
      </c>
      <c r="M3396" t="str">
        <f>IF(Table4[[#This Row],[Performance_Deviation]] &lt; 0, "Underperforming", "Outperforming")</f>
        <v>Underperforming</v>
      </c>
      <c r="N3396">
        <f>IF(Table4[[#This Row],[Performance_Ratio]] &lt; 0.85, Table4[[#This Row],[Performance_Deviation]] * 50 / 1000, 0)</f>
        <v>0</v>
      </c>
    </row>
    <row r="3397" spans="1:14" x14ac:dyDescent="0.3">
      <c r="A3397" s="6" t="s">
        <v>10</v>
      </c>
      <c r="B3397" s="5">
        <v>45309.458333333336</v>
      </c>
      <c r="C3397" s="6">
        <v>1131.6125016897199</v>
      </c>
      <c r="D3397" s="6">
        <v>1070.7778573491801</v>
      </c>
      <c r="E3397" s="6">
        <v>1070.7778573491801</v>
      </c>
      <c r="F3397" s="6">
        <v>45.657125431956899</v>
      </c>
      <c r="G3397" s="6" t="str">
        <f t="shared" si="106"/>
        <v>OK</v>
      </c>
      <c r="H3397" s="6" t="str">
        <f t="shared" si="107"/>
        <v>NON-ZERO</v>
      </c>
      <c r="I3397">
        <v>1159.1109915468801</v>
      </c>
      <c r="J3397">
        <f>IFERROR(Table4[[#This Row],[energy_kwh]]/Table4[[#This Row],[expected_kwh]],0)</f>
        <v>0.92379234185346137</v>
      </c>
      <c r="K3397" t="str">
        <f>IF(Table4[[#This Row],[Performance_Ratio]] &lt; 0.85, "Underperforming", "Performing")</f>
        <v>Performing</v>
      </c>
      <c r="L3397">
        <f>Table4[[#This Row],[energy_kwh]] - Table4[[#This Row],[expected_kwh]]</f>
        <v>-88.333134197700019</v>
      </c>
      <c r="M3397" t="str">
        <f>IF(Table4[[#This Row],[Performance_Deviation]] &lt; 0, "Underperforming", "Outperforming")</f>
        <v>Underperforming</v>
      </c>
      <c r="N3397">
        <f>IF(Table4[[#This Row],[Performance_Ratio]] &lt; 0.85, Table4[[#This Row],[Performance_Deviation]] * 50 / 1000, 0)</f>
        <v>0</v>
      </c>
    </row>
    <row r="3398" spans="1:14" x14ac:dyDescent="0.3">
      <c r="A3398" s="4" t="s">
        <v>10</v>
      </c>
      <c r="B3398" s="3">
        <v>45309.5</v>
      </c>
      <c r="C3398" s="4">
        <v>1043.87433049898</v>
      </c>
      <c r="D3398" s="4">
        <v>987.75642482253204</v>
      </c>
      <c r="E3398" s="4">
        <v>987.75642482253204</v>
      </c>
      <c r="F3398" s="4">
        <v>23.1853182866308</v>
      </c>
      <c r="G3398" s="4" t="str">
        <f t="shared" si="106"/>
        <v>OK</v>
      </c>
      <c r="H3398" s="4" t="str">
        <f t="shared" si="107"/>
        <v>NON-ZERO</v>
      </c>
      <c r="I3398">
        <v>1200</v>
      </c>
      <c r="J3398">
        <f>IFERROR(Table4[[#This Row],[energy_kwh]]/Table4[[#This Row],[expected_kwh]],0)</f>
        <v>0.82313035401877666</v>
      </c>
      <c r="K3398" t="str">
        <f>IF(Table4[[#This Row],[Performance_Ratio]] &lt; 0.85, "Underperforming", "Performing")</f>
        <v>Underperforming</v>
      </c>
      <c r="L3398">
        <f>Table4[[#This Row],[energy_kwh]] - Table4[[#This Row],[expected_kwh]]</f>
        <v>-212.24357517746796</v>
      </c>
      <c r="M3398" t="str">
        <f>IF(Table4[[#This Row],[Performance_Deviation]] &lt; 0, "Underperforming", "Outperforming")</f>
        <v>Underperforming</v>
      </c>
      <c r="N3398">
        <f>IF(Table4[[#This Row],[Performance_Ratio]] &lt; 0.85, Table4[[#This Row],[Performance_Deviation]] * 50 / 1000, 0)</f>
        <v>-10.612178758873398</v>
      </c>
    </row>
    <row r="3399" spans="1:14" x14ac:dyDescent="0.3">
      <c r="A3399" s="6" t="s">
        <v>10</v>
      </c>
      <c r="B3399" s="5">
        <v>45309.541666666664</v>
      </c>
      <c r="C3399" s="6">
        <v>1106.79746411766</v>
      </c>
      <c r="D3399" s="6">
        <v>1047.29685769447</v>
      </c>
      <c r="E3399" s="6">
        <v>1047.29685769447</v>
      </c>
      <c r="F3399" s="6">
        <v>78.450219898961507</v>
      </c>
      <c r="G3399" s="6" t="str">
        <f t="shared" si="106"/>
        <v>OK</v>
      </c>
      <c r="H3399" s="6" t="str">
        <f t="shared" si="107"/>
        <v>NON-ZERO</v>
      </c>
      <c r="I3399">
        <v>1159.1109915468801</v>
      </c>
      <c r="J3399">
        <f>IFERROR(Table4[[#This Row],[energy_kwh]]/Table4[[#This Row],[expected_kwh]],0)</f>
        <v>0.9035345754911791</v>
      </c>
      <c r="K3399" t="str">
        <f>IF(Table4[[#This Row],[Performance_Ratio]] &lt; 0.85, "Underperforming", "Performing")</f>
        <v>Performing</v>
      </c>
      <c r="L3399">
        <f>Table4[[#This Row],[energy_kwh]] - Table4[[#This Row],[expected_kwh]]</f>
        <v>-111.81413385241012</v>
      </c>
      <c r="M3399" t="str">
        <f>IF(Table4[[#This Row],[Performance_Deviation]] &lt; 0, "Underperforming", "Outperforming")</f>
        <v>Underperforming</v>
      </c>
      <c r="N3399">
        <f>IF(Table4[[#This Row],[Performance_Ratio]] &lt; 0.85, Table4[[#This Row],[Performance_Deviation]] * 50 / 1000, 0)</f>
        <v>0</v>
      </c>
    </row>
    <row r="3400" spans="1:14" x14ac:dyDescent="0.3">
      <c r="A3400" s="4" t="s">
        <v>10</v>
      </c>
      <c r="B3400" s="3">
        <v>45309.583333333336</v>
      </c>
      <c r="C3400" s="4">
        <v>1012.79343521158</v>
      </c>
      <c r="D3400" s="4">
        <v>958.34641529131795</v>
      </c>
      <c r="E3400" s="4">
        <v>958.34641529131795</v>
      </c>
      <c r="F3400" s="4">
        <v>94.606526604647797</v>
      </c>
      <c r="G3400" s="4" t="str">
        <f t="shared" si="106"/>
        <v>OK</v>
      </c>
      <c r="H3400" s="4" t="str">
        <f t="shared" si="107"/>
        <v>NON-ZERO</v>
      </c>
      <c r="I3400">
        <v>1039.23048454132</v>
      </c>
      <c r="J3400">
        <f>IFERROR(Table4[[#This Row],[energy_kwh]]/Table4[[#This Row],[expected_kwh]],0)</f>
        <v>0.92216926807559785</v>
      </c>
      <c r="K3400" t="str">
        <f>IF(Table4[[#This Row],[Performance_Ratio]] &lt; 0.85, "Underperforming", "Performing")</f>
        <v>Performing</v>
      </c>
      <c r="L3400">
        <f>Table4[[#This Row],[energy_kwh]] - Table4[[#This Row],[expected_kwh]]</f>
        <v>-80.884069250002085</v>
      </c>
      <c r="M3400" t="str">
        <f>IF(Table4[[#This Row],[Performance_Deviation]] &lt; 0, "Underperforming", "Outperforming")</f>
        <v>Underperforming</v>
      </c>
      <c r="N3400">
        <f>IF(Table4[[#This Row],[Performance_Ratio]] &lt; 0.85, Table4[[#This Row],[Performance_Deviation]] * 50 / 1000, 0)</f>
        <v>0</v>
      </c>
    </row>
    <row r="3401" spans="1:14" x14ac:dyDescent="0.3">
      <c r="A3401" s="6" t="s">
        <v>10</v>
      </c>
      <c r="B3401" s="5">
        <v>45309.625</v>
      </c>
      <c r="C3401" s="6">
        <v>732.98156729884295</v>
      </c>
      <c r="D3401" s="6">
        <v>693.57702476488498</v>
      </c>
      <c r="E3401" s="6">
        <v>693.57702476488498</v>
      </c>
      <c r="F3401" s="6">
        <v>56.355601804976899</v>
      </c>
      <c r="G3401" s="6" t="str">
        <f t="shared" si="106"/>
        <v>OK</v>
      </c>
      <c r="H3401" s="6" t="str">
        <f t="shared" si="107"/>
        <v>NON-ZERO</v>
      </c>
      <c r="I3401">
        <v>848.52813742385695</v>
      </c>
      <c r="J3401">
        <f>IFERROR(Table4[[#This Row],[energy_kwh]]/Table4[[#This Row],[expected_kwh]],0)</f>
        <v>0.81738836247740032</v>
      </c>
      <c r="K3401" t="str">
        <f>IF(Table4[[#This Row],[Performance_Ratio]] &lt; 0.85, "Underperforming", "Performing")</f>
        <v>Underperforming</v>
      </c>
      <c r="L3401">
        <f>Table4[[#This Row],[energy_kwh]] - Table4[[#This Row],[expected_kwh]]</f>
        <v>-154.95111265897197</v>
      </c>
      <c r="M3401" t="str">
        <f>IF(Table4[[#This Row],[Performance_Deviation]] &lt; 0, "Underperforming", "Outperforming")</f>
        <v>Underperforming</v>
      </c>
      <c r="N3401">
        <f>IF(Table4[[#This Row],[Performance_Ratio]] &lt; 0.85, Table4[[#This Row],[Performance_Deviation]] * 50 / 1000, 0)</f>
        <v>-7.7475556329485977</v>
      </c>
    </row>
    <row r="3402" spans="1:14" x14ac:dyDescent="0.3">
      <c r="A3402" s="4" t="s">
        <v>10</v>
      </c>
      <c r="B3402" s="3">
        <v>45309.666666666664</v>
      </c>
      <c r="C3402" s="4">
        <v>555.15514079250499</v>
      </c>
      <c r="D3402" s="4">
        <v>525.31041435699797</v>
      </c>
      <c r="E3402" s="4">
        <v>525.31041435699797</v>
      </c>
      <c r="F3402" s="4">
        <v>83.969326863383699</v>
      </c>
      <c r="G3402" s="4" t="str">
        <f t="shared" si="106"/>
        <v>OK</v>
      </c>
      <c r="H3402" s="4" t="str">
        <f t="shared" si="107"/>
        <v>NON-ZERO</v>
      </c>
      <c r="I3402">
        <v>600</v>
      </c>
      <c r="J3402">
        <f>IFERROR(Table4[[#This Row],[energy_kwh]]/Table4[[#This Row],[expected_kwh]],0)</f>
        <v>0.87551735726166324</v>
      </c>
      <c r="K3402" t="str">
        <f>IF(Table4[[#This Row],[Performance_Ratio]] &lt; 0.85, "Underperforming", "Performing")</f>
        <v>Performing</v>
      </c>
      <c r="L3402">
        <f>Table4[[#This Row],[energy_kwh]] - Table4[[#This Row],[expected_kwh]]</f>
        <v>-74.689585643002033</v>
      </c>
      <c r="M3402" t="str">
        <f>IF(Table4[[#This Row],[Performance_Deviation]] &lt; 0, "Underperforming", "Outperforming")</f>
        <v>Underperforming</v>
      </c>
      <c r="N3402">
        <f>IF(Table4[[#This Row],[Performance_Ratio]] &lt; 0.85, Table4[[#This Row],[Performance_Deviation]] * 50 / 1000, 0)</f>
        <v>0</v>
      </c>
    </row>
    <row r="3403" spans="1:14" x14ac:dyDescent="0.3">
      <c r="A3403" s="6" t="s">
        <v>10</v>
      </c>
      <c r="B3403" s="5">
        <v>45309.708333333336</v>
      </c>
      <c r="C3403" s="6">
        <v>290.445772179031</v>
      </c>
      <c r="D3403" s="6">
        <v>274.83162402819403</v>
      </c>
      <c r="E3403" s="6">
        <v>274.83162402819403</v>
      </c>
      <c r="F3403" s="6">
        <v>58.547488439198403</v>
      </c>
      <c r="G3403" s="6" t="str">
        <f t="shared" si="106"/>
        <v>OK</v>
      </c>
      <c r="H3403" s="6" t="str">
        <f t="shared" si="107"/>
        <v>NON-ZERO</v>
      </c>
      <c r="I3403">
        <v>310.58285412302502</v>
      </c>
      <c r="J3403">
        <f>IFERROR(Table4[[#This Row],[energy_kwh]]/Table4[[#This Row],[expected_kwh]],0)</f>
        <v>0.88488987843266598</v>
      </c>
      <c r="K3403" t="str">
        <f>IF(Table4[[#This Row],[Performance_Ratio]] &lt; 0.85, "Underperforming", "Performing")</f>
        <v>Performing</v>
      </c>
      <c r="L3403">
        <f>Table4[[#This Row],[energy_kwh]] - Table4[[#This Row],[expected_kwh]]</f>
        <v>-35.751230094830987</v>
      </c>
      <c r="M3403" t="str">
        <f>IF(Table4[[#This Row],[Performance_Deviation]] &lt; 0, "Underperforming", "Outperforming")</f>
        <v>Underperforming</v>
      </c>
      <c r="N3403">
        <f>IF(Table4[[#This Row],[Performance_Ratio]] &lt; 0.85, Table4[[#This Row],[Performance_Deviation]] * 50 / 1000, 0)</f>
        <v>0</v>
      </c>
    </row>
    <row r="3404" spans="1:14" x14ac:dyDescent="0.3">
      <c r="A3404" s="4" t="s">
        <v>10</v>
      </c>
      <c r="B3404" s="3">
        <v>45309.75</v>
      </c>
      <c r="C3404" s="7">
        <v>1.3133619275866599E-13</v>
      </c>
      <c r="D3404" s="7">
        <v>1.2427565696255E-13</v>
      </c>
      <c r="E3404" s="7">
        <v>1.2427565696255E-13</v>
      </c>
      <c r="F3404" s="4">
        <v>72.335352387080604</v>
      </c>
      <c r="G3404" s="4" t="str">
        <f t="shared" si="106"/>
        <v>OK</v>
      </c>
      <c r="H3404" s="4" t="str">
        <f t="shared" si="107"/>
        <v>NON-ZERO</v>
      </c>
      <c r="I3404" s="2">
        <v>1.46957615897682E-13</v>
      </c>
      <c r="J3404">
        <f>IFERROR(Table4[[#This Row],[energy_kwh]]/Table4[[#This Row],[expected_kwh]],0)</f>
        <v>0.84565645817958746</v>
      </c>
      <c r="K3404" t="str">
        <f>IF(Table4[[#This Row],[Performance_Ratio]] &lt; 0.85, "Underperforming", "Performing")</f>
        <v>Underperforming</v>
      </c>
      <c r="L3404">
        <f>Table4[[#This Row],[energy_kwh]] - Table4[[#This Row],[expected_kwh]]</f>
        <v>-2.2681958935131998E-14</v>
      </c>
      <c r="M3404" t="str">
        <f>IF(Table4[[#This Row],[Performance_Deviation]] &lt; 0, "Underperforming", "Outperforming")</f>
        <v>Underperforming</v>
      </c>
      <c r="N3404">
        <f>IF(Table4[[#This Row],[Performance_Ratio]] &lt; 0.85, Table4[[#This Row],[Performance_Deviation]] * 50 / 1000, 0)</f>
        <v>-1.1340979467566E-15</v>
      </c>
    </row>
    <row r="3405" spans="1:14" x14ac:dyDescent="0.3">
      <c r="A3405" s="6" t="s">
        <v>10</v>
      </c>
      <c r="B3405" s="5">
        <v>45309.791666666664</v>
      </c>
      <c r="C3405" s="6">
        <v>0</v>
      </c>
      <c r="D3405" s="6">
        <v>0</v>
      </c>
      <c r="E3405" s="6">
        <v>0</v>
      </c>
      <c r="F3405" s="6">
        <v>38.901105025928899</v>
      </c>
      <c r="G3405" s="6" t="str">
        <f t="shared" si="106"/>
        <v>OK</v>
      </c>
      <c r="H3405" s="6" t="str">
        <f t="shared" si="107"/>
        <v>ZERO</v>
      </c>
      <c r="I3405">
        <v>0</v>
      </c>
      <c r="J3405">
        <f>IFERROR(Table4[[#This Row],[energy_kwh]]/Table4[[#This Row],[expected_kwh]],0)</f>
        <v>0</v>
      </c>
      <c r="K3405" t="str">
        <f>IF(Table4[[#This Row],[Performance_Ratio]] &lt; 0.85, "Underperforming", "Performing")</f>
        <v>Underperforming</v>
      </c>
      <c r="L3405">
        <f>Table4[[#This Row],[energy_kwh]] - Table4[[#This Row],[expected_kwh]]</f>
        <v>0</v>
      </c>
      <c r="M3405" t="str">
        <f>IF(Table4[[#This Row],[Performance_Deviation]] &lt; 0, "Underperforming", "Outperforming")</f>
        <v>Outperforming</v>
      </c>
      <c r="N3405">
        <f>IF(Table4[[#This Row],[Performance_Ratio]] &lt; 0.85, Table4[[#This Row],[Performance_Deviation]] * 50 / 1000, 0)</f>
        <v>0</v>
      </c>
    </row>
    <row r="3406" spans="1:14" x14ac:dyDescent="0.3">
      <c r="A3406" s="4" t="s">
        <v>10</v>
      </c>
      <c r="B3406" s="3">
        <v>45309.833333333336</v>
      </c>
      <c r="C3406" s="4">
        <v>0</v>
      </c>
      <c r="D3406" s="4">
        <v>0</v>
      </c>
      <c r="E3406" s="4">
        <v>0</v>
      </c>
      <c r="F3406" s="4">
        <v>45.979948982213898</v>
      </c>
      <c r="G3406" s="4" t="str">
        <f t="shared" si="106"/>
        <v>OK</v>
      </c>
      <c r="H3406" s="4" t="str">
        <f t="shared" si="107"/>
        <v>ZERO</v>
      </c>
      <c r="I3406">
        <v>0</v>
      </c>
      <c r="J3406">
        <f>IFERROR(Table4[[#This Row],[energy_kwh]]/Table4[[#This Row],[expected_kwh]],0)</f>
        <v>0</v>
      </c>
      <c r="K3406" t="str">
        <f>IF(Table4[[#This Row],[Performance_Ratio]] &lt; 0.85, "Underperforming", "Performing")</f>
        <v>Underperforming</v>
      </c>
      <c r="L3406">
        <f>Table4[[#This Row],[energy_kwh]] - Table4[[#This Row],[expected_kwh]]</f>
        <v>0</v>
      </c>
      <c r="M3406" t="str">
        <f>IF(Table4[[#This Row],[Performance_Deviation]] &lt; 0, "Underperforming", "Outperforming")</f>
        <v>Outperforming</v>
      </c>
      <c r="N3406">
        <f>IF(Table4[[#This Row],[Performance_Ratio]] &lt; 0.85, Table4[[#This Row],[Performance_Deviation]] * 50 / 1000, 0)</f>
        <v>0</v>
      </c>
    </row>
    <row r="3407" spans="1:14" x14ac:dyDescent="0.3">
      <c r="A3407" s="6" t="s">
        <v>10</v>
      </c>
      <c r="B3407" s="5">
        <v>45309.875</v>
      </c>
      <c r="C3407" s="6">
        <v>0</v>
      </c>
      <c r="D3407" s="6">
        <v>0</v>
      </c>
      <c r="E3407" s="6">
        <v>0</v>
      </c>
      <c r="F3407" s="6">
        <v>54.827774013652999</v>
      </c>
      <c r="G3407" s="6" t="str">
        <f t="shared" si="106"/>
        <v>OK</v>
      </c>
      <c r="H3407" s="6" t="str">
        <f t="shared" si="107"/>
        <v>ZERO</v>
      </c>
      <c r="I3407">
        <v>0</v>
      </c>
      <c r="J3407">
        <f>IFERROR(Table4[[#This Row],[energy_kwh]]/Table4[[#This Row],[expected_kwh]],0)</f>
        <v>0</v>
      </c>
      <c r="K3407" t="str">
        <f>IF(Table4[[#This Row],[Performance_Ratio]] &lt; 0.85, "Underperforming", "Performing")</f>
        <v>Underperforming</v>
      </c>
      <c r="L3407">
        <f>Table4[[#This Row],[energy_kwh]] - Table4[[#This Row],[expected_kwh]]</f>
        <v>0</v>
      </c>
      <c r="M3407" t="str">
        <f>IF(Table4[[#This Row],[Performance_Deviation]] &lt; 0, "Underperforming", "Outperforming")</f>
        <v>Outperforming</v>
      </c>
      <c r="N3407">
        <f>IF(Table4[[#This Row],[Performance_Ratio]] &lt; 0.85, Table4[[#This Row],[Performance_Deviation]] * 50 / 1000, 0)</f>
        <v>0</v>
      </c>
    </row>
    <row r="3408" spans="1:14" x14ac:dyDescent="0.3">
      <c r="A3408" s="4" t="s">
        <v>10</v>
      </c>
      <c r="B3408" s="3">
        <v>45309.916666666664</v>
      </c>
      <c r="C3408" s="4">
        <v>0</v>
      </c>
      <c r="D3408" s="4">
        <v>0</v>
      </c>
      <c r="E3408" s="4">
        <v>0</v>
      </c>
      <c r="F3408" s="4">
        <v>28.988049615590199</v>
      </c>
      <c r="G3408" s="4" t="str">
        <f t="shared" si="106"/>
        <v>OK</v>
      </c>
      <c r="H3408" s="4" t="str">
        <f t="shared" si="107"/>
        <v>ZERO</v>
      </c>
      <c r="I3408">
        <v>0</v>
      </c>
      <c r="J3408">
        <f>IFERROR(Table4[[#This Row],[energy_kwh]]/Table4[[#This Row],[expected_kwh]],0)</f>
        <v>0</v>
      </c>
      <c r="K3408" t="str">
        <f>IF(Table4[[#This Row],[Performance_Ratio]] &lt; 0.85, "Underperforming", "Performing")</f>
        <v>Underperforming</v>
      </c>
      <c r="L3408">
        <f>Table4[[#This Row],[energy_kwh]] - Table4[[#This Row],[expected_kwh]]</f>
        <v>0</v>
      </c>
      <c r="M3408" t="str">
        <f>IF(Table4[[#This Row],[Performance_Deviation]] &lt; 0, "Underperforming", "Outperforming")</f>
        <v>Outperforming</v>
      </c>
      <c r="N3408">
        <f>IF(Table4[[#This Row],[Performance_Ratio]] &lt; 0.85, Table4[[#This Row],[Performance_Deviation]] * 50 / 1000, 0)</f>
        <v>0</v>
      </c>
    </row>
    <row r="3409" spans="1:14" x14ac:dyDescent="0.3">
      <c r="A3409" s="6" t="s">
        <v>10</v>
      </c>
      <c r="B3409" s="5">
        <v>45309.958333333336</v>
      </c>
      <c r="C3409" s="6">
        <v>0</v>
      </c>
      <c r="D3409" s="6">
        <v>0</v>
      </c>
      <c r="E3409" s="6">
        <v>0</v>
      </c>
      <c r="F3409" s="6">
        <v>34.306119777935201</v>
      </c>
      <c r="G3409" s="6" t="str">
        <f t="shared" si="106"/>
        <v>OK</v>
      </c>
      <c r="H3409" s="6" t="str">
        <f t="shared" si="107"/>
        <v>ZERO</v>
      </c>
      <c r="I3409">
        <v>0</v>
      </c>
      <c r="J3409">
        <f>IFERROR(Table4[[#This Row],[energy_kwh]]/Table4[[#This Row],[expected_kwh]],0)</f>
        <v>0</v>
      </c>
      <c r="K3409" t="str">
        <f>IF(Table4[[#This Row],[Performance_Ratio]] &lt; 0.85, "Underperforming", "Performing")</f>
        <v>Underperforming</v>
      </c>
      <c r="L3409">
        <f>Table4[[#This Row],[energy_kwh]] - Table4[[#This Row],[expected_kwh]]</f>
        <v>0</v>
      </c>
      <c r="M3409" t="str">
        <f>IF(Table4[[#This Row],[Performance_Deviation]] &lt; 0, "Underperforming", "Outperforming")</f>
        <v>Outperforming</v>
      </c>
      <c r="N3409">
        <f>IF(Table4[[#This Row],[Performance_Ratio]] &lt; 0.85, Table4[[#This Row],[Performance_Deviation]] * 50 / 1000, 0)</f>
        <v>0</v>
      </c>
    </row>
    <row r="3410" spans="1:14" x14ac:dyDescent="0.3">
      <c r="A3410" s="4" t="s">
        <v>10</v>
      </c>
      <c r="B3410" s="3">
        <v>45310</v>
      </c>
      <c r="C3410" s="4">
        <v>0</v>
      </c>
      <c r="D3410" s="4">
        <v>0</v>
      </c>
      <c r="E3410" s="4">
        <v>0</v>
      </c>
      <c r="F3410" s="4">
        <v>50.6739877800375</v>
      </c>
      <c r="G3410" s="4" t="str">
        <f t="shared" si="106"/>
        <v>OK</v>
      </c>
      <c r="H3410" s="4" t="str">
        <f t="shared" si="107"/>
        <v>ZERO</v>
      </c>
      <c r="I3410">
        <v>0</v>
      </c>
      <c r="J3410">
        <f>IFERROR(Table4[[#This Row],[energy_kwh]]/Table4[[#This Row],[expected_kwh]],0)</f>
        <v>0</v>
      </c>
      <c r="K3410" t="str">
        <f>IF(Table4[[#This Row],[Performance_Ratio]] &lt; 0.85, "Underperforming", "Performing")</f>
        <v>Underperforming</v>
      </c>
      <c r="L3410">
        <f>Table4[[#This Row],[energy_kwh]] - Table4[[#This Row],[expected_kwh]]</f>
        <v>0</v>
      </c>
      <c r="M3410" t="str">
        <f>IF(Table4[[#This Row],[Performance_Deviation]] &lt; 0, "Underperforming", "Outperforming")</f>
        <v>Outperforming</v>
      </c>
      <c r="N3410">
        <f>IF(Table4[[#This Row],[Performance_Ratio]] &lt; 0.85, Table4[[#This Row],[Performance_Deviation]] * 50 / 1000, 0)</f>
        <v>0</v>
      </c>
    </row>
    <row r="3411" spans="1:14" x14ac:dyDescent="0.3">
      <c r="A3411" s="6" t="s">
        <v>10</v>
      </c>
      <c r="B3411" s="5">
        <v>45310.041666666664</v>
      </c>
      <c r="C3411" s="6">
        <v>0</v>
      </c>
      <c r="D3411" s="6">
        <v>0</v>
      </c>
      <c r="E3411" s="6">
        <v>0</v>
      </c>
      <c r="F3411" s="6">
        <v>59.917613575752299</v>
      </c>
      <c r="G3411" s="6" t="str">
        <f t="shared" si="106"/>
        <v>OK</v>
      </c>
      <c r="H3411" s="6" t="str">
        <f t="shared" si="107"/>
        <v>ZERO</v>
      </c>
      <c r="I3411">
        <v>0</v>
      </c>
      <c r="J3411">
        <f>IFERROR(Table4[[#This Row],[energy_kwh]]/Table4[[#This Row],[expected_kwh]],0)</f>
        <v>0</v>
      </c>
      <c r="K3411" t="str">
        <f>IF(Table4[[#This Row],[Performance_Ratio]] &lt; 0.85, "Underperforming", "Performing")</f>
        <v>Underperforming</v>
      </c>
      <c r="L3411">
        <f>Table4[[#This Row],[energy_kwh]] - Table4[[#This Row],[expected_kwh]]</f>
        <v>0</v>
      </c>
      <c r="M3411" t="str">
        <f>IF(Table4[[#This Row],[Performance_Deviation]] &lt; 0, "Underperforming", "Outperforming")</f>
        <v>Outperforming</v>
      </c>
      <c r="N3411">
        <f>IF(Table4[[#This Row],[Performance_Ratio]] &lt; 0.85, Table4[[#This Row],[Performance_Deviation]] * 50 / 1000, 0)</f>
        <v>0</v>
      </c>
    </row>
    <row r="3412" spans="1:14" x14ac:dyDescent="0.3">
      <c r="A3412" s="4" t="s">
        <v>10</v>
      </c>
      <c r="B3412" s="3">
        <v>45310.083333333336</v>
      </c>
      <c r="C3412" s="4">
        <v>0</v>
      </c>
      <c r="D3412" s="4">
        <v>0</v>
      </c>
      <c r="E3412" s="4">
        <v>0</v>
      </c>
      <c r="F3412" s="4">
        <v>45.069753108440601</v>
      </c>
      <c r="G3412" s="4" t="str">
        <f t="shared" si="106"/>
        <v>OK</v>
      </c>
      <c r="H3412" s="4" t="str">
        <f t="shared" si="107"/>
        <v>ZERO</v>
      </c>
      <c r="I3412">
        <v>0</v>
      </c>
      <c r="J3412">
        <f>IFERROR(Table4[[#This Row],[energy_kwh]]/Table4[[#This Row],[expected_kwh]],0)</f>
        <v>0</v>
      </c>
      <c r="K3412" t="str">
        <f>IF(Table4[[#This Row],[Performance_Ratio]] &lt; 0.85, "Underperforming", "Performing")</f>
        <v>Underperforming</v>
      </c>
      <c r="L3412">
        <f>Table4[[#This Row],[energy_kwh]] - Table4[[#This Row],[expected_kwh]]</f>
        <v>0</v>
      </c>
      <c r="M3412" t="str">
        <f>IF(Table4[[#This Row],[Performance_Deviation]] &lt; 0, "Underperforming", "Outperforming")</f>
        <v>Outperforming</v>
      </c>
      <c r="N3412">
        <f>IF(Table4[[#This Row],[Performance_Ratio]] &lt; 0.85, Table4[[#This Row],[Performance_Deviation]] * 50 / 1000, 0)</f>
        <v>0</v>
      </c>
    </row>
    <row r="3413" spans="1:14" x14ac:dyDescent="0.3">
      <c r="A3413" s="6" t="s">
        <v>10</v>
      </c>
      <c r="B3413" s="5">
        <v>45310.125</v>
      </c>
      <c r="C3413" s="6">
        <v>0</v>
      </c>
      <c r="D3413" s="6">
        <v>0</v>
      </c>
      <c r="E3413" s="6">
        <v>0</v>
      </c>
      <c r="F3413" s="6">
        <v>81.677263535932298</v>
      </c>
      <c r="G3413" s="6" t="str">
        <f t="shared" si="106"/>
        <v>OK</v>
      </c>
      <c r="H3413" s="6" t="str">
        <f t="shared" si="107"/>
        <v>ZERO</v>
      </c>
      <c r="I3413">
        <v>0</v>
      </c>
      <c r="J3413">
        <f>IFERROR(Table4[[#This Row],[energy_kwh]]/Table4[[#This Row],[expected_kwh]],0)</f>
        <v>0</v>
      </c>
      <c r="K3413" t="str">
        <f>IF(Table4[[#This Row],[Performance_Ratio]] &lt; 0.85, "Underperforming", "Performing")</f>
        <v>Underperforming</v>
      </c>
      <c r="L3413">
        <f>Table4[[#This Row],[energy_kwh]] - Table4[[#This Row],[expected_kwh]]</f>
        <v>0</v>
      </c>
      <c r="M3413" t="str">
        <f>IF(Table4[[#This Row],[Performance_Deviation]] &lt; 0, "Underperforming", "Outperforming")</f>
        <v>Outperforming</v>
      </c>
      <c r="N3413">
        <f>IF(Table4[[#This Row],[Performance_Ratio]] &lt; 0.85, Table4[[#This Row],[Performance_Deviation]] * 50 / 1000, 0)</f>
        <v>0</v>
      </c>
    </row>
    <row r="3414" spans="1:14" x14ac:dyDescent="0.3">
      <c r="A3414" s="4" t="s">
        <v>10</v>
      </c>
      <c r="B3414" s="3">
        <v>45310.166666666664</v>
      </c>
      <c r="C3414" s="4">
        <v>0</v>
      </c>
      <c r="D3414" s="4">
        <v>0</v>
      </c>
      <c r="E3414" s="4">
        <v>0</v>
      </c>
      <c r="F3414" s="4">
        <v>72.312427702782003</v>
      </c>
      <c r="G3414" s="4" t="str">
        <f t="shared" si="106"/>
        <v>OK</v>
      </c>
      <c r="H3414" s="4" t="str">
        <f t="shared" si="107"/>
        <v>ZERO</v>
      </c>
      <c r="I3414">
        <v>0</v>
      </c>
      <c r="J3414">
        <f>IFERROR(Table4[[#This Row],[energy_kwh]]/Table4[[#This Row],[expected_kwh]],0)</f>
        <v>0</v>
      </c>
      <c r="K3414" t="str">
        <f>IF(Table4[[#This Row],[Performance_Ratio]] &lt; 0.85, "Underperforming", "Performing")</f>
        <v>Underperforming</v>
      </c>
      <c r="L3414">
        <f>Table4[[#This Row],[energy_kwh]] - Table4[[#This Row],[expected_kwh]]</f>
        <v>0</v>
      </c>
      <c r="M3414" t="str">
        <f>IF(Table4[[#This Row],[Performance_Deviation]] &lt; 0, "Underperforming", "Outperforming")</f>
        <v>Outperforming</v>
      </c>
      <c r="N3414">
        <f>IF(Table4[[#This Row],[Performance_Ratio]] &lt; 0.85, Table4[[#This Row],[Performance_Deviation]] * 50 / 1000, 0)</f>
        <v>0</v>
      </c>
    </row>
    <row r="3415" spans="1:14" x14ac:dyDescent="0.3">
      <c r="A3415" s="6" t="s">
        <v>10</v>
      </c>
      <c r="B3415" s="5">
        <v>45310.208333333336</v>
      </c>
      <c r="C3415" s="6">
        <v>0</v>
      </c>
      <c r="D3415" s="6">
        <v>0</v>
      </c>
      <c r="E3415" s="6">
        <v>0</v>
      </c>
      <c r="F3415" s="6">
        <v>70.855438424143699</v>
      </c>
      <c r="G3415" s="6" t="str">
        <f t="shared" si="106"/>
        <v>OK</v>
      </c>
      <c r="H3415" s="6" t="str">
        <f t="shared" si="107"/>
        <v>ZERO</v>
      </c>
      <c r="I3415">
        <v>0</v>
      </c>
      <c r="J3415">
        <f>IFERROR(Table4[[#This Row],[energy_kwh]]/Table4[[#This Row],[expected_kwh]],0)</f>
        <v>0</v>
      </c>
      <c r="K3415" t="str">
        <f>IF(Table4[[#This Row],[Performance_Ratio]] &lt; 0.85, "Underperforming", "Performing")</f>
        <v>Underperforming</v>
      </c>
      <c r="L3415">
        <f>Table4[[#This Row],[energy_kwh]] - Table4[[#This Row],[expected_kwh]]</f>
        <v>0</v>
      </c>
      <c r="M3415" t="str">
        <f>IF(Table4[[#This Row],[Performance_Deviation]] &lt; 0, "Underperforming", "Outperforming")</f>
        <v>Outperforming</v>
      </c>
      <c r="N3415">
        <f>IF(Table4[[#This Row],[Performance_Ratio]] &lt; 0.85, Table4[[#This Row],[Performance_Deviation]] * 50 / 1000, 0)</f>
        <v>0</v>
      </c>
    </row>
    <row r="3416" spans="1:14" x14ac:dyDescent="0.3">
      <c r="A3416" s="4" t="s">
        <v>10</v>
      </c>
      <c r="B3416" s="3">
        <v>45310.25</v>
      </c>
      <c r="C3416" s="4">
        <v>0</v>
      </c>
      <c r="D3416" s="4">
        <v>0</v>
      </c>
      <c r="E3416" s="4">
        <v>0</v>
      </c>
      <c r="F3416" s="4">
        <v>79.175366342052001</v>
      </c>
      <c r="G3416" s="4" t="str">
        <f t="shared" si="106"/>
        <v>OK</v>
      </c>
      <c r="H3416" s="4" t="str">
        <f t="shared" si="107"/>
        <v>ZERO</v>
      </c>
      <c r="I3416">
        <v>0</v>
      </c>
      <c r="J3416">
        <f>IFERROR(Table4[[#This Row],[energy_kwh]]/Table4[[#This Row],[expected_kwh]],0)</f>
        <v>0</v>
      </c>
      <c r="K3416" t="str">
        <f>IF(Table4[[#This Row],[Performance_Ratio]] &lt; 0.85, "Underperforming", "Performing")</f>
        <v>Underperforming</v>
      </c>
      <c r="L3416">
        <f>Table4[[#This Row],[energy_kwh]] - Table4[[#This Row],[expected_kwh]]</f>
        <v>0</v>
      </c>
      <c r="M3416" t="str">
        <f>IF(Table4[[#This Row],[Performance_Deviation]] &lt; 0, "Underperforming", "Outperforming")</f>
        <v>Outperforming</v>
      </c>
      <c r="N3416">
        <f>IF(Table4[[#This Row],[Performance_Ratio]] &lt; 0.85, Table4[[#This Row],[Performance_Deviation]] * 50 / 1000, 0)</f>
        <v>0</v>
      </c>
    </row>
    <row r="3417" spans="1:14" x14ac:dyDescent="0.3">
      <c r="A3417" s="6" t="s">
        <v>10</v>
      </c>
      <c r="B3417" s="5">
        <v>45310.291666666664</v>
      </c>
      <c r="C3417" s="6">
        <v>309.93691345422098</v>
      </c>
      <c r="D3417" s="6">
        <v>293.27493608137002</v>
      </c>
      <c r="E3417" s="6">
        <v>293.27493608137002</v>
      </c>
      <c r="F3417" s="6">
        <v>30.282739105574599</v>
      </c>
      <c r="G3417" s="6" t="str">
        <f t="shared" si="106"/>
        <v>OK</v>
      </c>
      <c r="H3417" s="6" t="str">
        <f t="shared" si="107"/>
        <v>NON-ZERO</v>
      </c>
      <c r="I3417">
        <v>310.58285412302399</v>
      </c>
      <c r="J3417">
        <f>IFERROR(Table4[[#This Row],[energy_kwh]]/Table4[[#This Row],[expected_kwh]],0)</f>
        <v>0.94427278321423957</v>
      </c>
      <c r="K3417" t="str">
        <f>IF(Table4[[#This Row],[Performance_Ratio]] &lt; 0.85, "Underperforming", "Performing")</f>
        <v>Performing</v>
      </c>
      <c r="L3417">
        <f>Table4[[#This Row],[energy_kwh]] - Table4[[#This Row],[expected_kwh]]</f>
        <v>-17.307918041653977</v>
      </c>
      <c r="M3417" t="str">
        <f>IF(Table4[[#This Row],[Performance_Deviation]] &lt; 0, "Underperforming", "Outperforming")</f>
        <v>Underperforming</v>
      </c>
      <c r="N3417">
        <f>IF(Table4[[#This Row],[Performance_Ratio]] &lt; 0.85, Table4[[#This Row],[Performance_Deviation]] * 50 / 1000, 0)</f>
        <v>0</v>
      </c>
    </row>
    <row r="3418" spans="1:14" x14ac:dyDescent="0.3">
      <c r="A3418" s="4" t="s">
        <v>10</v>
      </c>
      <c r="B3418" s="3">
        <v>45310.333333333336</v>
      </c>
      <c r="C3418" s="4">
        <v>521.36893785950303</v>
      </c>
      <c r="D3418" s="4">
        <v>493.34053250208302</v>
      </c>
      <c r="E3418" s="4">
        <v>493.34053250208302</v>
      </c>
      <c r="F3418" s="4">
        <v>49.264697543742599</v>
      </c>
      <c r="G3418" s="4" t="str">
        <f t="shared" si="106"/>
        <v>OK</v>
      </c>
      <c r="H3418" s="4" t="str">
        <f t="shared" si="107"/>
        <v>NON-ZERO</v>
      </c>
      <c r="I3418">
        <v>600</v>
      </c>
      <c r="J3418">
        <f>IFERROR(Table4[[#This Row],[energy_kwh]]/Table4[[#This Row],[expected_kwh]],0)</f>
        <v>0.82223422083680509</v>
      </c>
      <c r="K3418" t="str">
        <f>IF(Table4[[#This Row],[Performance_Ratio]] &lt; 0.85, "Underperforming", "Performing")</f>
        <v>Underperforming</v>
      </c>
      <c r="L3418">
        <f>Table4[[#This Row],[energy_kwh]] - Table4[[#This Row],[expected_kwh]]</f>
        <v>-106.65946749791698</v>
      </c>
      <c r="M3418" t="str">
        <f>IF(Table4[[#This Row],[Performance_Deviation]] &lt; 0, "Underperforming", "Outperforming")</f>
        <v>Underperforming</v>
      </c>
      <c r="N3418">
        <f>IF(Table4[[#This Row],[Performance_Ratio]] &lt; 0.85, Table4[[#This Row],[Performance_Deviation]] * 50 / 1000, 0)</f>
        <v>-5.3329733748958486</v>
      </c>
    </row>
    <row r="3419" spans="1:14" x14ac:dyDescent="0.3">
      <c r="A3419" s="6" t="s">
        <v>10</v>
      </c>
      <c r="B3419" s="5">
        <v>45310.375</v>
      </c>
      <c r="C3419" s="6">
        <v>813.57446053768194</v>
      </c>
      <c r="D3419" s="6">
        <v>769.83730415469199</v>
      </c>
      <c r="E3419" s="6">
        <v>769.83730415469199</v>
      </c>
      <c r="F3419" s="6">
        <v>28.142235852710701</v>
      </c>
      <c r="G3419" s="6" t="str">
        <f t="shared" si="106"/>
        <v>OK</v>
      </c>
      <c r="H3419" s="6" t="str">
        <f t="shared" si="107"/>
        <v>NON-ZERO</v>
      </c>
      <c r="I3419">
        <v>848.52813742385695</v>
      </c>
      <c r="J3419">
        <f>IFERROR(Table4[[#This Row],[energy_kwh]]/Table4[[#This Row],[expected_kwh]],0)</f>
        <v>0.9072619636302558</v>
      </c>
      <c r="K3419" t="str">
        <f>IF(Table4[[#This Row],[Performance_Ratio]] &lt; 0.85, "Underperforming", "Performing")</f>
        <v>Performing</v>
      </c>
      <c r="L3419">
        <f>Table4[[#This Row],[energy_kwh]] - Table4[[#This Row],[expected_kwh]]</f>
        <v>-78.690833269164955</v>
      </c>
      <c r="M3419" t="str">
        <f>IF(Table4[[#This Row],[Performance_Deviation]] &lt; 0, "Underperforming", "Outperforming")</f>
        <v>Underperforming</v>
      </c>
      <c r="N3419">
        <f>IF(Table4[[#This Row],[Performance_Ratio]] &lt; 0.85, Table4[[#This Row],[Performance_Deviation]] * 50 / 1000, 0)</f>
        <v>0</v>
      </c>
    </row>
    <row r="3420" spans="1:14" x14ac:dyDescent="0.3">
      <c r="A3420" s="4" t="s">
        <v>10</v>
      </c>
      <c r="B3420" s="3">
        <v>45310.416666666664</v>
      </c>
      <c r="C3420" s="4">
        <v>948.299793479698</v>
      </c>
      <c r="D3420" s="4">
        <v>897.31990365133697</v>
      </c>
      <c r="E3420" s="4">
        <v>897.31990365133697</v>
      </c>
      <c r="F3420" s="4">
        <v>77.378239247786695</v>
      </c>
      <c r="G3420" s="4" t="str">
        <f t="shared" si="106"/>
        <v>OK</v>
      </c>
      <c r="H3420" s="4" t="str">
        <f t="shared" si="107"/>
        <v>NON-ZERO</v>
      </c>
      <c r="I3420">
        <v>1039.23048454132</v>
      </c>
      <c r="J3420">
        <f>IFERROR(Table4[[#This Row],[energy_kwh]]/Table4[[#This Row],[expected_kwh]],0)</f>
        <v>0.86344647987051937</v>
      </c>
      <c r="K3420" t="str">
        <f>IF(Table4[[#This Row],[Performance_Ratio]] &lt; 0.85, "Underperforming", "Performing")</f>
        <v>Performing</v>
      </c>
      <c r="L3420">
        <f>Table4[[#This Row],[energy_kwh]] - Table4[[#This Row],[expected_kwh]]</f>
        <v>-141.91058088998307</v>
      </c>
      <c r="M3420" t="str">
        <f>IF(Table4[[#This Row],[Performance_Deviation]] &lt; 0, "Underperforming", "Outperforming")</f>
        <v>Underperforming</v>
      </c>
      <c r="N3420">
        <f>IF(Table4[[#This Row],[Performance_Ratio]] &lt; 0.85, Table4[[#This Row],[Performance_Deviation]] * 50 / 1000, 0)</f>
        <v>0</v>
      </c>
    </row>
    <row r="3421" spans="1:14" x14ac:dyDescent="0.3">
      <c r="A3421" s="6" t="s">
        <v>10</v>
      </c>
      <c r="B3421" s="5">
        <v>45310.458333333336</v>
      </c>
      <c r="C3421" s="6">
        <v>1139.6677800277901</v>
      </c>
      <c r="D3421" s="6">
        <v>1078.4000899299599</v>
      </c>
      <c r="E3421" s="6">
        <v>1078.4000899299599</v>
      </c>
      <c r="F3421" s="6">
        <v>59.353065588669899</v>
      </c>
      <c r="G3421" s="6" t="str">
        <f t="shared" si="106"/>
        <v>OK</v>
      </c>
      <c r="H3421" s="6" t="str">
        <f t="shared" si="107"/>
        <v>NON-ZERO</v>
      </c>
      <c r="I3421">
        <v>1159.1109915468801</v>
      </c>
      <c r="J3421">
        <f>IFERROR(Table4[[#This Row],[energy_kwh]]/Table4[[#This Row],[expected_kwh]],0)</f>
        <v>0.93036827171381731</v>
      </c>
      <c r="K3421" t="str">
        <f>IF(Table4[[#This Row],[Performance_Ratio]] &lt; 0.85, "Underperforming", "Performing")</f>
        <v>Performing</v>
      </c>
      <c r="L3421">
        <f>Table4[[#This Row],[energy_kwh]] - Table4[[#This Row],[expected_kwh]]</f>
        <v>-80.710901616920182</v>
      </c>
      <c r="M3421" t="str">
        <f>IF(Table4[[#This Row],[Performance_Deviation]] &lt; 0, "Underperforming", "Outperforming")</f>
        <v>Underperforming</v>
      </c>
      <c r="N3421">
        <f>IF(Table4[[#This Row],[Performance_Ratio]] &lt; 0.85, Table4[[#This Row],[Performance_Deviation]] * 50 / 1000, 0)</f>
        <v>0</v>
      </c>
    </row>
    <row r="3422" spans="1:14" x14ac:dyDescent="0.3">
      <c r="A3422" s="4" t="s">
        <v>10</v>
      </c>
      <c r="B3422" s="3">
        <v>45310.5</v>
      </c>
      <c r="C3422" s="4">
        <v>1157.2116720700701</v>
      </c>
      <c r="D3422" s="4">
        <v>1095.00083541709</v>
      </c>
      <c r="E3422" s="4">
        <v>1095.00083541709</v>
      </c>
      <c r="F3422" s="4">
        <v>77.095357221902006</v>
      </c>
      <c r="G3422" s="4" t="str">
        <f t="shared" si="106"/>
        <v>OK</v>
      </c>
      <c r="H3422" s="4" t="str">
        <f t="shared" si="107"/>
        <v>NON-ZERO</v>
      </c>
      <c r="I3422">
        <v>1200</v>
      </c>
      <c r="J3422">
        <f>IFERROR(Table4[[#This Row],[energy_kwh]]/Table4[[#This Row],[expected_kwh]],0)</f>
        <v>0.91250069618090834</v>
      </c>
      <c r="K3422" t="str">
        <f>IF(Table4[[#This Row],[Performance_Ratio]] &lt; 0.85, "Underperforming", "Performing")</f>
        <v>Performing</v>
      </c>
      <c r="L3422">
        <f>Table4[[#This Row],[energy_kwh]] - Table4[[#This Row],[expected_kwh]]</f>
        <v>-104.99916458291</v>
      </c>
      <c r="M3422" t="str">
        <f>IF(Table4[[#This Row],[Performance_Deviation]] &lt; 0, "Underperforming", "Outperforming")</f>
        <v>Underperforming</v>
      </c>
      <c r="N3422">
        <f>IF(Table4[[#This Row],[Performance_Ratio]] &lt; 0.85, Table4[[#This Row],[Performance_Deviation]] * 50 / 1000, 0)</f>
        <v>0</v>
      </c>
    </row>
    <row r="3423" spans="1:14" x14ac:dyDescent="0.3">
      <c r="A3423" s="6" t="s">
        <v>10</v>
      </c>
      <c r="B3423" s="5">
        <v>45310.541666666664</v>
      </c>
      <c r="C3423" s="6">
        <v>1078.7628664813301</v>
      </c>
      <c r="D3423" s="6">
        <v>1020.76937912398</v>
      </c>
      <c r="E3423" s="6">
        <v>1020.76937912398</v>
      </c>
      <c r="F3423" s="6">
        <v>82.205016514920104</v>
      </c>
      <c r="G3423" s="6" t="str">
        <f t="shared" si="106"/>
        <v>OK</v>
      </c>
      <c r="H3423" s="6" t="str">
        <f t="shared" si="107"/>
        <v>NON-ZERO</v>
      </c>
      <c r="I3423">
        <v>1159.1109915468801</v>
      </c>
      <c r="J3423">
        <f>IFERROR(Table4[[#This Row],[energy_kwh]]/Table4[[#This Row],[expected_kwh]],0)</f>
        <v>0.88064851991587312</v>
      </c>
      <c r="K3423" t="str">
        <f>IF(Table4[[#This Row],[Performance_Ratio]] &lt; 0.85, "Underperforming", "Performing")</f>
        <v>Performing</v>
      </c>
      <c r="L3423">
        <f>Table4[[#This Row],[energy_kwh]] - Table4[[#This Row],[expected_kwh]]</f>
        <v>-138.34161242290008</v>
      </c>
      <c r="M3423" t="str">
        <f>IF(Table4[[#This Row],[Performance_Deviation]] &lt; 0, "Underperforming", "Outperforming")</f>
        <v>Underperforming</v>
      </c>
      <c r="N3423">
        <f>IF(Table4[[#This Row],[Performance_Ratio]] &lt; 0.85, Table4[[#This Row],[Performance_Deviation]] * 50 / 1000, 0)</f>
        <v>0</v>
      </c>
    </row>
    <row r="3424" spans="1:14" x14ac:dyDescent="0.3">
      <c r="A3424" s="4" t="s">
        <v>10</v>
      </c>
      <c r="B3424" s="3">
        <v>45310.583333333336</v>
      </c>
      <c r="C3424" s="4">
        <v>1025.26403629939</v>
      </c>
      <c r="D3424" s="4">
        <v>970.14660616294805</v>
      </c>
      <c r="E3424" s="4">
        <v>970.14660616294805</v>
      </c>
      <c r="F3424" s="4">
        <v>42.687797026355803</v>
      </c>
      <c r="G3424" s="4" t="str">
        <f t="shared" si="106"/>
        <v>OK</v>
      </c>
      <c r="H3424" s="4" t="str">
        <f t="shared" si="107"/>
        <v>NON-ZERO</v>
      </c>
      <c r="I3424">
        <v>1039.23048454132</v>
      </c>
      <c r="J3424">
        <f>IFERROR(Table4[[#This Row],[energy_kwh]]/Table4[[#This Row],[expected_kwh]],0)</f>
        <v>0.93352400703597216</v>
      </c>
      <c r="K3424" t="str">
        <f>IF(Table4[[#This Row],[Performance_Ratio]] &lt; 0.85, "Underperforming", "Performing")</f>
        <v>Performing</v>
      </c>
      <c r="L3424">
        <f>Table4[[#This Row],[energy_kwh]] - Table4[[#This Row],[expected_kwh]]</f>
        <v>-69.083878378371992</v>
      </c>
      <c r="M3424" t="str">
        <f>IF(Table4[[#This Row],[Performance_Deviation]] &lt; 0, "Underperforming", "Outperforming")</f>
        <v>Underperforming</v>
      </c>
      <c r="N3424">
        <f>IF(Table4[[#This Row],[Performance_Ratio]] &lt; 0.85, Table4[[#This Row],[Performance_Deviation]] * 50 / 1000, 0)</f>
        <v>0</v>
      </c>
    </row>
    <row r="3425" spans="1:14" x14ac:dyDescent="0.3">
      <c r="A3425" s="6" t="s">
        <v>10</v>
      </c>
      <c r="B3425" s="5">
        <v>45310.625</v>
      </c>
      <c r="C3425" s="6">
        <v>774.87407175379803</v>
      </c>
      <c r="D3425" s="6">
        <v>733.21741941613504</v>
      </c>
      <c r="E3425" s="6">
        <v>733.21741941613504</v>
      </c>
      <c r="F3425" s="6">
        <v>35.273648084245799</v>
      </c>
      <c r="G3425" s="6" t="str">
        <f t="shared" si="106"/>
        <v>OK</v>
      </c>
      <c r="H3425" s="6" t="str">
        <f t="shared" si="107"/>
        <v>NON-ZERO</v>
      </c>
      <c r="I3425">
        <v>848.52813742385695</v>
      </c>
      <c r="J3425">
        <f>IFERROR(Table4[[#This Row],[energy_kwh]]/Table4[[#This Row],[expected_kwh]],0)</f>
        <v>0.86410501558875019</v>
      </c>
      <c r="K3425" t="str">
        <f>IF(Table4[[#This Row],[Performance_Ratio]] &lt; 0.85, "Underperforming", "Performing")</f>
        <v>Performing</v>
      </c>
      <c r="L3425">
        <f>Table4[[#This Row],[energy_kwh]] - Table4[[#This Row],[expected_kwh]]</f>
        <v>-115.3107180077219</v>
      </c>
      <c r="M3425" t="str">
        <f>IF(Table4[[#This Row],[Performance_Deviation]] &lt; 0, "Underperforming", "Outperforming")</f>
        <v>Underperforming</v>
      </c>
      <c r="N3425">
        <f>IF(Table4[[#This Row],[Performance_Ratio]] &lt; 0.85, Table4[[#This Row],[Performance_Deviation]] * 50 / 1000, 0)</f>
        <v>0</v>
      </c>
    </row>
    <row r="3426" spans="1:14" x14ac:dyDescent="0.3">
      <c r="A3426" s="4" t="s">
        <v>10</v>
      </c>
      <c r="B3426" s="3">
        <v>45310.666666666664</v>
      </c>
      <c r="C3426" s="4">
        <v>571.01250106809096</v>
      </c>
      <c r="D3426" s="4">
        <v>540.31529476769697</v>
      </c>
      <c r="E3426" s="4">
        <v>540.31529476769697</v>
      </c>
      <c r="F3426" s="4">
        <v>57.950400107520302</v>
      </c>
      <c r="G3426" s="4" t="str">
        <f t="shared" si="106"/>
        <v>OK</v>
      </c>
      <c r="H3426" s="4" t="str">
        <f t="shared" si="107"/>
        <v>NON-ZERO</v>
      </c>
      <c r="I3426">
        <v>600</v>
      </c>
      <c r="J3426">
        <f>IFERROR(Table4[[#This Row],[energy_kwh]]/Table4[[#This Row],[expected_kwh]],0)</f>
        <v>0.90052549127949499</v>
      </c>
      <c r="K3426" t="str">
        <f>IF(Table4[[#This Row],[Performance_Ratio]] &lt; 0.85, "Underperforming", "Performing")</f>
        <v>Performing</v>
      </c>
      <c r="L3426">
        <f>Table4[[#This Row],[energy_kwh]] - Table4[[#This Row],[expected_kwh]]</f>
        <v>-59.684705232303031</v>
      </c>
      <c r="M3426" t="str">
        <f>IF(Table4[[#This Row],[Performance_Deviation]] &lt; 0, "Underperforming", "Outperforming")</f>
        <v>Underperforming</v>
      </c>
      <c r="N3426">
        <f>IF(Table4[[#This Row],[Performance_Ratio]] &lt; 0.85, Table4[[#This Row],[Performance_Deviation]] * 50 / 1000, 0)</f>
        <v>0</v>
      </c>
    </row>
    <row r="3427" spans="1:14" x14ac:dyDescent="0.3">
      <c r="A3427" s="6" t="s">
        <v>10</v>
      </c>
      <c r="B3427" s="5">
        <v>45310.708333333336</v>
      </c>
      <c r="C3427" s="6">
        <v>288.80342757695399</v>
      </c>
      <c r="D3427" s="6">
        <v>273.27757064736397</v>
      </c>
      <c r="E3427" s="6">
        <v>273.27757064736397</v>
      </c>
      <c r="F3427" s="6">
        <v>40.1678228421111</v>
      </c>
      <c r="G3427" s="6" t="str">
        <f t="shared" si="106"/>
        <v>OK</v>
      </c>
      <c r="H3427" s="6" t="str">
        <f t="shared" si="107"/>
        <v>NON-ZERO</v>
      </c>
      <c r="I3427">
        <v>310.58285412302502</v>
      </c>
      <c r="J3427">
        <f>IFERROR(Table4[[#This Row],[energy_kwh]]/Table4[[#This Row],[expected_kwh]],0)</f>
        <v>0.87988621077941398</v>
      </c>
      <c r="K3427" t="str">
        <f>IF(Table4[[#This Row],[Performance_Ratio]] &lt; 0.85, "Underperforming", "Performing")</f>
        <v>Performing</v>
      </c>
      <c r="L3427">
        <f>Table4[[#This Row],[energy_kwh]] - Table4[[#This Row],[expected_kwh]]</f>
        <v>-37.305283475661042</v>
      </c>
      <c r="M3427" t="str">
        <f>IF(Table4[[#This Row],[Performance_Deviation]] &lt; 0, "Underperforming", "Outperforming")</f>
        <v>Underperforming</v>
      </c>
      <c r="N3427">
        <f>IF(Table4[[#This Row],[Performance_Ratio]] &lt; 0.85, Table4[[#This Row],[Performance_Deviation]] * 50 / 1000, 0)</f>
        <v>0</v>
      </c>
    </row>
    <row r="3428" spans="1:14" x14ac:dyDescent="0.3">
      <c r="A3428" s="4" t="s">
        <v>10</v>
      </c>
      <c r="B3428" s="3">
        <v>45310.75</v>
      </c>
      <c r="C3428" s="7">
        <v>1.38311016226463E-13</v>
      </c>
      <c r="D3428" s="7">
        <v>1.3087551912127001E-13</v>
      </c>
      <c r="E3428" s="7">
        <v>1.3087551912127001E-13</v>
      </c>
      <c r="F3428" s="4">
        <v>43.0470232431719</v>
      </c>
      <c r="G3428" s="4" t="str">
        <f t="shared" si="106"/>
        <v>OK</v>
      </c>
      <c r="H3428" s="4" t="str">
        <f t="shared" si="107"/>
        <v>NON-ZERO</v>
      </c>
      <c r="I3428" s="2">
        <v>1.46957615897682E-13</v>
      </c>
      <c r="J3428">
        <f>IFERROR(Table4[[#This Row],[energy_kwh]]/Table4[[#This Row],[expected_kwh]],0)</f>
        <v>0.89056642843465139</v>
      </c>
      <c r="K3428" t="str">
        <f>IF(Table4[[#This Row],[Performance_Ratio]] &lt; 0.85, "Underperforming", "Performing")</f>
        <v>Performing</v>
      </c>
      <c r="L3428">
        <f>Table4[[#This Row],[energy_kwh]] - Table4[[#This Row],[expected_kwh]]</f>
        <v>-1.6082096776411993E-14</v>
      </c>
      <c r="M3428" t="str">
        <f>IF(Table4[[#This Row],[Performance_Deviation]] &lt; 0, "Underperforming", "Outperforming")</f>
        <v>Underperforming</v>
      </c>
      <c r="N3428">
        <f>IF(Table4[[#This Row],[Performance_Ratio]] &lt; 0.85, Table4[[#This Row],[Performance_Deviation]] * 50 / 1000, 0)</f>
        <v>0</v>
      </c>
    </row>
    <row r="3429" spans="1:14" x14ac:dyDescent="0.3">
      <c r="A3429" s="6" t="s">
        <v>10</v>
      </c>
      <c r="B3429" s="5">
        <v>45310.791666666664</v>
      </c>
      <c r="C3429" s="6">
        <v>0</v>
      </c>
      <c r="D3429" s="6">
        <v>0</v>
      </c>
      <c r="E3429" s="6">
        <v>0</v>
      </c>
      <c r="F3429" s="6">
        <v>89.947247430451895</v>
      </c>
      <c r="G3429" s="6" t="str">
        <f t="shared" si="106"/>
        <v>OK</v>
      </c>
      <c r="H3429" s="6" t="str">
        <f t="shared" si="107"/>
        <v>ZERO</v>
      </c>
      <c r="I3429">
        <v>0</v>
      </c>
      <c r="J3429">
        <f>IFERROR(Table4[[#This Row],[energy_kwh]]/Table4[[#This Row],[expected_kwh]],0)</f>
        <v>0</v>
      </c>
      <c r="K3429" t="str">
        <f>IF(Table4[[#This Row],[Performance_Ratio]] &lt; 0.85, "Underperforming", "Performing")</f>
        <v>Underperforming</v>
      </c>
      <c r="L3429">
        <f>Table4[[#This Row],[energy_kwh]] - Table4[[#This Row],[expected_kwh]]</f>
        <v>0</v>
      </c>
      <c r="M3429" t="str">
        <f>IF(Table4[[#This Row],[Performance_Deviation]] &lt; 0, "Underperforming", "Outperforming")</f>
        <v>Outperforming</v>
      </c>
      <c r="N3429">
        <f>IF(Table4[[#This Row],[Performance_Ratio]] &lt; 0.85, Table4[[#This Row],[Performance_Deviation]] * 50 / 1000, 0)</f>
        <v>0</v>
      </c>
    </row>
    <row r="3430" spans="1:14" x14ac:dyDescent="0.3">
      <c r="A3430" s="4" t="s">
        <v>10</v>
      </c>
      <c r="B3430" s="3">
        <v>45310.833333333336</v>
      </c>
      <c r="C3430" s="4">
        <v>0</v>
      </c>
      <c r="D3430" s="4">
        <v>0</v>
      </c>
      <c r="E3430" s="4">
        <v>0</v>
      </c>
      <c r="F3430" s="4">
        <v>38.833421511425399</v>
      </c>
      <c r="G3430" s="4" t="str">
        <f t="shared" si="106"/>
        <v>OK</v>
      </c>
      <c r="H3430" s="4" t="str">
        <f t="shared" si="107"/>
        <v>ZERO</v>
      </c>
      <c r="I3430">
        <v>0</v>
      </c>
      <c r="J3430">
        <f>IFERROR(Table4[[#This Row],[energy_kwh]]/Table4[[#This Row],[expected_kwh]],0)</f>
        <v>0</v>
      </c>
      <c r="K3430" t="str">
        <f>IF(Table4[[#This Row],[Performance_Ratio]] &lt; 0.85, "Underperforming", "Performing")</f>
        <v>Underperforming</v>
      </c>
      <c r="L3430">
        <f>Table4[[#This Row],[energy_kwh]] - Table4[[#This Row],[expected_kwh]]</f>
        <v>0</v>
      </c>
      <c r="M3430" t="str">
        <f>IF(Table4[[#This Row],[Performance_Deviation]] &lt; 0, "Underperforming", "Outperforming")</f>
        <v>Outperforming</v>
      </c>
      <c r="N3430">
        <f>IF(Table4[[#This Row],[Performance_Ratio]] &lt; 0.85, Table4[[#This Row],[Performance_Deviation]] * 50 / 1000, 0)</f>
        <v>0</v>
      </c>
    </row>
    <row r="3431" spans="1:14" x14ac:dyDescent="0.3">
      <c r="A3431" s="6" t="s">
        <v>10</v>
      </c>
      <c r="B3431" s="5">
        <v>45310.875</v>
      </c>
      <c r="C3431" s="6">
        <v>0</v>
      </c>
      <c r="D3431" s="6">
        <v>0</v>
      </c>
      <c r="E3431" s="6">
        <v>0</v>
      </c>
      <c r="F3431" s="6">
        <v>63.487455595014701</v>
      </c>
      <c r="G3431" s="6" t="str">
        <f t="shared" si="106"/>
        <v>OK</v>
      </c>
      <c r="H3431" s="6" t="str">
        <f t="shared" si="107"/>
        <v>ZERO</v>
      </c>
      <c r="I3431">
        <v>0</v>
      </c>
      <c r="J3431">
        <f>IFERROR(Table4[[#This Row],[energy_kwh]]/Table4[[#This Row],[expected_kwh]],0)</f>
        <v>0</v>
      </c>
      <c r="K3431" t="str">
        <f>IF(Table4[[#This Row],[Performance_Ratio]] &lt; 0.85, "Underperforming", "Performing")</f>
        <v>Underperforming</v>
      </c>
      <c r="L3431">
        <f>Table4[[#This Row],[energy_kwh]] - Table4[[#This Row],[expected_kwh]]</f>
        <v>0</v>
      </c>
      <c r="M3431" t="str">
        <f>IF(Table4[[#This Row],[Performance_Deviation]] &lt; 0, "Underperforming", "Outperforming")</f>
        <v>Outperforming</v>
      </c>
      <c r="N3431">
        <f>IF(Table4[[#This Row],[Performance_Ratio]] &lt; 0.85, Table4[[#This Row],[Performance_Deviation]] * 50 / 1000, 0)</f>
        <v>0</v>
      </c>
    </row>
    <row r="3432" spans="1:14" x14ac:dyDescent="0.3">
      <c r="A3432" s="4" t="s">
        <v>10</v>
      </c>
      <c r="B3432" s="3">
        <v>45310.916666666664</v>
      </c>
      <c r="C3432" s="4">
        <v>0</v>
      </c>
      <c r="D3432" s="4">
        <v>0</v>
      </c>
      <c r="E3432" s="4">
        <v>0</v>
      </c>
      <c r="F3432" s="4">
        <v>29.403416308114</v>
      </c>
      <c r="G3432" s="4" t="str">
        <f t="shared" si="106"/>
        <v>OK</v>
      </c>
      <c r="H3432" s="4" t="str">
        <f t="shared" si="107"/>
        <v>ZERO</v>
      </c>
      <c r="I3432">
        <v>0</v>
      </c>
      <c r="J3432">
        <f>IFERROR(Table4[[#This Row],[energy_kwh]]/Table4[[#This Row],[expected_kwh]],0)</f>
        <v>0</v>
      </c>
      <c r="K3432" t="str">
        <f>IF(Table4[[#This Row],[Performance_Ratio]] &lt; 0.85, "Underperforming", "Performing")</f>
        <v>Underperforming</v>
      </c>
      <c r="L3432">
        <f>Table4[[#This Row],[energy_kwh]] - Table4[[#This Row],[expected_kwh]]</f>
        <v>0</v>
      </c>
      <c r="M3432" t="str">
        <f>IF(Table4[[#This Row],[Performance_Deviation]] &lt; 0, "Underperforming", "Outperforming")</f>
        <v>Outperforming</v>
      </c>
      <c r="N3432">
        <f>IF(Table4[[#This Row],[Performance_Ratio]] &lt; 0.85, Table4[[#This Row],[Performance_Deviation]] * 50 / 1000, 0)</f>
        <v>0</v>
      </c>
    </row>
    <row r="3433" spans="1:14" x14ac:dyDescent="0.3">
      <c r="A3433" s="6" t="s">
        <v>10</v>
      </c>
      <c r="B3433" s="5">
        <v>45310.958333333336</v>
      </c>
      <c r="C3433" s="6">
        <v>0</v>
      </c>
      <c r="D3433" s="6">
        <v>0</v>
      </c>
      <c r="E3433" s="6">
        <v>0</v>
      </c>
      <c r="F3433" s="6">
        <v>60.607585745738298</v>
      </c>
      <c r="G3433" s="6" t="str">
        <f t="shared" si="106"/>
        <v>OK</v>
      </c>
      <c r="H3433" s="6" t="str">
        <f t="shared" si="107"/>
        <v>ZERO</v>
      </c>
      <c r="I3433">
        <v>0</v>
      </c>
      <c r="J3433">
        <f>IFERROR(Table4[[#This Row],[energy_kwh]]/Table4[[#This Row],[expected_kwh]],0)</f>
        <v>0</v>
      </c>
      <c r="K3433" t="str">
        <f>IF(Table4[[#This Row],[Performance_Ratio]] &lt; 0.85, "Underperforming", "Performing")</f>
        <v>Underperforming</v>
      </c>
      <c r="L3433">
        <f>Table4[[#This Row],[energy_kwh]] - Table4[[#This Row],[expected_kwh]]</f>
        <v>0</v>
      </c>
      <c r="M3433" t="str">
        <f>IF(Table4[[#This Row],[Performance_Deviation]] &lt; 0, "Underperforming", "Outperforming")</f>
        <v>Outperforming</v>
      </c>
      <c r="N3433">
        <f>IF(Table4[[#This Row],[Performance_Ratio]] &lt; 0.85, Table4[[#This Row],[Performance_Deviation]] * 50 / 1000, 0)</f>
        <v>0</v>
      </c>
    </row>
    <row r="3434" spans="1:14" x14ac:dyDescent="0.3">
      <c r="A3434" s="4" t="s">
        <v>10</v>
      </c>
      <c r="B3434" s="3">
        <v>45311</v>
      </c>
      <c r="C3434" s="4">
        <v>0</v>
      </c>
      <c r="D3434" s="4">
        <v>0</v>
      </c>
      <c r="E3434" s="4">
        <v>0</v>
      </c>
      <c r="F3434" s="4">
        <v>52.057330337015998</v>
      </c>
      <c r="G3434" s="4" t="str">
        <f t="shared" si="106"/>
        <v>OK</v>
      </c>
      <c r="H3434" s="4" t="str">
        <f t="shared" si="107"/>
        <v>ZERO</v>
      </c>
      <c r="I3434">
        <v>0</v>
      </c>
      <c r="J3434">
        <f>IFERROR(Table4[[#This Row],[energy_kwh]]/Table4[[#This Row],[expected_kwh]],0)</f>
        <v>0</v>
      </c>
      <c r="K3434" t="str">
        <f>IF(Table4[[#This Row],[Performance_Ratio]] &lt; 0.85, "Underperforming", "Performing")</f>
        <v>Underperforming</v>
      </c>
      <c r="L3434">
        <f>Table4[[#This Row],[energy_kwh]] - Table4[[#This Row],[expected_kwh]]</f>
        <v>0</v>
      </c>
      <c r="M3434" t="str">
        <f>IF(Table4[[#This Row],[Performance_Deviation]] &lt; 0, "Underperforming", "Outperforming")</f>
        <v>Outperforming</v>
      </c>
      <c r="N3434">
        <f>IF(Table4[[#This Row],[Performance_Ratio]] &lt; 0.85, Table4[[#This Row],[Performance_Deviation]] * 50 / 1000, 0)</f>
        <v>0</v>
      </c>
    </row>
    <row r="3435" spans="1:14" x14ac:dyDescent="0.3">
      <c r="A3435" s="6" t="s">
        <v>10</v>
      </c>
      <c r="B3435" s="5">
        <v>45311.041666666664</v>
      </c>
      <c r="C3435" s="6">
        <v>0</v>
      </c>
      <c r="D3435" s="6">
        <v>0</v>
      </c>
      <c r="E3435" s="6">
        <v>0</v>
      </c>
      <c r="F3435" s="6">
        <v>54.297484849767301</v>
      </c>
      <c r="G3435" s="6" t="str">
        <f t="shared" si="106"/>
        <v>OK</v>
      </c>
      <c r="H3435" s="6" t="str">
        <f t="shared" si="107"/>
        <v>ZERO</v>
      </c>
      <c r="I3435">
        <v>0</v>
      </c>
      <c r="J3435">
        <f>IFERROR(Table4[[#This Row],[energy_kwh]]/Table4[[#This Row],[expected_kwh]],0)</f>
        <v>0</v>
      </c>
      <c r="K3435" t="str">
        <f>IF(Table4[[#This Row],[Performance_Ratio]] &lt; 0.85, "Underperforming", "Performing")</f>
        <v>Underperforming</v>
      </c>
      <c r="L3435">
        <f>Table4[[#This Row],[energy_kwh]] - Table4[[#This Row],[expected_kwh]]</f>
        <v>0</v>
      </c>
      <c r="M3435" t="str">
        <f>IF(Table4[[#This Row],[Performance_Deviation]] &lt; 0, "Underperforming", "Outperforming")</f>
        <v>Outperforming</v>
      </c>
      <c r="N3435">
        <f>IF(Table4[[#This Row],[Performance_Ratio]] &lt; 0.85, Table4[[#This Row],[Performance_Deviation]] * 50 / 1000, 0)</f>
        <v>0</v>
      </c>
    </row>
    <row r="3436" spans="1:14" x14ac:dyDescent="0.3">
      <c r="A3436" s="4" t="s">
        <v>10</v>
      </c>
      <c r="B3436" s="3">
        <v>45311.083333333336</v>
      </c>
      <c r="C3436" s="4">
        <v>0</v>
      </c>
      <c r="D3436" s="4">
        <v>0</v>
      </c>
      <c r="E3436" s="4">
        <v>0</v>
      </c>
      <c r="F3436" s="4">
        <v>34.891430265281898</v>
      </c>
      <c r="G3436" s="4" t="str">
        <f t="shared" si="106"/>
        <v>OK</v>
      </c>
      <c r="H3436" s="4" t="str">
        <f t="shared" si="107"/>
        <v>ZERO</v>
      </c>
      <c r="I3436">
        <v>0</v>
      </c>
      <c r="J3436">
        <f>IFERROR(Table4[[#This Row],[energy_kwh]]/Table4[[#This Row],[expected_kwh]],0)</f>
        <v>0</v>
      </c>
      <c r="K3436" t="str">
        <f>IF(Table4[[#This Row],[Performance_Ratio]] &lt; 0.85, "Underperforming", "Performing")</f>
        <v>Underperforming</v>
      </c>
      <c r="L3436">
        <f>Table4[[#This Row],[energy_kwh]] - Table4[[#This Row],[expected_kwh]]</f>
        <v>0</v>
      </c>
      <c r="M3436" t="str">
        <f>IF(Table4[[#This Row],[Performance_Deviation]] &lt; 0, "Underperforming", "Outperforming")</f>
        <v>Outperforming</v>
      </c>
      <c r="N3436">
        <f>IF(Table4[[#This Row],[Performance_Ratio]] &lt; 0.85, Table4[[#This Row],[Performance_Deviation]] * 50 / 1000, 0)</f>
        <v>0</v>
      </c>
    </row>
    <row r="3437" spans="1:14" x14ac:dyDescent="0.3">
      <c r="A3437" s="6" t="s">
        <v>10</v>
      </c>
      <c r="B3437" s="5">
        <v>45311.125</v>
      </c>
      <c r="C3437" s="6">
        <v>0</v>
      </c>
      <c r="D3437" s="6">
        <v>0</v>
      </c>
      <c r="E3437" s="6">
        <v>0</v>
      </c>
      <c r="F3437" s="6">
        <v>52.9865553374933</v>
      </c>
      <c r="G3437" s="6" t="str">
        <f t="shared" si="106"/>
        <v>OK</v>
      </c>
      <c r="H3437" s="6" t="str">
        <f t="shared" si="107"/>
        <v>ZERO</v>
      </c>
      <c r="I3437">
        <v>0</v>
      </c>
      <c r="J3437">
        <f>IFERROR(Table4[[#This Row],[energy_kwh]]/Table4[[#This Row],[expected_kwh]],0)</f>
        <v>0</v>
      </c>
      <c r="K3437" t="str">
        <f>IF(Table4[[#This Row],[Performance_Ratio]] &lt; 0.85, "Underperforming", "Performing")</f>
        <v>Underperforming</v>
      </c>
      <c r="L3437">
        <f>Table4[[#This Row],[energy_kwh]] - Table4[[#This Row],[expected_kwh]]</f>
        <v>0</v>
      </c>
      <c r="M3437" t="str">
        <f>IF(Table4[[#This Row],[Performance_Deviation]] &lt; 0, "Underperforming", "Outperforming")</f>
        <v>Outperforming</v>
      </c>
      <c r="N3437">
        <f>IF(Table4[[#This Row],[Performance_Ratio]] &lt; 0.85, Table4[[#This Row],[Performance_Deviation]] * 50 / 1000, 0)</f>
        <v>0</v>
      </c>
    </row>
    <row r="3438" spans="1:14" x14ac:dyDescent="0.3">
      <c r="A3438" s="4" t="s">
        <v>10</v>
      </c>
      <c r="B3438" s="3">
        <v>45311.166666666664</v>
      </c>
      <c r="C3438" s="4">
        <v>0</v>
      </c>
      <c r="D3438" s="4">
        <v>0</v>
      </c>
      <c r="E3438" s="4">
        <v>0</v>
      </c>
      <c r="F3438" s="4">
        <v>21.876882617289901</v>
      </c>
      <c r="G3438" s="4" t="str">
        <f t="shared" si="106"/>
        <v>OK</v>
      </c>
      <c r="H3438" s="4" t="str">
        <f t="shared" si="107"/>
        <v>ZERO</v>
      </c>
      <c r="I3438">
        <v>0</v>
      </c>
      <c r="J3438">
        <f>IFERROR(Table4[[#This Row],[energy_kwh]]/Table4[[#This Row],[expected_kwh]],0)</f>
        <v>0</v>
      </c>
      <c r="K3438" t="str">
        <f>IF(Table4[[#This Row],[Performance_Ratio]] &lt; 0.85, "Underperforming", "Performing")</f>
        <v>Underperforming</v>
      </c>
      <c r="L3438">
        <f>Table4[[#This Row],[energy_kwh]] - Table4[[#This Row],[expected_kwh]]</f>
        <v>0</v>
      </c>
      <c r="M3438" t="str">
        <f>IF(Table4[[#This Row],[Performance_Deviation]] &lt; 0, "Underperforming", "Outperforming")</f>
        <v>Outperforming</v>
      </c>
      <c r="N3438">
        <f>IF(Table4[[#This Row],[Performance_Ratio]] &lt; 0.85, Table4[[#This Row],[Performance_Deviation]] * 50 / 1000, 0)</f>
        <v>0</v>
      </c>
    </row>
    <row r="3439" spans="1:14" x14ac:dyDescent="0.3">
      <c r="A3439" s="6" t="s">
        <v>10</v>
      </c>
      <c r="B3439" s="5">
        <v>45311.208333333336</v>
      </c>
      <c r="C3439" s="6">
        <v>0</v>
      </c>
      <c r="D3439" s="6">
        <v>0</v>
      </c>
      <c r="E3439" s="6">
        <v>0</v>
      </c>
      <c r="F3439" s="6">
        <v>21.3041557194075</v>
      </c>
      <c r="G3439" s="6" t="str">
        <f t="shared" si="106"/>
        <v>OK</v>
      </c>
      <c r="H3439" s="6" t="str">
        <f t="shared" si="107"/>
        <v>ZERO</v>
      </c>
      <c r="I3439">
        <v>0</v>
      </c>
      <c r="J3439">
        <f>IFERROR(Table4[[#This Row],[energy_kwh]]/Table4[[#This Row],[expected_kwh]],0)</f>
        <v>0</v>
      </c>
      <c r="K3439" t="str">
        <f>IF(Table4[[#This Row],[Performance_Ratio]] &lt; 0.85, "Underperforming", "Performing")</f>
        <v>Underperforming</v>
      </c>
      <c r="L3439">
        <f>Table4[[#This Row],[energy_kwh]] - Table4[[#This Row],[expected_kwh]]</f>
        <v>0</v>
      </c>
      <c r="M3439" t="str">
        <f>IF(Table4[[#This Row],[Performance_Deviation]] &lt; 0, "Underperforming", "Outperforming")</f>
        <v>Outperforming</v>
      </c>
      <c r="N3439">
        <f>IF(Table4[[#This Row],[Performance_Ratio]] &lt; 0.85, Table4[[#This Row],[Performance_Deviation]] * 50 / 1000, 0)</f>
        <v>0</v>
      </c>
    </row>
    <row r="3440" spans="1:14" x14ac:dyDescent="0.3">
      <c r="A3440" s="4" t="s">
        <v>10</v>
      </c>
      <c r="B3440" s="3">
        <v>45311.25</v>
      </c>
      <c r="C3440" s="4">
        <v>0</v>
      </c>
      <c r="D3440" s="4">
        <v>0</v>
      </c>
      <c r="E3440" s="4">
        <v>0</v>
      </c>
      <c r="F3440" s="4">
        <v>93.615604478323405</v>
      </c>
      <c r="G3440" s="4" t="str">
        <f t="shared" si="106"/>
        <v>OK</v>
      </c>
      <c r="H3440" s="4" t="str">
        <f t="shared" si="107"/>
        <v>ZERO</v>
      </c>
      <c r="I3440">
        <v>0</v>
      </c>
      <c r="J3440">
        <f>IFERROR(Table4[[#This Row],[energy_kwh]]/Table4[[#This Row],[expected_kwh]],0)</f>
        <v>0</v>
      </c>
      <c r="K3440" t="str">
        <f>IF(Table4[[#This Row],[Performance_Ratio]] &lt; 0.85, "Underperforming", "Performing")</f>
        <v>Underperforming</v>
      </c>
      <c r="L3440">
        <f>Table4[[#This Row],[energy_kwh]] - Table4[[#This Row],[expected_kwh]]</f>
        <v>0</v>
      </c>
      <c r="M3440" t="str">
        <f>IF(Table4[[#This Row],[Performance_Deviation]] &lt; 0, "Underperforming", "Outperforming")</f>
        <v>Outperforming</v>
      </c>
      <c r="N3440">
        <f>IF(Table4[[#This Row],[Performance_Ratio]] &lt; 0.85, Table4[[#This Row],[Performance_Deviation]] * 50 / 1000, 0)</f>
        <v>0</v>
      </c>
    </row>
    <row r="3441" spans="1:14" x14ac:dyDescent="0.3">
      <c r="A3441" s="6" t="s">
        <v>10</v>
      </c>
      <c r="B3441" s="5">
        <v>45311.291666666664</v>
      </c>
      <c r="C3441" s="6">
        <v>291.57827356110403</v>
      </c>
      <c r="D3441" s="6">
        <v>275.90324298038001</v>
      </c>
      <c r="E3441" s="6">
        <v>275.90324298038001</v>
      </c>
      <c r="F3441" s="6">
        <v>84.456694314597797</v>
      </c>
      <c r="G3441" s="6" t="str">
        <f t="shared" si="106"/>
        <v>OK</v>
      </c>
      <c r="H3441" s="6" t="str">
        <f t="shared" si="107"/>
        <v>NON-ZERO</v>
      </c>
      <c r="I3441">
        <v>310.58285412302399</v>
      </c>
      <c r="J3441">
        <f>IFERROR(Table4[[#This Row],[energy_kwh]]/Table4[[#This Row],[expected_kwh]],0)</f>
        <v>0.88834022650552646</v>
      </c>
      <c r="K3441" t="str">
        <f>IF(Table4[[#This Row],[Performance_Ratio]] &lt; 0.85, "Underperforming", "Performing")</f>
        <v>Performing</v>
      </c>
      <c r="L3441">
        <f>Table4[[#This Row],[energy_kwh]] - Table4[[#This Row],[expected_kwh]]</f>
        <v>-34.679611142643978</v>
      </c>
      <c r="M3441" t="str">
        <f>IF(Table4[[#This Row],[Performance_Deviation]] &lt; 0, "Underperforming", "Outperforming")</f>
        <v>Underperforming</v>
      </c>
      <c r="N3441">
        <f>IF(Table4[[#This Row],[Performance_Ratio]] &lt; 0.85, Table4[[#This Row],[Performance_Deviation]] * 50 / 1000, 0)</f>
        <v>0</v>
      </c>
    </row>
    <row r="3442" spans="1:14" x14ac:dyDescent="0.3">
      <c r="A3442" s="4" t="s">
        <v>10</v>
      </c>
      <c r="B3442" s="3">
        <v>45311.333333333336</v>
      </c>
      <c r="C3442" s="4">
        <v>566.50957704650205</v>
      </c>
      <c r="D3442" s="4">
        <v>536.05444458404895</v>
      </c>
      <c r="E3442" s="4">
        <v>536.05444458404895</v>
      </c>
      <c r="F3442" s="4">
        <v>75.391962358684594</v>
      </c>
      <c r="G3442" s="4" t="str">
        <f t="shared" si="106"/>
        <v>OK</v>
      </c>
      <c r="H3442" s="4" t="str">
        <f t="shared" si="107"/>
        <v>NON-ZERO</v>
      </c>
      <c r="I3442">
        <v>600</v>
      </c>
      <c r="J3442">
        <f>IFERROR(Table4[[#This Row],[energy_kwh]]/Table4[[#This Row],[expected_kwh]],0)</f>
        <v>0.89342407430674831</v>
      </c>
      <c r="K3442" t="str">
        <f>IF(Table4[[#This Row],[Performance_Ratio]] &lt; 0.85, "Underperforming", "Performing")</f>
        <v>Performing</v>
      </c>
      <c r="L3442">
        <f>Table4[[#This Row],[energy_kwh]] - Table4[[#This Row],[expected_kwh]]</f>
        <v>-63.945555415951048</v>
      </c>
      <c r="M3442" t="str">
        <f>IF(Table4[[#This Row],[Performance_Deviation]] &lt; 0, "Underperforming", "Outperforming")</f>
        <v>Underperforming</v>
      </c>
      <c r="N3442">
        <f>IF(Table4[[#This Row],[Performance_Ratio]] &lt; 0.85, Table4[[#This Row],[Performance_Deviation]] * 50 / 1000, 0)</f>
        <v>0</v>
      </c>
    </row>
    <row r="3443" spans="1:14" x14ac:dyDescent="0.3">
      <c r="A3443" s="6" t="s">
        <v>10</v>
      </c>
      <c r="B3443" s="5">
        <v>45311.375</v>
      </c>
      <c r="C3443" s="6">
        <v>871.24065794004798</v>
      </c>
      <c r="D3443" s="6">
        <v>824.40340978164397</v>
      </c>
      <c r="E3443" s="6">
        <v>824.40340978164397</v>
      </c>
      <c r="F3443" s="6">
        <v>55.977512190015901</v>
      </c>
      <c r="G3443" s="6" t="str">
        <f t="shared" si="106"/>
        <v>OK</v>
      </c>
      <c r="H3443" s="6" t="str">
        <f t="shared" si="107"/>
        <v>NON-ZERO</v>
      </c>
      <c r="I3443">
        <v>848.52813742385695</v>
      </c>
      <c r="J3443">
        <f>IFERROR(Table4[[#This Row],[energy_kwh]]/Table4[[#This Row],[expected_kwh]],0)</f>
        <v>0.97156873581652115</v>
      </c>
      <c r="K3443" t="str">
        <f>IF(Table4[[#This Row],[Performance_Ratio]] &lt; 0.85, "Underperforming", "Performing")</f>
        <v>Performing</v>
      </c>
      <c r="L3443">
        <f>Table4[[#This Row],[energy_kwh]] - Table4[[#This Row],[expected_kwh]]</f>
        <v>-24.124727642212974</v>
      </c>
      <c r="M3443" t="str">
        <f>IF(Table4[[#This Row],[Performance_Deviation]] &lt; 0, "Underperforming", "Outperforming")</f>
        <v>Underperforming</v>
      </c>
      <c r="N3443">
        <f>IF(Table4[[#This Row],[Performance_Ratio]] &lt; 0.85, Table4[[#This Row],[Performance_Deviation]] * 50 / 1000, 0)</f>
        <v>0</v>
      </c>
    </row>
    <row r="3444" spans="1:14" x14ac:dyDescent="0.3">
      <c r="A3444" s="4" t="s">
        <v>10</v>
      </c>
      <c r="B3444" s="3">
        <v>45311.416666666664</v>
      </c>
      <c r="C3444" s="4">
        <v>881.35677860974204</v>
      </c>
      <c r="D3444" s="4">
        <v>833.97569534689399</v>
      </c>
      <c r="E3444" s="4">
        <v>833.97569534689399</v>
      </c>
      <c r="F3444" s="4">
        <v>60.360757256108997</v>
      </c>
      <c r="G3444" s="4" t="str">
        <f t="shared" si="106"/>
        <v>OK</v>
      </c>
      <c r="H3444" s="4" t="str">
        <f t="shared" si="107"/>
        <v>NON-ZERO</v>
      </c>
      <c r="I3444">
        <v>1039.23048454132</v>
      </c>
      <c r="J3444">
        <f>IFERROR(Table4[[#This Row],[energy_kwh]]/Table4[[#This Row],[expected_kwh]],0)</f>
        <v>0.80249348701022916</v>
      </c>
      <c r="K3444" t="str">
        <f>IF(Table4[[#This Row],[Performance_Ratio]] &lt; 0.85, "Underperforming", "Performing")</f>
        <v>Underperforming</v>
      </c>
      <c r="L3444">
        <f>Table4[[#This Row],[energy_kwh]] - Table4[[#This Row],[expected_kwh]]</f>
        <v>-205.25478919442605</v>
      </c>
      <c r="M3444" t="str">
        <f>IF(Table4[[#This Row],[Performance_Deviation]] &lt; 0, "Underperforming", "Outperforming")</f>
        <v>Underperforming</v>
      </c>
      <c r="N3444">
        <f>IF(Table4[[#This Row],[Performance_Ratio]] &lt; 0.85, Table4[[#This Row],[Performance_Deviation]] * 50 / 1000, 0)</f>
        <v>-10.262739459721303</v>
      </c>
    </row>
    <row r="3445" spans="1:14" x14ac:dyDescent="0.3">
      <c r="A3445" s="6" t="s">
        <v>10</v>
      </c>
      <c r="B3445" s="5">
        <v>45311.458333333336</v>
      </c>
      <c r="C3445" s="6">
        <v>1271.84995557599</v>
      </c>
      <c r="D3445" s="6">
        <v>1203.47625027806</v>
      </c>
      <c r="E3445" s="6">
        <v>1203.47625027806</v>
      </c>
      <c r="F3445" s="6">
        <v>54.170190312624598</v>
      </c>
      <c r="G3445" s="6" t="str">
        <f t="shared" si="106"/>
        <v>OK</v>
      </c>
      <c r="H3445" s="6" t="str">
        <f t="shared" si="107"/>
        <v>NON-ZERO</v>
      </c>
      <c r="I3445">
        <v>1159.1109915468801</v>
      </c>
      <c r="J3445">
        <f>IFERROR(Table4[[#This Row],[energy_kwh]]/Table4[[#This Row],[expected_kwh]],0)</f>
        <v>1.0382752463351008</v>
      </c>
      <c r="K3445" t="str">
        <f>IF(Table4[[#This Row],[Performance_Ratio]] &lt; 0.85, "Underperforming", "Performing")</f>
        <v>Performing</v>
      </c>
      <c r="L3445">
        <f>Table4[[#This Row],[energy_kwh]] - Table4[[#This Row],[expected_kwh]]</f>
        <v>44.365258731179892</v>
      </c>
      <c r="M3445" t="str">
        <f>IF(Table4[[#This Row],[Performance_Deviation]] &lt; 0, "Underperforming", "Outperforming")</f>
        <v>Outperforming</v>
      </c>
      <c r="N3445">
        <f>IF(Table4[[#This Row],[Performance_Ratio]] &lt; 0.85, Table4[[#This Row],[Performance_Deviation]] * 50 / 1000, 0)</f>
        <v>0</v>
      </c>
    </row>
    <row r="3446" spans="1:14" x14ac:dyDescent="0.3">
      <c r="A3446" s="4" t="s">
        <v>10</v>
      </c>
      <c r="B3446" s="3">
        <v>45311.5</v>
      </c>
      <c r="C3446" s="4">
        <v>1254.2163503161601</v>
      </c>
      <c r="D3446" s="4">
        <v>1186.7906144890701</v>
      </c>
      <c r="E3446" s="4">
        <v>1186.7906144890701</v>
      </c>
      <c r="F3446" s="4">
        <v>82.770413360746701</v>
      </c>
      <c r="G3446" s="4" t="str">
        <f t="shared" si="106"/>
        <v>OK</v>
      </c>
      <c r="H3446" s="4" t="str">
        <f t="shared" si="107"/>
        <v>NON-ZERO</v>
      </c>
      <c r="I3446">
        <v>1200</v>
      </c>
      <c r="J3446">
        <f>IFERROR(Table4[[#This Row],[energy_kwh]]/Table4[[#This Row],[expected_kwh]],0)</f>
        <v>0.98899217874089174</v>
      </c>
      <c r="K3446" t="str">
        <f>IF(Table4[[#This Row],[Performance_Ratio]] &lt; 0.85, "Underperforming", "Performing")</f>
        <v>Performing</v>
      </c>
      <c r="L3446">
        <f>Table4[[#This Row],[energy_kwh]] - Table4[[#This Row],[expected_kwh]]</f>
        <v>-13.209385510929906</v>
      </c>
      <c r="M3446" t="str">
        <f>IF(Table4[[#This Row],[Performance_Deviation]] &lt; 0, "Underperforming", "Outperforming")</f>
        <v>Underperforming</v>
      </c>
      <c r="N3446">
        <f>IF(Table4[[#This Row],[Performance_Ratio]] &lt; 0.85, Table4[[#This Row],[Performance_Deviation]] * 50 / 1000, 0)</f>
        <v>0</v>
      </c>
    </row>
    <row r="3447" spans="1:14" x14ac:dyDescent="0.3">
      <c r="A3447" s="6" t="s">
        <v>10</v>
      </c>
      <c r="B3447" s="5">
        <v>45311.541666666664</v>
      </c>
      <c r="C3447" s="6">
        <v>984.78638754942699</v>
      </c>
      <c r="D3447" s="6">
        <v>931.84500562892799</v>
      </c>
      <c r="E3447" s="6">
        <v>931.84500562892799</v>
      </c>
      <c r="F3447" s="6">
        <v>50.479988964087298</v>
      </c>
      <c r="G3447" s="6" t="str">
        <f t="shared" si="106"/>
        <v>OK</v>
      </c>
      <c r="H3447" s="6" t="str">
        <f t="shared" si="107"/>
        <v>NON-ZERO</v>
      </c>
      <c r="I3447">
        <v>1159.1109915468801</v>
      </c>
      <c r="J3447">
        <f>IFERROR(Table4[[#This Row],[energy_kwh]]/Table4[[#This Row],[expected_kwh]],0)</f>
        <v>0.80393078180144206</v>
      </c>
      <c r="K3447" t="str">
        <f>IF(Table4[[#This Row],[Performance_Ratio]] &lt; 0.85, "Underperforming", "Performing")</f>
        <v>Underperforming</v>
      </c>
      <c r="L3447">
        <f>Table4[[#This Row],[energy_kwh]] - Table4[[#This Row],[expected_kwh]]</f>
        <v>-227.26598591795209</v>
      </c>
      <c r="M3447" t="str">
        <f>IF(Table4[[#This Row],[Performance_Deviation]] &lt; 0, "Underperforming", "Outperforming")</f>
        <v>Underperforming</v>
      </c>
      <c r="N3447">
        <f>IF(Table4[[#This Row],[Performance_Ratio]] &lt; 0.85, Table4[[#This Row],[Performance_Deviation]] * 50 / 1000, 0)</f>
        <v>-11.363299295897605</v>
      </c>
    </row>
    <row r="3448" spans="1:14" x14ac:dyDescent="0.3">
      <c r="A3448" s="4" t="s">
        <v>10</v>
      </c>
      <c r="B3448" s="3">
        <v>45311.583333333336</v>
      </c>
      <c r="C3448" s="4">
        <v>859.28308679482996</v>
      </c>
      <c r="D3448" s="4">
        <v>813.08866874541604</v>
      </c>
      <c r="E3448" s="4">
        <v>813.08866874541604</v>
      </c>
      <c r="F3448" s="4">
        <v>92.804612298934501</v>
      </c>
      <c r="G3448" s="4" t="str">
        <f t="shared" si="106"/>
        <v>OK</v>
      </c>
      <c r="H3448" s="4" t="str">
        <f t="shared" si="107"/>
        <v>NON-ZERO</v>
      </c>
      <c r="I3448">
        <v>1039.23048454132</v>
      </c>
      <c r="J3448">
        <f>IFERROR(Table4[[#This Row],[energy_kwh]]/Table4[[#This Row],[expected_kwh]],0)</f>
        <v>0.78239493629200541</v>
      </c>
      <c r="K3448" t="str">
        <f>IF(Table4[[#This Row],[Performance_Ratio]] &lt; 0.85, "Underperforming", "Performing")</f>
        <v>Underperforming</v>
      </c>
      <c r="L3448">
        <f>Table4[[#This Row],[energy_kwh]] - Table4[[#This Row],[expected_kwh]]</f>
        <v>-226.14181579590399</v>
      </c>
      <c r="M3448" t="str">
        <f>IF(Table4[[#This Row],[Performance_Deviation]] &lt; 0, "Underperforming", "Outperforming")</f>
        <v>Underperforming</v>
      </c>
      <c r="N3448">
        <f>IF(Table4[[#This Row],[Performance_Ratio]] &lt; 0.85, Table4[[#This Row],[Performance_Deviation]] * 50 / 1000, 0)</f>
        <v>-11.3070907897952</v>
      </c>
    </row>
    <row r="3449" spans="1:14" x14ac:dyDescent="0.3">
      <c r="A3449" s="6" t="s">
        <v>10</v>
      </c>
      <c r="B3449" s="5">
        <v>45311.625</v>
      </c>
      <c r="C3449" s="6">
        <v>834.85746191126805</v>
      </c>
      <c r="D3449" s="6">
        <v>789.97614724341599</v>
      </c>
      <c r="E3449" s="6">
        <v>789.97614724341599</v>
      </c>
      <c r="F3449" s="6">
        <v>57.593035806901497</v>
      </c>
      <c r="G3449" s="6" t="str">
        <f t="shared" si="106"/>
        <v>OK</v>
      </c>
      <c r="H3449" s="6" t="str">
        <f t="shared" si="107"/>
        <v>NON-ZERO</v>
      </c>
      <c r="I3449">
        <v>848.52813742385695</v>
      </c>
      <c r="J3449">
        <f>IFERROR(Table4[[#This Row],[energy_kwh]]/Table4[[#This Row],[expected_kwh]],0)</f>
        <v>0.93099581781907015</v>
      </c>
      <c r="K3449" t="str">
        <f>IF(Table4[[#This Row],[Performance_Ratio]] &lt; 0.85, "Underperforming", "Performing")</f>
        <v>Performing</v>
      </c>
      <c r="L3449">
        <f>Table4[[#This Row],[energy_kwh]] - Table4[[#This Row],[expected_kwh]]</f>
        <v>-58.551990180440953</v>
      </c>
      <c r="M3449" t="str">
        <f>IF(Table4[[#This Row],[Performance_Deviation]] &lt; 0, "Underperforming", "Outperforming")</f>
        <v>Underperforming</v>
      </c>
      <c r="N3449">
        <f>IF(Table4[[#This Row],[Performance_Ratio]] &lt; 0.85, Table4[[#This Row],[Performance_Deviation]] * 50 / 1000, 0)</f>
        <v>0</v>
      </c>
    </row>
    <row r="3450" spans="1:14" x14ac:dyDescent="0.3">
      <c r="A3450" s="4" t="s">
        <v>10</v>
      </c>
      <c r="B3450" s="3">
        <v>45311.666666666664</v>
      </c>
      <c r="C3450" s="4">
        <v>591.14423252956999</v>
      </c>
      <c r="D3450" s="4">
        <v>559.36475935638202</v>
      </c>
      <c r="E3450" s="4">
        <v>559.36475935638202</v>
      </c>
      <c r="F3450" s="4">
        <v>47.205248597936198</v>
      </c>
      <c r="G3450" s="4" t="str">
        <f t="shared" si="106"/>
        <v>OK</v>
      </c>
      <c r="H3450" s="4" t="str">
        <f t="shared" si="107"/>
        <v>NON-ZERO</v>
      </c>
      <c r="I3450">
        <v>600</v>
      </c>
      <c r="J3450">
        <f>IFERROR(Table4[[#This Row],[energy_kwh]]/Table4[[#This Row],[expected_kwh]],0)</f>
        <v>0.93227459892730336</v>
      </c>
      <c r="K3450" t="str">
        <f>IF(Table4[[#This Row],[Performance_Ratio]] &lt; 0.85, "Underperforming", "Performing")</f>
        <v>Performing</v>
      </c>
      <c r="L3450">
        <f>Table4[[#This Row],[energy_kwh]] - Table4[[#This Row],[expected_kwh]]</f>
        <v>-40.635240643617976</v>
      </c>
      <c r="M3450" t="str">
        <f>IF(Table4[[#This Row],[Performance_Deviation]] &lt; 0, "Underperforming", "Outperforming")</f>
        <v>Underperforming</v>
      </c>
      <c r="N3450">
        <f>IF(Table4[[#This Row],[Performance_Ratio]] &lt; 0.85, Table4[[#This Row],[Performance_Deviation]] * 50 / 1000, 0)</f>
        <v>0</v>
      </c>
    </row>
    <row r="3451" spans="1:14" x14ac:dyDescent="0.3">
      <c r="A3451" s="6" t="s">
        <v>10</v>
      </c>
      <c r="B3451" s="5">
        <v>45311.708333333336</v>
      </c>
      <c r="C3451" s="6">
        <v>263.36742048057499</v>
      </c>
      <c r="D3451" s="6">
        <v>249.20898432694901</v>
      </c>
      <c r="E3451" s="6">
        <v>249.20898432694901</v>
      </c>
      <c r="F3451" s="6">
        <v>45.143587677524799</v>
      </c>
      <c r="G3451" s="6" t="str">
        <f t="shared" si="106"/>
        <v>OK</v>
      </c>
      <c r="H3451" s="6" t="str">
        <f t="shared" si="107"/>
        <v>NON-ZERO</v>
      </c>
      <c r="I3451">
        <v>310.58285412302502</v>
      </c>
      <c r="J3451">
        <f>IFERROR(Table4[[#This Row],[energy_kwh]]/Table4[[#This Row],[expected_kwh]],0)</f>
        <v>0.80239131368222538</v>
      </c>
      <c r="K3451" t="str">
        <f>IF(Table4[[#This Row],[Performance_Ratio]] &lt; 0.85, "Underperforming", "Performing")</f>
        <v>Underperforming</v>
      </c>
      <c r="L3451">
        <f>Table4[[#This Row],[energy_kwh]] - Table4[[#This Row],[expected_kwh]]</f>
        <v>-61.373869796076008</v>
      </c>
      <c r="M3451" t="str">
        <f>IF(Table4[[#This Row],[Performance_Deviation]] &lt; 0, "Underperforming", "Outperforming")</f>
        <v>Underperforming</v>
      </c>
      <c r="N3451">
        <f>IF(Table4[[#This Row],[Performance_Ratio]] &lt; 0.85, Table4[[#This Row],[Performance_Deviation]] * 50 / 1000, 0)</f>
        <v>-3.0686934898038003</v>
      </c>
    </row>
    <row r="3452" spans="1:14" x14ac:dyDescent="0.3">
      <c r="A3452" s="4" t="s">
        <v>10</v>
      </c>
      <c r="B3452" s="3">
        <v>45311.75</v>
      </c>
      <c r="C3452" s="7">
        <v>1.3208801860493001E-13</v>
      </c>
      <c r="D3452" s="7">
        <v>1.2498706521189301E-13</v>
      </c>
      <c r="E3452" s="7">
        <v>1.2498706521189301E-13</v>
      </c>
      <c r="F3452" s="4">
        <v>71.933026438859699</v>
      </c>
      <c r="G3452" s="4" t="str">
        <f t="shared" si="106"/>
        <v>OK</v>
      </c>
      <c r="H3452" s="4" t="str">
        <f t="shared" si="107"/>
        <v>NON-ZERO</v>
      </c>
      <c r="I3452" s="2">
        <v>1.46957615897682E-13</v>
      </c>
      <c r="J3452">
        <f>IFERROR(Table4[[#This Row],[energy_kwh]]/Table4[[#This Row],[expected_kwh]],0)</f>
        <v>0.85049736584536184</v>
      </c>
      <c r="K3452" t="str">
        <f>IF(Table4[[#This Row],[Performance_Ratio]] &lt; 0.85, "Underperforming", "Performing")</f>
        <v>Performing</v>
      </c>
      <c r="L3452">
        <f>Table4[[#This Row],[energy_kwh]] - Table4[[#This Row],[expected_kwh]]</f>
        <v>-2.1970550685788991E-14</v>
      </c>
      <c r="M3452" t="str">
        <f>IF(Table4[[#This Row],[Performance_Deviation]] &lt; 0, "Underperforming", "Outperforming")</f>
        <v>Underperforming</v>
      </c>
      <c r="N3452">
        <f>IF(Table4[[#This Row],[Performance_Ratio]] &lt; 0.85, Table4[[#This Row],[Performance_Deviation]] * 50 / 1000, 0)</f>
        <v>0</v>
      </c>
    </row>
    <row r="3453" spans="1:14" x14ac:dyDescent="0.3">
      <c r="A3453" s="6" t="s">
        <v>10</v>
      </c>
      <c r="B3453" s="5">
        <v>45311.791666666664</v>
      </c>
      <c r="C3453" s="6">
        <v>0</v>
      </c>
      <c r="D3453" s="6">
        <v>0</v>
      </c>
      <c r="E3453" s="6">
        <v>0</v>
      </c>
      <c r="F3453" s="6">
        <v>53.900621599030998</v>
      </c>
      <c r="G3453" s="6" t="str">
        <f t="shared" si="106"/>
        <v>OK</v>
      </c>
      <c r="H3453" s="6" t="str">
        <f t="shared" si="107"/>
        <v>ZERO</v>
      </c>
      <c r="I3453">
        <v>0</v>
      </c>
      <c r="J3453">
        <f>IFERROR(Table4[[#This Row],[energy_kwh]]/Table4[[#This Row],[expected_kwh]],0)</f>
        <v>0</v>
      </c>
      <c r="K3453" t="str">
        <f>IF(Table4[[#This Row],[Performance_Ratio]] &lt; 0.85, "Underperforming", "Performing")</f>
        <v>Underperforming</v>
      </c>
      <c r="L3453">
        <f>Table4[[#This Row],[energy_kwh]] - Table4[[#This Row],[expected_kwh]]</f>
        <v>0</v>
      </c>
      <c r="M3453" t="str">
        <f>IF(Table4[[#This Row],[Performance_Deviation]] &lt; 0, "Underperforming", "Outperforming")</f>
        <v>Outperforming</v>
      </c>
      <c r="N3453">
        <f>IF(Table4[[#This Row],[Performance_Ratio]] &lt; 0.85, Table4[[#This Row],[Performance_Deviation]] * 50 / 1000, 0)</f>
        <v>0</v>
      </c>
    </row>
    <row r="3454" spans="1:14" x14ac:dyDescent="0.3">
      <c r="A3454" s="4" t="s">
        <v>10</v>
      </c>
      <c r="B3454" s="3">
        <v>45311.833333333336</v>
      </c>
      <c r="C3454" s="4">
        <v>0</v>
      </c>
      <c r="D3454" s="4">
        <v>0</v>
      </c>
      <c r="E3454" s="4">
        <v>0</v>
      </c>
      <c r="F3454" s="4">
        <v>52.595177653849298</v>
      </c>
      <c r="G3454" s="4" t="str">
        <f t="shared" si="106"/>
        <v>OK</v>
      </c>
      <c r="H3454" s="4" t="str">
        <f t="shared" si="107"/>
        <v>ZERO</v>
      </c>
      <c r="I3454">
        <v>0</v>
      </c>
      <c r="J3454">
        <f>IFERROR(Table4[[#This Row],[energy_kwh]]/Table4[[#This Row],[expected_kwh]],0)</f>
        <v>0</v>
      </c>
      <c r="K3454" t="str">
        <f>IF(Table4[[#This Row],[Performance_Ratio]] &lt; 0.85, "Underperforming", "Performing")</f>
        <v>Underperforming</v>
      </c>
      <c r="L3454">
        <f>Table4[[#This Row],[energy_kwh]] - Table4[[#This Row],[expected_kwh]]</f>
        <v>0</v>
      </c>
      <c r="M3454" t="str">
        <f>IF(Table4[[#This Row],[Performance_Deviation]] &lt; 0, "Underperforming", "Outperforming")</f>
        <v>Outperforming</v>
      </c>
      <c r="N3454">
        <f>IF(Table4[[#This Row],[Performance_Ratio]] &lt; 0.85, Table4[[#This Row],[Performance_Deviation]] * 50 / 1000, 0)</f>
        <v>0</v>
      </c>
    </row>
    <row r="3455" spans="1:14" x14ac:dyDescent="0.3">
      <c r="A3455" s="6" t="s">
        <v>10</v>
      </c>
      <c r="B3455" s="5">
        <v>45311.875</v>
      </c>
      <c r="C3455" s="6">
        <v>0</v>
      </c>
      <c r="D3455" s="6">
        <v>0</v>
      </c>
      <c r="E3455" s="6">
        <v>0</v>
      </c>
      <c r="F3455" s="6">
        <v>33.112768659965802</v>
      </c>
      <c r="G3455" s="6" t="str">
        <f t="shared" si="106"/>
        <v>OK</v>
      </c>
      <c r="H3455" s="6" t="str">
        <f t="shared" si="107"/>
        <v>ZERO</v>
      </c>
      <c r="I3455">
        <v>0</v>
      </c>
      <c r="J3455">
        <f>IFERROR(Table4[[#This Row],[energy_kwh]]/Table4[[#This Row],[expected_kwh]],0)</f>
        <v>0</v>
      </c>
      <c r="K3455" t="str">
        <f>IF(Table4[[#This Row],[Performance_Ratio]] &lt; 0.85, "Underperforming", "Performing")</f>
        <v>Underperforming</v>
      </c>
      <c r="L3455">
        <f>Table4[[#This Row],[energy_kwh]] - Table4[[#This Row],[expected_kwh]]</f>
        <v>0</v>
      </c>
      <c r="M3455" t="str">
        <f>IF(Table4[[#This Row],[Performance_Deviation]] &lt; 0, "Underperforming", "Outperforming")</f>
        <v>Outperforming</v>
      </c>
      <c r="N3455">
        <f>IF(Table4[[#This Row],[Performance_Ratio]] &lt; 0.85, Table4[[#This Row],[Performance_Deviation]] * 50 / 1000, 0)</f>
        <v>0</v>
      </c>
    </row>
    <row r="3456" spans="1:14" x14ac:dyDescent="0.3">
      <c r="A3456" s="4" t="s">
        <v>10</v>
      </c>
      <c r="B3456" s="3">
        <v>45311.916666666664</v>
      </c>
      <c r="C3456" s="4">
        <v>0</v>
      </c>
      <c r="D3456" s="4">
        <v>0</v>
      </c>
      <c r="E3456" s="4">
        <v>0</v>
      </c>
      <c r="F3456" s="4">
        <v>63.455422331499101</v>
      </c>
      <c r="G3456" s="4" t="str">
        <f t="shared" si="106"/>
        <v>OK</v>
      </c>
      <c r="H3456" s="4" t="str">
        <f t="shared" si="107"/>
        <v>ZERO</v>
      </c>
      <c r="I3456">
        <v>0</v>
      </c>
      <c r="J3456">
        <f>IFERROR(Table4[[#This Row],[energy_kwh]]/Table4[[#This Row],[expected_kwh]],0)</f>
        <v>0</v>
      </c>
      <c r="K3456" t="str">
        <f>IF(Table4[[#This Row],[Performance_Ratio]] &lt; 0.85, "Underperforming", "Performing")</f>
        <v>Underperforming</v>
      </c>
      <c r="L3456">
        <f>Table4[[#This Row],[energy_kwh]] - Table4[[#This Row],[expected_kwh]]</f>
        <v>0</v>
      </c>
      <c r="M3456" t="str">
        <f>IF(Table4[[#This Row],[Performance_Deviation]] &lt; 0, "Underperforming", "Outperforming")</f>
        <v>Outperforming</v>
      </c>
      <c r="N3456">
        <f>IF(Table4[[#This Row],[Performance_Ratio]] &lt; 0.85, Table4[[#This Row],[Performance_Deviation]] * 50 / 1000, 0)</f>
        <v>0</v>
      </c>
    </row>
    <row r="3457" spans="1:14" x14ac:dyDescent="0.3">
      <c r="A3457" s="6" t="s">
        <v>10</v>
      </c>
      <c r="B3457" s="5">
        <v>45311.958333333336</v>
      </c>
      <c r="C3457" s="6">
        <v>0</v>
      </c>
      <c r="D3457" s="6">
        <v>0</v>
      </c>
      <c r="E3457" s="6">
        <v>0</v>
      </c>
      <c r="F3457" s="6">
        <v>47.337572341159401</v>
      </c>
      <c r="G3457" s="6" t="str">
        <f t="shared" si="106"/>
        <v>OK</v>
      </c>
      <c r="H3457" s="6" t="str">
        <f t="shared" si="107"/>
        <v>ZERO</v>
      </c>
      <c r="I3457">
        <v>0</v>
      </c>
      <c r="J3457">
        <f>IFERROR(Table4[[#This Row],[energy_kwh]]/Table4[[#This Row],[expected_kwh]],0)</f>
        <v>0</v>
      </c>
      <c r="K3457" t="str">
        <f>IF(Table4[[#This Row],[Performance_Ratio]] &lt; 0.85, "Underperforming", "Performing")</f>
        <v>Underperforming</v>
      </c>
      <c r="L3457">
        <f>Table4[[#This Row],[energy_kwh]] - Table4[[#This Row],[expected_kwh]]</f>
        <v>0</v>
      </c>
      <c r="M3457" t="str">
        <f>IF(Table4[[#This Row],[Performance_Deviation]] &lt; 0, "Underperforming", "Outperforming")</f>
        <v>Outperforming</v>
      </c>
      <c r="N3457">
        <f>IF(Table4[[#This Row],[Performance_Ratio]] &lt; 0.85, Table4[[#This Row],[Performance_Deviation]] * 50 / 1000, 0)</f>
        <v>0</v>
      </c>
    </row>
    <row r="3458" spans="1:14" x14ac:dyDescent="0.3">
      <c r="A3458" s="4" t="s">
        <v>10</v>
      </c>
      <c r="B3458" s="3">
        <v>45312</v>
      </c>
      <c r="C3458" s="4">
        <v>0</v>
      </c>
      <c r="D3458" s="4">
        <v>0</v>
      </c>
      <c r="E3458" s="4">
        <v>0</v>
      </c>
      <c r="F3458" s="4">
        <v>74.740550948198006</v>
      </c>
      <c r="G3458" s="4" t="str">
        <f t="shared" ref="G3458:G3521" si="108">IF(D3458 &gt; C3458, "ERROR", "OK")</f>
        <v>OK</v>
      </c>
      <c r="H3458" s="4" t="str">
        <f t="shared" ref="H3458:H3521" si="109">IF(E3458=0,"ZERO","NON-ZERO")</f>
        <v>ZERO</v>
      </c>
      <c r="I3458">
        <v>0</v>
      </c>
      <c r="J3458">
        <f>IFERROR(Table4[[#This Row],[energy_kwh]]/Table4[[#This Row],[expected_kwh]],0)</f>
        <v>0</v>
      </c>
      <c r="K3458" t="str">
        <f>IF(Table4[[#This Row],[Performance_Ratio]] &lt; 0.85, "Underperforming", "Performing")</f>
        <v>Underperforming</v>
      </c>
      <c r="L3458">
        <f>Table4[[#This Row],[energy_kwh]] - Table4[[#This Row],[expected_kwh]]</f>
        <v>0</v>
      </c>
      <c r="M3458" t="str">
        <f>IF(Table4[[#This Row],[Performance_Deviation]] &lt; 0, "Underperforming", "Outperforming")</f>
        <v>Outperforming</v>
      </c>
      <c r="N3458">
        <f>IF(Table4[[#This Row],[Performance_Ratio]] &lt; 0.85, Table4[[#This Row],[Performance_Deviation]] * 50 / 1000, 0)</f>
        <v>0</v>
      </c>
    </row>
    <row r="3459" spans="1:14" x14ac:dyDescent="0.3">
      <c r="A3459" s="6" t="s">
        <v>10</v>
      </c>
      <c r="B3459" s="5">
        <v>45312.041666666664</v>
      </c>
      <c r="C3459" s="6">
        <v>0</v>
      </c>
      <c r="D3459" s="6">
        <v>0</v>
      </c>
      <c r="E3459" s="6">
        <v>0</v>
      </c>
      <c r="F3459" s="6">
        <v>55.1243230526416</v>
      </c>
      <c r="G3459" s="6" t="str">
        <f t="shared" si="108"/>
        <v>OK</v>
      </c>
      <c r="H3459" s="6" t="str">
        <f t="shared" si="109"/>
        <v>ZERO</v>
      </c>
      <c r="I3459">
        <v>0</v>
      </c>
      <c r="J3459">
        <f>IFERROR(Table4[[#This Row],[energy_kwh]]/Table4[[#This Row],[expected_kwh]],0)</f>
        <v>0</v>
      </c>
      <c r="K3459" t="str">
        <f>IF(Table4[[#This Row],[Performance_Ratio]] &lt; 0.85, "Underperforming", "Performing")</f>
        <v>Underperforming</v>
      </c>
      <c r="L3459">
        <f>Table4[[#This Row],[energy_kwh]] - Table4[[#This Row],[expected_kwh]]</f>
        <v>0</v>
      </c>
      <c r="M3459" t="str">
        <f>IF(Table4[[#This Row],[Performance_Deviation]] &lt; 0, "Underperforming", "Outperforming")</f>
        <v>Outperforming</v>
      </c>
      <c r="N3459">
        <f>IF(Table4[[#This Row],[Performance_Ratio]] &lt; 0.85, Table4[[#This Row],[Performance_Deviation]] * 50 / 1000, 0)</f>
        <v>0</v>
      </c>
    </row>
    <row r="3460" spans="1:14" x14ac:dyDescent="0.3">
      <c r="A3460" s="4" t="s">
        <v>10</v>
      </c>
      <c r="B3460" s="3">
        <v>45312.083333333336</v>
      </c>
      <c r="C3460" s="4">
        <v>0</v>
      </c>
      <c r="D3460" s="4">
        <v>0</v>
      </c>
      <c r="E3460" s="4">
        <v>0</v>
      </c>
      <c r="F3460" s="4">
        <v>83.176759078878604</v>
      </c>
      <c r="G3460" s="4" t="str">
        <f t="shared" si="108"/>
        <v>OK</v>
      </c>
      <c r="H3460" s="4" t="str">
        <f t="shared" si="109"/>
        <v>ZERO</v>
      </c>
      <c r="I3460">
        <v>0</v>
      </c>
      <c r="J3460">
        <f>IFERROR(Table4[[#This Row],[energy_kwh]]/Table4[[#This Row],[expected_kwh]],0)</f>
        <v>0</v>
      </c>
      <c r="K3460" t="str">
        <f>IF(Table4[[#This Row],[Performance_Ratio]] &lt; 0.85, "Underperforming", "Performing")</f>
        <v>Underperforming</v>
      </c>
      <c r="L3460">
        <f>Table4[[#This Row],[energy_kwh]] - Table4[[#This Row],[expected_kwh]]</f>
        <v>0</v>
      </c>
      <c r="M3460" t="str">
        <f>IF(Table4[[#This Row],[Performance_Deviation]] &lt; 0, "Underperforming", "Outperforming")</f>
        <v>Outperforming</v>
      </c>
      <c r="N3460">
        <f>IF(Table4[[#This Row],[Performance_Ratio]] &lt; 0.85, Table4[[#This Row],[Performance_Deviation]] * 50 / 1000, 0)</f>
        <v>0</v>
      </c>
    </row>
    <row r="3461" spans="1:14" x14ac:dyDescent="0.3">
      <c r="A3461" s="6" t="s">
        <v>10</v>
      </c>
      <c r="B3461" s="5">
        <v>45312.125</v>
      </c>
      <c r="C3461" s="6">
        <v>0</v>
      </c>
      <c r="D3461" s="6">
        <v>0</v>
      </c>
      <c r="E3461" s="6">
        <v>0</v>
      </c>
      <c r="F3461" s="6">
        <v>29.242600100735299</v>
      </c>
      <c r="G3461" s="6" t="str">
        <f t="shared" si="108"/>
        <v>OK</v>
      </c>
      <c r="H3461" s="6" t="str">
        <f t="shared" si="109"/>
        <v>ZERO</v>
      </c>
      <c r="I3461">
        <v>0</v>
      </c>
      <c r="J3461">
        <f>IFERROR(Table4[[#This Row],[energy_kwh]]/Table4[[#This Row],[expected_kwh]],0)</f>
        <v>0</v>
      </c>
      <c r="K3461" t="str">
        <f>IF(Table4[[#This Row],[Performance_Ratio]] &lt; 0.85, "Underperforming", "Performing")</f>
        <v>Underperforming</v>
      </c>
      <c r="L3461">
        <f>Table4[[#This Row],[energy_kwh]] - Table4[[#This Row],[expected_kwh]]</f>
        <v>0</v>
      </c>
      <c r="M3461" t="str">
        <f>IF(Table4[[#This Row],[Performance_Deviation]] &lt; 0, "Underperforming", "Outperforming")</f>
        <v>Outperforming</v>
      </c>
      <c r="N3461">
        <f>IF(Table4[[#This Row],[Performance_Ratio]] &lt; 0.85, Table4[[#This Row],[Performance_Deviation]] * 50 / 1000, 0)</f>
        <v>0</v>
      </c>
    </row>
    <row r="3462" spans="1:14" x14ac:dyDescent="0.3">
      <c r="A3462" s="4" t="s">
        <v>10</v>
      </c>
      <c r="B3462" s="3">
        <v>45312.166666666664</v>
      </c>
      <c r="C3462" s="4">
        <v>0</v>
      </c>
      <c r="D3462" s="4">
        <v>0</v>
      </c>
      <c r="E3462" s="4">
        <v>0</v>
      </c>
      <c r="F3462" s="4">
        <v>51.1017615624339</v>
      </c>
      <c r="G3462" s="4" t="str">
        <f t="shared" si="108"/>
        <v>OK</v>
      </c>
      <c r="H3462" s="4" t="str">
        <f t="shared" si="109"/>
        <v>ZERO</v>
      </c>
      <c r="I3462">
        <v>0</v>
      </c>
      <c r="J3462">
        <f>IFERROR(Table4[[#This Row],[energy_kwh]]/Table4[[#This Row],[expected_kwh]],0)</f>
        <v>0</v>
      </c>
      <c r="K3462" t="str">
        <f>IF(Table4[[#This Row],[Performance_Ratio]] &lt; 0.85, "Underperforming", "Performing")</f>
        <v>Underperforming</v>
      </c>
      <c r="L3462">
        <f>Table4[[#This Row],[energy_kwh]] - Table4[[#This Row],[expected_kwh]]</f>
        <v>0</v>
      </c>
      <c r="M3462" t="str">
        <f>IF(Table4[[#This Row],[Performance_Deviation]] &lt; 0, "Underperforming", "Outperforming")</f>
        <v>Outperforming</v>
      </c>
      <c r="N3462">
        <f>IF(Table4[[#This Row],[Performance_Ratio]] &lt; 0.85, Table4[[#This Row],[Performance_Deviation]] * 50 / 1000, 0)</f>
        <v>0</v>
      </c>
    </row>
    <row r="3463" spans="1:14" x14ac:dyDescent="0.3">
      <c r="A3463" s="6" t="s">
        <v>10</v>
      </c>
      <c r="B3463" s="5">
        <v>45312.208333333336</v>
      </c>
      <c r="C3463" s="6">
        <v>0</v>
      </c>
      <c r="D3463" s="6">
        <v>0</v>
      </c>
      <c r="E3463" s="6">
        <v>0</v>
      </c>
      <c r="F3463" s="6">
        <v>34.5674697271686</v>
      </c>
      <c r="G3463" s="6" t="str">
        <f t="shared" si="108"/>
        <v>OK</v>
      </c>
      <c r="H3463" s="6" t="str">
        <f t="shared" si="109"/>
        <v>ZERO</v>
      </c>
      <c r="I3463">
        <v>0</v>
      </c>
      <c r="J3463">
        <f>IFERROR(Table4[[#This Row],[energy_kwh]]/Table4[[#This Row],[expected_kwh]],0)</f>
        <v>0</v>
      </c>
      <c r="K3463" t="str">
        <f>IF(Table4[[#This Row],[Performance_Ratio]] &lt; 0.85, "Underperforming", "Performing")</f>
        <v>Underperforming</v>
      </c>
      <c r="L3463">
        <f>Table4[[#This Row],[energy_kwh]] - Table4[[#This Row],[expected_kwh]]</f>
        <v>0</v>
      </c>
      <c r="M3463" t="str">
        <f>IF(Table4[[#This Row],[Performance_Deviation]] &lt; 0, "Underperforming", "Outperforming")</f>
        <v>Outperforming</v>
      </c>
      <c r="N3463">
        <f>IF(Table4[[#This Row],[Performance_Ratio]] &lt; 0.85, Table4[[#This Row],[Performance_Deviation]] * 50 / 1000, 0)</f>
        <v>0</v>
      </c>
    </row>
    <row r="3464" spans="1:14" x14ac:dyDescent="0.3">
      <c r="A3464" s="4" t="s">
        <v>10</v>
      </c>
      <c r="B3464" s="3">
        <v>45312.25</v>
      </c>
      <c r="C3464" s="4">
        <v>0</v>
      </c>
      <c r="D3464" s="4">
        <v>0</v>
      </c>
      <c r="E3464" s="4">
        <v>0</v>
      </c>
      <c r="F3464" s="4">
        <v>65.527149078841006</v>
      </c>
      <c r="G3464" s="4" t="str">
        <f t="shared" si="108"/>
        <v>OK</v>
      </c>
      <c r="H3464" s="4" t="str">
        <f t="shared" si="109"/>
        <v>ZERO</v>
      </c>
      <c r="I3464">
        <v>0</v>
      </c>
      <c r="J3464">
        <f>IFERROR(Table4[[#This Row],[energy_kwh]]/Table4[[#This Row],[expected_kwh]],0)</f>
        <v>0</v>
      </c>
      <c r="K3464" t="str">
        <f>IF(Table4[[#This Row],[Performance_Ratio]] &lt; 0.85, "Underperforming", "Performing")</f>
        <v>Underperforming</v>
      </c>
      <c r="L3464">
        <f>Table4[[#This Row],[energy_kwh]] - Table4[[#This Row],[expected_kwh]]</f>
        <v>0</v>
      </c>
      <c r="M3464" t="str">
        <f>IF(Table4[[#This Row],[Performance_Deviation]] &lt; 0, "Underperforming", "Outperforming")</f>
        <v>Outperforming</v>
      </c>
      <c r="N3464">
        <f>IF(Table4[[#This Row],[Performance_Ratio]] &lt; 0.85, Table4[[#This Row],[Performance_Deviation]] * 50 / 1000, 0)</f>
        <v>0</v>
      </c>
    </row>
    <row r="3465" spans="1:14" x14ac:dyDescent="0.3">
      <c r="A3465" s="6" t="s">
        <v>10</v>
      </c>
      <c r="B3465" s="5">
        <v>45312.291666666664</v>
      </c>
      <c r="C3465" s="6">
        <v>266.38483122449799</v>
      </c>
      <c r="D3465" s="6">
        <v>252.064181319114</v>
      </c>
      <c r="E3465" s="6">
        <v>252.064181319114</v>
      </c>
      <c r="F3465" s="6">
        <v>71.467496007233507</v>
      </c>
      <c r="G3465" s="6" t="str">
        <f t="shared" si="108"/>
        <v>OK</v>
      </c>
      <c r="H3465" s="6" t="str">
        <f t="shared" si="109"/>
        <v>NON-ZERO</v>
      </c>
      <c r="I3465">
        <v>310.58285412302399</v>
      </c>
      <c r="J3465">
        <f>IFERROR(Table4[[#This Row],[energy_kwh]]/Table4[[#This Row],[expected_kwh]],0)</f>
        <v>0.81158434206181151</v>
      </c>
      <c r="K3465" t="str">
        <f>IF(Table4[[#This Row],[Performance_Ratio]] &lt; 0.85, "Underperforming", "Performing")</f>
        <v>Underperforming</v>
      </c>
      <c r="L3465">
        <f>Table4[[#This Row],[energy_kwh]] - Table4[[#This Row],[expected_kwh]]</f>
        <v>-58.518672803909993</v>
      </c>
      <c r="M3465" t="str">
        <f>IF(Table4[[#This Row],[Performance_Deviation]] &lt; 0, "Underperforming", "Outperforming")</f>
        <v>Underperforming</v>
      </c>
      <c r="N3465">
        <f>IF(Table4[[#This Row],[Performance_Ratio]] &lt; 0.85, Table4[[#This Row],[Performance_Deviation]] * 50 / 1000, 0)</f>
        <v>-2.9259336401954998</v>
      </c>
    </row>
    <row r="3466" spans="1:14" x14ac:dyDescent="0.3">
      <c r="A3466" s="4" t="s">
        <v>10</v>
      </c>
      <c r="B3466" s="3">
        <v>45312.333333333336</v>
      </c>
      <c r="C3466" s="4">
        <v>584.83930170457097</v>
      </c>
      <c r="D3466" s="4">
        <v>553.39877691146603</v>
      </c>
      <c r="E3466" s="4">
        <v>553.39877691146603</v>
      </c>
      <c r="F3466" s="4">
        <v>86.728529009329804</v>
      </c>
      <c r="G3466" s="4" t="str">
        <f t="shared" si="108"/>
        <v>OK</v>
      </c>
      <c r="H3466" s="4" t="str">
        <f t="shared" si="109"/>
        <v>NON-ZERO</v>
      </c>
      <c r="I3466">
        <v>600</v>
      </c>
      <c r="J3466">
        <f>IFERROR(Table4[[#This Row],[energy_kwh]]/Table4[[#This Row],[expected_kwh]],0)</f>
        <v>0.92233129485244336</v>
      </c>
      <c r="K3466" t="str">
        <f>IF(Table4[[#This Row],[Performance_Ratio]] &lt; 0.85, "Underperforming", "Performing")</f>
        <v>Performing</v>
      </c>
      <c r="L3466">
        <f>Table4[[#This Row],[energy_kwh]] - Table4[[#This Row],[expected_kwh]]</f>
        <v>-46.60122308853397</v>
      </c>
      <c r="M3466" t="str">
        <f>IF(Table4[[#This Row],[Performance_Deviation]] &lt; 0, "Underperforming", "Outperforming")</f>
        <v>Underperforming</v>
      </c>
      <c r="N3466">
        <f>IF(Table4[[#This Row],[Performance_Ratio]] &lt; 0.85, Table4[[#This Row],[Performance_Deviation]] * 50 / 1000, 0)</f>
        <v>0</v>
      </c>
    </row>
    <row r="3467" spans="1:14" x14ac:dyDescent="0.3">
      <c r="A3467" s="6" t="s">
        <v>10</v>
      </c>
      <c r="B3467" s="5">
        <v>45312.375</v>
      </c>
      <c r="C3467" s="6">
        <v>726.70129432244096</v>
      </c>
      <c r="D3467" s="6">
        <v>687.63437458101203</v>
      </c>
      <c r="E3467" s="6">
        <v>687.63437458101203</v>
      </c>
      <c r="F3467" s="6">
        <v>90.9979045411214</v>
      </c>
      <c r="G3467" s="6" t="str">
        <f t="shared" si="108"/>
        <v>OK</v>
      </c>
      <c r="H3467" s="6" t="str">
        <f t="shared" si="109"/>
        <v>NON-ZERO</v>
      </c>
      <c r="I3467">
        <v>848.52813742385695</v>
      </c>
      <c r="J3467">
        <f>IFERROR(Table4[[#This Row],[energy_kwh]]/Table4[[#This Row],[expected_kwh]],0)</f>
        <v>0.81038488207200698</v>
      </c>
      <c r="K3467" t="str">
        <f>IF(Table4[[#This Row],[Performance_Ratio]] &lt; 0.85, "Underperforming", "Performing")</f>
        <v>Underperforming</v>
      </c>
      <c r="L3467">
        <f>Table4[[#This Row],[energy_kwh]] - Table4[[#This Row],[expected_kwh]]</f>
        <v>-160.89376284284492</v>
      </c>
      <c r="M3467" t="str">
        <f>IF(Table4[[#This Row],[Performance_Deviation]] &lt; 0, "Underperforming", "Outperforming")</f>
        <v>Underperforming</v>
      </c>
      <c r="N3467">
        <f>IF(Table4[[#This Row],[Performance_Ratio]] &lt; 0.85, Table4[[#This Row],[Performance_Deviation]] * 50 / 1000, 0)</f>
        <v>-8.0446881421422454</v>
      </c>
    </row>
    <row r="3468" spans="1:14" x14ac:dyDescent="0.3">
      <c r="A3468" s="4" t="s">
        <v>10</v>
      </c>
      <c r="B3468" s="3">
        <v>45312.416666666664</v>
      </c>
      <c r="C3468" s="4">
        <v>1004.31772176098</v>
      </c>
      <c r="D3468" s="4">
        <v>950.32634987618303</v>
      </c>
      <c r="E3468" s="4">
        <v>950.32634987618303</v>
      </c>
      <c r="F3468" s="4">
        <v>79.306108893310693</v>
      </c>
      <c r="G3468" s="4" t="str">
        <f t="shared" si="108"/>
        <v>OK</v>
      </c>
      <c r="H3468" s="4" t="str">
        <f t="shared" si="109"/>
        <v>NON-ZERO</v>
      </c>
      <c r="I3468">
        <v>1039.23048454132</v>
      </c>
      <c r="J3468">
        <f>IFERROR(Table4[[#This Row],[energy_kwh]]/Table4[[#This Row],[expected_kwh]],0)</f>
        <v>0.91445195653168687</v>
      </c>
      <c r="K3468" t="str">
        <f>IF(Table4[[#This Row],[Performance_Ratio]] &lt; 0.85, "Underperforming", "Performing")</f>
        <v>Performing</v>
      </c>
      <c r="L3468">
        <f>Table4[[#This Row],[energy_kwh]] - Table4[[#This Row],[expected_kwh]]</f>
        <v>-88.904134665137008</v>
      </c>
      <c r="M3468" t="str">
        <f>IF(Table4[[#This Row],[Performance_Deviation]] &lt; 0, "Underperforming", "Outperforming")</f>
        <v>Underperforming</v>
      </c>
      <c r="N3468">
        <f>IF(Table4[[#This Row],[Performance_Ratio]] &lt; 0.85, Table4[[#This Row],[Performance_Deviation]] * 50 / 1000, 0)</f>
        <v>0</v>
      </c>
    </row>
    <row r="3469" spans="1:14" x14ac:dyDescent="0.3">
      <c r="A3469" s="6" t="s">
        <v>10</v>
      </c>
      <c r="B3469" s="5">
        <v>45312.458333333336</v>
      </c>
      <c r="C3469" s="6">
        <v>1144.51356430244</v>
      </c>
      <c r="D3469" s="6">
        <v>1082.9853684551099</v>
      </c>
      <c r="E3469" s="6">
        <v>1082.9853684551099</v>
      </c>
      <c r="F3469" s="6">
        <v>60.303788182952601</v>
      </c>
      <c r="G3469" s="6" t="str">
        <f t="shared" si="108"/>
        <v>OK</v>
      </c>
      <c r="H3469" s="6" t="str">
        <f t="shared" si="109"/>
        <v>NON-ZERO</v>
      </c>
      <c r="I3469">
        <v>1159.1109915468801</v>
      </c>
      <c r="J3469">
        <f>IFERROR(Table4[[#This Row],[energy_kwh]]/Table4[[#This Row],[expected_kwh]],0)</f>
        <v>0.93432412974517864</v>
      </c>
      <c r="K3469" t="str">
        <f>IF(Table4[[#This Row],[Performance_Ratio]] &lt; 0.85, "Underperforming", "Performing")</f>
        <v>Performing</v>
      </c>
      <c r="L3469">
        <f>Table4[[#This Row],[energy_kwh]] - Table4[[#This Row],[expected_kwh]]</f>
        <v>-76.125623091770194</v>
      </c>
      <c r="M3469" t="str">
        <f>IF(Table4[[#This Row],[Performance_Deviation]] &lt; 0, "Underperforming", "Outperforming")</f>
        <v>Underperforming</v>
      </c>
      <c r="N3469">
        <f>IF(Table4[[#This Row],[Performance_Ratio]] &lt; 0.85, Table4[[#This Row],[Performance_Deviation]] * 50 / 1000, 0)</f>
        <v>0</v>
      </c>
    </row>
    <row r="3470" spans="1:14" x14ac:dyDescent="0.3">
      <c r="A3470" s="4" t="s">
        <v>10</v>
      </c>
      <c r="B3470" s="3">
        <v>45312.5</v>
      </c>
      <c r="C3470" s="4">
        <v>1050.1569679063</v>
      </c>
      <c r="D3470" s="4">
        <v>993.70131232728204</v>
      </c>
      <c r="E3470" s="4">
        <v>993.70131232728204</v>
      </c>
      <c r="F3470" s="4">
        <v>35.382031529270698</v>
      </c>
      <c r="G3470" s="4" t="str">
        <f t="shared" si="108"/>
        <v>OK</v>
      </c>
      <c r="H3470" s="4" t="str">
        <f t="shared" si="109"/>
        <v>NON-ZERO</v>
      </c>
      <c r="I3470">
        <v>1200</v>
      </c>
      <c r="J3470">
        <f>IFERROR(Table4[[#This Row],[energy_kwh]]/Table4[[#This Row],[expected_kwh]],0)</f>
        <v>0.82808442693940165</v>
      </c>
      <c r="K3470" t="str">
        <f>IF(Table4[[#This Row],[Performance_Ratio]] &lt; 0.85, "Underperforming", "Performing")</f>
        <v>Underperforming</v>
      </c>
      <c r="L3470">
        <f>Table4[[#This Row],[energy_kwh]] - Table4[[#This Row],[expected_kwh]]</f>
        <v>-206.29868767271796</v>
      </c>
      <c r="M3470" t="str">
        <f>IF(Table4[[#This Row],[Performance_Deviation]] &lt; 0, "Underperforming", "Outperforming")</f>
        <v>Underperforming</v>
      </c>
      <c r="N3470">
        <f>IF(Table4[[#This Row],[Performance_Ratio]] &lt; 0.85, Table4[[#This Row],[Performance_Deviation]] * 50 / 1000, 0)</f>
        <v>-10.314934383635899</v>
      </c>
    </row>
    <row r="3471" spans="1:14" x14ac:dyDescent="0.3">
      <c r="A3471" s="6" t="s">
        <v>10</v>
      </c>
      <c r="B3471" s="5">
        <v>45312.541666666664</v>
      </c>
      <c r="C3471" s="6">
        <v>1082.76331276153</v>
      </c>
      <c r="D3471" s="6">
        <v>1024.5547643949601</v>
      </c>
      <c r="E3471" s="6">
        <v>1024.5547643949601</v>
      </c>
      <c r="F3471" s="6">
        <v>53.940023302197503</v>
      </c>
      <c r="G3471" s="6" t="str">
        <f t="shared" si="108"/>
        <v>OK</v>
      </c>
      <c r="H3471" s="6" t="str">
        <f t="shared" si="109"/>
        <v>NON-ZERO</v>
      </c>
      <c r="I3471">
        <v>1159.1109915468801</v>
      </c>
      <c r="J3471">
        <f>IFERROR(Table4[[#This Row],[energy_kwh]]/Table4[[#This Row],[expected_kwh]],0)</f>
        <v>0.88391428591980714</v>
      </c>
      <c r="K3471" t="str">
        <f>IF(Table4[[#This Row],[Performance_Ratio]] &lt; 0.85, "Underperforming", "Performing")</f>
        <v>Performing</v>
      </c>
      <c r="L3471">
        <f>Table4[[#This Row],[energy_kwh]] - Table4[[#This Row],[expected_kwh]]</f>
        <v>-134.55622715191998</v>
      </c>
      <c r="M3471" t="str">
        <f>IF(Table4[[#This Row],[Performance_Deviation]] &lt; 0, "Underperforming", "Outperforming")</f>
        <v>Underperforming</v>
      </c>
      <c r="N3471">
        <f>IF(Table4[[#This Row],[Performance_Ratio]] &lt; 0.85, Table4[[#This Row],[Performance_Deviation]] * 50 / 1000, 0)</f>
        <v>0</v>
      </c>
    </row>
    <row r="3472" spans="1:14" x14ac:dyDescent="0.3">
      <c r="A3472" s="4" t="s">
        <v>10</v>
      </c>
      <c r="B3472" s="3">
        <v>45312.583333333336</v>
      </c>
      <c r="C3472" s="4">
        <v>949.48888776380704</v>
      </c>
      <c r="D3472" s="4">
        <v>898.44507311334303</v>
      </c>
      <c r="E3472" s="4">
        <v>898.44507311334303</v>
      </c>
      <c r="F3472" s="4">
        <v>60.792381553486003</v>
      </c>
      <c r="G3472" s="4" t="str">
        <f t="shared" si="108"/>
        <v>OK</v>
      </c>
      <c r="H3472" s="4" t="str">
        <f t="shared" si="109"/>
        <v>NON-ZERO</v>
      </c>
      <c r="I3472">
        <v>1039.23048454132</v>
      </c>
      <c r="J3472">
        <f>IFERROR(Table4[[#This Row],[energy_kwh]]/Table4[[#This Row],[expected_kwh]],0)</f>
        <v>0.86452917469014123</v>
      </c>
      <c r="K3472" t="str">
        <f>IF(Table4[[#This Row],[Performance_Ratio]] &lt; 0.85, "Underperforming", "Performing")</f>
        <v>Performing</v>
      </c>
      <c r="L3472">
        <f>Table4[[#This Row],[energy_kwh]] - Table4[[#This Row],[expected_kwh]]</f>
        <v>-140.78541142797701</v>
      </c>
      <c r="M3472" t="str">
        <f>IF(Table4[[#This Row],[Performance_Deviation]] &lt; 0, "Underperforming", "Outperforming")</f>
        <v>Underperforming</v>
      </c>
      <c r="N3472">
        <f>IF(Table4[[#This Row],[Performance_Ratio]] &lt; 0.85, Table4[[#This Row],[Performance_Deviation]] * 50 / 1000, 0)</f>
        <v>0</v>
      </c>
    </row>
    <row r="3473" spans="1:14" x14ac:dyDescent="0.3">
      <c r="A3473" s="6" t="s">
        <v>10</v>
      </c>
      <c r="B3473" s="5">
        <v>45312.625</v>
      </c>
      <c r="C3473" s="6">
        <v>806.53431791323806</v>
      </c>
      <c r="D3473" s="6">
        <v>763.17563434848296</v>
      </c>
      <c r="E3473" s="6">
        <v>763.17563434848296</v>
      </c>
      <c r="F3473" s="6">
        <v>49.409589124009102</v>
      </c>
      <c r="G3473" s="6" t="str">
        <f t="shared" si="108"/>
        <v>OK</v>
      </c>
      <c r="H3473" s="6" t="str">
        <f t="shared" si="109"/>
        <v>NON-ZERO</v>
      </c>
      <c r="I3473">
        <v>848.52813742385695</v>
      </c>
      <c r="J3473">
        <f>IFERROR(Table4[[#This Row],[energy_kwh]]/Table4[[#This Row],[expected_kwh]],0)</f>
        <v>0.89941111047359568</v>
      </c>
      <c r="K3473" t="str">
        <f>IF(Table4[[#This Row],[Performance_Ratio]] &lt; 0.85, "Underperforming", "Performing")</f>
        <v>Performing</v>
      </c>
      <c r="L3473">
        <f>Table4[[#This Row],[energy_kwh]] - Table4[[#This Row],[expected_kwh]]</f>
        <v>-85.352503075373988</v>
      </c>
      <c r="M3473" t="str">
        <f>IF(Table4[[#This Row],[Performance_Deviation]] &lt; 0, "Underperforming", "Outperforming")</f>
        <v>Underperforming</v>
      </c>
      <c r="N3473">
        <f>IF(Table4[[#This Row],[Performance_Ratio]] &lt; 0.85, Table4[[#This Row],[Performance_Deviation]] * 50 / 1000, 0)</f>
        <v>0</v>
      </c>
    </row>
    <row r="3474" spans="1:14" x14ac:dyDescent="0.3">
      <c r="A3474" s="4" t="s">
        <v>10</v>
      </c>
      <c r="B3474" s="3">
        <v>45312.666666666664</v>
      </c>
      <c r="C3474" s="4">
        <v>581.54216537029401</v>
      </c>
      <c r="D3474" s="4">
        <v>550.27889216811695</v>
      </c>
      <c r="E3474" s="4">
        <v>550.27889216811695</v>
      </c>
      <c r="F3474" s="4">
        <v>58.473413143575598</v>
      </c>
      <c r="G3474" s="4" t="str">
        <f t="shared" si="108"/>
        <v>OK</v>
      </c>
      <c r="H3474" s="4" t="str">
        <f t="shared" si="109"/>
        <v>NON-ZERO</v>
      </c>
      <c r="I3474">
        <v>600</v>
      </c>
      <c r="J3474">
        <f>IFERROR(Table4[[#This Row],[energy_kwh]]/Table4[[#This Row],[expected_kwh]],0)</f>
        <v>0.91713148694686164</v>
      </c>
      <c r="K3474" t="str">
        <f>IF(Table4[[#This Row],[Performance_Ratio]] &lt; 0.85, "Underperforming", "Performing")</f>
        <v>Performing</v>
      </c>
      <c r="L3474">
        <f>Table4[[#This Row],[energy_kwh]] - Table4[[#This Row],[expected_kwh]]</f>
        <v>-49.721107831883046</v>
      </c>
      <c r="M3474" t="str">
        <f>IF(Table4[[#This Row],[Performance_Deviation]] &lt; 0, "Underperforming", "Outperforming")</f>
        <v>Underperforming</v>
      </c>
      <c r="N3474">
        <f>IF(Table4[[#This Row],[Performance_Ratio]] &lt; 0.85, Table4[[#This Row],[Performance_Deviation]] * 50 / 1000, 0)</f>
        <v>0</v>
      </c>
    </row>
    <row r="3475" spans="1:14" x14ac:dyDescent="0.3">
      <c r="A3475" s="6" t="s">
        <v>10</v>
      </c>
      <c r="B3475" s="5">
        <v>45312.708333333336</v>
      </c>
      <c r="C3475" s="6">
        <v>286.93190597053598</v>
      </c>
      <c r="D3475" s="6">
        <v>271.50666064706701</v>
      </c>
      <c r="E3475" s="6">
        <v>271.50666064706701</v>
      </c>
      <c r="F3475" s="6">
        <v>89.077213704035103</v>
      </c>
      <c r="G3475" s="6" t="str">
        <f t="shared" si="108"/>
        <v>OK</v>
      </c>
      <c r="H3475" s="6" t="str">
        <f t="shared" si="109"/>
        <v>NON-ZERO</v>
      </c>
      <c r="I3475">
        <v>310.58285412302502</v>
      </c>
      <c r="J3475">
        <f>IFERROR(Table4[[#This Row],[energy_kwh]]/Table4[[#This Row],[expected_kwh]],0)</f>
        <v>0.87418431842834587</v>
      </c>
      <c r="K3475" t="str">
        <f>IF(Table4[[#This Row],[Performance_Ratio]] &lt; 0.85, "Underperforming", "Performing")</f>
        <v>Performing</v>
      </c>
      <c r="L3475">
        <f>Table4[[#This Row],[energy_kwh]] - Table4[[#This Row],[expected_kwh]]</f>
        <v>-39.076193475958007</v>
      </c>
      <c r="M3475" t="str">
        <f>IF(Table4[[#This Row],[Performance_Deviation]] &lt; 0, "Underperforming", "Outperforming")</f>
        <v>Underperforming</v>
      </c>
      <c r="N3475">
        <f>IF(Table4[[#This Row],[Performance_Ratio]] &lt; 0.85, Table4[[#This Row],[Performance_Deviation]] * 50 / 1000, 0)</f>
        <v>0</v>
      </c>
    </row>
    <row r="3476" spans="1:14" x14ac:dyDescent="0.3">
      <c r="A3476" s="4" t="s">
        <v>10</v>
      </c>
      <c r="B3476" s="3">
        <v>45312.75</v>
      </c>
      <c r="C3476" s="7">
        <v>1.49953952258857E-13</v>
      </c>
      <c r="D3476" s="7">
        <v>1.41892539593742E-13</v>
      </c>
      <c r="E3476" s="7">
        <v>1.41892539593742E-13</v>
      </c>
      <c r="F3476" s="4">
        <v>54.343937539971499</v>
      </c>
      <c r="G3476" s="4" t="str">
        <f t="shared" si="108"/>
        <v>OK</v>
      </c>
      <c r="H3476" s="4" t="str">
        <f t="shared" si="109"/>
        <v>NON-ZERO</v>
      </c>
      <c r="I3476" s="2">
        <v>1.46957615897682E-13</v>
      </c>
      <c r="J3476">
        <f>IFERROR(Table4[[#This Row],[energy_kwh]]/Table4[[#This Row],[expected_kwh]],0)</f>
        <v>0.96553376105756561</v>
      </c>
      <c r="K3476" t="str">
        <f>IF(Table4[[#This Row],[Performance_Ratio]] &lt; 0.85, "Underperforming", "Performing")</f>
        <v>Performing</v>
      </c>
      <c r="L3476">
        <f>Table4[[#This Row],[energy_kwh]] - Table4[[#This Row],[expected_kwh]]</f>
        <v>-5.0650763039400042E-15</v>
      </c>
      <c r="M3476" t="str">
        <f>IF(Table4[[#This Row],[Performance_Deviation]] &lt; 0, "Underperforming", "Outperforming")</f>
        <v>Underperforming</v>
      </c>
      <c r="N3476">
        <f>IF(Table4[[#This Row],[Performance_Ratio]] &lt; 0.85, Table4[[#This Row],[Performance_Deviation]] * 50 / 1000, 0)</f>
        <v>0</v>
      </c>
    </row>
    <row r="3477" spans="1:14" x14ac:dyDescent="0.3">
      <c r="A3477" s="6" t="s">
        <v>10</v>
      </c>
      <c r="B3477" s="5">
        <v>45312.791666666664</v>
      </c>
      <c r="C3477" s="6">
        <v>0</v>
      </c>
      <c r="D3477" s="6">
        <v>0</v>
      </c>
      <c r="E3477" s="6">
        <v>0</v>
      </c>
      <c r="F3477" s="6">
        <v>29.528993767850199</v>
      </c>
      <c r="G3477" s="6" t="str">
        <f t="shared" si="108"/>
        <v>OK</v>
      </c>
      <c r="H3477" s="6" t="str">
        <f t="shared" si="109"/>
        <v>ZERO</v>
      </c>
      <c r="I3477">
        <v>0</v>
      </c>
      <c r="J3477">
        <f>IFERROR(Table4[[#This Row],[energy_kwh]]/Table4[[#This Row],[expected_kwh]],0)</f>
        <v>0</v>
      </c>
      <c r="K3477" t="str">
        <f>IF(Table4[[#This Row],[Performance_Ratio]] &lt; 0.85, "Underperforming", "Performing")</f>
        <v>Underperforming</v>
      </c>
      <c r="L3477">
        <f>Table4[[#This Row],[energy_kwh]] - Table4[[#This Row],[expected_kwh]]</f>
        <v>0</v>
      </c>
      <c r="M3477" t="str">
        <f>IF(Table4[[#This Row],[Performance_Deviation]] &lt; 0, "Underperforming", "Outperforming")</f>
        <v>Outperforming</v>
      </c>
      <c r="N3477">
        <f>IF(Table4[[#This Row],[Performance_Ratio]] &lt; 0.85, Table4[[#This Row],[Performance_Deviation]] * 50 / 1000, 0)</f>
        <v>0</v>
      </c>
    </row>
    <row r="3478" spans="1:14" x14ac:dyDescent="0.3">
      <c r="A3478" s="4" t="s">
        <v>10</v>
      </c>
      <c r="B3478" s="3">
        <v>45312.833333333336</v>
      </c>
      <c r="C3478" s="4">
        <v>0</v>
      </c>
      <c r="D3478" s="4">
        <v>0</v>
      </c>
      <c r="E3478" s="4">
        <v>0</v>
      </c>
      <c r="F3478" s="4">
        <v>90.762765172492905</v>
      </c>
      <c r="G3478" s="4" t="str">
        <f t="shared" si="108"/>
        <v>OK</v>
      </c>
      <c r="H3478" s="4" t="str">
        <f t="shared" si="109"/>
        <v>ZERO</v>
      </c>
      <c r="I3478">
        <v>0</v>
      </c>
      <c r="J3478">
        <f>IFERROR(Table4[[#This Row],[energy_kwh]]/Table4[[#This Row],[expected_kwh]],0)</f>
        <v>0</v>
      </c>
      <c r="K3478" t="str">
        <f>IF(Table4[[#This Row],[Performance_Ratio]] &lt; 0.85, "Underperforming", "Performing")</f>
        <v>Underperforming</v>
      </c>
      <c r="L3478">
        <f>Table4[[#This Row],[energy_kwh]] - Table4[[#This Row],[expected_kwh]]</f>
        <v>0</v>
      </c>
      <c r="M3478" t="str">
        <f>IF(Table4[[#This Row],[Performance_Deviation]] &lt; 0, "Underperforming", "Outperforming")</f>
        <v>Outperforming</v>
      </c>
      <c r="N3478">
        <f>IF(Table4[[#This Row],[Performance_Ratio]] &lt; 0.85, Table4[[#This Row],[Performance_Deviation]] * 50 / 1000, 0)</f>
        <v>0</v>
      </c>
    </row>
    <row r="3479" spans="1:14" x14ac:dyDescent="0.3">
      <c r="A3479" s="6" t="s">
        <v>10</v>
      </c>
      <c r="B3479" s="5">
        <v>45312.875</v>
      </c>
      <c r="C3479" s="6">
        <v>0</v>
      </c>
      <c r="D3479" s="6">
        <v>0</v>
      </c>
      <c r="E3479" s="6">
        <v>0</v>
      </c>
      <c r="F3479" s="6">
        <v>47.515129571467199</v>
      </c>
      <c r="G3479" s="6" t="str">
        <f t="shared" si="108"/>
        <v>OK</v>
      </c>
      <c r="H3479" s="6" t="str">
        <f t="shared" si="109"/>
        <v>ZERO</v>
      </c>
      <c r="I3479">
        <v>0</v>
      </c>
      <c r="J3479">
        <f>IFERROR(Table4[[#This Row],[energy_kwh]]/Table4[[#This Row],[expected_kwh]],0)</f>
        <v>0</v>
      </c>
      <c r="K3479" t="str">
        <f>IF(Table4[[#This Row],[Performance_Ratio]] &lt; 0.85, "Underperforming", "Performing")</f>
        <v>Underperforming</v>
      </c>
      <c r="L3479">
        <f>Table4[[#This Row],[energy_kwh]] - Table4[[#This Row],[expected_kwh]]</f>
        <v>0</v>
      </c>
      <c r="M3479" t="str">
        <f>IF(Table4[[#This Row],[Performance_Deviation]] &lt; 0, "Underperforming", "Outperforming")</f>
        <v>Outperforming</v>
      </c>
      <c r="N3479">
        <f>IF(Table4[[#This Row],[Performance_Ratio]] &lt; 0.85, Table4[[#This Row],[Performance_Deviation]] * 50 / 1000, 0)</f>
        <v>0</v>
      </c>
    </row>
    <row r="3480" spans="1:14" x14ac:dyDescent="0.3">
      <c r="A3480" s="4" t="s">
        <v>10</v>
      </c>
      <c r="B3480" s="3">
        <v>45312.916666666664</v>
      </c>
      <c r="C3480" s="4">
        <v>0</v>
      </c>
      <c r="D3480" s="4">
        <v>0</v>
      </c>
      <c r="E3480" s="4">
        <v>0</v>
      </c>
      <c r="F3480" s="4">
        <v>45.878815199154197</v>
      </c>
      <c r="G3480" s="4" t="str">
        <f t="shared" si="108"/>
        <v>OK</v>
      </c>
      <c r="H3480" s="4" t="str">
        <f t="shared" si="109"/>
        <v>ZERO</v>
      </c>
      <c r="I3480">
        <v>0</v>
      </c>
      <c r="J3480">
        <f>IFERROR(Table4[[#This Row],[energy_kwh]]/Table4[[#This Row],[expected_kwh]],0)</f>
        <v>0</v>
      </c>
      <c r="K3480" t="str">
        <f>IF(Table4[[#This Row],[Performance_Ratio]] &lt; 0.85, "Underperforming", "Performing")</f>
        <v>Underperforming</v>
      </c>
      <c r="L3480">
        <f>Table4[[#This Row],[energy_kwh]] - Table4[[#This Row],[expected_kwh]]</f>
        <v>0</v>
      </c>
      <c r="M3480" t="str">
        <f>IF(Table4[[#This Row],[Performance_Deviation]] &lt; 0, "Underperforming", "Outperforming")</f>
        <v>Outperforming</v>
      </c>
      <c r="N3480">
        <f>IF(Table4[[#This Row],[Performance_Ratio]] &lt; 0.85, Table4[[#This Row],[Performance_Deviation]] * 50 / 1000, 0)</f>
        <v>0</v>
      </c>
    </row>
    <row r="3481" spans="1:14" x14ac:dyDescent="0.3">
      <c r="A3481" s="6" t="s">
        <v>10</v>
      </c>
      <c r="B3481" s="5">
        <v>45312.958333333336</v>
      </c>
      <c r="C3481" s="6">
        <v>0</v>
      </c>
      <c r="D3481" s="6">
        <v>0</v>
      </c>
      <c r="E3481" s="6">
        <v>0</v>
      </c>
      <c r="F3481" s="6">
        <v>23.689174267401601</v>
      </c>
      <c r="G3481" s="6" t="str">
        <f t="shared" si="108"/>
        <v>OK</v>
      </c>
      <c r="H3481" s="6" t="str">
        <f t="shared" si="109"/>
        <v>ZERO</v>
      </c>
      <c r="I3481">
        <v>0</v>
      </c>
      <c r="J3481">
        <f>IFERROR(Table4[[#This Row],[energy_kwh]]/Table4[[#This Row],[expected_kwh]],0)</f>
        <v>0</v>
      </c>
      <c r="K3481" t="str">
        <f>IF(Table4[[#This Row],[Performance_Ratio]] &lt; 0.85, "Underperforming", "Performing")</f>
        <v>Underperforming</v>
      </c>
      <c r="L3481">
        <f>Table4[[#This Row],[energy_kwh]] - Table4[[#This Row],[expected_kwh]]</f>
        <v>0</v>
      </c>
      <c r="M3481" t="str">
        <f>IF(Table4[[#This Row],[Performance_Deviation]] &lt; 0, "Underperforming", "Outperforming")</f>
        <v>Outperforming</v>
      </c>
      <c r="N3481">
        <f>IF(Table4[[#This Row],[Performance_Ratio]] &lt; 0.85, Table4[[#This Row],[Performance_Deviation]] * 50 / 1000, 0)</f>
        <v>0</v>
      </c>
    </row>
    <row r="3482" spans="1:14" x14ac:dyDescent="0.3">
      <c r="A3482" s="4" t="s">
        <v>10</v>
      </c>
      <c r="B3482" s="3">
        <v>45313</v>
      </c>
      <c r="C3482" s="4">
        <v>0</v>
      </c>
      <c r="D3482" s="4">
        <v>0</v>
      </c>
      <c r="E3482" s="4">
        <v>0</v>
      </c>
      <c r="F3482" s="4">
        <v>31.248276811365798</v>
      </c>
      <c r="G3482" s="4" t="str">
        <f t="shared" si="108"/>
        <v>OK</v>
      </c>
      <c r="H3482" s="4" t="str">
        <f t="shared" si="109"/>
        <v>ZERO</v>
      </c>
      <c r="I3482">
        <v>0</v>
      </c>
      <c r="J3482">
        <f>IFERROR(Table4[[#This Row],[energy_kwh]]/Table4[[#This Row],[expected_kwh]],0)</f>
        <v>0</v>
      </c>
      <c r="K3482" t="str">
        <f>IF(Table4[[#This Row],[Performance_Ratio]] &lt; 0.85, "Underperforming", "Performing")</f>
        <v>Underperforming</v>
      </c>
      <c r="L3482">
        <f>Table4[[#This Row],[energy_kwh]] - Table4[[#This Row],[expected_kwh]]</f>
        <v>0</v>
      </c>
      <c r="M3482" t="str">
        <f>IF(Table4[[#This Row],[Performance_Deviation]] &lt; 0, "Underperforming", "Outperforming")</f>
        <v>Outperforming</v>
      </c>
      <c r="N3482">
        <f>IF(Table4[[#This Row],[Performance_Ratio]] &lt; 0.85, Table4[[#This Row],[Performance_Deviation]] * 50 / 1000, 0)</f>
        <v>0</v>
      </c>
    </row>
    <row r="3483" spans="1:14" x14ac:dyDescent="0.3">
      <c r="A3483" s="6" t="s">
        <v>10</v>
      </c>
      <c r="B3483" s="5">
        <v>45313.041666666664</v>
      </c>
      <c r="C3483" s="6">
        <v>0</v>
      </c>
      <c r="D3483" s="6">
        <v>0</v>
      </c>
      <c r="E3483" s="6">
        <v>0</v>
      </c>
      <c r="F3483" s="6">
        <v>64.3506942348981</v>
      </c>
      <c r="G3483" s="6" t="str">
        <f t="shared" si="108"/>
        <v>OK</v>
      </c>
      <c r="H3483" s="6" t="str">
        <f t="shared" si="109"/>
        <v>ZERO</v>
      </c>
      <c r="I3483">
        <v>0</v>
      </c>
      <c r="J3483">
        <f>IFERROR(Table4[[#This Row],[energy_kwh]]/Table4[[#This Row],[expected_kwh]],0)</f>
        <v>0</v>
      </c>
      <c r="K3483" t="str">
        <f>IF(Table4[[#This Row],[Performance_Ratio]] &lt; 0.85, "Underperforming", "Performing")</f>
        <v>Underperforming</v>
      </c>
      <c r="L3483">
        <f>Table4[[#This Row],[energy_kwh]] - Table4[[#This Row],[expected_kwh]]</f>
        <v>0</v>
      </c>
      <c r="M3483" t="str">
        <f>IF(Table4[[#This Row],[Performance_Deviation]] &lt; 0, "Underperforming", "Outperforming")</f>
        <v>Outperforming</v>
      </c>
      <c r="N3483">
        <f>IF(Table4[[#This Row],[Performance_Ratio]] &lt; 0.85, Table4[[#This Row],[Performance_Deviation]] * 50 / 1000, 0)</f>
        <v>0</v>
      </c>
    </row>
    <row r="3484" spans="1:14" x14ac:dyDescent="0.3">
      <c r="A3484" s="4" t="s">
        <v>10</v>
      </c>
      <c r="B3484" s="3">
        <v>45313.083333333336</v>
      </c>
      <c r="C3484" s="4">
        <v>0</v>
      </c>
      <c r="D3484" s="4">
        <v>0</v>
      </c>
      <c r="E3484" s="4">
        <v>0</v>
      </c>
      <c r="F3484" s="4">
        <v>49.129488528791498</v>
      </c>
      <c r="G3484" s="4" t="str">
        <f t="shared" si="108"/>
        <v>OK</v>
      </c>
      <c r="H3484" s="4" t="str">
        <f t="shared" si="109"/>
        <v>ZERO</v>
      </c>
      <c r="I3484">
        <v>0</v>
      </c>
      <c r="J3484">
        <f>IFERROR(Table4[[#This Row],[energy_kwh]]/Table4[[#This Row],[expected_kwh]],0)</f>
        <v>0</v>
      </c>
      <c r="K3484" t="str">
        <f>IF(Table4[[#This Row],[Performance_Ratio]] &lt; 0.85, "Underperforming", "Performing")</f>
        <v>Underperforming</v>
      </c>
      <c r="L3484">
        <f>Table4[[#This Row],[energy_kwh]] - Table4[[#This Row],[expected_kwh]]</f>
        <v>0</v>
      </c>
      <c r="M3484" t="str">
        <f>IF(Table4[[#This Row],[Performance_Deviation]] &lt; 0, "Underperforming", "Outperforming")</f>
        <v>Outperforming</v>
      </c>
      <c r="N3484">
        <f>IF(Table4[[#This Row],[Performance_Ratio]] &lt; 0.85, Table4[[#This Row],[Performance_Deviation]] * 50 / 1000, 0)</f>
        <v>0</v>
      </c>
    </row>
    <row r="3485" spans="1:14" x14ac:dyDescent="0.3">
      <c r="A3485" s="6" t="s">
        <v>10</v>
      </c>
      <c r="B3485" s="5">
        <v>45313.125</v>
      </c>
      <c r="C3485" s="6">
        <v>0</v>
      </c>
      <c r="D3485" s="6">
        <v>0</v>
      </c>
      <c r="E3485" s="6">
        <v>0</v>
      </c>
      <c r="F3485" s="6">
        <v>85.815915691960399</v>
      </c>
      <c r="G3485" s="6" t="str">
        <f t="shared" si="108"/>
        <v>OK</v>
      </c>
      <c r="H3485" s="6" t="str">
        <f t="shared" si="109"/>
        <v>ZERO</v>
      </c>
      <c r="I3485">
        <v>0</v>
      </c>
      <c r="J3485">
        <f>IFERROR(Table4[[#This Row],[energy_kwh]]/Table4[[#This Row],[expected_kwh]],0)</f>
        <v>0</v>
      </c>
      <c r="K3485" t="str">
        <f>IF(Table4[[#This Row],[Performance_Ratio]] &lt; 0.85, "Underperforming", "Performing")</f>
        <v>Underperforming</v>
      </c>
      <c r="L3485">
        <f>Table4[[#This Row],[energy_kwh]] - Table4[[#This Row],[expected_kwh]]</f>
        <v>0</v>
      </c>
      <c r="M3485" t="str">
        <f>IF(Table4[[#This Row],[Performance_Deviation]] &lt; 0, "Underperforming", "Outperforming")</f>
        <v>Outperforming</v>
      </c>
      <c r="N3485">
        <f>IF(Table4[[#This Row],[Performance_Ratio]] &lt; 0.85, Table4[[#This Row],[Performance_Deviation]] * 50 / 1000, 0)</f>
        <v>0</v>
      </c>
    </row>
    <row r="3486" spans="1:14" x14ac:dyDescent="0.3">
      <c r="A3486" s="4" t="s">
        <v>10</v>
      </c>
      <c r="B3486" s="3">
        <v>45313.166666666664</v>
      </c>
      <c r="C3486" s="4">
        <v>0</v>
      </c>
      <c r="D3486" s="4">
        <v>0</v>
      </c>
      <c r="E3486" s="4">
        <v>0</v>
      </c>
      <c r="F3486" s="4">
        <v>44.917082304971203</v>
      </c>
      <c r="G3486" s="4" t="str">
        <f t="shared" si="108"/>
        <v>OK</v>
      </c>
      <c r="H3486" s="4" t="str">
        <f t="shared" si="109"/>
        <v>ZERO</v>
      </c>
      <c r="I3486">
        <v>0</v>
      </c>
      <c r="J3486">
        <f>IFERROR(Table4[[#This Row],[energy_kwh]]/Table4[[#This Row],[expected_kwh]],0)</f>
        <v>0</v>
      </c>
      <c r="K3486" t="str">
        <f>IF(Table4[[#This Row],[Performance_Ratio]] &lt; 0.85, "Underperforming", "Performing")</f>
        <v>Underperforming</v>
      </c>
      <c r="L3486">
        <f>Table4[[#This Row],[energy_kwh]] - Table4[[#This Row],[expected_kwh]]</f>
        <v>0</v>
      </c>
      <c r="M3486" t="str">
        <f>IF(Table4[[#This Row],[Performance_Deviation]] &lt; 0, "Underperforming", "Outperforming")</f>
        <v>Outperforming</v>
      </c>
      <c r="N3486">
        <f>IF(Table4[[#This Row],[Performance_Ratio]] &lt; 0.85, Table4[[#This Row],[Performance_Deviation]] * 50 / 1000, 0)</f>
        <v>0</v>
      </c>
    </row>
    <row r="3487" spans="1:14" x14ac:dyDescent="0.3">
      <c r="A3487" s="6" t="s">
        <v>10</v>
      </c>
      <c r="B3487" s="5">
        <v>45313.208333333336</v>
      </c>
      <c r="C3487" s="6">
        <v>0</v>
      </c>
      <c r="D3487" s="6">
        <v>0</v>
      </c>
      <c r="E3487" s="6">
        <v>0</v>
      </c>
      <c r="F3487" s="6">
        <v>94.985385810035098</v>
      </c>
      <c r="G3487" s="6" t="str">
        <f t="shared" si="108"/>
        <v>OK</v>
      </c>
      <c r="H3487" s="6" t="str">
        <f t="shared" si="109"/>
        <v>ZERO</v>
      </c>
      <c r="I3487">
        <v>0</v>
      </c>
      <c r="J3487">
        <f>IFERROR(Table4[[#This Row],[energy_kwh]]/Table4[[#This Row],[expected_kwh]],0)</f>
        <v>0</v>
      </c>
      <c r="K3487" t="str">
        <f>IF(Table4[[#This Row],[Performance_Ratio]] &lt; 0.85, "Underperforming", "Performing")</f>
        <v>Underperforming</v>
      </c>
      <c r="L3487">
        <f>Table4[[#This Row],[energy_kwh]] - Table4[[#This Row],[expected_kwh]]</f>
        <v>0</v>
      </c>
      <c r="M3487" t="str">
        <f>IF(Table4[[#This Row],[Performance_Deviation]] &lt; 0, "Underperforming", "Outperforming")</f>
        <v>Outperforming</v>
      </c>
      <c r="N3487">
        <f>IF(Table4[[#This Row],[Performance_Ratio]] &lt; 0.85, Table4[[#This Row],[Performance_Deviation]] * 50 / 1000, 0)</f>
        <v>0</v>
      </c>
    </row>
    <row r="3488" spans="1:14" x14ac:dyDescent="0.3">
      <c r="A3488" s="4" t="s">
        <v>10</v>
      </c>
      <c r="B3488" s="3">
        <v>45313.25</v>
      </c>
      <c r="C3488" s="4">
        <v>0</v>
      </c>
      <c r="D3488" s="4">
        <v>0</v>
      </c>
      <c r="E3488" s="4">
        <v>0</v>
      </c>
      <c r="F3488" s="4">
        <v>61.9112926188741</v>
      </c>
      <c r="G3488" s="4" t="str">
        <f t="shared" si="108"/>
        <v>OK</v>
      </c>
      <c r="H3488" s="4" t="str">
        <f t="shared" si="109"/>
        <v>ZERO</v>
      </c>
      <c r="I3488">
        <v>0</v>
      </c>
      <c r="J3488">
        <f>IFERROR(Table4[[#This Row],[energy_kwh]]/Table4[[#This Row],[expected_kwh]],0)</f>
        <v>0</v>
      </c>
      <c r="K3488" t="str">
        <f>IF(Table4[[#This Row],[Performance_Ratio]] &lt; 0.85, "Underperforming", "Performing")</f>
        <v>Underperforming</v>
      </c>
      <c r="L3488">
        <f>Table4[[#This Row],[energy_kwh]] - Table4[[#This Row],[expected_kwh]]</f>
        <v>0</v>
      </c>
      <c r="M3488" t="str">
        <f>IF(Table4[[#This Row],[Performance_Deviation]] &lt; 0, "Underperforming", "Outperforming")</f>
        <v>Outperforming</v>
      </c>
      <c r="N3488">
        <f>IF(Table4[[#This Row],[Performance_Ratio]] &lt; 0.85, Table4[[#This Row],[Performance_Deviation]] * 50 / 1000, 0)</f>
        <v>0</v>
      </c>
    </row>
    <row r="3489" spans="1:14" x14ac:dyDescent="0.3">
      <c r="A3489" s="6" t="s">
        <v>10</v>
      </c>
      <c r="B3489" s="5">
        <v>45313.291666666664</v>
      </c>
      <c r="C3489" s="6">
        <v>294.28634994791901</v>
      </c>
      <c r="D3489" s="6">
        <v>278.465735199829</v>
      </c>
      <c r="E3489" s="6">
        <v>278.465735199829</v>
      </c>
      <c r="F3489" s="6">
        <v>72.149705483942498</v>
      </c>
      <c r="G3489" s="6" t="str">
        <f t="shared" si="108"/>
        <v>OK</v>
      </c>
      <c r="H3489" s="6" t="str">
        <f t="shared" si="109"/>
        <v>NON-ZERO</v>
      </c>
      <c r="I3489">
        <v>310.58285412302399</v>
      </c>
      <c r="J3489">
        <f>IFERROR(Table4[[#This Row],[energy_kwh]]/Table4[[#This Row],[expected_kwh]],0)</f>
        <v>0.89659081788696171</v>
      </c>
      <c r="K3489" t="str">
        <f>IF(Table4[[#This Row],[Performance_Ratio]] &lt; 0.85, "Underperforming", "Performing")</f>
        <v>Performing</v>
      </c>
      <c r="L3489">
        <f>Table4[[#This Row],[energy_kwh]] - Table4[[#This Row],[expected_kwh]]</f>
        <v>-32.117118923194994</v>
      </c>
      <c r="M3489" t="str">
        <f>IF(Table4[[#This Row],[Performance_Deviation]] &lt; 0, "Underperforming", "Outperforming")</f>
        <v>Underperforming</v>
      </c>
      <c r="N3489">
        <f>IF(Table4[[#This Row],[Performance_Ratio]] &lt; 0.85, Table4[[#This Row],[Performance_Deviation]] * 50 / 1000, 0)</f>
        <v>0</v>
      </c>
    </row>
    <row r="3490" spans="1:14" x14ac:dyDescent="0.3">
      <c r="A3490" s="4" t="s">
        <v>10</v>
      </c>
      <c r="B3490" s="3">
        <v>45313.333333333336</v>
      </c>
      <c r="C3490" s="4">
        <v>533.24614627424899</v>
      </c>
      <c r="D3490" s="4">
        <v>504.579231048309</v>
      </c>
      <c r="E3490" s="4">
        <v>504.579231048309</v>
      </c>
      <c r="F3490" s="4">
        <v>48.069835088805</v>
      </c>
      <c r="G3490" s="4" t="str">
        <f t="shared" si="108"/>
        <v>OK</v>
      </c>
      <c r="H3490" s="4" t="str">
        <f t="shared" si="109"/>
        <v>NON-ZERO</v>
      </c>
      <c r="I3490">
        <v>600</v>
      </c>
      <c r="J3490">
        <f>IFERROR(Table4[[#This Row],[energy_kwh]]/Table4[[#This Row],[expected_kwh]],0)</f>
        <v>0.84096538508051499</v>
      </c>
      <c r="K3490" t="str">
        <f>IF(Table4[[#This Row],[Performance_Ratio]] &lt; 0.85, "Underperforming", "Performing")</f>
        <v>Underperforming</v>
      </c>
      <c r="L3490">
        <f>Table4[[#This Row],[energy_kwh]] - Table4[[#This Row],[expected_kwh]]</f>
        <v>-95.420768951691002</v>
      </c>
      <c r="M3490" t="str">
        <f>IF(Table4[[#This Row],[Performance_Deviation]] &lt; 0, "Underperforming", "Outperforming")</f>
        <v>Underperforming</v>
      </c>
      <c r="N3490">
        <f>IF(Table4[[#This Row],[Performance_Ratio]] &lt; 0.85, Table4[[#This Row],[Performance_Deviation]] * 50 / 1000, 0)</f>
        <v>-4.7710384475845506</v>
      </c>
    </row>
    <row r="3491" spans="1:14" x14ac:dyDescent="0.3">
      <c r="A3491" s="6" t="s">
        <v>10</v>
      </c>
      <c r="B3491" s="5">
        <v>45313.375</v>
      </c>
      <c r="C3491" s="6">
        <v>858.12381376113296</v>
      </c>
      <c r="D3491" s="6">
        <v>811.99171736563699</v>
      </c>
      <c r="E3491" s="6">
        <v>811.99171736563699</v>
      </c>
      <c r="F3491" s="6">
        <v>79.500862089573104</v>
      </c>
      <c r="G3491" s="6" t="str">
        <f t="shared" si="108"/>
        <v>OK</v>
      </c>
      <c r="H3491" s="6" t="str">
        <f t="shared" si="109"/>
        <v>NON-ZERO</v>
      </c>
      <c r="I3491">
        <v>848.52813742385695</v>
      </c>
      <c r="J3491">
        <f>IFERROR(Table4[[#This Row],[energy_kwh]]/Table4[[#This Row],[expected_kwh]],0)</f>
        <v>0.95694141602758742</v>
      </c>
      <c r="K3491" t="str">
        <f>IF(Table4[[#This Row],[Performance_Ratio]] &lt; 0.85, "Underperforming", "Performing")</f>
        <v>Performing</v>
      </c>
      <c r="L3491">
        <f>Table4[[#This Row],[energy_kwh]] - Table4[[#This Row],[expected_kwh]]</f>
        <v>-36.53642005821996</v>
      </c>
      <c r="M3491" t="str">
        <f>IF(Table4[[#This Row],[Performance_Deviation]] &lt; 0, "Underperforming", "Outperforming")</f>
        <v>Underperforming</v>
      </c>
      <c r="N3491">
        <f>IF(Table4[[#This Row],[Performance_Ratio]] &lt; 0.85, Table4[[#This Row],[Performance_Deviation]] * 50 / 1000, 0)</f>
        <v>0</v>
      </c>
    </row>
    <row r="3492" spans="1:14" x14ac:dyDescent="0.3">
      <c r="A3492" s="4" t="s">
        <v>10</v>
      </c>
      <c r="B3492" s="3">
        <v>45313.416666666664</v>
      </c>
      <c r="C3492" s="4">
        <v>1039.23035809513</v>
      </c>
      <c r="D3492" s="4">
        <v>983.36210891248697</v>
      </c>
      <c r="E3492" s="4">
        <v>983.36210891248697</v>
      </c>
      <c r="F3492" s="4">
        <v>63.498749033906201</v>
      </c>
      <c r="G3492" s="4" t="str">
        <f t="shared" si="108"/>
        <v>OK</v>
      </c>
      <c r="H3492" s="4" t="str">
        <f t="shared" si="109"/>
        <v>NON-ZERO</v>
      </c>
      <c r="I3492">
        <v>1039.23048454132</v>
      </c>
      <c r="J3492">
        <f>IFERROR(Table4[[#This Row],[energy_kwh]]/Table4[[#This Row],[expected_kwh]],0)</f>
        <v>0.94624063048584317</v>
      </c>
      <c r="K3492" t="str">
        <f>IF(Table4[[#This Row],[Performance_Ratio]] &lt; 0.85, "Underperforming", "Performing")</f>
        <v>Performing</v>
      </c>
      <c r="L3492">
        <f>Table4[[#This Row],[energy_kwh]] - Table4[[#This Row],[expected_kwh]]</f>
        <v>-55.868375628833064</v>
      </c>
      <c r="M3492" t="str">
        <f>IF(Table4[[#This Row],[Performance_Deviation]] &lt; 0, "Underperforming", "Outperforming")</f>
        <v>Underperforming</v>
      </c>
      <c r="N3492">
        <f>IF(Table4[[#This Row],[Performance_Ratio]] &lt; 0.85, Table4[[#This Row],[Performance_Deviation]] * 50 / 1000, 0)</f>
        <v>0</v>
      </c>
    </row>
    <row r="3493" spans="1:14" x14ac:dyDescent="0.3">
      <c r="A3493" s="6" t="s">
        <v>10</v>
      </c>
      <c r="B3493" s="5">
        <v>45313.458333333336</v>
      </c>
      <c r="C3493" s="6">
        <v>1194.09607818978</v>
      </c>
      <c r="D3493" s="6">
        <v>1129.9023633654699</v>
      </c>
      <c r="E3493" s="6">
        <v>1129.9023633654699</v>
      </c>
      <c r="F3493" s="6">
        <v>76.872928513496902</v>
      </c>
      <c r="G3493" s="6" t="str">
        <f t="shared" si="108"/>
        <v>OK</v>
      </c>
      <c r="H3493" s="6" t="str">
        <f t="shared" si="109"/>
        <v>NON-ZERO</v>
      </c>
      <c r="I3493">
        <v>1159.1109915468801</v>
      </c>
      <c r="J3493">
        <f>IFERROR(Table4[[#This Row],[energy_kwh]]/Table4[[#This Row],[expected_kwh]],0)</f>
        <v>0.9748008358177761</v>
      </c>
      <c r="K3493" t="str">
        <f>IF(Table4[[#This Row],[Performance_Ratio]] &lt; 0.85, "Underperforming", "Performing")</f>
        <v>Performing</v>
      </c>
      <c r="L3493">
        <f>Table4[[#This Row],[energy_kwh]] - Table4[[#This Row],[expected_kwh]]</f>
        <v>-29.208628181410177</v>
      </c>
      <c r="M3493" t="str">
        <f>IF(Table4[[#This Row],[Performance_Deviation]] &lt; 0, "Underperforming", "Outperforming")</f>
        <v>Underperforming</v>
      </c>
      <c r="N3493">
        <f>IF(Table4[[#This Row],[Performance_Ratio]] &lt; 0.85, Table4[[#This Row],[Performance_Deviation]] * 50 / 1000, 0)</f>
        <v>0</v>
      </c>
    </row>
    <row r="3494" spans="1:14" x14ac:dyDescent="0.3">
      <c r="A3494" s="4" t="s">
        <v>10</v>
      </c>
      <c r="B3494" s="3">
        <v>45313.5</v>
      </c>
      <c r="C3494" s="4">
        <v>1051.24715941151</v>
      </c>
      <c r="D3494" s="4">
        <v>994.73289595003496</v>
      </c>
      <c r="E3494" s="4">
        <v>994.73289595003496</v>
      </c>
      <c r="F3494" s="4">
        <v>38.830926802200899</v>
      </c>
      <c r="G3494" s="4" t="str">
        <f t="shared" si="108"/>
        <v>OK</v>
      </c>
      <c r="H3494" s="4" t="str">
        <f t="shared" si="109"/>
        <v>NON-ZERO</v>
      </c>
      <c r="I3494">
        <v>1200</v>
      </c>
      <c r="J3494">
        <f>IFERROR(Table4[[#This Row],[energy_kwh]]/Table4[[#This Row],[expected_kwh]],0)</f>
        <v>0.8289440799583625</v>
      </c>
      <c r="K3494" t="str">
        <f>IF(Table4[[#This Row],[Performance_Ratio]] &lt; 0.85, "Underperforming", "Performing")</f>
        <v>Underperforming</v>
      </c>
      <c r="L3494">
        <f>Table4[[#This Row],[energy_kwh]] - Table4[[#This Row],[expected_kwh]]</f>
        <v>-205.26710404996504</v>
      </c>
      <c r="M3494" t="str">
        <f>IF(Table4[[#This Row],[Performance_Deviation]] &lt; 0, "Underperforming", "Outperforming")</f>
        <v>Underperforming</v>
      </c>
      <c r="N3494">
        <f>IF(Table4[[#This Row],[Performance_Ratio]] &lt; 0.85, Table4[[#This Row],[Performance_Deviation]] * 50 / 1000, 0)</f>
        <v>-10.263355202498254</v>
      </c>
    </row>
    <row r="3495" spans="1:14" x14ac:dyDescent="0.3">
      <c r="A3495" s="6" t="s">
        <v>10</v>
      </c>
      <c r="B3495" s="5">
        <v>45313.541666666664</v>
      </c>
      <c r="C3495" s="6">
        <v>1141.3012285279201</v>
      </c>
      <c r="D3495" s="6">
        <v>1079.9457254566601</v>
      </c>
      <c r="E3495" s="6">
        <v>1079.9457254566601</v>
      </c>
      <c r="F3495" s="6">
        <v>62.200008549224897</v>
      </c>
      <c r="G3495" s="6" t="str">
        <f t="shared" si="108"/>
        <v>OK</v>
      </c>
      <c r="H3495" s="6" t="str">
        <f t="shared" si="109"/>
        <v>NON-ZERO</v>
      </c>
      <c r="I3495">
        <v>1159.1109915468801</v>
      </c>
      <c r="J3495">
        <f>IFERROR(Table4[[#This Row],[energy_kwh]]/Table4[[#This Row],[expected_kwh]],0)</f>
        <v>0.93170173808414081</v>
      </c>
      <c r="K3495" t="str">
        <f>IF(Table4[[#This Row],[Performance_Ratio]] &lt; 0.85, "Underperforming", "Performing")</f>
        <v>Performing</v>
      </c>
      <c r="L3495">
        <f>Table4[[#This Row],[energy_kwh]] - Table4[[#This Row],[expected_kwh]]</f>
        <v>-79.16526609022003</v>
      </c>
      <c r="M3495" t="str">
        <f>IF(Table4[[#This Row],[Performance_Deviation]] &lt; 0, "Underperforming", "Outperforming")</f>
        <v>Underperforming</v>
      </c>
      <c r="N3495">
        <f>IF(Table4[[#This Row],[Performance_Ratio]] &lt; 0.85, Table4[[#This Row],[Performance_Deviation]] * 50 / 1000, 0)</f>
        <v>0</v>
      </c>
    </row>
    <row r="3496" spans="1:14" x14ac:dyDescent="0.3">
      <c r="A3496" s="4" t="s">
        <v>10</v>
      </c>
      <c r="B3496" s="3">
        <v>45313.583333333336</v>
      </c>
      <c r="C3496" s="4">
        <v>935.279059602752</v>
      </c>
      <c r="D3496" s="4">
        <v>884.99915471912698</v>
      </c>
      <c r="E3496" s="4">
        <v>884.99915471912698</v>
      </c>
      <c r="F3496" s="4">
        <v>35.237002877315597</v>
      </c>
      <c r="G3496" s="4" t="str">
        <f t="shared" si="108"/>
        <v>OK</v>
      </c>
      <c r="H3496" s="4" t="str">
        <f t="shared" si="109"/>
        <v>NON-ZERO</v>
      </c>
      <c r="I3496">
        <v>1039.23048454132</v>
      </c>
      <c r="J3496">
        <f>IFERROR(Table4[[#This Row],[energy_kwh]]/Table4[[#This Row],[expected_kwh]],0)</f>
        <v>0.85159083368280386</v>
      </c>
      <c r="K3496" t="str">
        <f>IF(Table4[[#This Row],[Performance_Ratio]] &lt; 0.85, "Underperforming", "Performing")</f>
        <v>Performing</v>
      </c>
      <c r="L3496">
        <f>Table4[[#This Row],[energy_kwh]] - Table4[[#This Row],[expected_kwh]]</f>
        <v>-154.23132982219306</v>
      </c>
      <c r="M3496" t="str">
        <f>IF(Table4[[#This Row],[Performance_Deviation]] &lt; 0, "Underperforming", "Outperforming")</f>
        <v>Underperforming</v>
      </c>
      <c r="N3496">
        <f>IF(Table4[[#This Row],[Performance_Ratio]] &lt; 0.85, Table4[[#This Row],[Performance_Deviation]] * 50 / 1000, 0)</f>
        <v>0</v>
      </c>
    </row>
    <row r="3497" spans="1:14" x14ac:dyDescent="0.3">
      <c r="A3497" s="6" t="s">
        <v>10</v>
      </c>
      <c r="B3497" s="5">
        <v>45313.625</v>
      </c>
      <c r="C3497" s="6">
        <v>756.89627530228597</v>
      </c>
      <c r="D3497" s="6">
        <v>716.20609589729304</v>
      </c>
      <c r="E3497" s="6">
        <v>716.20609589729304</v>
      </c>
      <c r="F3497" s="6">
        <v>93.828598446395205</v>
      </c>
      <c r="G3497" s="6" t="str">
        <f t="shared" si="108"/>
        <v>OK</v>
      </c>
      <c r="H3497" s="6" t="str">
        <f t="shared" si="109"/>
        <v>NON-ZERO</v>
      </c>
      <c r="I3497">
        <v>848.52813742385695</v>
      </c>
      <c r="J3497">
        <f>IFERROR(Table4[[#This Row],[energy_kwh]]/Table4[[#This Row],[expected_kwh]],0)</f>
        <v>0.8440569785601979</v>
      </c>
      <c r="K3497" t="str">
        <f>IF(Table4[[#This Row],[Performance_Ratio]] &lt; 0.85, "Underperforming", "Performing")</f>
        <v>Underperforming</v>
      </c>
      <c r="L3497">
        <f>Table4[[#This Row],[energy_kwh]] - Table4[[#This Row],[expected_kwh]]</f>
        <v>-132.32204152656391</v>
      </c>
      <c r="M3497" t="str">
        <f>IF(Table4[[#This Row],[Performance_Deviation]] &lt; 0, "Underperforming", "Outperforming")</f>
        <v>Underperforming</v>
      </c>
      <c r="N3497">
        <f>IF(Table4[[#This Row],[Performance_Ratio]] &lt; 0.85, Table4[[#This Row],[Performance_Deviation]] * 50 / 1000, 0)</f>
        <v>-6.6161020763281959</v>
      </c>
    </row>
    <row r="3498" spans="1:14" x14ac:dyDescent="0.3">
      <c r="A3498" s="4" t="s">
        <v>10</v>
      </c>
      <c r="B3498" s="3">
        <v>45313.666666666664</v>
      </c>
      <c r="C3498" s="4">
        <v>616.19509748924497</v>
      </c>
      <c r="D3498" s="4">
        <v>583.06890849419301</v>
      </c>
      <c r="E3498" s="4">
        <v>583.06890849419301</v>
      </c>
      <c r="F3498" s="4">
        <v>73.001578134540694</v>
      </c>
      <c r="G3498" s="4" t="str">
        <f t="shared" si="108"/>
        <v>OK</v>
      </c>
      <c r="H3498" s="4" t="str">
        <f t="shared" si="109"/>
        <v>NON-ZERO</v>
      </c>
      <c r="I3498">
        <v>600</v>
      </c>
      <c r="J3498">
        <f>IFERROR(Table4[[#This Row],[energy_kwh]]/Table4[[#This Row],[expected_kwh]],0)</f>
        <v>0.97178151415698832</v>
      </c>
      <c r="K3498" t="str">
        <f>IF(Table4[[#This Row],[Performance_Ratio]] &lt; 0.85, "Underperforming", "Performing")</f>
        <v>Performing</v>
      </c>
      <c r="L3498">
        <f>Table4[[#This Row],[energy_kwh]] - Table4[[#This Row],[expected_kwh]]</f>
        <v>-16.93109150580699</v>
      </c>
      <c r="M3498" t="str">
        <f>IF(Table4[[#This Row],[Performance_Deviation]] &lt; 0, "Underperforming", "Outperforming")</f>
        <v>Underperforming</v>
      </c>
      <c r="N3498">
        <f>IF(Table4[[#This Row],[Performance_Ratio]] &lt; 0.85, Table4[[#This Row],[Performance_Deviation]] * 50 / 1000, 0)</f>
        <v>0</v>
      </c>
    </row>
    <row r="3499" spans="1:14" x14ac:dyDescent="0.3">
      <c r="A3499" s="6" t="s">
        <v>10</v>
      </c>
      <c r="B3499" s="5">
        <v>45313.708333333336</v>
      </c>
      <c r="C3499" s="6">
        <v>293.00627627693802</v>
      </c>
      <c r="D3499" s="6">
        <v>277.25447733495503</v>
      </c>
      <c r="E3499" s="6">
        <v>277.25447733495503</v>
      </c>
      <c r="F3499" s="6">
        <v>40.428843444746697</v>
      </c>
      <c r="G3499" s="6" t="str">
        <f t="shared" si="108"/>
        <v>OK</v>
      </c>
      <c r="H3499" s="6" t="str">
        <f t="shared" si="109"/>
        <v>NON-ZERO</v>
      </c>
      <c r="I3499">
        <v>310.58285412302502</v>
      </c>
      <c r="J3499">
        <f>IFERROR(Table4[[#This Row],[energy_kwh]]/Table4[[#This Row],[expected_kwh]],0)</f>
        <v>0.89269086704036704</v>
      </c>
      <c r="K3499" t="str">
        <f>IF(Table4[[#This Row],[Performance_Ratio]] &lt; 0.85, "Underperforming", "Performing")</f>
        <v>Performing</v>
      </c>
      <c r="L3499">
        <f>Table4[[#This Row],[energy_kwh]] - Table4[[#This Row],[expected_kwh]]</f>
        <v>-33.328376788069988</v>
      </c>
      <c r="M3499" t="str">
        <f>IF(Table4[[#This Row],[Performance_Deviation]] &lt; 0, "Underperforming", "Outperforming")</f>
        <v>Underperforming</v>
      </c>
      <c r="N3499">
        <f>IF(Table4[[#This Row],[Performance_Ratio]] &lt; 0.85, Table4[[#This Row],[Performance_Deviation]] * 50 / 1000, 0)</f>
        <v>0</v>
      </c>
    </row>
    <row r="3500" spans="1:14" x14ac:dyDescent="0.3">
      <c r="A3500" s="4" t="s">
        <v>10</v>
      </c>
      <c r="B3500" s="3">
        <v>45313.75</v>
      </c>
      <c r="C3500" s="7">
        <v>1.3658581653642599E-13</v>
      </c>
      <c r="D3500" s="7">
        <v>1.2924306488023E-13</v>
      </c>
      <c r="E3500" s="7">
        <v>1.2924306488023E-13</v>
      </c>
      <c r="F3500" s="4">
        <v>69.079502362293098</v>
      </c>
      <c r="G3500" s="4" t="str">
        <f t="shared" si="108"/>
        <v>OK</v>
      </c>
      <c r="H3500" s="4" t="str">
        <f t="shared" si="109"/>
        <v>NON-ZERO</v>
      </c>
      <c r="I3500" s="2">
        <v>1.46957615897682E-13</v>
      </c>
      <c r="J3500">
        <f>IFERROR(Table4[[#This Row],[energy_kwh]]/Table4[[#This Row],[expected_kwh]],0)</f>
        <v>0.87945809470816672</v>
      </c>
      <c r="K3500" t="str">
        <f>IF(Table4[[#This Row],[Performance_Ratio]] &lt; 0.85, "Underperforming", "Performing")</f>
        <v>Performing</v>
      </c>
      <c r="L3500">
        <f>Table4[[#This Row],[energy_kwh]] - Table4[[#This Row],[expected_kwh]]</f>
        <v>-1.7714551017452003E-14</v>
      </c>
      <c r="M3500" t="str">
        <f>IF(Table4[[#This Row],[Performance_Deviation]] &lt; 0, "Underperforming", "Outperforming")</f>
        <v>Underperforming</v>
      </c>
      <c r="N3500">
        <f>IF(Table4[[#This Row],[Performance_Ratio]] &lt; 0.85, Table4[[#This Row],[Performance_Deviation]] * 50 / 1000, 0)</f>
        <v>0</v>
      </c>
    </row>
    <row r="3501" spans="1:14" x14ac:dyDescent="0.3">
      <c r="A3501" s="6" t="s">
        <v>10</v>
      </c>
      <c r="B3501" s="5">
        <v>45313.791666666664</v>
      </c>
      <c r="C3501" s="6">
        <v>0</v>
      </c>
      <c r="D3501" s="6">
        <v>0</v>
      </c>
      <c r="E3501" s="6">
        <v>0</v>
      </c>
      <c r="F3501" s="6">
        <v>68.408137488762193</v>
      </c>
      <c r="G3501" s="6" t="str">
        <f t="shared" si="108"/>
        <v>OK</v>
      </c>
      <c r="H3501" s="6" t="str">
        <f t="shared" si="109"/>
        <v>ZERO</v>
      </c>
      <c r="I3501">
        <v>0</v>
      </c>
      <c r="J3501">
        <f>IFERROR(Table4[[#This Row],[energy_kwh]]/Table4[[#This Row],[expected_kwh]],0)</f>
        <v>0</v>
      </c>
      <c r="K3501" t="str">
        <f>IF(Table4[[#This Row],[Performance_Ratio]] &lt; 0.85, "Underperforming", "Performing")</f>
        <v>Underperforming</v>
      </c>
      <c r="L3501">
        <f>Table4[[#This Row],[energy_kwh]] - Table4[[#This Row],[expected_kwh]]</f>
        <v>0</v>
      </c>
      <c r="M3501" t="str">
        <f>IF(Table4[[#This Row],[Performance_Deviation]] &lt; 0, "Underperforming", "Outperforming")</f>
        <v>Outperforming</v>
      </c>
      <c r="N3501">
        <f>IF(Table4[[#This Row],[Performance_Ratio]] &lt; 0.85, Table4[[#This Row],[Performance_Deviation]] * 50 / 1000, 0)</f>
        <v>0</v>
      </c>
    </row>
    <row r="3502" spans="1:14" x14ac:dyDescent="0.3">
      <c r="A3502" s="4" t="s">
        <v>10</v>
      </c>
      <c r="B3502" s="3">
        <v>45313.833333333336</v>
      </c>
      <c r="C3502" s="4">
        <v>0</v>
      </c>
      <c r="D3502" s="4">
        <v>0</v>
      </c>
      <c r="E3502" s="4">
        <v>0</v>
      </c>
      <c r="F3502" s="4">
        <v>55.388223112821002</v>
      </c>
      <c r="G3502" s="4" t="str">
        <f t="shared" si="108"/>
        <v>OK</v>
      </c>
      <c r="H3502" s="4" t="str">
        <f t="shared" si="109"/>
        <v>ZERO</v>
      </c>
      <c r="I3502">
        <v>0</v>
      </c>
      <c r="J3502">
        <f>IFERROR(Table4[[#This Row],[energy_kwh]]/Table4[[#This Row],[expected_kwh]],0)</f>
        <v>0</v>
      </c>
      <c r="K3502" t="str">
        <f>IF(Table4[[#This Row],[Performance_Ratio]] &lt; 0.85, "Underperforming", "Performing")</f>
        <v>Underperforming</v>
      </c>
      <c r="L3502">
        <f>Table4[[#This Row],[energy_kwh]] - Table4[[#This Row],[expected_kwh]]</f>
        <v>0</v>
      </c>
      <c r="M3502" t="str">
        <f>IF(Table4[[#This Row],[Performance_Deviation]] &lt; 0, "Underperforming", "Outperforming")</f>
        <v>Outperforming</v>
      </c>
      <c r="N3502">
        <f>IF(Table4[[#This Row],[Performance_Ratio]] &lt; 0.85, Table4[[#This Row],[Performance_Deviation]] * 50 / 1000, 0)</f>
        <v>0</v>
      </c>
    </row>
    <row r="3503" spans="1:14" x14ac:dyDescent="0.3">
      <c r="A3503" s="6" t="s">
        <v>10</v>
      </c>
      <c r="B3503" s="5">
        <v>45313.875</v>
      </c>
      <c r="C3503" s="6">
        <v>0</v>
      </c>
      <c r="D3503" s="6">
        <v>0</v>
      </c>
      <c r="E3503" s="6">
        <v>0</v>
      </c>
      <c r="F3503" s="6">
        <v>60.099467506181298</v>
      </c>
      <c r="G3503" s="6" t="str">
        <f t="shared" si="108"/>
        <v>OK</v>
      </c>
      <c r="H3503" s="6" t="str">
        <f t="shared" si="109"/>
        <v>ZERO</v>
      </c>
      <c r="I3503">
        <v>0</v>
      </c>
      <c r="J3503">
        <f>IFERROR(Table4[[#This Row],[energy_kwh]]/Table4[[#This Row],[expected_kwh]],0)</f>
        <v>0</v>
      </c>
      <c r="K3503" t="str">
        <f>IF(Table4[[#This Row],[Performance_Ratio]] &lt; 0.85, "Underperforming", "Performing")</f>
        <v>Underperforming</v>
      </c>
      <c r="L3503">
        <f>Table4[[#This Row],[energy_kwh]] - Table4[[#This Row],[expected_kwh]]</f>
        <v>0</v>
      </c>
      <c r="M3503" t="str">
        <f>IF(Table4[[#This Row],[Performance_Deviation]] &lt; 0, "Underperforming", "Outperforming")</f>
        <v>Outperforming</v>
      </c>
      <c r="N3503">
        <f>IF(Table4[[#This Row],[Performance_Ratio]] &lt; 0.85, Table4[[#This Row],[Performance_Deviation]] * 50 / 1000, 0)</f>
        <v>0</v>
      </c>
    </row>
    <row r="3504" spans="1:14" x14ac:dyDescent="0.3">
      <c r="A3504" s="4" t="s">
        <v>10</v>
      </c>
      <c r="B3504" s="3">
        <v>45313.916666666664</v>
      </c>
      <c r="C3504" s="4">
        <v>0</v>
      </c>
      <c r="D3504" s="4">
        <v>0</v>
      </c>
      <c r="E3504" s="4">
        <v>0</v>
      </c>
      <c r="F3504" s="4">
        <v>53.405407143337598</v>
      </c>
      <c r="G3504" s="4" t="str">
        <f t="shared" si="108"/>
        <v>OK</v>
      </c>
      <c r="H3504" s="4" t="str">
        <f t="shared" si="109"/>
        <v>ZERO</v>
      </c>
      <c r="I3504">
        <v>0</v>
      </c>
      <c r="J3504">
        <f>IFERROR(Table4[[#This Row],[energy_kwh]]/Table4[[#This Row],[expected_kwh]],0)</f>
        <v>0</v>
      </c>
      <c r="K3504" t="str">
        <f>IF(Table4[[#This Row],[Performance_Ratio]] &lt; 0.85, "Underperforming", "Performing")</f>
        <v>Underperforming</v>
      </c>
      <c r="L3504">
        <f>Table4[[#This Row],[energy_kwh]] - Table4[[#This Row],[expected_kwh]]</f>
        <v>0</v>
      </c>
      <c r="M3504" t="str">
        <f>IF(Table4[[#This Row],[Performance_Deviation]] &lt; 0, "Underperforming", "Outperforming")</f>
        <v>Outperforming</v>
      </c>
      <c r="N3504">
        <f>IF(Table4[[#This Row],[Performance_Ratio]] &lt; 0.85, Table4[[#This Row],[Performance_Deviation]] * 50 / 1000, 0)</f>
        <v>0</v>
      </c>
    </row>
    <row r="3505" spans="1:14" x14ac:dyDescent="0.3">
      <c r="A3505" s="6" t="s">
        <v>10</v>
      </c>
      <c r="B3505" s="5">
        <v>45313.958333333336</v>
      </c>
      <c r="C3505" s="6">
        <v>0</v>
      </c>
      <c r="D3505" s="6">
        <v>0</v>
      </c>
      <c r="E3505" s="6">
        <v>0</v>
      </c>
      <c r="F3505" s="6">
        <v>85.274677591556994</v>
      </c>
      <c r="G3505" s="6" t="str">
        <f t="shared" si="108"/>
        <v>OK</v>
      </c>
      <c r="H3505" s="6" t="str">
        <f t="shared" si="109"/>
        <v>ZERO</v>
      </c>
      <c r="I3505">
        <v>0</v>
      </c>
      <c r="J3505">
        <f>IFERROR(Table4[[#This Row],[energy_kwh]]/Table4[[#This Row],[expected_kwh]],0)</f>
        <v>0</v>
      </c>
      <c r="K3505" t="str">
        <f>IF(Table4[[#This Row],[Performance_Ratio]] &lt; 0.85, "Underperforming", "Performing")</f>
        <v>Underperforming</v>
      </c>
      <c r="L3505">
        <f>Table4[[#This Row],[energy_kwh]] - Table4[[#This Row],[expected_kwh]]</f>
        <v>0</v>
      </c>
      <c r="M3505" t="str">
        <f>IF(Table4[[#This Row],[Performance_Deviation]] &lt; 0, "Underperforming", "Outperforming")</f>
        <v>Outperforming</v>
      </c>
      <c r="N3505">
        <f>IF(Table4[[#This Row],[Performance_Ratio]] &lt; 0.85, Table4[[#This Row],[Performance_Deviation]] * 50 / 1000, 0)</f>
        <v>0</v>
      </c>
    </row>
    <row r="3506" spans="1:14" x14ac:dyDescent="0.3">
      <c r="A3506" s="4" t="s">
        <v>10</v>
      </c>
      <c r="B3506" s="3">
        <v>45314</v>
      </c>
      <c r="C3506" s="4">
        <v>0</v>
      </c>
      <c r="D3506" s="4">
        <v>0</v>
      </c>
      <c r="E3506" s="4">
        <v>0</v>
      </c>
      <c r="F3506" s="4">
        <v>75.789660866449793</v>
      </c>
      <c r="G3506" s="4" t="str">
        <f t="shared" si="108"/>
        <v>OK</v>
      </c>
      <c r="H3506" s="4" t="str">
        <f t="shared" si="109"/>
        <v>ZERO</v>
      </c>
      <c r="I3506">
        <v>0</v>
      </c>
      <c r="J3506">
        <f>IFERROR(Table4[[#This Row],[energy_kwh]]/Table4[[#This Row],[expected_kwh]],0)</f>
        <v>0</v>
      </c>
      <c r="K3506" t="str">
        <f>IF(Table4[[#This Row],[Performance_Ratio]] &lt; 0.85, "Underperforming", "Performing")</f>
        <v>Underperforming</v>
      </c>
      <c r="L3506">
        <f>Table4[[#This Row],[energy_kwh]] - Table4[[#This Row],[expected_kwh]]</f>
        <v>0</v>
      </c>
      <c r="M3506" t="str">
        <f>IF(Table4[[#This Row],[Performance_Deviation]] &lt; 0, "Underperforming", "Outperforming")</f>
        <v>Outperforming</v>
      </c>
      <c r="N3506">
        <f>IF(Table4[[#This Row],[Performance_Ratio]] &lt; 0.85, Table4[[#This Row],[Performance_Deviation]] * 50 / 1000, 0)</f>
        <v>0</v>
      </c>
    </row>
    <row r="3507" spans="1:14" x14ac:dyDescent="0.3">
      <c r="A3507" s="6" t="s">
        <v>10</v>
      </c>
      <c r="B3507" s="5">
        <v>45314.041666666664</v>
      </c>
      <c r="C3507" s="6">
        <v>0</v>
      </c>
      <c r="D3507" s="6">
        <v>0</v>
      </c>
      <c r="E3507" s="6">
        <v>0</v>
      </c>
      <c r="F3507" s="6">
        <v>37.724451320709299</v>
      </c>
      <c r="G3507" s="6" t="str">
        <f t="shared" si="108"/>
        <v>OK</v>
      </c>
      <c r="H3507" s="6" t="str">
        <f t="shared" si="109"/>
        <v>ZERO</v>
      </c>
      <c r="I3507">
        <v>0</v>
      </c>
      <c r="J3507">
        <f>IFERROR(Table4[[#This Row],[energy_kwh]]/Table4[[#This Row],[expected_kwh]],0)</f>
        <v>0</v>
      </c>
      <c r="K3507" t="str">
        <f>IF(Table4[[#This Row],[Performance_Ratio]] &lt; 0.85, "Underperforming", "Performing")</f>
        <v>Underperforming</v>
      </c>
      <c r="L3507">
        <f>Table4[[#This Row],[energy_kwh]] - Table4[[#This Row],[expected_kwh]]</f>
        <v>0</v>
      </c>
      <c r="M3507" t="str">
        <f>IF(Table4[[#This Row],[Performance_Deviation]] &lt; 0, "Underperforming", "Outperforming")</f>
        <v>Outperforming</v>
      </c>
      <c r="N3507">
        <f>IF(Table4[[#This Row],[Performance_Ratio]] &lt; 0.85, Table4[[#This Row],[Performance_Deviation]] * 50 / 1000, 0)</f>
        <v>0</v>
      </c>
    </row>
    <row r="3508" spans="1:14" x14ac:dyDescent="0.3">
      <c r="A3508" s="4" t="s">
        <v>10</v>
      </c>
      <c r="B3508" s="3">
        <v>45314.083333333336</v>
      </c>
      <c r="C3508" s="4">
        <v>0</v>
      </c>
      <c r="D3508" s="4">
        <v>0</v>
      </c>
      <c r="E3508" s="4">
        <v>0</v>
      </c>
      <c r="F3508" s="4">
        <v>37.9808129703693</v>
      </c>
      <c r="G3508" s="4" t="str">
        <f t="shared" si="108"/>
        <v>OK</v>
      </c>
      <c r="H3508" s="4" t="str">
        <f t="shared" si="109"/>
        <v>ZERO</v>
      </c>
      <c r="I3508">
        <v>0</v>
      </c>
      <c r="J3508">
        <f>IFERROR(Table4[[#This Row],[energy_kwh]]/Table4[[#This Row],[expected_kwh]],0)</f>
        <v>0</v>
      </c>
      <c r="K3508" t="str">
        <f>IF(Table4[[#This Row],[Performance_Ratio]] &lt; 0.85, "Underperforming", "Performing")</f>
        <v>Underperforming</v>
      </c>
      <c r="L3508">
        <f>Table4[[#This Row],[energy_kwh]] - Table4[[#This Row],[expected_kwh]]</f>
        <v>0</v>
      </c>
      <c r="M3508" t="str">
        <f>IF(Table4[[#This Row],[Performance_Deviation]] &lt; 0, "Underperforming", "Outperforming")</f>
        <v>Outperforming</v>
      </c>
      <c r="N3508">
        <f>IF(Table4[[#This Row],[Performance_Ratio]] &lt; 0.85, Table4[[#This Row],[Performance_Deviation]] * 50 / 1000, 0)</f>
        <v>0</v>
      </c>
    </row>
    <row r="3509" spans="1:14" x14ac:dyDescent="0.3">
      <c r="A3509" s="6" t="s">
        <v>10</v>
      </c>
      <c r="B3509" s="5">
        <v>45314.125</v>
      </c>
      <c r="C3509" s="6">
        <v>0</v>
      </c>
      <c r="D3509" s="6">
        <v>0</v>
      </c>
      <c r="E3509" s="6">
        <v>0</v>
      </c>
      <c r="F3509" s="6">
        <v>22.177992665691399</v>
      </c>
      <c r="G3509" s="6" t="str">
        <f t="shared" si="108"/>
        <v>OK</v>
      </c>
      <c r="H3509" s="6" t="str">
        <f t="shared" si="109"/>
        <v>ZERO</v>
      </c>
      <c r="I3509">
        <v>0</v>
      </c>
      <c r="J3509">
        <f>IFERROR(Table4[[#This Row],[energy_kwh]]/Table4[[#This Row],[expected_kwh]],0)</f>
        <v>0</v>
      </c>
      <c r="K3509" t="str">
        <f>IF(Table4[[#This Row],[Performance_Ratio]] &lt; 0.85, "Underperforming", "Performing")</f>
        <v>Underperforming</v>
      </c>
      <c r="L3509">
        <f>Table4[[#This Row],[energy_kwh]] - Table4[[#This Row],[expected_kwh]]</f>
        <v>0</v>
      </c>
      <c r="M3509" t="str">
        <f>IF(Table4[[#This Row],[Performance_Deviation]] &lt; 0, "Underperforming", "Outperforming")</f>
        <v>Outperforming</v>
      </c>
      <c r="N3509">
        <f>IF(Table4[[#This Row],[Performance_Ratio]] &lt; 0.85, Table4[[#This Row],[Performance_Deviation]] * 50 / 1000, 0)</f>
        <v>0</v>
      </c>
    </row>
    <row r="3510" spans="1:14" x14ac:dyDescent="0.3">
      <c r="A3510" s="4" t="s">
        <v>10</v>
      </c>
      <c r="B3510" s="3">
        <v>45314.166666666664</v>
      </c>
      <c r="C3510" s="4">
        <v>0</v>
      </c>
      <c r="D3510" s="4">
        <v>0</v>
      </c>
      <c r="E3510" s="4">
        <v>0</v>
      </c>
      <c r="F3510" s="4">
        <v>36.9127326890722</v>
      </c>
      <c r="G3510" s="4" t="str">
        <f t="shared" si="108"/>
        <v>OK</v>
      </c>
      <c r="H3510" s="4" t="str">
        <f t="shared" si="109"/>
        <v>ZERO</v>
      </c>
      <c r="I3510">
        <v>0</v>
      </c>
      <c r="J3510">
        <f>IFERROR(Table4[[#This Row],[energy_kwh]]/Table4[[#This Row],[expected_kwh]],0)</f>
        <v>0</v>
      </c>
      <c r="K3510" t="str">
        <f>IF(Table4[[#This Row],[Performance_Ratio]] &lt; 0.85, "Underperforming", "Performing")</f>
        <v>Underperforming</v>
      </c>
      <c r="L3510">
        <f>Table4[[#This Row],[energy_kwh]] - Table4[[#This Row],[expected_kwh]]</f>
        <v>0</v>
      </c>
      <c r="M3510" t="str">
        <f>IF(Table4[[#This Row],[Performance_Deviation]] &lt; 0, "Underperforming", "Outperforming")</f>
        <v>Outperforming</v>
      </c>
      <c r="N3510">
        <f>IF(Table4[[#This Row],[Performance_Ratio]] &lt; 0.85, Table4[[#This Row],[Performance_Deviation]] * 50 / 1000, 0)</f>
        <v>0</v>
      </c>
    </row>
    <row r="3511" spans="1:14" x14ac:dyDescent="0.3">
      <c r="A3511" s="6" t="s">
        <v>10</v>
      </c>
      <c r="B3511" s="5">
        <v>45314.208333333336</v>
      </c>
      <c r="C3511" s="6">
        <v>0</v>
      </c>
      <c r="D3511" s="6">
        <v>0</v>
      </c>
      <c r="E3511" s="6">
        <v>0</v>
      </c>
      <c r="F3511" s="6">
        <v>89.884140728838005</v>
      </c>
      <c r="G3511" s="6" t="str">
        <f t="shared" si="108"/>
        <v>OK</v>
      </c>
      <c r="H3511" s="6" t="str">
        <f t="shared" si="109"/>
        <v>ZERO</v>
      </c>
      <c r="I3511">
        <v>0</v>
      </c>
      <c r="J3511">
        <f>IFERROR(Table4[[#This Row],[energy_kwh]]/Table4[[#This Row],[expected_kwh]],0)</f>
        <v>0</v>
      </c>
      <c r="K3511" t="str">
        <f>IF(Table4[[#This Row],[Performance_Ratio]] &lt; 0.85, "Underperforming", "Performing")</f>
        <v>Underperforming</v>
      </c>
      <c r="L3511">
        <f>Table4[[#This Row],[energy_kwh]] - Table4[[#This Row],[expected_kwh]]</f>
        <v>0</v>
      </c>
      <c r="M3511" t="str">
        <f>IF(Table4[[#This Row],[Performance_Deviation]] &lt; 0, "Underperforming", "Outperforming")</f>
        <v>Outperforming</v>
      </c>
      <c r="N3511">
        <f>IF(Table4[[#This Row],[Performance_Ratio]] &lt; 0.85, Table4[[#This Row],[Performance_Deviation]] * 50 / 1000, 0)</f>
        <v>0</v>
      </c>
    </row>
    <row r="3512" spans="1:14" x14ac:dyDescent="0.3">
      <c r="A3512" s="4" t="s">
        <v>10</v>
      </c>
      <c r="B3512" s="3">
        <v>45314.25</v>
      </c>
      <c r="C3512" s="4">
        <v>0</v>
      </c>
      <c r="D3512" s="4">
        <v>0</v>
      </c>
      <c r="E3512" s="4">
        <v>0</v>
      </c>
      <c r="F3512" s="4">
        <v>49.470832953001903</v>
      </c>
      <c r="G3512" s="4" t="str">
        <f t="shared" si="108"/>
        <v>OK</v>
      </c>
      <c r="H3512" s="4" t="str">
        <f t="shared" si="109"/>
        <v>ZERO</v>
      </c>
      <c r="I3512">
        <v>0</v>
      </c>
      <c r="J3512">
        <f>IFERROR(Table4[[#This Row],[energy_kwh]]/Table4[[#This Row],[expected_kwh]],0)</f>
        <v>0</v>
      </c>
      <c r="K3512" t="str">
        <f>IF(Table4[[#This Row],[Performance_Ratio]] &lt; 0.85, "Underperforming", "Performing")</f>
        <v>Underperforming</v>
      </c>
      <c r="L3512">
        <f>Table4[[#This Row],[energy_kwh]] - Table4[[#This Row],[expected_kwh]]</f>
        <v>0</v>
      </c>
      <c r="M3512" t="str">
        <f>IF(Table4[[#This Row],[Performance_Deviation]] &lt; 0, "Underperforming", "Outperforming")</f>
        <v>Outperforming</v>
      </c>
      <c r="N3512">
        <f>IF(Table4[[#This Row],[Performance_Ratio]] &lt; 0.85, Table4[[#This Row],[Performance_Deviation]] * 50 / 1000, 0)</f>
        <v>0</v>
      </c>
    </row>
    <row r="3513" spans="1:14" x14ac:dyDescent="0.3">
      <c r="A3513" s="6" t="s">
        <v>10</v>
      </c>
      <c r="B3513" s="5">
        <v>45314.291666666664</v>
      </c>
      <c r="C3513" s="6">
        <v>295.70623636008798</v>
      </c>
      <c r="D3513" s="6">
        <v>279.80928957717299</v>
      </c>
      <c r="E3513" s="6">
        <v>279.80928957717299</v>
      </c>
      <c r="F3513" s="6">
        <v>48.779163103959</v>
      </c>
      <c r="G3513" s="6" t="str">
        <f t="shared" si="108"/>
        <v>OK</v>
      </c>
      <c r="H3513" s="6" t="str">
        <f t="shared" si="109"/>
        <v>NON-ZERO</v>
      </c>
      <c r="I3513">
        <v>310.58285412302399</v>
      </c>
      <c r="J3513">
        <f>IFERROR(Table4[[#This Row],[energy_kwh]]/Table4[[#This Row],[expected_kwh]],0)</f>
        <v>0.90091673079396273</v>
      </c>
      <c r="K3513" t="str">
        <f>IF(Table4[[#This Row],[Performance_Ratio]] &lt; 0.85, "Underperforming", "Performing")</f>
        <v>Performing</v>
      </c>
      <c r="L3513">
        <f>Table4[[#This Row],[energy_kwh]] - Table4[[#This Row],[expected_kwh]]</f>
        <v>-30.773564545851002</v>
      </c>
      <c r="M3513" t="str">
        <f>IF(Table4[[#This Row],[Performance_Deviation]] &lt; 0, "Underperforming", "Outperforming")</f>
        <v>Underperforming</v>
      </c>
      <c r="N3513">
        <f>IF(Table4[[#This Row],[Performance_Ratio]] &lt; 0.85, Table4[[#This Row],[Performance_Deviation]] * 50 / 1000, 0)</f>
        <v>0</v>
      </c>
    </row>
    <row r="3514" spans="1:14" x14ac:dyDescent="0.3">
      <c r="A3514" s="4" t="s">
        <v>10</v>
      </c>
      <c r="B3514" s="3">
        <v>45314.333333333336</v>
      </c>
      <c r="C3514" s="4">
        <v>556.21729323085196</v>
      </c>
      <c r="D3514" s="4">
        <v>526.31546627221906</v>
      </c>
      <c r="E3514" s="4">
        <v>526.31546627221906</v>
      </c>
      <c r="F3514" s="4">
        <v>30.1429870988541</v>
      </c>
      <c r="G3514" s="4" t="str">
        <f t="shared" si="108"/>
        <v>OK</v>
      </c>
      <c r="H3514" s="4" t="str">
        <f t="shared" si="109"/>
        <v>NON-ZERO</v>
      </c>
      <c r="I3514">
        <v>600</v>
      </c>
      <c r="J3514">
        <f>IFERROR(Table4[[#This Row],[energy_kwh]]/Table4[[#This Row],[expected_kwh]],0)</f>
        <v>0.87719244378703176</v>
      </c>
      <c r="K3514" t="str">
        <f>IF(Table4[[#This Row],[Performance_Ratio]] &lt; 0.85, "Underperforming", "Performing")</f>
        <v>Performing</v>
      </c>
      <c r="L3514">
        <f>Table4[[#This Row],[energy_kwh]] - Table4[[#This Row],[expected_kwh]]</f>
        <v>-73.684533727780945</v>
      </c>
      <c r="M3514" t="str">
        <f>IF(Table4[[#This Row],[Performance_Deviation]] &lt; 0, "Underperforming", "Outperforming")</f>
        <v>Underperforming</v>
      </c>
      <c r="N3514">
        <f>IF(Table4[[#This Row],[Performance_Ratio]] &lt; 0.85, Table4[[#This Row],[Performance_Deviation]] * 50 / 1000, 0)</f>
        <v>0</v>
      </c>
    </row>
    <row r="3515" spans="1:14" x14ac:dyDescent="0.3">
      <c r="A3515" s="6" t="s">
        <v>10</v>
      </c>
      <c r="B3515" s="5">
        <v>45314.375</v>
      </c>
      <c r="C3515" s="6">
        <v>776.99781244501901</v>
      </c>
      <c r="D3515" s="6">
        <v>735.22698939129396</v>
      </c>
      <c r="E3515" s="6">
        <v>735.22698939129396</v>
      </c>
      <c r="F3515" s="6">
        <v>36.948378849138699</v>
      </c>
      <c r="G3515" s="6" t="str">
        <f t="shared" si="108"/>
        <v>OK</v>
      </c>
      <c r="H3515" s="6" t="str">
        <f t="shared" si="109"/>
        <v>NON-ZERO</v>
      </c>
      <c r="I3515">
        <v>848.52813742385695</v>
      </c>
      <c r="J3515">
        <f>IFERROR(Table4[[#This Row],[energy_kwh]]/Table4[[#This Row],[expected_kwh]],0)</f>
        <v>0.86647331651658976</v>
      </c>
      <c r="K3515" t="str">
        <f>IF(Table4[[#This Row],[Performance_Ratio]] &lt; 0.85, "Underperforming", "Performing")</f>
        <v>Performing</v>
      </c>
      <c r="L3515">
        <f>Table4[[#This Row],[energy_kwh]] - Table4[[#This Row],[expected_kwh]]</f>
        <v>-113.30114803256299</v>
      </c>
      <c r="M3515" t="str">
        <f>IF(Table4[[#This Row],[Performance_Deviation]] &lt; 0, "Underperforming", "Outperforming")</f>
        <v>Underperforming</v>
      </c>
      <c r="N3515">
        <f>IF(Table4[[#This Row],[Performance_Ratio]] &lt; 0.85, Table4[[#This Row],[Performance_Deviation]] * 50 / 1000, 0)</f>
        <v>0</v>
      </c>
    </row>
    <row r="3516" spans="1:14" x14ac:dyDescent="0.3">
      <c r="A3516" s="4" t="s">
        <v>10</v>
      </c>
      <c r="B3516" s="3">
        <v>45314.416666666664</v>
      </c>
      <c r="C3516" s="4">
        <v>939.70399256830206</v>
      </c>
      <c r="D3516" s="4">
        <v>889.18620658775706</v>
      </c>
      <c r="E3516" s="4">
        <v>889.18620658775706</v>
      </c>
      <c r="F3516" s="4">
        <v>56.845072136749998</v>
      </c>
      <c r="G3516" s="4" t="str">
        <f t="shared" si="108"/>
        <v>OK</v>
      </c>
      <c r="H3516" s="4" t="str">
        <f t="shared" si="109"/>
        <v>NON-ZERO</v>
      </c>
      <c r="I3516">
        <v>1039.23048454132</v>
      </c>
      <c r="J3516">
        <f>IFERROR(Table4[[#This Row],[energy_kwh]]/Table4[[#This Row],[expected_kwh]],0)</f>
        <v>0.85561982622191146</v>
      </c>
      <c r="K3516" t="str">
        <f>IF(Table4[[#This Row],[Performance_Ratio]] &lt; 0.85, "Underperforming", "Performing")</f>
        <v>Performing</v>
      </c>
      <c r="L3516">
        <f>Table4[[#This Row],[energy_kwh]] - Table4[[#This Row],[expected_kwh]]</f>
        <v>-150.04427795356298</v>
      </c>
      <c r="M3516" t="str">
        <f>IF(Table4[[#This Row],[Performance_Deviation]] &lt; 0, "Underperforming", "Outperforming")</f>
        <v>Underperforming</v>
      </c>
      <c r="N3516">
        <f>IF(Table4[[#This Row],[Performance_Ratio]] &lt; 0.85, Table4[[#This Row],[Performance_Deviation]] * 50 / 1000, 0)</f>
        <v>0</v>
      </c>
    </row>
    <row r="3517" spans="1:14" x14ac:dyDescent="0.3">
      <c r="A3517" s="6" t="s">
        <v>10</v>
      </c>
      <c r="B3517" s="5">
        <v>45314.458333333336</v>
      </c>
      <c r="C3517" s="6">
        <v>1273.2357457558701</v>
      </c>
      <c r="D3517" s="6">
        <v>1204.78754141114</v>
      </c>
      <c r="E3517" s="6">
        <v>1204.78754141114</v>
      </c>
      <c r="F3517" s="6">
        <v>70.212393241302095</v>
      </c>
      <c r="G3517" s="6" t="str">
        <f t="shared" si="108"/>
        <v>OK</v>
      </c>
      <c r="H3517" s="6" t="str">
        <f t="shared" si="109"/>
        <v>NON-ZERO</v>
      </c>
      <c r="I3517">
        <v>1159.1109915468801</v>
      </c>
      <c r="J3517">
        <f>IFERROR(Table4[[#This Row],[energy_kwh]]/Table4[[#This Row],[expected_kwh]],0)</f>
        <v>1.0394065367314849</v>
      </c>
      <c r="K3517" t="str">
        <f>IF(Table4[[#This Row],[Performance_Ratio]] &lt; 0.85, "Underperforming", "Performing")</f>
        <v>Performing</v>
      </c>
      <c r="L3517">
        <f>Table4[[#This Row],[energy_kwh]] - Table4[[#This Row],[expected_kwh]]</f>
        <v>45.676549864259869</v>
      </c>
      <c r="M3517" t="str">
        <f>IF(Table4[[#This Row],[Performance_Deviation]] &lt; 0, "Underperforming", "Outperforming")</f>
        <v>Outperforming</v>
      </c>
      <c r="N3517">
        <f>IF(Table4[[#This Row],[Performance_Ratio]] &lt; 0.85, Table4[[#This Row],[Performance_Deviation]] * 50 / 1000, 0)</f>
        <v>0</v>
      </c>
    </row>
    <row r="3518" spans="1:14" x14ac:dyDescent="0.3">
      <c r="A3518" s="4" t="s">
        <v>10</v>
      </c>
      <c r="B3518" s="3">
        <v>45314.5</v>
      </c>
      <c r="C3518" s="4">
        <v>1137.2376012669599</v>
      </c>
      <c r="D3518" s="4">
        <v>1076.10055576733</v>
      </c>
      <c r="E3518" s="4">
        <v>1076.10055576733</v>
      </c>
      <c r="F3518" s="4">
        <v>62.038155055847902</v>
      </c>
      <c r="G3518" s="4" t="str">
        <f t="shared" si="108"/>
        <v>OK</v>
      </c>
      <c r="H3518" s="4" t="str">
        <f t="shared" si="109"/>
        <v>NON-ZERO</v>
      </c>
      <c r="I3518">
        <v>1200</v>
      </c>
      <c r="J3518">
        <f>IFERROR(Table4[[#This Row],[energy_kwh]]/Table4[[#This Row],[expected_kwh]],0)</f>
        <v>0.89675046313944162</v>
      </c>
      <c r="K3518" t="str">
        <f>IF(Table4[[#This Row],[Performance_Ratio]] &lt; 0.85, "Underperforming", "Performing")</f>
        <v>Performing</v>
      </c>
      <c r="L3518">
        <f>Table4[[#This Row],[energy_kwh]] - Table4[[#This Row],[expected_kwh]]</f>
        <v>-123.89944423267002</v>
      </c>
      <c r="M3518" t="str">
        <f>IF(Table4[[#This Row],[Performance_Deviation]] &lt; 0, "Underperforming", "Outperforming")</f>
        <v>Underperforming</v>
      </c>
      <c r="N3518">
        <f>IF(Table4[[#This Row],[Performance_Ratio]] &lt; 0.85, Table4[[#This Row],[Performance_Deviation]] * 50 / 1000, 0)</f>
        <v>0</v>
      </c>
    </row>
    <row r="3519" spans="1:14" x14ac:dyDescent="0.3">
      <c r="A3519" s="6" t="s">
        <v>10</v>
      </c>
      <c r="B3519" s="5">
        <v>45314.541666666664</v>
      </c>
      <c r="C3519" s="6">
        <v>1064.15059279721</v>
      </c>
      <c r="D3519" s="6">
        <v>1006.94265037794</v>
      </c>
      <c r="E3519" s="6">
        <v>1006.94265037794</v>
      </c>
      <c r="F3519" s="6">
        <v>25.245800760397302</v>
      </c>
      <c r="G3519" s="6" t="str">
        <f t="shared" si="108"/>
        <v>OK</v>
      </c>
      <c r="H3519" s="6" t="str">
        <f t="shared" si="109"/>
        <v>NON-ZERO</v>
      </c>
      <c r="I3519">
        <v>1159.1109915468801</v>
      </c>
      <c r="J3519">
        <f>IFERROR(Table4[[#This Row],[energy_kwh]]/Table4[[#This Row],[expected_kwh]],0)</f>
        <v>0.86871978414606754</v>
      </c>
      <c r="K3519" t="str">
        <f>IF(Table4[[#This Row],[Performance_Ratio]] &lt; 0.85, "Underperforming", "Performing")</f>
        <v>Performing</v>
      </c>
      <c r="L3519">
        <f>Table4[[#This Row],[energy_kwh]] - Table4[[#This Row],[expected_kwh]]</f>
        <v>-152.16834116894006</v>
      </c>
      <c r="M3519" t="str">
        <f>IF(Table4[[#This Row],[Performance_Deviation]] &lt; 0, "Underperforming", "Outperforming")</f>
        <v>Underperforming</v>
      </c>
      <c r="N3519">
        <f>IF(Table4[[#This Row],[Performance_Ratio]] &lt; 0.85, Table4[[#This Row],[Performance_Deviation]] * 50 / 1000, 0)</f>
        <v>0</v>
      </c>
    </row>
    <row r="3520" spans="1:14" x14ac:dyDescent="0.3">
      <c r="A3520" s="4" t="s">
        <v>10</v>
      </c>
      <c r="B3520" s="3">
        <v>45314.583333333336</v>
      </c>
      <c r="C3520" s="4">
        <v>1113.2476875705299</v>
      </c>
      <c r="D3520" s="4">
        <v>1053.4003219439101</v>
      </c>
      <c r="E3520" s="4">
        <v>1053.4003219439101</v>
      </c>
      <c r="F3520" s="4">
        <v>75.817644382792906</v>
      </c>
      <c r="G3520" s="4" t="str">
        <f t="shared" si="108"/>
        <v>OK</v>
      </c>
      <c r="H3520" s="4" t="str">
        <f t="shared" si="109"/>
        <v>NON-ZERO</v>
      </c>
      <c r="I3520">
        <v>1039.23048454132</v>
      </c>
      <c r="J3520">
        <f>IFERROR(Table4[[#This Row],[energy_kwh]]/Table4[[#This Row],[expected_kwh]],0)</f>
        <v>1.013634932397931</v>
      </c>
      <c r="K3520" t="str">
        <f>IF(Table4[[#This Row],[Performance_Ratio]] &lt; 0.85, "Underperforming", "Performing")</f>
        <v>Performing</v>
      </c>
      <c r="L3520">
        <f>Table4[[#This Row],[energy_kwh]] - Table4[[#This Row],[expected_kwh]]</f>
        <v>14.169837402590019</v>
      </c>
      <c r="M3520" t="str">
        <f>IF(Table4[[#This Row],[Performance_Deviation]] &lt; 0, "Underperforming", "Outperforming")</f>
        <v>Outperforming</v>
      </c>
      <c r="N3520">
        <f>IF(Table4[[#This Row],[Performance_Ratio]] &lt; 0.85, Table4[[#This Row],[Performance_Deviation]] * 50 / 1000, 0)</f>
        <v>0</v>
      </c>
    </row>
    <row r="3521" spans="1:14" x14ac:dyDescent="0.3">
      <c r="A3521" s="6" t="s">
        <v>10</v>
      </c>
      <c r="B3521" s="5">
        <v>45314.625</v>
      </c>
      <c r="C3521" s="6">
        <v>705.85717611218797</v>
      </c>
      <c r="D3521" s="6">
        <v>667.91082062399903</v>
      </c>
      <c r="E3521" s="6">
        <v>667.91082062399903</v>
      </c>
      <c r="F3521" s="6">
        <v>36.251318299175097</v>
      </c>
      <c r="G3521" s="6" t="str">
        <f t="shared" si="108"/>
        <v>OK</v>
      </c>
      <c r="H3521" s="6" t="str">
        <f t="shared" si="109"/>
        <v>NON-ZERO</v>
      </c>
      <c r="I3521">
        <v>848.52813742385695</v>
      </c>
      <c r="J3521">
        <f>IFERROR(Table4[[#This Row],[energy_kwh]]/Table4[[#This Row],[expected_kwh]],0)</f>
        <v>0.78714045081850248</v>
      </c>
      <c r="K3521" t="str">
        <f>IF(Table4[[#This Row],[Performance_Ratio]] &lt; 0.85, "Underperforming", "Performing")</f>
        <v>Underperforming</v>
      </c>
      <c r="L3521">
        <f>Table4[[#This Row],[energy_kwh]] - Table4[[#This Row],[expected_kwh]]</f>
        <v>-180.61731679985792</v>
      </c>
      <c r="M3521" t="str">
        <f>IF(Table4[[#This Row],[Performance_Deviation]] &lt; 0, "Underperforming", "Outperforming")</f>
        <v>Underperforming</v>
      </c>
      <c r="N3521">
        <f>IF(Table4[[#This Row],[Performance_Ratio]] &lt; 0.85, Table4[[#This Row],[Performance_Deviation]] * 50 / 1000, 0)</f>
        <v>-9.0308658399928952</v>
      </c>
    </row>
    <row r="3522" spans="1:14" x14ac:dyDescent="0.3">
      <c r="A3522" s="4" t="s">
        <v>10</v>
      </c>
      <c r="B3522" s="3">
        <v>45314.666666666664</v>
      </c>
      <c r="C3522" s="4">
        <v>591.40598077800098</v>
      </c>
      <c r="D3522" s="4">
        <v>559.61243621414098</v>
      </c>
      <c r="E3522" s="4">
        <v>559.61243621414098</v>
      </c>
      <c r="F3522" s="4">
        <v>64.772297428733197</v>
      </c>
      <c r="G3522" s="4" t="str">
        <f t="shared" ref="G3522:G3585" si="110">IF(D3522 &gt; C3522, "ERROR", "OK")</f>
        <v>OK</v>
      </c>
      <c r="H3522" s="4" t="str">
        <f t="shared" ref="H3522:H3585" si="111">IF(E3522=0,"ZERO","NON-ZERO")</f>
        <v>NON-ZERO</v>
      </c>
      <c r="I3522">
        <v>600</v>
      </c>
      <c r="J3522">
        <f>IFERROR(Table4[[#This Row],[energy_kwh]]/Table4[[#This Row],[expected_kwh]],0)</f>
        <v>0.93268739369023501</v>
      </c>
      <c r="K3522" t="str">
        <f>IF(Table4[[#This Row],[Performance_Ratio]] &lt; 0.85, "Underperforming", "Performing")</f>
        <v>Performing</v>
      </c>
      <c r="L3522">
        <f>Table4[[#This Row],[energy_kwh]] - Table4[[#This Row],[expected_kwh]]</f>
        <v>-40.387563785859015</v>
      </c>
      <c r="M3522" t="str">
        <f>IF(Table4[[#This Row],[Performance_Deviation]] &lt; 0, "Underperforming", "Outperforming")</f>
        <v>Underperforming</v>
      </c>
      <c r="N3522">
        <f>IF(Table4[[#This Row],[Performance_Ratio]] &lt; 0.85, Table4[[#This Row],[Performance_Deviation]] * 50 / 1000, 0)</f>
        <v>0</v>
      </c>
    </row>
    <row r="3523" spans="1:14" x14ac:dyDescent="0.3">
      <c r="A3523" s="6" t="s">
        <v>10</v>
      </c>
      <c r="B3523" s="5">
        <v>45314.708333333336</v>
      </c>
      <c r="C3523" s="6">
        <v>316.30712914685603</v>
      </c>
      <c r="D3523" s="6">
        <v>299.30269372811398</v>
      </c>
      <c r="E3523" s="6">
        <v>299.30269372811398</v>
      </c>
      <c r="F3523" s="6">
        <v>58.514155768436197</v>
      </c>
      <c r="G3523" s="6" t="str">
        <f t="shared" si="110"/>
        <v>OK</v>
      </c>
      <c r="H3523" s="6" t="str">
        <f t="shared" si="111"/>
        <v>NON-ZERO</v>
      </c>
      <c r="I3523">
        <v>310.58285412302502</v>
      </c>
      <c r="J3523">
        <f>IFERROR(Table4[[#This Row],[energy_kwh]]/Table4[[#This Row],[expected_kwh]],0)</f>
        <v>0.96368067249957445</v>
      </c>
      <c r="K3523" t="str">
        <f>IF(Table4[[#This Row],[Performance_Ratio]] &lt; 0.85, "Underperforming", "Performing")</f>
        <v>Performing</v>
      </c>
      <c r="L3523">
        <f>Table4[[#This Row],[energy_kwh]] - Table4[[#This Row],[expected_kwh]]</f>
        <v>-11.280160394911036</v>
      </c>
      <c r="M3523" t="str">
        <f>IF(Table4[[#This Row],[Performance_Deviation]] &lt; 0, "Underperforming", "Outperforming")</f>
        <v>Underperforming</v>
      </c>
      <c r="N3523">
        <f>IF(Table4[[#This Row],[Performance_Ratio]] &lt; 0.85, Table4[[#This Row],[Performance_Deviation]] * 50 / 1000, 0)</f>
        <v>0</v>
      </c>
    </row>
    <row r="3524" spans="1:14" x14ac:dyDescent="0.3">
      <c r="A3524" s="4" t="s">
        <v>10</v>
      </c>
      <c r="B3524" s="3">
        <v>45314.75</v>
      </c>
      <c r="C3524" s="7">
        <v>1.26999665977932E-13</v>
      </c>
      <c r="D3524" s="7">
        <v>1.20172258628156E-13</v>
      </c>
      <c r="E3524" s="7">
        <v>1.20172258628156E-13</v>
      </c>
      <c r="F3524" s="4">
        <v>55.122571069996802</v>
      </c>
      <c r="G3524" s="4" t="str">
        <f t="shared" si="110"/>
        <v>OK</v>
      </c>
      <c r="H3524" s="4" t="str">
        <f t="shared" si="111"/>
        <v>NON-ZERO</v>
      </c>
      <c r="I3524" s="2">
        <v>1.46957615897682E-13</v>
      </c>
      <c r="J3524">
        <f>IFERROR(Table4[[#This Row],[energy_kwh]]/Table4[[#This Row],[expected_kwh]],0)</f>
        <v>0.81773413302938258</v>
      </c>
      <c r="K3524" t="str">
        <f>IF(Table4[[#This Row],[Performance_Ratio]] &lt; 0.85, "Underperforming", "Performing")</f>
        <v>Underperforming</v>
      </c>
      <c r="L3524">
        <f>Table4[[#This Row],[energy_kwh]] - Table4[[#This Row],[expected_kwh]]</f>
        <v>-2.6785357269526005E-14</v>
      </c>
      <c r="M3524" t="str">
        <f>IF(Table4[[#This Row],[Performance_Deviation]] &lt; 0, "Underperforming", "Outperforming")</f>
        <v>Underperforming</v>
      </c>
      <c r="N3524">
        <f>IF(Table4[[#This Row],[Performance_Ratio]] &lt; 0.85, Table4[[#This Row],[Performance_Deviation]] * 50 / 1000, 0)</f>
        <v>-1.3392678634763003E-15</v>
      </c>
    </row>
    <row r="3525" spans="1:14" x14ac:dyDescent="0.3">
      <c r="A3525" s="6" t="s">
        <v>10</v>
      </c>
      <c r="B3525" s="5">
        <v>45314.791666666664</v>
      </c>
      <c r="C3525" s="6">
        <v>0</v>
      </c>
      <c r="D3525" s="6">
        <v>0</v>
      </c>
      <c r="E3525" s="6">
        <v>0</v>
      </c>
      <c r="F3525" s="6">
        <v>39.999474379115</v>
      </c>
      <c r="G3525" s="6" t="str">
        <f t="shared" si="110"/>
        <v>OK</v>
      </c>
      <c r="H3525" s="6" t="str">
        <f t="shared" si="111"/>
        <v>ZERO</v>
      </c>
      <c r="I3525">
        <v>0</v>
      </c>
      <c r="J3525">
        <f>IFERROR(Table4[[#This Row],[energy_kwh]]/Table4[[#This Row],[expected_kwh]],0)</f>
        <v>0</v>
      </c>
      <c r="K3525" t="str">
        <f>IF(Table4[[#This Row],[Performance_Ratio]] &lt; 0.85, "Underperforming", "Performing")</f>
        <v>Underperforming</v>
      </c>
      <c r="L3525">
        <f>Table4[[#This Row],[energy_kwh]] - Table4[[#This Row],[expected_kwh]]</f>
        <v>0</v>
      </c>
      <c r="M3525" t="str">
        <f>IF(Table4[[#This Row],[Performance_Deviation]] &lt; 0, "Underperforming", "Outperforming")</f>
        <v>Outperforming</v>
      </c>
      <c r="N3525">
        <f>IF(Table4[[#This Row],[Performance_Ratio]] &lt; 0.85, Table4[[#This Row],[Performance_Deviation]] * 50 / 1000, 0)</f>
        <v>0</v>
      </c>
    </row>
    <row r="3526" spans="1:14" x14ac:dyDescent="0.3">
      <c r="A3526" s="4" t="s">
        <v>10</v>
      </c>
      <c r="B3526" s="3">
        <v>45314.833333333336</v>
      </c>
      <c r="C3526" s="4">
        <v>0</v>
      </c>
      <c r="D3526" s="4">
        <v>0</v>
      </c>
      <c r="E3526" s="4">
        <v>0</v>
      </c>
      <c r="F3526" s="4">
        <v>93.620707049901</v>
      </c>
      <c r="G3526" s="4" t="str">
        <f t="shared" si="110"/>
        <v>OK</v>
      </c>
      <c r="H3526" s="4" t="str">
        <f t="shared" si="111"/>
        <v>ZERO</v>
      </c>
      <c r="I3526">
        <v>0</v>
      </c>
      <c r="J3526">
        <f>IFERROR(Table4[[#This Row],[energy_kwh]]/Table4[[#This Row],[expected_kwh]],0)</f>
        <v>0</v>
      </c>
      <c r="K3526" t="str">
        <f>IF(Table4[[#This Row],[Performance_Ratio]] &lt; 0.85, "Underperforming", "Performing")</f>
        <v>Underperforming</v>
      </c>
      <c r="L3526">
        <f>Table4[[#This Row],[energy_kwh]] - Table4[[#This Row],[expected_kwh]]</f>
        <v>0</v>
      </c>
      <c r="M3526" t="str">
        <f>IF(Table4[[#This Row],[Performance_Deviation]] &lt; 0, "Underperforming", "Outperforming")</f>
        <v>Outperforming</v>
      </c>
      <c r="N3526">
        <f>IF(Table4[[#This Row],[Performance_Ratio]] &lt; 0.85, Table4[[#This Row],[Performance_Deviation]] * 50 / 1000, 0)</f>
        <v>0</v>
      </c>
    </row>
    <row r="3527" spans="1:14" x14ac:dyDescent="0.3">
      <c r="A3527" s="6" t="s">
        <v>10</v>
      </c>
      <c r="B3527" s="5">
        <v>45314.875</v>
      </c>
      <c r="C3527" s="6">
        <v>0</v>
      </c>
      <c r="D3527" s="6">
        <v>0</v>
      </c>
      <c r="E3527" s="6">
        <v>0</v>
      </c>
      <c r="F3527" s="6">
        <v>72.4195745708912</v>
      </c>
      <c r="G3527" s="6" t="str">
        <f t="shared" si="110"/>
        <v>OK</v>
      </c>
      <c r="H3527" s="6" t="str">
        <f t="shared" si="111"/>
        <v>ZERO</v>
      </c>
      <c r="I3527">
        <v>0</v>
      </c>
      <c r="J3527">
        <f>IFERROR(Table4[[#This Row],[energy_kwh]]/Table4[[#This Row],[expected_kwh]],0)</f>
        <v>0</v>
      </c>
      <c r="K3527" t="str">
        <f>IF(Table4[[#This Row],[Performance_Ratio]] &lt; 0.85, "Underperforming", "Performing")</f>
        <v>Underperforming</v>
      </c>
      <c r="L3527">
        <f>Table4[[#This Row],[energy_kwh]] - Table4[[#This Row],[expected_kwh]]</f>
        <v>0</v>
      </c>
      <c r="M3527" t="str">
        <f>IF(Table4[[#This Row],[Performance_Deviation]] &lt; 0, "Underperforming", "Outperforming")</f>
        <v>Outperforming</v>
      </c>
      <c r="N3527">
        <f>IF(Table4[[#This Row],[Performance_Ratio]] &lt; 0.85, Table4[[#This Row],[Performance_Deviation]] * 50 / 1000, 0)</f>
        <v>0</v>
      </c>
    </row>
    <row r="3528" spans="1:14" x14ac:dyDescent="0.3">
      <c r="A3528" s="4" t="s">
        <v>10</v>
      </c>
      <c r="B3528" s="3">
        <v>45314.916666666664</v>
      </c>
      <c r="C3528" s="4">
        <v>0</v>
      </c>
      <c r="D3528" s="4">
        <v>0</v>
      </c>
      <c r="E3528" s="4">
        <v>0</v>
      </c>
      <c r="F3528" s="4">
        <v>35.822696728377402</v>
      </c>
      <c r="G3528" s="4" t="str">
        <f t="shared" si="110"/>
        <v>OK</v>
      </c>
      <c r="H3528" s="4" t="str">
        <f t="shared" si="111"/>
        <v>ZERO</v>
      </c>
      <c r="I3528">
        <v>0</v>
      </c>
      <c r="J3528">
        <f>IFERROR(Table4[[#This Row],[energy_kwh]]/Table4[[#This Row],[expected_kwh]],0)</f>
        <v>0</v>
      </c>
      <c r="K3528" t="str">
        <f>IF(Table4[[#This Row],[Performance_Ratio]] &lt; 0.85, "Underperforming", "Performing")</f>
        <v>Underperforming</v>
      </c>
      <c r="L3528">
        <f>Table4[[#This Row],[energy_kwh]] - Table4[[#This Row],[expected_kwh]]</f>
        <v>0</v>
      </c>
      <c r="M3528" t="str">
        <f>IF(Table4[[#This Row],[Performance_Deviation]] &lt; 0, "Underperforming", "Outperforming")</f>
        <v>Outperforming</v>
      </c>
      <c r="N3528">
        <f>IF(Table4[[#This Row],[Performance_Ratio]] &lt; 0.85, Table4[[#This Row],[Performance_Deviation]] * 50 / 1000, 0)</f>
        <v>0</v>
      </c>
    </row>
    <row r="3529" spans="1:14" x14ac:dyDescent="0.3">
      <c r="A3529" s="6" t="s">
        <v>10</v>
      </c>
      <c r="B3529" s="5">
        <v>45314.958333333336</v>
      </c>
      <c r="C3529" s="6">
        <v>0</v>
      </c>
      <c r="D3529" s="6">
        <v>0</v>
      </c>
      <c r="E3529" s="6">
        <v>0</v>
      </c>
      <c r="F3529" s="6">
        <v>38.560079712600299</v>
      </c>
      <c r="G3529" s="6" t="str">
        <f t="shared" si="110"/>
        <v>OK</v>
      </c>
      <c r="H3529" s="6" t="str">
        <f t="shared" si="111"/>
        <v>ZERO</v>
      </c>
      <c r="I3529">
        <v>0</v>
      </c>
      <c r="J3529">
        <f>IFERROR(Table4[[#This Row],[energy_kwh]]/Table4[[#This Row],[expected_kwh]],0)</f>
        <v>0</v>
      </c>
      <c r="K3529" t="str">
        <f>IF(Table4[[#This Row],[Performance_Ratio]] &lt; 0.85, "Underperforming", "Performing")</f>
        <v>Underperforming</v>
      </c>
      <c r="L3529">
        <f>Table4[[#This Row],[energy_kwh]] - Table4[[#This Row],[expected_kwh]]</f>
        <v>0</v>
      </c>
      <c r="M3529" t="str">
        <f>IF(Table4[[#This Row],[Performance_Deviation]] &lt; 0, "Underperforming", "Outperforming")</f>
        <v>Outperforming</v>
      </c>
      <c r="N3529">
        <f>IF(Table4[[#This Row],[Performance_Ratio]] &lt; 0.85, Table4[[#This Row],[Performance_Deviation]] * 50 / 1000, 0)</f>
        <v>0</v>
      </c>
    </row>
    <row r="3530" spans="1:14" x14ac:dyDescent="0.3">
      <c r="A3530" s="4" t="s">
        <v>10</v>
      </c>
      <c r="B3530" s="3">
        <v>45315</v>
      </c>
      <c r="C3530" s="4">
        <v>0</v>
      </c>
      <c r="D3530" s="4">
        <v>0</v>
      </c>
      <c r="E3530" s="4">
        <v>0</v>
      </c>
      <c r="F3530" s="4">
        <v>59.6892574059925</v>
      </c>
      <c r="G3530" s="4" t="str">
        <f t="shared" si="110"/>
        <v>OK</v>
      </c>
      <c r="H3530" s="4" t="str">
        <f t="shared" si="111"/>
        <v>ZERO</v>
      </c>
      <c r="I3530">
        <v>0</v>
      </c>
      <c r="J3530">
        <f>IFERROR(Table4[[#This Row],[energy_kwh]]/Table4[[#This Row],[expected_kwh]],0)</f>
        <v>0</v>
      </c>
      <c r="K3530" t="str">
        <f>IF(Table4[[#This Row],[Performance_Ratio]] &lt; 0.85, "Underperforming", "Performing")</f>
        <v>Underperforming</v>
      </c>
      <c r="L3530">
        <f>Table4[[#This Row],[energy_kwh]] - Table4[[#This Row],[expected_kwh]]</f>
        <v>0</v>
      </c>
      <c r="M3530" t="str">
        <f>IF(Table4[[#This Row],[Performance_Deviation]] &lt; 0, "Underperforming", "Outperforming")</f>
        <v>Outperforming</v>
      </c>
      <c r="N3530">
        <f>IF(Table4[[#This Row],[Performance_Ratio]] &lt; 0.85, Table4[[#This Row],[Performance_Deviation]] * 50 / 1000, 0)</f>
        <v>0</v>
      </c>
    </row>
    <row r="3531" spans="1:14" x14ac:dyDescent="0.3">
      <c r="A3531" s="6" t="s">
        <v>10</v>
      </c>
      <c r="B3531" s="5">
        <v>45315.041666666664</v>
      </c>
      <c r="C3531" s="6">
        <v>0</v>
      </c>
      <c r="D3531" s="6">
        <v>0</v>
      </c>
      <c r="E3531" s="6">
        <v>0</v>
      </c>
      <c r="F3531" s="6">
        <v>42.394156721621897</v>
      </c>
      <c r="G3531" s="6" t="str">
        <f t="shared" si="110"/>
        <v>OK</v>
      </c>
      <c r="H3531" s="6" t="str">
        <f t="shared" si="111"/>
        <v>ZERO</v>
      </c>
      <c r="I3531">
        <v>0</v>
      </c>
      <c r="J3531">
        <f>IFERROR(Table4[[#This Row],[energy_kwh]]/Table4[[#This Row],[expected_kwh]],0)</f>
        <v>0</v>
      </c>
      <c r="K3531" t="str">
        <f>IF(Table4[[#This Row],[Performance_Ratio]] &lt; 0.85, "Underperforming", "Performing")</f>
        <v>Underperforming</v>
      </c>
      <c r="L3531">
        <f>Table4[[#This Row],[energy_kwh]] - Table4[[#This Row],[expected_kwh]]</f>
        <v>0</v>
      </c>
      <c r="M3531" t="str">
        <f>IF(Table4[[#This Row],[Performance_Deviation]] &lt; 0, "Underperforming", "Outperforming")</f>
        <v>Outperforming</v>
      </c>
      <c r="N3531">
        <f>IF(Table4[[#This Row],[Performance_Ratio]] &lt; 0.85, Table4[[#This Row],[Performance_Deviation]] * 50 / 1000, 0)</f>
        <v>0</v>
      </c>
    </row>
    <row r="3532" spans="1:14" x14ac:dyDescent="0.3">
      <c r="A3532" s="4" t="s">
        <v>10</v>
      </c>
      <c r="B3532" s="3">
        <v>45315.083333333336</v>
      </c>
      <c r="C3532" s="4">
        <v>0</v>
      </c>
      <c r="D3532" s="4">
        <v>0</v>
      </c>
      <c r="E3532" s="4">
        <v>0</v>
      </c>
      <c r="F3532" s="4">
        <v>28.1416518329486</v>
      </c>
      <c r="G3532" s="4" t="str">
        <f t="shared" si="110"/>
        <v>OK</v>
      </c>
      <c r="H3532" s="4" t="str">
        <f t="shared" si="111"/>
        <v>ZERO</v>
      </c>
      <c r="I3532">
        <v>0</v>
      </c>
      <c r="J3532">
        <f>IFERROR(Table4[[#This Row],[energy_kwh]]/Table4[[#This Row],[expected_kwh]],0)</f>
        <v>0</v>
      </c>
      <c r="K3532" t="str">
        <f>IF(Table4[[#This Row],[Performance_Ratio]] &lt; 0.85, "Underperforming", "Performing")</f>
        <v>Underperforming</v>
      </c>
      <c r="L3532">
        <f>Table4[[#This Row],[energy_kwh]] - Table4[[#This Row],[expected_kwh]]</f>
        <v>0</v>
      </c>
      <c r="M3532" t="str">
        <f>IF(Table4[[#This Row],[Performance_Deviation]] &lt; 0, "Underperforming", "Outperforming")</f>
        <v>Outperforming</v>
      </c>
      <c r="N3532">
        <f>IF(Table4[[#This Row],[Performance_Ratio]] &lt; 0.85, Table4[[#This Row],[Performance_Deviation]] * 50 / 1000, 0)</f>
        <v>0</v>
      </c>
    </row>
    <row r="3533" spans="1:14" x14ac:dyDescent="0.3">
      <c r="A3533" s="6" t="s">
        <v>10</v>
      </c>
      <c r="B3533" s="5">
        <v>45315.125</v>
      </c>
      <c r="C3533" s="6">
        <v>0</v>
      </c>
      <c r="D3533" s="6">
        <v>0</v>
      </c>
      <c r="E3533" s="6">
        <v>0</v>
      </c>
      <c r="F3533" s="6">
        <v>91.362457942051407</v>
      </c>
      <c r="G3533" s="6" t="str">
        <f t="shared" si="110"/>
        <v>OK</v>
      </c>
      <c r="H3533" s="6" t="str">
        <f t="shared" si="111"/>
        <v>ZERO</v>
      </c>
      <c r="I3533">
        <v>0</v>
      </c>
      <c r="J3533">
        <f>IFERROR(Table4[[#This Row],[energy_kwh]]/Table4[[#This Row],[expected_kwh]],0)</f>
        <v>0</v>
      </c>
      <c r="K3533" t="str">
        <f>IF(Table4[[#This Row],[Performance_Ratio]] &lt; 0.85, "Underperforming", "Performing")</f>
        <v>Underperforming</v>
      </c>
      <c r="L3533">
        <f>Table4[[#This Row],[energy_kwh]] - Table4[[#This Row],[expected_kwh]]</f>
        <v>0</v>
      </c>
      <c r="M3533" t="str">
        <f>IF(Table4[[#This Row],[Performance_Deviation]] &lt; 0, "Underperforming", "Outperforming")</f>
        <v>Outperforming</v>
      </c>
      <c r="N3533">
        <f>IF(Table4[[#This Row],[Performance_Ratio]] &lt; 0.85, Table4[[#This Row],[Performance_Deviation]] * 50 / 1000, 0)</f>
        <v>0</v>
      </c>
    </row>
    <row r="3534" spans="1:14" x14ac:dyDescent="0.3">
      <c r="A3534" s="4" t="s">
        <v>10</v>
      </c>
      <c r="B3534" s="3">
        <v>45315.166666666664</v>
      </c>
      <c r="C3534" s="4">
        <v>0</v>
      </c>
      <c r="D3534" s="4">
        <v>0</v>
      </c>
      <c r="E3534" s="4">
        <v>0</v>
      </c>
      <c r="F3534" s="4">
        <v>25.935850120865702</v>
      </c>
      <c r="G3534" s="4" t="str">
        <f t="shared" si="110"/>
        <v>OK</v>
      </c>
      <c r="H3534" s="4" t="str">
        <f t="shared" si="111"/>
        <v>ZERO</v>
      </c>
      <c r="I3534">
        <v>0</v>
      </c>
      <c r="J3534">
        <f>IFERROR(Table4[[#This Row],[energy_kwh]]/Table4[[#This Row],[expected_kwh]],0)</f>
        <v>0</v>
      </c>
      <c r="K3534" t="str">
        <f>IF(Table4[[#This Row],[Performance_Ratio]] &lt; 0.85, "Underperforming", "Performing")</f>
        <v>Underperforming</v>
      </c>
      <c r="L3534">
        <f>Table4[[#This Row],[energy_kwh]] - Table4[[#This Row],[expected_kwh]]</f>
        <v>0</v>
      </c>
      <c r="M3534" t="str">
        <f>IF(Table4[[#This Row],[Performance_Deviation]] &lt; 0, "Underperforming", "Outperforming")</f>
        <v>Outperforming</v>
      </c>
      <c r="N3534">
        <f>IF(Table4[[#This Row],[Performance_Ratio]] &lt; 0.85, Table4[[#This Row],[Performance_Deviation]] * 50 / 1000, 0)</f>
        <v>0</v>
      </c>
    </row>
    <row r="3535" spans="1:14" x14ac:dyDescent="0.3">
      <c r="A3535" s="6" t="s">
        <v>10</v>
      </c>
      <c r="B3535" s="5">
        <v>45315.208333333336</v>
      </c>
      <c r="C3535" s="6">
        <v>0</v>
      </c>
      <c r="D3535" s="6">
        <v>0</v>
      </c>
      <c r="E3535" s="6">
        <v>0</v>
      </c>
      <c r="F3535" s="6">
        <v>78.104269497841997</v>
      </c>
      <c r="G3535" s="6" t="str">
        <f t="shared" si="110"/>
        <v>OK</v>
      </c>
      <c r="H3535" s="6" t="str">
        <f t="shared" si="111"/>
        <v>ZERO</v>
      </c>
      <c r="I3535">
        <v>0</v>
      </c>
      <c r="J3535">
        <f>IFERROR(Table4[[#This Row],[energy_kwh]]/Table4[[#This Row],[expected_kwh]],0)</f>
        <v>0</v>
      </c>
      <c r="K3535" t="str">
        <f>IF(Table4[[#This Row],[Performance_Ratio]] &lt; 0.85, "Underperforming", "Performing")</f>
        <v>Underperforming</v>
      </c>
      <c r="L3535">
        <f>Table4[[#This Row],[energy_kwh]] - Table4[[#This Row],[expected_kwh]]</f>
        <v>0</v>
      </c>
      <c r="M3535" t="str">
        <f>IF(Table4[[#This Row],[Performance_Deviation]] &lt; 0, "Underperforming", "Outperforming")</f>
        <v>Outperforming</v>
      </c>
      <c r="N3535">
        <f>IF(Table4[[#This Row],[Performance_Ratio]] &lt; 0.85, Table4[[#This Row],[Performance_Deviation]] * 50 / 1000, 0)</f>
        <v>0</v>
      </c>
    </row>
    <row r="3536" spans="1:14" x14ac:dyDescent="0.3">
      <c r="A3536" s="4" t="s">
        <v>10</v>
      </c>
      <c r="B3536" s="3">
        <v>45315.25</v>
      </c>
      <c r="C3536" s="4">
        <v>0</v>
      </c>
      <c r="D3536" s="4">
        <v>0</v>
      </c>
      <c r="E3536" s="4">
        <v>0</v>
      </c>
      <c r="F3536" s="4">
        <v>58.313927372284802</v>
      </c>
      <c r="G3536" s="4" t="str">
        <f t="shared" si="110"/>
        <v>OK</v>
      </c>
      <c r="H3536" s="4" t="str">
        <f t="shared" si="111"/>
        <v>ZERO</v>
      </c>
      <c r="I3536">
        <v>0</v>
      </c>
      <c r="J3536">
        <f>IFERROR(Table4[[#This Row],[energy_kwh]]/Table4[[#This Row],[expected_kwh]],0)</f>
        <v>0</v>
      </c>
      <c r="K3536" t="str">
        <f>IF(Table4[[#This Row],[Performance_Ratio]] &lt; 0.85, "Underperforming", "Performing")</f>
        <v>Underperforming</v>
      </c>
      <c r="L3536">
        <f>Table4[[#This Row],[energy_kwh]] - Table4[[#This Row],[expected_kwh]]</f>
        <v>0</v>
      </c>
      <c r="M3536" t="str">
        <f>IF(Table4[[#This Row],[Performance_Deviation]] &lt; 0, "Underperforming", "Outperforming")</f>
        <v>Outperforming</v>
      </c>
      <c r="N3536">
        <f>IF(Table4[[#This Row],[Performance_Ratio]] &lt; 0.85, Table4[[#This Row],[Performance_Deviation]] * 50 / 1000, 0)</f>
        <v>0</v>
      </c>
    </row>
    <row r="3537" spans="1:14" x14ac:dyDescent="0.3">
      <c r="A3537" s="6" t="s">
        <v>10</v>
      </c>
      <c r="B3537" s="5">
        <v>45315.291666666664</v>
      </c>
      <c r="C3537" s="6">
        <v>295.23187366644498</v>
      </c>
      <c r="D3537" s="6">
        <v>279.36042826824701</v>
      </c>
      <c r="E3537" s="6">
        <v>279.36042826824701</v>
      </c>
      <c r="F3537" s="6">
        <v>93.436492981361596</v>
      </c>
      <c r="G3537" s="6" t="str">
        <f t="shared" si="110"/>
        <v>OK</v>
      </c>
      <c r="H3537" s="6" t="str">
        <f t="shared" si="111"/>
        <v>NON-ZERO</v>
      </c>
      <c r="I3537">
        <v>310.58285412302399</v>
      </c>
      <c r="J3537">
        <f>IFERROR(Table4[[#This Row],[energy_kwh]]/Table4[[#This Row],[expected_kwh]],0)</f>
        <v>0.89947150835825096</v>
      </c>
      <c r="K3537" t="str">
        <f>IF(Table4[[#This Row],[Performance_Ratio]] &lt; 0.85, "Underperforming", "Performing")</f>
        <v>Performing</v>
      </c>
      <c r="L3537">
        <f>Table4[[#This Row],[energy_kwh]] - Table4[[#This Row],[expected_kwh]]</f>
        <v>-31.222425854776986</v>
      </c>
      <c r="M3537" t="str">
        <f>IF(Table4[[#This Row],[Performance_Deviation]] &lt; 0, "Underperforming", "Outperforming")</f>
        <v>Underperforming</v>
      </c>
      <c r="N3537">
        <f>IF(Table4[[#This Row],[Performance_Ratio]] &lt; 0.85, Table4[[#This Row],[Performance_Deviation]] * 50 / 1000, 0)</f>
        <v>0</v>
      </c>
    </row>
    <row r="3538" spans="1:14" x14ac:dyDescent="0.3">
      <c r="A3538" s="4" t="s">
        <v>10</v>
      </c>
      <c r="B3538" s="3">
        <v>45315.333333333336</v>
      </c>
      <c r="C3538" s="4">
        <v>561.97859604392499</v>
      </c>
      <c r="D3538" s="4">
        <v>531.76704574178996</v>
      </c>
      <c r="E3538" s="4">
        <v>531.76704574178996</v>
      </c>
      <c r="F3538" s="4">
        <v>48.402976817403299</v>
      </c>
      <c r="G3538" s="4" t="str">
        <f t="shared" si="110"/>
        <v>OK</v>
      </c>
      <c r="H3538" s="4" t="str">
        <f t="shared" si="111"/>
        <v>NON-ZERO</v>
      </c>
      <c r="I3538">
        <v>600</v>
      </c>
      <c r="J3538">
        <f>IFERROR(Table4[[#This Row],[energy_kwh]]/Table4[[#This Row],[expected_kwh]],0)</f>
        <v>0.88627840956964998</v>
      </c>
      <c r="K3538" t="str">
        <f>IF(Table4[[#This Row],[Performance_Ratio]] &lt; 0.85, "Underperforming", "Performing")</f>
        <v>Performing</v>
      </c>
      <c r="L3538">
        <f>Table4[[#This Row],[energy_kwh]] - Table4[[#This Row],[expected_kwh]]</f>
        <v>-68.232954258210043</v>
      </c>
      <c r="M3538" t="str">
        <f>IF(Table4[[#This Row],[Performance_Deviation]] &lt; 0, "Underperforming", "Outperforming")</f>
        <v>Underperforming</v>
      </c>
      <c r="N3538">
        <f>IF(Table4[[#This Row],[Performance_Ratio]] &lt; 0.85, Table4[[#This Row],[Performance_Deviation]] * 50 / 1000, 0)</f>
        <v>0</v>
      </c>
    </row>
    <row r="3539" spans="1:14" x14ac:dyDescent="0.3">
      <c r="A3539" s="6" t="s">
        <v>10</v>
      </c>
      <c r="B3539" s="5">
        <v>45315.375</v>
      </c>
      <c r="C3539" s="6">
        <v>783.70828403688495</v>
      </c>
      <c r="D3539" s="6">
        <v>741.57671103382802</v>
      </c>
      <c r="E3539" s="6">
        <v>741.57671103382802</v>
      </c>
      <c r="F3539" s="6">
        <v>35.166131559423</v>
      </c>
      <c r="G3539" s="6" t="str">
        <f t="shared" si="110"/>
        <v>OK</v>
      </c>
      <c r="H3539" s="6" t="str">
        <f t="shared" si="111"/>
        <v>NON-ZERO</v>
      </c>
      <c r="I3539">
        <v>848.52813742385695</v>
      </c>
      <c r="J3539">
        <f>IFERROR(Table4[[#This Row],[energy_kwh]]/Table4[[#This Row],[expected_kwh]],0)</f>
        <v>0.87395653523672778</v>
      </c>
      <c r="K3539" t="str">
        <f>IF(Table4[[#This Row],[Performance_Ratio]] &lt; 0.85, "Underperforming", "Performing")</f>
        <v>Performing</v>
      </c>
      <c r="L3539">
        <f>Table4[[#This Row],[energy_kwh]] - Table4[[#This Row],[expected_kwh]]</f>
        <v>-106.95142639002893</v>
      </c>
      <c r="M3539" t="str">
        <f>IF(Table4[[#This Row],[Performance_Deviation]] &lt; 0, "Underperforming", "Outperforming")</f>
        <v>Underperforming</v>
      </c>
      <c r="N3539">
        <f>IF(Table4[[#This Row],[Performance_Ratio]] &lt; 0.85, Table4[[#This Row],[Performance_Deviation]] * 50 / 1000, 0)</f>
        <v>0</v>
      </c>
    </row>
    <row r="3540" spans="1:14" x14ac:dyDescent="0.3">
      <c r="A3540" s="4" t="s">
        <v>10</v>
      </c>
      <c r="B3540" s="3">
        <v>45315.416666666664</v>
      </c>
      <c r="C3540" s="4">
        <v>1142.3772243695601</v>
      </c>
      <c r="D3540" s="4">
        <v>1080.96387656413</v>
      </c>
      <c r="E3540" s="4">
        <v>1080.96387656413</v>
      </c>
      <c r="F3540" s="4">
        <v>34.398162939442798</v>
      </c>
      <c r="G3540" s="4" t="str">
        <f t="shared" si="110"/>
        <v>OK</v>
      </c>
      <c r="H3540" s="4" t="str">
        <f t="shared" si="111"/>
        <v>NON-ZERO</v>
      </c>
      <c r="I3540">
        <v>1039.23048454132</v>
      </c>
      <c r="J3540">
        <f>IFERROR(Table4[[#This Row],[energy_kwh]]/Table4[[#This Row],[expected_kwh]],0)</f>
        <v>1.0401579751976096</v>
      </c>
      <c r="K3540" t="str">
        <f>IF(Table4[[#This Row],[Performance_Ratio]] &lt; 0.85, "Underperforming", "Performing")</f>
        <v>Performing</v>
      </c>
      <c r="L3540">
        <f>Table4[[#This Row],[energy_kwh]] - Table4[[#This Row],[expected_kwh]]</f>
        <v>41.733392022809994</v>
      </c>
      <c r="M3540" t="str">
        <f>IF(Table4[[#This Row],[Performance_Deviation]] &lt; 0, "Underperforming", "Outperforming")</f>
        <v>Outperforming</v>
      </c>
      <c r="N3540">
        <f>IF(Table4[[#This Row],[Performance_Ratio]] &lt; 0.85, Table4[[#This Row],[Performance_Deviation]] * 50 / 1000, 0)</f>
        <v>0</v>
      </c>
    </row>
    <row r="3541" spans="1:14" x14ac:dyDescent="0.3">
      <c r="A3541" s="6" t="s">
        <v>10</v>
      </c>
      <c r="B3541" s="5">
        <v>45315.458333333336</v>
      </c>
      <c r="C3541" s="6">
        <v>1155.43176730389</v>
      </c>
      <c r="D3541" s="6">
        <v>1093.3166170039999</v>
      </c>
      <c r="E3541" s="6">
        <v>1093.3166170039999</v>
      </c>
      <c r="F3541" s="6">
        <v>79.667252187670201</v>
      </c>
      <c r="G3541" s="6" t="str">
        <f t="shared" si="110"/>
        <v>OK</v>
      </c>
      <c r="H3541" s="6" t="str">
        <f t="shared" si="111"/>
        <v>NON-ZERO</v>
      </c>
      <c r="I3541">
        <v>1159.1109915468801</v>
      </c>
      <c r="J3541">
        <f>IFERROR(Table4[[#This Row],[energy_kwh]]/Table4[[#This Row],[expected_kwh]],0)</f>
        <v>0.94323720935898037</v>
      </c>
      <c r="K3541" t="str">
        <f>IF(Table4[[#This Row],[Performance_Ratio]] &lt; 0.85, "Underperforming", "Performing")</f>
        <v>Performing</v>
      </c>
      <c r="L3541">
        <f>Table4[[#This Row],[energy_kwh]] - Table4[[#This Row],[expected_kwh]]</f>
        <v>-65.794374542880178</v>
      </c>
      <c r="M3541" t="str">
        <f>IF(Table4[[#This Row],[Performance_Deviation]] &lt; 0, "Underperforming", "Outperforming")</f>
        <v>Underperforming</v>
      </c>
      <c r="N3541">
        <f>IF(Table4[[#This Row],[Performance_Ratio]] &lt; 0.85, Table4[[#This Row],[Performance_Deviation]] * 50 / 1000, 0)</f>
        <v>0</v>
      </c>
    </row>
    <row r="3542" spans="1:14" x14ac:dyDescent="0.3">
      <c r="A3542" s="4" t="s">
        <v>10</v>
      </c>
      <c r="B3542" s="3">
        <v>45315.5</v>
      </c>
      <c r="C3542" s="4">
        <v>1096.2416817363301</v>
      </c>
      <c r="D3542" s="4">
        <v>1037.3085463033799</v>
      </c>
      <c r="E3542" s="4">
        <v>1037.3085463033799</v>
      </c>
      <c r="F3542" s="4">
        <v>60.1631291723373</v>
      </c>
      <c r="G3542" s="4" t="str">
        <f t="shared" si="110"/>
        <v>OK</v>
      </c>
      <c r="H3542" s="4" t="str">
        <f t="shared" si="111"/>
        <v>NON-ZERO</v>
      </c>
      <c r="I3542">
        <v>1200</v>
      </c>
      <c r="J3542">
        <f>IFERROR(Table4[[#This Row],[energy_kwh]]/Table4[[#This Row],[expected_kwh]],0)</f>
        <v>0.86442378858614988</v>
      </c>
      <c r="K3542" t="str">
        <f>IF(Table4[[#This Row],[Performance_Ratio]] &lt; 0.85, "Underperforming", "Performing")</f>
        <v>Performing</v>
      </c>
      <c r="L3542">
        <f>Table4[[#This Row],[energy_kwh]] - Table4[[#This Row],[expected_kwh]]</f>
        <v>-162.6914536966201</v>
      </c>
      <c r="M3542" t="str">
        <f>IF(Table4[[#This Row],[Performance_Deviation]] &lt; 0, "Underperforming", "Outperforming")</f>
        <v>Underperforming</v>
      </c>
      <c r="N3542">
        <f>IF(Table4[[#This Row],[Performance_Ratio]] &lt; 0.85, Table4[[#This Row],[Performance_Deviation]] * 50 / 1000, 0)</f>
        <v>0</v>
      </c>
    </row>
    <row r="3543" spans="1:14" x14ac:dyDescent="0.3">
      <c r="A3543" s="6" t="s">
        <v>10</v>
      </c>
      <c r="B3543" s="5">
        <v>45315.541666666664</v>
      </c>
      <c r="C3543" s="6">
        <v>1131.5975230484901</v>
      </c>
      <c r="D3543" s="6">
        <v>1070.7636839485399</v>
      </c>
      <c r="E3543" s="6">
        <v>1070.7636839485399</v>
      </c>
      <c r="F3543" s="6">
        <v>59.488671239122198</v>
      </c>
      <c r="G3543" s="6" t="str">
        <f t="shared" si="110"/>
        <v>OK</v>
      </c>
      <c r="H3543" s="6" t="str">
        <f t="shared" si="111"/>
        <v>NON-ZERO</v>
      </c>
      <c r="I3543">
        <v>1159.1109915468801</v>
      </c>
      <c r="J3543">
        <f>IFERROR(Table4[[#This Row],[energy_kwh]]/Table4[[#This Row],[expected_kwh]],0)</f>
        <v>0.92378011403339622</v>
      </c>
      <c r="K3543" t="str">
        <f>IF(Table4[[#This Row],[Performance_Ratio]] &lt; 0.85, "Underperforming", "Performing")</f>
        <v>Performing</v>
      </c>
      <c r="L3543">
        <f>Table4[[#This Row],[energy_kwh]] - Table4[[#This Row],[expected_kwh]]</f>
        <v>-88.347307598340194</v>
      </c>
      <c r="M3543" t="str">
        <f>IF(Table4[[#This Row],[Performance_Deviation]] &lt; 0, "Underperforming", "Outperforming")</f>
        <v>Underperforming</v>
      </c>
      <c r="N3543">
        <f>IF(Table4[[#This Row],[Performance_Ratio]] &lt; 0.85, Table4[[#This Row],[Performance_Deviation]] * 50 / 1000, 0)</f>
        <v>0</v>
      </c>
    </row>
    <row r="3544" spans="1:14" x14ac:dyDescent="0.3">
      <c r="A3544" s="4" t="s">
        <v>10</v>
      </c>
      <c r="B3544" s="3">
        <v>45315.583333333336</v>
      </c>
      <c r="C3544" s="4">
        <v>1069.1634188129301</v>
      </c>
      <c r="D3544" s="4">
        <v>1011.68599060471</v>
      </c>
      <c r="E3544" s="4">
        <v>1011.68599060471</v>
      </c>
      <c r="F3544" s="4">
        <v>50.490373541525898</v>
      </c>
      <c r="G3544" s="4" t="str">
        <f t="shared" si="110"/>
        <v>OK</v>
      </c>
      <c r="H3544" s="4" t="str">
        <f t="shared" si="111"/>
        <v>NON-ZERO</v>
      </c>
      <c r="I3544">
        <v>1039.23048454132</v>
      </c>
      <c r="J3544">
        <f>IFERROR(Table4[[#This Row],[energy_kwh]]/Table4[[#This Row],[expected_kwh]],0)</f>
        <v>0.97349529835167681</v>
      </c>
      <c r="K3544" t="str">
        <f>IF(Table4[[#This Row],[Performance_Ratio]] &lt; 0.85, "Underperforming", "Performing")</f>
        <v>Performing</v>
      </c>
      <c r="L3544">
        <f>Table4[[#This Row],[energy_kwh]] - Table4[[#This Row],[expected_kwh]]</f>
        <v>-27.544493936610024</v>
      </c>
      <c r="M3544" t="str">
        <f>IF(Table4[[#This Row],[Performance_Deviation]] &lt; 0, "Underperforming", "Outperforming")</f>
        <v>Underperforming</v>
      </c>
      <c r="N3544">
        <f>IF(Table4[[#This Row],[Performance_Ratio]] &lt; 0.85, Table4[[#This Row],[Performance_Deviation]] * 50 / 1000, 0)</f>
        <v>0</v>
      </c>
    </row>
    <row r="3545" spans="1:14" x14ac:dyDescent="0.3">
      <c r="A3545" s="6" t="s">
        <v>10</v>
      </c>
      <c r="B3545" s="5">
        <v>45315.625</v>
      </c>
      <c r="C3545" s="6">
        <v>813.410574383572</v>
      </c>
      <c r="D3545" s="6">
        <v>769.68222839803104</v>
      </c>
      <c r="E3545" s="6">
        <v>769.68222839803104</v>
      </c>
      <c r="F3545" s="6">
        <v>94.454346469522093</v>
      </c>
      <c r="G3545" s="6" t="str">
        <f t="shared" si="110"/>
        <v>OK</v>
      </c>
      <c r="H3545" s="6" t="str">
        <f t="shared" si="111"/>
        <v>NON-ZERO</v>
      </c>
      <c r="I3545">
        <v>848.52813742385695</v>
      </c>
      <c r="J3545">
        <f>IFERROR(Table4[[#This Row],[energy_kwh]]/Table4[[#This Row],[expected_kwh]],0)</f>
        <v>0.90707920509836815</v>
      </c>
      <c r="K3545" t="str">
        <f>IF(Table4[[#This Row],[Performance_Ratio]] &lt; 0.85, "Underperforming", "Performing")</f>
        <v>Performing</v>
      </c>
      <c r="L3545">
        <f>Table4[[#This Row],[energy_kwh]] - Table4[[#This Row],[expected_kwh]]</f>
        <v>-78.845909025825904</v>
      </c>
      <c r="M3545" t="str">
        <f>IF(Table4[[#This Row],[Performance_Deviation]] &lt; 0, "Underperforming", "Outperforming")</f>
        <v>Underperforming</v>
      </c>
      <c r="N3545">
        <f>IF(Table4[[#This Row],[Performance_Ratio]] &lt; 0.85, Table4[[#This Row],[Performance_Deviation]] * 50 / 1000, 0)</f>
        <v>0</v>
      </c>
    </row>
    <row r="3546" spans="1:14" x14ac:dyDescent="0.3">
      <c r="A3546" s="4" t="s">
        <v>10</v>
      </c>
      <c r="B3546" s="3">
        <v>45315.666666666664</v>
      </c>
      <c r="C3546" s="4">
        <v>613.23469996168296</v>
      </c>
      <c r="D3546" s="4">
        <v>580.267659730388</v>
      </c>
      <c r="E3546" s="4">
        <v>580.267659730388</v>
      </c>
      <c r="F3546" s="4">
        <v>66.474811371478097</v>
      </c>
      <c r="G3546" s="4" t="str">
        <f t="shared" si="110"/>
        <v>OK</v>
      </c>
      <c r="H3546" s="4" t="str">
        <f t="shared" si="111"/>
        <v>NON-ZERO</v>
      </c>
      <c r="I3546">
        <v>600</v>
      </c>
      <c r="J3546">
        <f>IFERROR(Table4[[#This Row],[energy_kwh]]/Table4[[#This Row],[expected_kwh]],0)</f>
        <v>0.96711276621731335</v>
      </c>
      <c r="K3546" t="str">
        <f>IF(Table4[[#This Row],[Performance_Ratio]] &lt; 0.85, "Underperforming", "Performing")</f>
        <v>Performing</v>
      </c>
      <c r="L3546">
        <f>Table4[[#This Row],[energy_kwh]] - Table4[[#This Row],[expected_kwh]]</f>
        <v>-19.732340269611996</v>
      </c>
      <c r="M3546" t="str">
        <f>IF(Table4[[#This Row],[Performance_Deviation]] &lt; 0, "Underperforming", "Outperforming")</f>
        <v>Underperforming</v>
      </c>
      <c r="N3546">
        <f>IF(Table4[[#This Row],[Performance_Ratio]] &lt; 0.85, Table4[[#This Row],[Performance_Deviation]] * 50 / 1000, 0)</f>
        <v>0</v>
      </c>
    </row>
    <row r="3547" spans="1:14" x14ac:dyDescent="0.3">
      <c r="A3547" s="6" t="s">
        <v>10</v>
      </c>
      <c r="B3547" s="5">
        <v>45315.708333333336</v>
      </c>
      <c r="C3547" s="6">
        <v>284.80130020582499</v>
      </c>
      <c r="D3547" s="6">
        <v>269.49059465965001</v>
      </c>
      <c r="E3547" s="6">
        <v>269.49059465965001</v>
      </c>
      <c r="F3547" s="6">
        <v>27.765767896458701</v>
      </c>
      <c r="G3547" s="6" t="str">
        <f t="shared" si="110"/>
        <v>OK</v>
      </c>
      <c r="H3547" s="6" t="str">
        <f t="shared" si="111"/>
        <v>NON-ZERO</v>
      </c>
      <c r="I3547">
        <v>310.58285412302502</v>
      </c>
      <c r="J3547">
        <f>IFERROR(Table4[[#This Row],[energy_kwh]]/Table4[[#This Row],[expected_kwh]],0)</f>
        <v>0.8676930844125158</v>
      </c>
      <c r="K3547" t="str">
        <f>IF(Table4[[#This Row],[Performance_Ratio]] &lt; 0.85, "Underperforming", "Performing")</f>
        <v>Performing</v>
      </c>
      <c r="L3547">
        <f>Table4[[#This Row],[energy_kwh]] - Table4[[#This Row],[expected_kwh]]</f>
        <v>-41.092259463375001</v>
      </c>
      <c r="M3547" t="str">
        <f>IF(Table4[[#This Row],[Performance_Deviation]] &lt; 0, "Underperforming", "Outperforming")</f>
        <v>Underperforming</v>
      </c>
      <c r="N3547">
        <f>IF(Table4[[#This Row],[Performance_Ratio]] &lt; 0.85, Table4[[#This Row],[Performance_Deviation]] * 50 / 1000, 0)</f>
        <v>0</v>
      </c>
    </row>
    <row r="3548" spans="1:14" x14ac:dyDescent="0.3">
      <c r="A3548" s="4" t="s">
        <v>10</v>
      </c>
      <c r="B3548" s="3">
        <v>45315.75</v>
      </c>
      <c r="C3548" s="7">
        <v>1.170749303647E-13</v>
      </c>
      <c r="D3548" s="7">
        <v>1.10781069401434E-13</v>
      </c>
      <c r="E3548" s="7">
        <v>1.10781069401434E-13</v>
      </c>
      <c r="F3548" s="4">
        <v>21.300944514028799</v>
      </c>
      <c r="G3548" s="4" t="str">
        <f t="shared" si="110"/>
        <v>OK</v>
      </c>
      <c r="H3548" s="4" t="str">
        <f t="shared" si="111"/>
        <v>NON-ZERO</v>
      </c>
      <c r="I3548" s="2">
        <v>1.46957615897682E-13</v>
      </c>
      <c r="J3548">
        <f>IFERROR(Table4[[#This Row],[energy_kwh]]/Table4[[#This Row],[expected_kwh]],0)</f>
        <v>0.75383006674907127</v>
      </c>
      <c r="K3548" t="str">
        <f>IF(Table4[[#This Row],[Performance_Ratio]] &lt; 0.85, "Underperforming", "Performing")</f>
        <v>Underperforming</v>
      </c>
      <c r="L3548">
        <f>Table4[[#This Row],[energy_kwh]] - Table4[[#This Row],[expected_kwh]]</f>
        <v>-3.6176546496248004E-14</v>
      </c>
      <c r="M3548" t="str">
        <f>IF(Table4[[#This Row],[Performance_Deviation]] &lt; 0, "Underperforming", "Outperforming")</f>
        <v>Underperforming</v>
      </c>
      <c r="N3548">
        <f>IF(Table4[[#This Row],[Performance_Ratio]] &lt; 0.85, Table4[[#This Row],[Performance_Deviation]] * 50 / 1000, 0)</f>
        <v>-1.8088273248124001E-15</v>
      </c>
    </row>
    <row r="3549" spans="1:14" x14ac:dyDescent="0.3">
      <c r="A3549" s="6" t="s">
        <v>10</v>
      </c>
      <c r="B3549" s="5">
        <v>45315.791666666664</v>
      </c>
      <c r="C3549" s="6">
        <v>0</v>
      </c>
      <c r="D3549" s="6">
        <v>0</v>
      </c>
      <c r="E3549" s="6">
        <v>0</v>
      </c>
      <c r="F3549" s="6">
        <v>55.522306661345702</v>
      </c>
      <c r="G3549" s="6" t="str">
        <f t="shared" si="110"/>
        <v>OK</v>
      </c>
      <c r="H3549" s="6" t="str">
        <f t="shared" si="111"/>
        <v>ZERO</v>
      </c>
      <c r="I3549">
        <v>0</v>
      </c>
      <c r="J3549">
        <f>IFERROR(Table4[[#This Row],[energy_kwh]]/Table4[[#This Row],[expected_kwh]],0)</f>
        <v>0</v>
      </c>
      <c r="K3549" t="str">
        <f>IF(Table4[[#This Row],[Performance_Ratio]] &lt; 0.85, "Underperforming", "Performing")</f>
        <v>Underperforming</v>
      </c>
      <c r="L3549">
        <f>Table4[[#This Row],[energy_kwh]] - Table4[[#This Row],[expected_kwh]]</f>
        <v>0</v>
      </c>
      <c r="M3549" t="str">
        <f>IF(Table4[[#This Row],[Performance_Deviation]] &lt; 0, "Underperforming", "Outperforming")</f>
        <v>Outperforming</v>
      </c>
      <c r="N3549">
        <f>IF(Table4[[#This Row],[Performance_Ratio]] &lt; 0.85, Table4[[#This Row],[Performance_Deviation]] * 50 / 1000, 0)</f>
        <v>0</v>
      </c>
    </row>
    <row r="3550" spans="1:14" x14ac:dyDescent="0.3">
      <c r="A3550" s="4" t="s">
        <v>10</v>
      </c>
      <c r="B3550" s="3">
        <v>45315.833333333336</v>
      </c>
      <c r="C3550" s="4">
        <v>0</v>
      </c>
      <c r="D3550" s="4">
        <v>0</v>
      </c>
      <c r="E3550" s="4">
        <v>0</v>
      </c>
      <c r="F3550" s="4">
        <v>40.365011218137603</v>
      </c>
      <c r="G3550" s="4" t="str">
        <f t="shared" si="110"/>
        <v>OK</v>
      </c>
      <c r="H3550" s="4" t="str">
        <f t="shared" si="111"/>
        <v>ZERO</v>
      </c>
      <c r="I3550">
        <v>0</v>
      </c>
      <c r="J3550">
        <f>IFERROR(Table4[[#This Row],[energy_kwh]]/Table4[[#This Row],[expected_kwh]],0)</f>
        <v>0</v>
      </c>
      <c r="K3550" t="str">
        <f>IF(Table4[[#This Row],[Performance_Ratio]] &lt; 0.85, "Underperforming", "Performing")</f>
        <v>Underperforming</v>
      </c>
      <c r="L3550">
        <f>Table4[[#This Row],[energy_kwh]] - Table4[[#This Row],[expected_kwh]]</f>
        <v>0</v>
      </c>
      <c r="M3550" t="str">
        <f>IF(Table4[[#This Row],[Performance_Deviation]] &lt; 0, "Underperforming", "Outperforming")</f>
        <v>Outperforming</v>
      </c>
      <c r="N3550">
        <f>IF(Table4[[#This Row],[Performance_Ratio]] &lt; 0.85, Table4[[#This Row],[Performance_Deviation]] * 50 / 1000, 0)</f>
        <v>0</v>
      </c>
    </row>
    <row r="3551" spans="1:14" x14ac:dyDescent="0.3">
      <c r="A3551" s="6" t="s">
        <v>10</v>
      </c>
      <c r="B3551" s="5">
        <v>45315.875</v>
      </c>
      <c r="C3551" s="6">
        <v>0</v>
      </c>
      <c r="D3551" s="6">
        <v>0</v>
      </c>
      <c r="E3551" s="6">
        <v>0</v>
      </c>
      <c r="F3551" s="6">
        <v>34.751482559514599</v>
      </c>
      <c r="G3551" s="6" t="str">
        <f t="shared" si="110"/>
        <v>OK</v>
      </c>
      <c r="H3551" s="6" t="str">
        <f t="shared" si="111"/>
        <v>ZERO</v>
      </c>
      <c r="I3551">
        <v>0</v>
      </c>
      <c r="J3551">
        <f>IFERROR(Table4[[#This Row],[energy_kwh]]/Table4[[#This Row],[expected_kwh]],0)</f>
        <v>0</v>
      </c>
      <c r="K3551" t="str">
        <f>IF(Table4[[#This Row],[Performance_Ratio]] &lt; 0.85, "Underperforming", "Performing")</f>
        <v>Underperforming</v>
      </c>
      <c r="L3551">
        <f>Table4[[#This Row],[energy_kwh]] - Table4[[#This Row],[expected_kwh]]</f>
        <v>0</v>
      </c>
      <c r="M3551" t="str">
        <f>IF(Table4[[#This Row],[Performance_Deviation]] &lt; 0, "Underperforming", "Outperforming")</f>
        <v>Outperforming</v>
      </c>
      <c r="N3551">
        <f>IF(Table4[[#This Row],[Performance_Ratio]] &lt; 0.85, Table4[[#This Row],[Performance_Deviation]] * 50 / 1000, 0)</f>
        <v>0</v>
      </c>
    </row>
    <row r="3552" spans="1:14" x14ac:dyDescent="0.3">
      <c r="A3552" s="4" t="s">
        <v>10</v>
      </c>
      <c r="B3552" s="3">
        <v>45315.916666666664</v>
      </c>
      <c r="C3552" s="4">
        <v>0</v>
      </c>
      <c r="D3552" s="4">
        <v>0</v>
      </c>
      <c r="E3552" s="4">
        <v>0</v>
      </c>
      <c r="F3552" s="4">
        <v>33.558196613054498</v>
      </c>
      <c r="G3552" s="4" t="str">
        <f t="shared" si="110"/>
        <v>OK</v>
      </c>
      <c r="H3552" s="4" t="str">
        <f t="shared" si="111"/>
        <v>ZERO</v>
      </c>
      <c r="I3552">
        <v>0</v>
      </c>
      <c r="J3552">
        <f>IFERROR(Table4[[#This Row],[energy_kwh]]/Table4[[#This Row],[expected_kwh]],0)</f>
        <v>0</v>
      </c>
      <c r="K3552" t="str">
        <f>IF(Table4[[#This Row],[Performance_Ratio]] &lt; 0.85, "Underperforming", "Performing")</f>
        <v>Underperforming</v>
      </c>
      <c r="L3552">
        <f>Table4[[#This Row],[energy_kwh]] - Table4[[#This Row],[expected_kwh]]</f>
        <v>0</v>
      </c>
      <c r="M3552" t="str">
        <f>IF(Table4[[#This Row],[Performance_Deviation]] &lt; 0, "Underperforming", "Outperforming")</f>
        <v>Outperforming</v>
      </c>
      <c r="N3552">
        <f>IF(Table4[[#This Row],[Performance_Ratio]] &lt; 0.85, Table4[[#This Row],[Performance_Deviation]] * 50 / 1000, 0)</f>
        <v>0</v>
      </c>
    </row>
    <row r="3553" spans="1:14" x14ac:dyDescent="0.3">
      <c r="A3553" s="6" t="s">
        <v>10</v>
      </c>
      <c r="B3553" s="5">
        <v>45315.958333333336</v>
      </c>
      <c r="C3553" s="6">
        <v>0</v>
      </c>
      <c r="D3553" s="6">
        <v>0</v>
      </c>
      <c r="E3553" s="6">
        <v>0</v>
      </c>
      <c r="F3553" s="6">
        <v>70.171373132046796</v>
      </c>
      <c r="G3553" s="6" t="str">
        <f t="shared" si="110"/>
        <v>OK</v>
      </c>
      <c r="H3553" s="6" t="str">
        <f t="shared" si="111"/>
        <v>ZERO</v>
      </c>
      <c r="I3553">
        <v>0</v>
      </c>
      <c r="J3553">
        <f>IFERROR(Table4[[#This Row],[energy_kwh]]/Table4[[#This Row],[expected_kwh]],0)</f>
        <v>0</v>
      </c>
      <c r="K3553" t="str">
        <f>IF(Table4[[#This Row],[Performance_Ratio]] &lt; 0.85, "Underperforming", "Performing")</f>
        <v>Underperforming</v>
      </c>
      <c r="L3553">
        <f>Table4[[#This Row],[energy_kwh]] - Table4[[#This Row],[expected_kwh]]</f>
        <v>0</v>
      </c>
      <c r="M3553" t="str">
        <f>IF(Table4[[#This Row],[Performance_Deviation]] &lt; 0, "Underperforming", "Outperforming")</f>
        <v>Outperforming</v>
      </c>
      <c r="N3553">
        <f>IF(Table4[[#This Row],[Performance_Ratio]] &lt; 0.85, Table4[[#This Row],[Performance_Deviation]] * 50 / 1000, 0)</f>
        <v>0</v>
      </c>
    </row>
    <row r="3554" spans="1:14" x14ac:dyDescent="0.3">
      <c r="A3554" s="4" t="s">
        <v>10</v>
      </c>
      <c r="B3554" s="3">
        <v>45316</v>
      </c>
      <c r="C3554" s="4">
        <v>0</v>
      </c>
      <c r="D3554" s="4">
        <v>0</v>
      </c>
      <c r="E3554" s="4">
        <v>0</v>
      </c>
      <c r="F3554" s="4">
        <v>42.346807171876897</v>
      </c>
      <c r="G3554" s="4" t="str">
        <f t="shared" si="110"/>
        <v>OK</v>
      </c>
      <c r="H3554" s="4" t="str">
        <f t="shared" si="111"/>
        <v>ZERO</v>
      </c>
      <c r="I3554">
        <v>0</v>
      </c>
      <c r="J3554">
        <f>IFERROR(Table4[[#This Row],[energy_kwh]]/Table4[[#This Row],[expected_kwh]],0)</f>
        <v>0</v>
      </c>
      <c r="K3554" t="str">
        <f>IF(Table4[[#This Row],[Performance_Ratio]] &lt; 0.85, "Underperforming", "Performing")</f>
        <v>Underperforming</v>
      </c>
      <c r="L3554">
        <f>Table4[[#This Row],[energy_kwh]] - Table4[[#This Row],[expected_kwh]]</f>
        <v>0</v>
      </c>
      <c r="M3554" t="str">
        <f>IF(Table4[[#This Row],[Performance_Deviation]] &lt; 0, "Underperforming", "Outperforming")</f>
        <v>Outperforming</v>
      </c>
      <c r="N3554">
        <f>IF(Table4[[#This Row],[Performance_Ratio]] &lt; 0.85, Table4[[#This Row],[Performance_Deviation]] * 50 / 1000, 0)</f>
        <v>0</v>
      </c>
    </row>
    <row r="3555" spans="1:14" x14ac:dyDescent="0.3">
      <c r="A3555" s="6" t="s">
        <v>10</v>
      </c>
      <c r="B3555" s="5">
        <v>45316.041666666664</v>
      </c>
      <c r="C3555" s="6">
        <v>0</v>
      </c>
      <c r="D3555" s="6">
        <v>0</v>
      </c>
      <c r="E3555" s="6">
        <v>0</v>
      </c>
      <c r="F3555" s="6">
        <v>37.538627681410802</v>
      </c>
      <c r="G3555" s="6" t="str">
        <f t="shared" si="110"/>
        <v>OK</v>
      </c>
      <c r="H3555" s="6" t="str">
        <f t="shared" si="111"/>
        <v>ZERO</v>
      </c>
      <c r="I3555">
        <v>0</v>
      </c>
      <c r="J3555">
        <f>IFERROR(Table4[[#This Row],[energy_kwh]]/Table4[[#This Row],[expected_kwh]],0)</f>
        <v>0</v>
      </c>
      <c r="K3555" t="str">
        <f>IF(Table4[[#This Row],[Performance_Ratio]] &lt; 0.85, "Underperforming", "Performing")</f>
        <v>Underperforming</v>
      </c>
      <c r="L3555">
        <f>Table4[[#This Row],[energy_kwh]] - Table4[[#This Row],[expected_kwh]]</f>
        <v>0</v>
      </c>
      <c r="M3555" t="str">
        <f>IF(Table4[[#This Row],[Performance_Deviation]] &lt; 0, "Underperforming", "Outperforming")</f>
        <v>Outperforming</v>
      </c>
      <c r="N3555">
        <f>IF(Table4[[#This Row],[Performance_Ratio]] &lt; 0.85, Table4[[#This Row],[Performance_Deviation]] * 50 / 1000, 0)</f>
        <v>0</v>
      </c>
    </row>
    <row r="3556" spans="1:14" x14ac:dyDescent="0.3">
      <c r="A3556" s="4" t="s">
        <v>10</v>
      </c>
      <c r="B3556" s="3">
        <v>45316.083333333336</v>
      </c>
      <c r="C3556" s="4">
        <v>0</v>
      </c>
      <c r="D3556" s="4">
        <v>0</v>
      </c>
      <c r="E3556" s="4">
        <v>0</v>
      </c>
      <c r="F3556" s="4">
        <v>56.450258617867</v>
      </c>
      <c r="G3556" s="4" t="str">
        <f t="shared" si="110"/>
        <v>OK</v>
      </c>
      <c r="H3556" s="4" t="str">
        <f t="shared" si="111"/>
        <v>ZERO</v>
      </c>
      <c r="I3556">
        <v>0</v>
      </c>
      <c r="J3556">
        <f>IFERROR(Table4[[#This Row],[energy_kwh]]/Table4[[#This Row],[expected_kwh]],0)</f>
        <v>0</v>
      </c>
      <c r="K3556" t="str">
        <f>IF(Table4[[#This Row],[Performance_Ratio]] &lt; 0.85, "Underperforming", "Performing")</f>
        <v>Underperforming</v>
      </c>
      <c r="L3556">
        <f>Table4[[#This Row],[energy_kwh]] - Table4[[#This Row],[expected_kwh]]</f>
        <v>0</v>
      </c>
      <c r="M3556" t="str">
        <f>IF(Table4[[#This Row],[Performance_Deviation]] &lt; 0, "Underperforming", "Outperforming")</f>
        <v>Outperforming</v>
      </c>
      <c r="N3556">
        <f>IF(Table4[[#This Row],[Performance_Ratio]] &lt; 0.85, Table4[[#This Row],[Performance_Deviation]] * 50 / 1000, 0)</f>
        <v>0</v>
      </c>
    </row>
    <row r="3557" spans="1:14" x14ac:dyDescent="0.3">
      <c r="A3557" s="6" t="s">
        <v>10</v>
      </c>
      <c r="B3557" s="5">
        <v>45316.125</v>
      </c>
      <c r="C3557" s="6">
        <v>0</v>
      </c>
      <c r="D3557" s="6">
        <v>0</v>
      </c>
      <c r="E3557" s="6">
        <v>0</v>
      </c>
      <c r="F3557" s="6">
        <v>46.710437151122598</v>
      </c>
      <c r="G3557" s="6" t="str">
        <f t="shared" si="110"/>
        <v>OK</v>
      </c>
      <c r="H3557" s="6" t="str">
        <f t="shared" si="111"/>
        <v>ZERO</v>
      </c>
      <c r="I3557">
        <v>0</v>
      </c>
      <c r="J3557">
        <f>IFERROR(Table4[[#This Row],[energy_kwh]]/Table4[[#This Row],[expected_kwh]],0)</f>
        <v>0</v>
      </c>
      <c r="K3557" t="str">
        <f>IF(Table4[[#This Row],[Performance_Ratio]] &lt; 0.85, "Underperforming", "Performing")</f>
        <v>Underperforming</v>
      </c>
      <c r="L3557">
        <f>Table4[[#This Row],[energy_kwh]] - Table4[[#This Row],[expected_kwh]]</f>
        <v>0</v>
      </c>
      <c r="M3557" t="str">
        <f>IF(Table4[[#This Row],[Performance_Deviation]] &lt; 0, "Underperforming", "Outperforming")</f>
        <v>Outperforming</v>
      </c>
      <c r="N3557">
        <f>IF(Table4[[#This Row],[Performance_Ratio]] &lt; 0.85, Table4[[#This Row],[Performance_Deviation]] * 50 / 1000, 0)</f>
        <v>0</v>
      </c>
    </row>
    <row r="3558" spans="1:14" x14ac:dyDescent="0.3">
      <c r="A3558" s="4" t="s">
        <v>10</v>
      </c>
      <c r="B3558" s="3">
        <v>45316.166666666664</v>
      </c>
      <c r="C3558" s="4">
        <v>0</v>
      </c>
      <c r="D3558" s="4">
        <v>0</v>
      </c>
      <c r="E3558" s="4">
        <v>0</v>
      </c>
      <c r="F3558" s="4">
        <v>86.800894670410301</v>
      </c>
      <c r="G3558" s="4" t="str">
        <f t="shared" si="110"/>
        <v>OK</v>
      </c>
      <c r="H3558" s="4" t="str">
        <f t="shared" si="111"/>
        <v>ZERO</v>
      </c>
      <c r="I3558">
        <v>0</v>
      </c>
      <c r="J3558">
        <f>IFERROR(Table4[[#This Row],[energy_kwh]]/Table4[[#This Row],[expected_kwh]],0)</f>
        <v>0</v>
      </c>
      <c r="K3558" t="str">
        <f>IF(Table4[[#This Row],[Performance_Ratio]] &lt; 0.85, "Underperforming", "Performing")</f>
        <v>Underperforming</v>
      </c>
      <c r="L3558">
        <f>Table4[[#This Row],[energy_kwh]] - Table4[[#This Row],[expected_kwh]]</f>
        <v>0</v>
      </c>
      <c r="M3558" t="str">
        <f>IF(Table4[[#This Row],[Performance_Deviation]] &lt; 0, "Underperforming", "Outperforming")</f>
        <v>Outperforming</v>
      </c>
      <c r="N3558">
        <f>IF(Table4[[#This Row],[Performance_Ratio]] &lt; 0.85, Table4[[#This Row],[Performance_Deviation]] * 50 / 1000, 0)</f>
        <v>0</v>
      </c>
    </row>
    <row r="3559" spans="1:14" x14ac:dyDescent="0.3">
      <c r="A3559" s="6" t="s">
        <v>10</v>
      </c>
      <c r="B3559" s="5">
        <v>45316.208333333336</v>
      </c>
      <c r="C3559" s="6">
        <v>0</v>
      </c>
      <c r="D3559" s="6">
        <v>0</v>
      </c>
      <c r="E3559" s="6">
        <v>0</v>
      </c>
      <c r="F3559" s="6">
        <v>46.137934987369299</v>
      </c>
      <c r="G3559" s="6" t="str">
        <f t="shared" si="110"/>
        <v>OK</v>
      </c>
      <c r="H3559" s="6" t="str">
        <f t="shared" si="111"/>
        <v>ZERO</v>
      </c>
      <c r="I3559">
        <v>0</v>
      </c>
      <c r="J3559">
        <f>IFERROR(Table4[[#This Row],[energy_kwh]]/Table4[[#This Row],[expected_kwh]],0)</f>
        <v>0</v>
      </c>
      <c r="K3559" t="str">
        <f>IF(Table4[[#This Row],[Performance_Ratio]] &lt; 0.85, "Underperforming", "Performing")</f>
        <v>Underperforming</v>
      </c>
      <c r="L3559">
        <f>Table4[[#This Row],[energy_kwh]] - Table4[[#This Row],[expected_kwh]]</f>
        <v>0</v>
      </c>
      <c r="M3559" t="str">
        <f>IF(Table4[[#This Row],[Performance_Deviation]] &lt; 0, "Underperforming", "Outperforming")</f>
        <v>Outperforming</v>
      </c>
      <c r="N3559">
        <f>IF(Table4[[#This Row],[Performance_Ratio]] &lt; 0.85, Table4[[#This Row],[Performance_Deviation]] * 50 / 1000, 0)</f>
        <v>0</v>
      </c>
    </row>
    <row r="3560" spans="1:14" x14ac:dyDescent="0.3">
      <c r="A3560" s="4" t="s">
        <v>10</v>
      </c>
      <c r="B3560" s="3">
        <v>45316.25</v>
      </c>
      <c r="C3560" s="4">
        <v>0</v>
      </c>
      <c r="D3560" s="4">
        <v>0</v>
      </c>
      <c r="E3560" s="4">
        <v>0</v>
      </c>
      <c r="F3560" s="4">
        <v>78.920134431726694</v>
      </c>
      <c r="G3560" s="4" t="str">
        <f t="shared" si="110"/>
        <v>OK</v>
      </c>
      <c r="H3560" s="4" t="str">
        <f t="shared" si="111"/>
        <v>ZERO</v>
      </c>
      <c r="I3560">
        <v>0</v>
      </c>
      <c r="J3560">
        <f>IFERROR(Table4[[#This Row],[energy_kwh]]/Table4[[#This Row],[expected_kwh]],0)</f>
        <v>0</v>
      </c>
      <c r="K3560" t="str">
        <f>IF(Table4[[#This Row],[Performance_Ratio]] &lt; 0.85, "Underperforming", "Performing")</f>
        <v>Underperforming</v>
      </c>
      <c r="L3560">
        <f>Table4[[#This Row],[energy_kwh]] - Table4[[#This Row],[expected_kwh]]</f>
        <v>0</v>
      </c>
      <c r="M3560" t="str">
        <f>IF(Table4[[#This Row],[Performance_Deviation]] &lt; 0, "Underperforming", "Outperforming")</f>
        <v>Outperforming</v>
      </c>
      <c r="N3560">
        <f>IF(Table4[[#This Row],[Performance_Ratio]] &lt; 0.85, Table4[[#This Row],[Performance_Deviation]] * 50 / 1000, 0)</f>
        <v>0</v>
      </c>
    </row>
    <row r="3561" spans="1:14" x14ac:dyDescent="0.3">
      <c r="A3561" s="6" t="s">
        <v>10</v>
      </c>
      <c r="B3561" s="5">
        <v>45316.291666666664</v>
      </c>
      <c r="C3561" s="6">
        <v>313.95752123853799</v>
      </c>
      <c r="D3561" s="6">
        <v>297.079398989038</v>
      </c>
      <c r="E3561" s="6">
        <v>297.079398989038</v>
      </c>
      <c r="F3561" s="6">
        <v>66.912262783752794</v>
      </c>
      <c r="G3561" s="6" t="str">
        <f t="shared" si="110"/>
        <v>OK</v>
      </c>
      <c r="H3561" s="6" t="str">
        <f t="shared" si="111"/>
        <v>NON-ZERO</v>
      </c>
      <c r="I3561">
        <v>310.58285412302399</v>
      </c>
      <c r="J3561">
        <f>IFERROR(Table4[[#This Row],[energy_kwh]]/Table4[[#This Row],[expected_kwh]],0)</f>
        <v>0.95652221313982388</v>
      </c>
      <c r="K3561" t="str">
        <f>IF(Table4[[#This Row],[Performance_Ratio]] &lt; 0.85, "Underperforming", "Performing")</f>
        <v>Performing</v>
      </c>
      <c r="L3561">
        <f>Table4[[#This Row],[energy_kwh]] - Table4[[#This Row],[expected_kwh]]</f>
        <v>-13.503455133985995</v>
      </c>
      <c r="M3561" t="str">
        <f>IF(Table4[[#This Row],[Performance_Deviation]] &lt; 0, "Underperforming", "Outperforming")</f>
        <v>Underperforming</v>
      </c>
      <c r="N3561">
        <f>IF(Table4[[#This Row],[Performance_Ratio]] &lt; 0.85, Table4[[#This Row],[Performance_Deviation]] * 50 / 1000, 0)</f>
        <v>0</v>
      </c>
    </row>
    <row r="3562" spans="1:14" x14ac:dyDescent="0.3">
      <c r="A3562" s="4" t="s">
        <v>10</v>
      </c>
      <c r="B3562" s="3">
        <v>45316.333333333336</v>
      </c>
      <c r="C3562" s="4">
        <v>504.755428240524</v>
      </c>
      <c r="D3562" s="4">
        <v>477.62015277289402</v>
      </c>
      <c r="E3562" s="4">
        <v>477.62015277289402</v>
      </c>
      <c r="F3562" s="4">
        <v>25.7067028512182</v>
      </c>
      <c r="G3562" s="4" t="str">
        <f t="shared" si="110"/>
        <v>OK</v>
      </c>
      <c r="H3562" s="4" t="str">
        <f t="shared" si="111"/>
        <v>NON-ZERO</v>
      </c>
      <c r="I3562">
        <v>600</v>
      </c>
      <c r="J3562">
        <f>IFERROR(Table4[[#This Row],[energy_kwh]]/Table4[[#This Row],[expected_kwh]],0)</f>
        <v>0.79603358795482337</v>
      </c>
      <c r="K3562" t="str">
        <f>IF(Table4[[#This Row],[Performance_Ratio]] &lt; 0.85, "Underperforming", "Performing")</f>
        <v>Underperforming</v>
      </c>
      <c r="L3562">
        <f>Table4[[#This Row],[energy_kwh]] - Table4[[#This Row],[expected_kwh]]</f>
        <v>-122.37984722710598</v>
      </c>
      <c r="M3562" t="str">
        <f>IF(Table4[[#This Row],[Performance_Deviation]] &lt; 0, "Underperforming", "Outperforming")</f>
        <v>Underperforming</v>
      </c>
      <c r="N3562">
        <f>IF(Table4[[#This Row],[Performance_Ratio]] &lt; 0.85, Table4[[#This Row],[Performance_Deviation]] * 50 / 1000, 0)</f>
        <v>-6.118992361355299</v>
      </c>
    </row>
    <row r="3563" spans="1:14" x14ac:dyDescent="0.3">
      <c r="A3563" s="6" t="s">
        <v>10</v>
      </c>
      <c r="B3563" s="5">
        <v>45316.375</v>
      </c>
      <c r="C3563" s="6">
        <v>798.91278688535704</v>
      </c>
      <c r="D3563" s="6">
        <v>755.96383114591299</v>
      </c>
      <c r="E3563" s="6">
        <v>755.96383114591299</v>
      </c>
      <c r="F3563" s="6">
        <v>83.7772090743387</v>
      </c>
      <c r="G3563" s="6" t="str">
        <f t="shared" si="110"/>
        <v>OK</v>
      </c>
      <c r="H3563" s="6" t="str">
        <f t="shared" si="111"/>
        <v>NON-ZERO</v>
      </c>
      <c r="I3563">
        <v>848.52813742385695</v>
      </c>
      <c r="J3563">
        <f>IFERROR(Table4[[#This Row],[energy_kwh]]/Table4[[#This Row],[expected_kwh]],0)</f>
        <v>0.89091191889172883</v>
      </c>
      <c r="K3563" t="str">
        <f>IF(Table4[[#This Row],[Performance_Ratio]] &lt; 0.85, "Underperforming", "Performing")</f>
        <v>Performing</v>
      </c>
      <c r="L3563">
        <f>Table4[[#This Row],[energy_kwh]] - Table4[[#This Row],[expected_kwh]]</f>
        <v>-92.564306277943956</v>
      </c>
      <c r="M3563" t="str">
        <f>IF(Table4[[#This Row],[Performance_Deviation]] &lt; 0, "Underperforming", "Outperforming")</f>
        <v>Underperforming</v>
      </c>
      <c r="N3563">
        <f>IF(Table4[[#This Row],[Performance_Ratio]] &lt; 0.85, Table4[[#This Row],[Performance_Deviation]] * 50 / 1000, 0)</f>
        <v>0</v>
      </c>
    </row>
    <row r="3564" spans="1:14" x14ac:dyDescent="0.3">
      <c r="A3564" s="4" t="s">
        <v>10</v>
      </c>
      <c r="B3564" s="3">
        <v>45316.416666666664</v>
      </c>
      <c r="C3564" s="4">
        <v>925.36356953858603</v>
      </c>
      <c r="D3564" s="4">
        <v>875.61671400764601</v>
      </c>
      <c r="E3564" s="4">
        <v>875.61671400764601</v>
      </c>
      <c r="F3564" s="4">
        <v>82.863194051430298</v>
      </c>
      <c r="G3564" s="4" t="str">
        <f t="shared" si="110"/>
        <v>OK</v>
      </c>
      <c r="H3564" s="4" t="str">
        <f t="shared" si="111"/>
        <v>NON-ZERO</v>
      </c>
      <c r="I3564">
        <v>1039.23048454132</v>
      </c>
      <c r="J3564">
        <f>IFERROR(Table4[[#This Row],[energy_kwh]]/Table4[[#This Row],[expected_kwh]],0)</f>
        <v>0.84256257589875516</v>
      </c>
      <c r="K3564" t="str">
        <f>IF(Table4[[#This Row],[Performance_Ratio]] &lt; 0.85, "Underperforming", "Performing")</f>
        <v>Underperforming</v>
      </c>
      <c r="L3564">
        <f>Table4[[#This Row],[energy_kwh]] - Table4[[#This Row],[expected_kwh]]</f>
        <v>-163.61377053367403</v>
      </c>
      <c r="M3564" t="str">
        <f>IF(Table4[[#This Row],[Performance_Deviation]] &lt; 0, "Underperforming", "Outperforming")</f>
        <v>Underperforming</v>
      </c>
      <c r="N3564">
        <f>IF(Table4[[#This Row],[Performance_Ratio]] &lt; 0.85, Table4[[#This Row],[Performance_Deviation]] * 50 / 1000, 0)</f>
        <v>-8.1806885266837011</v>
      </c>
    </row>
    <row r="3565" spans="1:14" x14ac:dyDescent="0.3">
      <c r="A3565" s="6" t="s">
        <v>10</v>
      </c>
      <c r="B3565" s="5">
        <v>45316.458333333336</v>
      </c>
      <c r="C3565" s="6">
        <v>1141.7850474197401</v>
      </c>
      <c r="D3565" s="6">
        <v>1080.40353460559</v>
      </c>
      <c r="E3565" s="6">
        <v>1080.40353460559</v>
      </c>
      <c r="F3565" s="6">
        <v>76.797919650115603</v>
      </c>
      <c r="G3565" s="6" t="str">
        <f t="shared" si="110"/>
        <v>OK</v>
      </c>
      <c r="H3565" s="6" t="str">
        <f t="shared" si="111"/>
        <v>NON-ZERO</v>
      </c>
      <c r="I3565">
        <v>1159.1109915468801</v>
      </c>
      <c r="J3565">
        <f>IFERROR(Table4[[#This Row],[energy_kwh]]/Table4[[#This Row],[expected_kwh]],0)</f>
        <v>0.93209670384002508</v>
      </c>
      <c r="K3565" t="str">
        <f>IF(Table4[[#This Row],[Performance_Ratio]] &lt; 0.85, "Underperforming", "Performing")</f>
        <v>Performing</v>
      </c>
      <c r="L3565">
        <f>Table4[[#This Row],[energy_kwh]] - Table4[[#This Row],[expected_kwh]]</f>
        <v>-78.707456941290047</v>
      </c>
      <c r="M3565" t="str">
        <f>IF(Table4[[#This Row],[Performance_Deviation]] &lt; 0, "Underperforming", "Outperforming")</f>
        <v>Underperforming</v>
      </c>
      <c r="N3565">
        <f>IF(Table4[[#This Row],[Performance_Ratio]] &lt; 0.85, Table4[[#This Row],[Performance_Deviation]] * 50 / 1000, 0)</f>
        <v>0</v>
      </c>
    </row>
    <row r="3566" spans="1:14" x14ac:dyDescent="0.3">
      <c r="A3566" s="4" t="s">
        <v>10</v>
      </c>
      <c r="B3566" s="3">
        <v>45316.5</v>
      </c>
      <c r="C3566" s="4">
        <v>1256.5290215012001</v>
      </c>
      <c r="D3566" s="4">
        <v>1188.9789581955799</v>
      </c>
      <c r="E3566" s="4">
        <v>1188.9789581955799</v>
      </c>
      <c r="F3566" s="4">
        <v>86.938356432061298</v>
      </c>
      <c r="G3566" s="4" t="str">
        <f t="shared" si="110"/>
        <v>OK</v>
      </c>
      <c r="H3566" s="4" t="str">
        <f t="shared" si="111"/>
        <v>NON-ZERO</v>
      </c>
      <c r="I3566">
        <v>1200</v>
      </c>
      <c r="J3566">
        <f>IFERROR(Table4[[#This Row],[energy_kwh]]/Table4[[#This Row],[expected_kwh]],0)</f>
        <v>0.99081579849631662</v>
      </c>
      <c r="K3566" t="str">
        <f>IF(Table4[[#This Row],[Performance_Ratio]] &lt; 0.85, "Underperforming", "Performing")</f>
        <v>Performing</v>
      </c>
      <c r="L3566">
        <f>Table4[[#This Row],[energy_kwh]] - Table4[[#This Row],[expected_kwh]]</f>
        <v>-11.021041804420065</v>
      </c>
      <c r="M3566" t="str">
        <f>IF(Table4[[#This Row],[Performance_Deviation]] &lt; 0, "Underperforming", "Outperforming")</f>
        <v>Underperforming</v>
      </c>
      <c r="N3566">
        <f>IF(Table4[[#This Row],[Performance_Ratio]] &lt; 0.85, Table4[[#This Row],[Performance_Deviation]] * 50 / 1000, 0)</f>
        <v>0</v>
      </c>
    </row>
    <row r="3567" spans="1:14" x14ac:dyDescent="0.3">
      <c r="A3567" s="6" t="s">
        <v>10</v>
      </c>
      <c r="B3567" s="5">
        <v>45316.541666666664</v>
      </c>
      <c r="C3567" s="6">
        <v>1135.4364437900499</v>
      </c>
      <c r="D3567" s="6">
        <v>1074.3962271733999</v>
      </c>
      <c r="E3567" s="6">
        <v>1074.3962271733999</v>
      </c>
      <c r="F3567" s="6">
        <v>68.321611739583403</v>
      </c>
      <c r="G3567" s="6" t="str">
        <f t="shared" si="110"/>
        <v>OK</v>
      </c>
      <c r="H3567" s="6" t="str">
        <f t="shared" si="111"/>
        <v>NON-ZERO</v>
      </c>
      <c r="I3567">
        <v>1159.1109915468801</v>
      </c>
      <c r="J3567">
        <f>IFERROR(Table4[[#This Row],[energy_kwh]]/Table4[[#This Row],[expected_kwh]],0)</f>
        <v>0.92691401859590261</v>
      </c>
      <c r="K3567" t="str">
        <f>IF(Table4[[#This Row],[Performance_Ratio]] &lt; 0.85, "Underperforming", "Performing")</f>
        <v>Performing</v>
      </c>
      <c r="L3567">
        <f>Table4[[#This Row],[energy_kwh]] - Table4[[#This Row],[expected_kwh]]</f>
        <v>-84.714764373480193</v>
      </c>
      <c r="M3567" t="str">
        <f>IF(Table4[[#This Row],[Performance_Deviation]] &lt; 0, "Underperforming", "Outperforming")</f>
        <v>Underperforming</v>
      </c>
      <c r="N3567">
        <f>IF(Table4[[#This Row],[Performance_Ratio]] &lt; 0.85, Table4[[#This Row],[Performance_Deviation]] * 50 / 1000, 0)</f>
        <v>0</v>
      </c>
    </row>
    <row r="3568" spans="1:14" x14ac:dyDescent="0.3">
      <c r="A3568" s="4" t="s">
        <v>10</v>
      </c>
      <c r="B3568" s="3">
        <v>45316.583333333336</v>
      </c>
      <c r="C3568" s="4">
        <v>936.44145949390099</v>
      </c>
      <c r="D3568" s="4">
        <v>886.09906485883403</v>
      </c>
      <c r="E3568" s="4">
        <v>886.09906485883403</v>
      </c>
      <c r="F3568" s="4">
        <v>72.439489848603202</v>
      </c>
      <c r="G3568" s="4" t="str">
        <f t="shared" si="110"/>
        <v>OK</v>
      </c>
      <c r="H3568" s="4" t="str">
        <f t="shared" si="111"/>
        <v>NON-ZERO</v>
      </c>
      <c r="I3568">
        <v>1039.23048454132</v>
      </c>
      <c r="J3568">
        <f>IFERROR(Table4[[#This Row],[energy_kwh]]/Table4[[#This Row],[expected_kwh]],0)</f>
        <v>0.85264922270821097</v>
      </c>
      <c r="K3568" t="str">
        <f>IF(Table4[[#This Row],[Performance_Ratio]] &lt; 0.85, "Underperforming", "Performing")</f>
        <v>Performing</v>
      </c>
      <c r="L3568">
        <f>Table4[[#This Row],[energy_kwh]] - Table4[[#This Row],[expected_kwh]]</f>
        <v>-153.13141968248601</v>
      </c>
      <c r="M3568" t="str">
        <f>IF(Table4[[#This Row],[Performance_Deviation]] &lt; 0, "Underperforming", "Outperforming")</f>
        <v>Underperforming</v>
      </c>
      <c r="N3568">
        <f>IF(Table4[[#This Row],[Performance_Ratio]] &lt; 0.85, Table4[[#This Row],[Performance_Deviation]] * 50 / 1000, 0)</f>
        <v>0</v>
      </c>
    </row>
    <row r="3569" spans="1:14" x14ac:dyDescent="0.3">
      <c r="A3569" s="6" t="s">
        <v>10</v>
      </c>
      <c r="B3569" s="5">
        <v>45316.625</v>
      </c>
      <c r="C3569" s="6">
        <v>804.99056202403403</v>
      </c>
      <c r="D3569" s="6">
        <v>761.71486962483198</v>
      </c>
      <c r="E3569" s="6">
        <v>761.71486962483198</v>
      </c>
      <c r="F3569" s="6">
        <v>22.4850096644908</v>
      </c>
      <c r="G3569" s="6" t="str">
        <f t="shared" si="110"/>
        <v>OK</v>
      </c>
      <c r="H3569" s="6" t="str">
        <f t="shared" si="111"/>
        <v>NON-ZERO</v>
      </c>
      <c r="I3569">
        <v>848.52813742385695</v>
      </c>
      <c r="J3569">
        <f>IFERROR(Table4[[#This Row],[energy_kwh]]/Table4[[#This Row],[expected_kwh]],0)</f>
        <v>0.89768958273724286</v>
      </c>
      <c r="K3569" t="str">
        <f>IF(Table4[[#This Row],[Performance_Ratio]] &lt; 0.85, "Underperforming", "Performing")</f>
        <v>Performing</v>
      </c>
      <c r="L3569">
        <f>Table4[[#This Row],[energy_kwh]] - Table4[[#This Row],[expected_kwh]]</f>
        <v>-86.81326779902497</v>
      </c>
      <c r="M3569" t="str">
        <f>IF(Table4[[#This Row],[Performance_Deviation]] &lt; 0, "Underperforming", "Outperforming")</f>
        <v>Underperforming</v>
      </c>
      <c r="N3569">
        <f>IF(Table4[[#This Row],[Performance_Ratio]] &lt; 0.85, Table4[[#This Row],[Performance_Deviation]] * 50 / 1000, 0)</f>
        <v>0</v>
      </c>
    </row>
    <row r="3570" spans="1:14" x14ac:dyDescent="0.3">
      <c r="A3570" s="4" t="s">
        <v>10</v>
      </c>
      <c r="B3570" s="3">
        <v>45316.666666666664</v>
      </c>
      <c r="C3570" s="4">
        <v>560.47916999455003</v>
      </c>
      <c r="D3570" s="4">
        <v>530.34822771883103</v>
      </c>
      <c r="E3570" s="4">
        <v>530.34822771883103</v>
      </c>
      <c r="F3570" s="4">
        <v>49.524756054172997</v>
      </c>
      <c r="G3570" s="4" t="str">
        <f t="shared" si="110"/>
        <v>OK</v>
      </c>
      <c r="H3570" s="4" t="str">
        <f t="shared" si="111"/>
        <v>NON-ZERO</v>
      </c>
      <c r="I3570">
        <v>600</v>
      </c>
      <c r="J3570">
        <f>IFERROR(Table4[[#This Row],[energy_kwh]]/Table4[[#This Row],[expected_kwh]],0)</f>
        <v>0.88391371286471843</v>
      </c>
      <c r="K3570" t="str">
        <f>IF(Table4[[#This Row],[Performance_Ratio]] &lt; 0.85, "Underperforming", "Performing")</f>
        <v>Performing</v>
      </c>
      <c r="L3570">
        <f>Table4[[#This Row],[energy_kwh]] - Table4[[#This Row],[expected_kwh]]</f>
        <v>-69.651772281168974</v>
      </c>
      <c r="M3570" t="str">
        <f>IF(Table4[[#This Row],[Performance_Deviation]] &lt; 0, "Underperforming", "Outperforming")</f>
        <v>Underperforming</v>
      </c>
      <c r="N3570">
        <f>IF(Table4[[#This Row],[Performance_Ratio]] &lt; 0.85, Table4[[#This Row],[Performance_Deviation]] * 50 / 1000, 0)</f>
        <v>0</v>
      </c>
    </row>
    <row r="3571" spans="1:14" x14ac:dyDescent="0.3">
      <c r="A3571" s="6" t="s">
        <v>10</v>
      </c>
      <c r="B3571" s="5">
        <v>45316.708333333336</v>
      </c>
      <c r="C3571" s="6">
        <v>257.44417799593901</v>
      </c>
      <c r="D3571" s="6">
        <v>308.93301359512702</v>
      </c>
      <c r="E3571" s="6">
        <v>308.93301359512702</v>
      </c>
      <c r="F3571" s="6">
        <v>73.987273381246496</v>
      </c>
      <c r="G3571" s="6" t="str">
        <f t="shared" si="110"/>
        <v>ERROR</v>
      </c>
      <c r="H3571" s="6" t="str">
        <f t="shared" si="111"/>
        <v>NON-ZERO</v>
      </c>
      <c r="I3571">
        <v>310.58285412302502</v>
      </c>
      <c r="J3571">
        <f>IFERROR(Table4[[#This Row],[energy_kwh]]/Table4[[#This Row],[expected_kwh]],0)</f>
        <v>0.99468792141614981</v>
      </c>
      <c r="K3571" t="str">
        <f>IF(Table4[[#This Row],[Performance_Ratio]] &lt; 0.85, "Underperforming", "Performing")</f>
        <v>Performing</v>
      </c>
      <c r="L3571">
        <f>Table4[[#This Row],[energy_kwh]] - Table4[[#This Row],[expected_kwh]]</f>
        <v>-1.6498405278979931</v>
      </c>
      <c r="M3571" t="str">
        <f>IF(Table4[[#This Row],[Performance_Deviation]] &lt; 0, "Underperforming", "Outperforming")</f>
        <v>Underperforming</v>
      </c>
      <c r="N3571">
        <f>IF(Table4[[#This Row],[Performance_Ratio]] &lt; 0.85, Table4[[#This Row],[Performance_Deviation]] * 50 / 1000, 0)</f>
        <v>0</v>
      </c>
    </row>
    <row r="3572" spans="1:14" x14ac:dyDescent="0.3">
      <c r="A3572" s="4" t="s">
        <v>10</v>
      </c>
      <c r="B3572" s="3">
        <v>45316.75</v>
      </c>
      <c r="C3572" s="7">
        <v>1.35922986206915E-13</v>
      </c>
      <c r="D3572" s="7">
        <v>1.2861586781501499E-13</v>
      </c>
      <c r="E3572" s="7">
        <v>1.2861586781501499E-13</v>
      </c>
      <c r="F3572" s="4">
        <v>66.664823471009896</v>
      </c>
      <c r="G3572" s="4" t="str">
        <f t="shared" si="110"/>
        <v>OK</v>
      </c>
      <c r="H3572" s="4" t="str">
        <f t="shared" si="111"/>
        <v>NON-ZERO</v>
      </c>
      <c r="I3572" s="2">
        <v>1.46957615897682E-13</v>
      </c>
      <c r="J3572">
        <f>IFERROR(Table4[[#This Row],[energy_kwh]]/Table4[[#This Row],[expected_kwh]],0)</f>
        <v>0.87519021746081338</v>
      </c>
      <c r="K3572" t="str">
        <f>IF(Table4[[#This Row],[Performance_Ratio]] &lt; 0.85, "Underperforming", "Performing")</f>
        <v>Performing</v>
      </c>
      <c r="L3572">
        <f>Table4[[#This Row],[energy_kwh]] - Table4[[#This Row],[expected_kwh]]</f>
        <v>-1.8341748082667008E-14</v>
      </c>
      <c r="M3572" t="str">
        <f>IF(Table4[[#This Row],[Performance_Deviation]] &lt; 0, "Underperforming", "Outperforming")</f>
        <v>Underperforming</v>
      </c>
      <c r="N3572">
        <f>IF(Table4[[#This Row],[Performance_Ratio]] &lt; 0.85, Table4[[#This Row],[Performance_Deviation]] * 50 / 1000, 0)</f>
        <v>0</v>
      </c>
    </row>
    <row r="3573" spans="1:14" x14ac:dyDescent="0.3">
      <c r="A3573" s="6" t="s">
        <v>10</v>
      </c>
      <c r="B3573" s="5">
        <v>45316.791666666664</v>
      </c>
      <c r="C3573" s="6">
        <v>0</v>
      </c>
      <c r="D3573" s="6">
        <v>0</v>
      </c>
      <c r="E3573" s="6">
        <v>0</v>
      </c>
      <c r="F3573" s="6">
        <v>68.3154111380519</v>
      </c>
      <c r="G3573" s="6" t="str">
        <f t="shared" si="110"/>
        <v>OK</v>
      </c>
      <c r="H3573" s="6" t="str">
        <f t="shared" si="111"/>
        <v>ZERO</v>
      </c>
      <c r="I3573">
        <v>0</v>
      </c>
      <c r="J3573">
        <f>IFERROR(Table4[[#This Row],[energy_kwh]]/Table4[[#This Row],[expected_kwh]],0)</f>
        <v>0</v>
      </c>
      <c r="K3573" t="str">
        <f>IF(Table4[[#This Row],[Performance_Ratio]] &lt; 0.85, "Underperforming", "Performing")</f>
        <v>Underperforming</v>
      </c>
      <c r="L3573">
        <f>Table4[[#This Row],[energy_kwh]] - Table4[[#This Row],[expected_kwh]]</f>
        <v>0</v>
      </c>
      <c r="M3573" t="str">
        <f>IF(Table4[[#This Row],[Performance_Deviation]] &lt; 0, "Underperforming", "Outperforming")</f>
        <v>Outperforming</v>
      </c>
      <c r="N3573">
        <f>IF(Table4[[#This Row],[Performance_Ratio]] &lt; 0.85, Table4[[#This Row],[Performance_Deviation]] * 50 / 1000, 0)</f>
        <v>0</v>
      </c>
    </row>
    <row r="3574" spans="1:14" x14ac:dyDescent="0.3">
      <c r="A3574" s="4" t="s">
        <v>10</v>
      </c>
      <c r="B3574" s="3">
        <v>45316.833333333336</v>
      </c>
      <c r="C3574" s="4">
        <v>0</v>
      </c>
      <c r="D3574" s="4">
        <v>0</v>
      </c>
      <c r="E3574" s="4">
        <v>0</v>
      </c>
      <c r="F3574" s="4">
        <v>89.525908469380994</v>
      </c>
      <c r="G3574" s="4" t="str">
        <f t="shared" si="110"/>
        <v>OK</v>
      </c>
      <c r="H3574" s="4" t="str">
        <f t="shared" si="111"/>
        <v>ZERO</v>
      </c>
      <c r="I3574">
        <v>0</v>
      </c>
      <c r="J3574">
        <f>IFERROR(Table4[[#This Row],[energy_kwh]]/Table4[[#This Row],[expected_kwh]],0)</f>
        <v>0</v>
      </c>
      <c r="K3574" t="str">
        <f>IF(Table4[[#This Row],[Performance_Ratio]] &lt; 0.85, "Underperforming", "Performing")</f>
        <v>Underperforming</v>
      </c>
      <c r="L3574">
        <f>Table4[[#This Row],[energy_kwh]] - Table4[[#This Row],[expected_kwh]]</f>
        <v>0</v>
      </c>
      <c r="M3574" t="str">
        <f>IF(Table4[[#This Row],[Performance_Deviation]] &lt; 0, "Underperforming", "Outperforming")</f>
        <v>Outperforming</v>
      </c>
      <c r="N3574">
        <f>IF(Table4[[#This Row],[Performance_Ratio]] &lt; 0.85, Table4[[#This Row],[Performance_Deviation]] * 50 / 1000, 0)</f>
        <v>0</v>
      </c>
    </row>
    <row r="3575" spans="1:14" x14ac:dyDescent="0.3">
      <c r="A3575" s="6" t="s">
        <v>10</v>
      </c>
      <c r="B3575" s="5">
        <v>45316.875</v>
      </c>
      <c r="C3575" s="6">
        <v>0</v>
      </c>
      <c r="D3575" s="6">
        <v>0</v>
      </c>
      <c r="E3575" s="6">
        <v>0</v>
      </c>
      <c r="F3575" s="6">
        <v>86.535649902060698</v>
      </c>
      <c r="G3575" s="6" t="str">
        <f t="shared" si="110"/>
        <v>OK</v>
      </c>
      <c r="H3575" s="6" t="str">
        <f t="shared" si="111"/>
        <v>ZERO</v>
      </c>
      <c r="I3575">
        <v>0</v>
      </c>
      <c r="J3575">
        <f>IFERROR(Table4[[#This Row],[energy_kwh]]/Table4[[#This Row],[expected_kwh]],0)</f>
        <v>0</v>
      </c>
      <c r="K3575" t="str">
        <f>IF(Table4[[#This Row],[Performance_Ratio]] &lt; 0.85, "Underperforming", "Performing")</f>
        <v>Underperforming</v>
      </c>
      <c r="L3575">
        <f>Table4[[#This Row],[energy_kwh]] - Table4[[#This Row],[expected_kwh]]</f>
        <v>0</v>
      </c>
      <c r="M3575" t="str">
        <f>IF(Table4[[#This Row],[Performance_Deviation]] &lt; 0, "Underperforming", "Outperforming")</f>
        <v>Outperforming</v>
      </c>
      <c r="N3575">
        <f>IF(Table4[[#This Row],[Performance_Ratio]] &lt; 0.85, Table4[[#This Row],[Performance_Deviation]] * 50 / 1000, 0)</f>
        <v>0</v>
      </c>
    </row>
    <row r="3576" spans="1:14" x14ac:dyDescent="0.3">
      <c r="A3576" s="4" t="s">
        <v>10</v>
      </c>
      <c r="B3576" s="3">
        <v>45316.916666666664</v>
      </c>
      <c r="C3576" s="4">
        <v>0</v>
      </c>
      <c r="D3576" s="4">
        <v>0</v>
      </c>
      <c r="E3576" s="4">
        <v>0</v>
      </c>
      <c r="F3576" s="4">
        <v>66.830036560412196</v>
      </c>
      <c r="G3576" s="4" t="str">
        <f t="shared" si="110"/>
        <v>OK</v>
      </c>
      <c r="H3576" s="4" t="str">
        <f t="shared" si="111"/>
        <v>ZERO</v>
      </c>
      <c r="I3576">
        <v>0</v>
      </c>
      <c r="J3576">
        <f>IFERROR(Table4[[#This Row],[energy_kwh]]/Table4[[#This Row],[expected_kwh]],0)</f>
        <v>0</v>
      </c>
      <c r="K3576" t="str">
        <f>IF(Table4[[#This Row],[Performance_Ratio]] &lt; 0.85, "Underperforming", "Performing")</f>
        <v>Underperforming</v>
      </c>
      <c r="L3576">
        <f>Table4[[#This Row],[energy_kwh]] - Table4[[#This Row],[expected_kwh]]</f>
        <v>0</v>
      </c>
      <c r="M3576" t="str">
        <f>IF(Table4[[#This Row],[Performance_Deviation]] &lt; 0, "Underperforming", "Outperforming")</f>
        <v>Outperforming</v>
      </c>
      <c r="N3576">
        <f>IF(Table4[[#This Row],[Performance_Ratio]] &lt; 0.85, Table4[[#This Row],[Performance_Deviation]] * 50 / 1000, 0)</f>
        <v>0</v>
      </c>
    </row>
    <row r="3577" spans="1:14" x14ac:dyDescent="0.3">
      <c r="A3577" s="6" t="s">
        <v>10</v>
      </c>
      <c r="B3577" s="5">
        <v>45316.958333333336</v>
      </c>
      <c r="C3577" s="6">
        <v>0</v>
      </c>
      <c r="D3577" s="6">
        <v>0</v>
      </c>
      <c r="E3577" s="6">
        <v>0</v>
      </c>
      <c r="F3577" s="6">
        <v>23.0389644079752</v>
      </c>
      <c r="G3577" s="6" t="str">
        <f t="shared" si="110"/>
        <v>OK</v>
      </c>
      <c r="H3577" s="6" t="str">
        <f t="shared" si="111"/>
        <v>ZERO</v>
      </c>
      <c r="I3577">
        <v>0</v>
      </c>
      <c r="J3577">
        <f>IFERROR(Table4[[#This Row],[energy_kwh]]/Table4[[#This Row],[expected_kwh]],0)</f>
        <v>0</v>
      </c>
      <c r="K3577" t="str">
        <f>IF(Table4[[#This Row],[Performance_Ratio]] &lt; 0.85, "Underperforming", "Performing")</f>
        <v>Underperforming</v>
      </c>
      <c r="L3577">
        <f>Table4[[#This Row],[energy_kwh]] - Table4[[#This Row],[expected_kwh]]</f>
        <v>0</v>
      </c>
      <c r="M3577" t="str">
        <f>IF(Table4[[#This Row],[Performance_Deviation]] &lt; 0, "Underperforming", "Outperforming")</f>
        <v>Outperforming</v>
      </c>
      <c r="N3577">
        <f>IF(Table4[[#This Row],[Performance_Ratio]] &lt; 0.85, Table4[[#This Row],[Performance_Deviation]] * 50 / 1000, 0)</f>
        <v>0</v>
      </c>
    </row>
    <row r="3578" spans="1:14" x14ac:dyDescent="0.3">
      <c r="A3578" s="4" t="s">
        <v>10</v>
      </c>
      <c r="B3578" s="3">
        <v>45317</v>
      </c>
      <c r="C3578" s="4">
        <v>0</v>
      </c>
      <c r="D3578" s="4">
        <v>0</v>
      </c>
      <c r="E3578" s="4">
        <v>0</v>
      </c>
      <c r="F3578" s="4">
        <v>35.038214266316501</v>
      </c>
      <c r="G3578" s="4" t="str">
        <f t="shared" si="110"/>
        <v>OK</v>
      </c>
      <c r="H3578" s="4" t="str">
        <f t="shared" si="111"/>
        <v>ZERO</v>
      </c>
      <c r="I3578">
        <v>0</v>
      </c>
      <c r="J3578">
        <f>IFERROR(Table4[[#This Row],[energy_kwh]]/Table4[[#This Row],[expected_kwh]],0)</f>
        <v>0</v>
      </c>
      <c r="K3578" t="str">
        <f>IF(Table4[[#This Row],[Performance_Ratio]] &lt; 0.85, "Underperforming", "Performing")</f>
        <v>Underperforming</v>
      </c>
      <c r="L3578">
        <f>Table4[[#This Row],[energy_kwh]] - Table4[[#This Row],[expected_kwh]]</f>
        <v>0</v>
      </c>
      <c r="M3578" t="str">
        <f>IF(Table4[[#This Row],[Performance_Deviation]] &lt; 0, "Underperforming", "Outperforming")</f>
        <v>Outperforming</v>
      </c>
      <c r="N3578">
        <f>IF(Table4[[#This Row],[Performance_Ratio]] &lt; 0.85, Table4[[#This Row],[Performance_Deviation]] * 50 / 1000, 0)</f>
        <v>0</v>
      </c>
    </row>
    <row r="3579" spans="1:14" x14ac:dyDescent="0.3">
      <c r="A3579" s="6" t="s">
        <v>10</v>
      </c>
      <c r="B3579" s="5">
        <v>45317.041666666664</v>
      </c>
      <c r="C3579" s="6">
        <v>0</v>
      </c>
      <c r="D3579" s="6">
        <v>0</v>
      </c>
      <c r="E3579" s="6">
        <v>0</v>
      </c>
      <c r="F3579" s="6">
        <v>21.005361068899301</v>
      </c>
      <c r="G3579" s="6" t="str">
        <f t="shared" si="110"/>
        <v>OK</v>
      </c>
      <c r="H3579" s="6" t="str">
        <f t="shared" si="111"/>
        <v>ZERO</v>
      </c>
      <c r="I3579">
        <v>0</v>
      </c>
      <c r="J3579">
        <f>IFERROR(Table4[[#This Row],[energy_kwh]]/Table4[[#This Row],[expected_kwh]],0)</f>
        <v>0</v>
      </c>
      <c r="K3579" t="str">
        <f>IF(Table4[[#This Row],[Performance_Ratio]] &lt; 0.85, "Underperforming", "Performing")</f>
        <v>Underperforming</v>
      </c>
      <c r="L3579">
        <f>Table4[[#This Row],[energy_kwh]] - Table4[[#This Row],[expected_kwh]]</f>
        <v>0</v>
      </c>
      <c r="M3579" t="str">
        <f>IF(Table4[[#This Row],[Performance_Deviation]] &lt; 0, "Underperforming", "Outperforming")</f>
        <v>Outperforming</v>
      </c>
      <c r="N3579">
        <f>IF(Table4[[#This Row],[Performance_Ratio]] &lt; 0.85, Table4[[#This Row],[Performance_Deviation]] * 50 / 1000, 0)</f>
        <v>0</v>
      </c>
    </row>
    <row r="3580" spans="1:14" x14ac:dyDescent="0.3">
      <c r="A3580" s="4" t="s">
        <v>10</v>
      </c>
      <c r="B3580" s="3">
        <v>45317.083333333336</v>
      </c>
      <c r="C3580" s="4">
        <v>0</v>
      </c>
      <c r="D3580" s="4">
        <v>0</v>
      </c>
      <c r="E3580" s="4">
        <v>0</v>
      </c>
      <c r="F3580" s="4">
        <v>87.337330970106393</v>
      </c>
      <c r="G3580" s="4" t="str">
        <f t="shared" si="110"/>
        <v>OK</v>
      </c>
      <c r="H3580" s="4" t="str">
        <f t="shared" si="111"/>
        <v>ZERO</v>
      </c>
      <c r="I3580">
        <v>0</v>
      </c>
      <c r="J3580">
        <f>IFERROR(Table4[[#This Row],[energy_kwh]]/Table4[[#This Row],[expected_kwh]],0)</f>
        <v>0</v>
      </c>
      <c r="K3580" t="str">
        <f>IF(Table4[[#This Row],[Performance_Ratio]] &lt; 0.85, "Underperforming", "Performing")</f>
        <v>Underperforming</v>
      </c>
      <c r="L3580">
        <f>Table4[[#This Row],[energy_kwh]] - Table4[[#This Row],[expected_kwh]]</f>
        <v>0</v>
      </c>
      <c r="M3580" t="str">
        <f>IF(Table4[[#This Row],[Performance_Deviation]] &lt; 0, "Underperforming", "Outperforming")</f>
        <v>Outperforming</v>
      </c>
      <c r="N3580">
        <f>IF(Table4[[#This Row],[Performance_Ratio]] &lt; 0.85, Table4[[#This Row],[Performance_Deviation]] * 50 / 1000, 0)</f>
        <v>0</v>
      </c>
    </row>
    <row r="3581" spans="1:14" x14ac:dyDescent="0.3">
      <c r="A3581" s="6" t="s">
        <v>10</v>
      </c>
      <c r="B3581" s="5">
        <v>45317.125</v>
      </c>
      <c r="C3581" s="6">
        <v>0</v>
      </c>
      <c r="D3581" s="6">
        <v>0</v>
      </c>
      <c r="E3581" s="6">
        <v>0</v>
      </c>
      <c r="F3581" s="6">
        <v>41.8477106528862</v>
      </c>
      <c r="G3581" s="6" t="str">
        <f t="shared" si="110"/>
        <v>OK</v>
      </c>
      <c r="H3581" s="6" t="str">
        <f t="shared" si="111"/>
        <v>ZERO</v>
      </c>
      <c r="I3581">
        <v>0</v>
      </c>
      <c r="J3581">
        <f>IFERROR(Table4[[#This Row],[energy_kwh]]/Table4[[#This Row],[expected_kwh]],0)</f>
        <v>0</v>
      </c>
      <c r="K3581" t="str">
        <f>IF(Table4[[#This Row],[Performance_Ratio]] &lt; 0.85, "Underperforming", "Performing")</f>
        <v>Underperforming</v>
      </c>
      <c r="L3581">
        <f>Table4[[#This Row],[energy_kwh]] - Table4[[#This Row],[expected_kwh]]</f>
        <v>0</v>
      </c>
      <c r="M3581" t="str">
        <f>IF(Table4[[#This Row],[Performance_Deviation]] &lt; 0, "Underperforming", "Outperforming")</f>
        <v>Outperforming</v>
      </c>
      <c r="N3581">
        <f>IF(Table4[[#This Row],[Performance_Ratio]] &lt; 0.85, Table4[[#This Row],[Performance_Deviation]] * 50 / 1000, 0)</f>
        <v>0</v>
      </c>
    </row>
    <row r="3582" spans="1:14" x14ac:dyDescent="0.3">
      <c r="A3582" s="4" t="s">
        <v>10</v>
      </c>
      <c r="B3582" s="3">
        <v>45317.166666666664</v>
      </c>
      <c r="C3582" s="4">
        <v>0</v>
      </c>
      <c r="D3582" s="4">
        <v>0</v>
      </c>
      <c r="E3582" s="4">
        <v>0</v>
      </c>
      <c r="F3582" s="4">
        <v>71.333678634739698</v>
      </c>
      <c r="G3582" s="4" t="str">
        <f t="shared" si="110"/>
        <v>OK</v>
      </c>
      <c r="H3582" s="4" t="str">
        <f t="shared" si="111"/>
        <v>ZERO</v>
      </c>
      <c r="I3582">
        <v>0</v>
      </c>
      <c r="J3582">
        <f>IFERROR(Table4[[#This Row],[energy_kwh]]/Table4[[#This Row],[expected_kwh]],0)</f>
        <v>0</v>
      </c>
      <c r="K3582" t="str">
        <f>IF(Table4[[#This Row],[Performance_Ratio]] &lt; 0.85, "Underperforming", "Performing")</f>
        <v>Underperforming</v>
      </c>
      <c r="L3582">
        <f>Table4[[#This Row],[energy_kwh]] - Table4[[#This Row],[expected_kwh]]</f>
        <v>0</v>
      </c>
      <c r="M3582" t="str">
        <f>IF(Table4[[#This Row],[Performance_Deviation]] &lt; 0, "Underperforming", "Outperforming")</f>
        <v>Outperforming</v>
      </c>
      <c r="N3582">
        <f>IF(Table4[[#This Row],[Performance_Ratio]] &lt; 0.85, Table4[[#This Row],[Performance_Deviation]] * 50 / 1000, 0)</f>
        <v>0</v>
      </c>
    </row>
    <row r="3583" spans="1:14" x14ac:dyDescent="0.3">
      <c r="A3583" s="6" t="s">
        <v>10</v>
      </c>
      <c r="B3583" s="5">
        <v>45317.208333333336</v>
      </c>
      <c r="C3583" s="6">
        <v>0</v>
      </c>
      <c r="D3583" s="6">
        <v>0</v>
      </c>
      <c r="E3583" s="6">
        <v>0</v>
      </c>
      <c r="F3583" s="6">
        <v>83.359277021717105</v>
      </c>
      <c r="G3583" s="6" t="str">
        <f t="shared" si="110"/>
        <v>OK</v>
      </c>
      <c r="H3583" s="6" t="str">
        <f t="shared" si="111"/>
        <v>ZERO</v>
      </c>
      <c r="I3583">
        <v>0</v>
      </c>
      <c r="J3583">
        <f>IFERROR(Table4[[#This Row],[energy_kwh]]/Table4[[#This Row],[expected_kwh]],0)</f>
        <v>0</v>
      </c>
      <c r="K3583" t="str">
        <f>IF(Table4[[#This Row],[Performance_Ratio]] &lt; 0.85, "Underperforming", "Performing")</f>
        <v>Underperforming</v>
      </c>
      <c r="L3583">
        <f>Table4[[#This Row],[energy_kwh]] - Table4[[#This Row],[expected_kwh]]</f>
        <v>0</v>
      </c>
      <c r="M3583" t="str">
        <f>IF(Table4[[#This Row],[Performance_Deviation]] &lt; 0, "Underperforming", "Outperforming")</f>
        <v>Outperforming</v>
      </c>
      <c r="N3583">
        <f>IF(Table4[[#This Row],[Performance_Ratio]] &lt; 0.85, Table4[[#This Row],[Performance_Deviation]] * 50 / 1000, 0)</f>
        <v>0</v>
      </c>
    </row>
    <row r="3584" spans="1:14" x14ac:dyDescent="0.3">
      <c r="A3584" s="4" t="s">
        <v>10</v>
      </c>
      <c r="B3584" s="3">
        <v>45317.25</v>
      </c>
      <c r="C3584" s="4">
        <v>0</v>
      </c>
      <c r="D3584" s="4">
        <v>0</v>
      </c>
      <c r="E3584" s="4">
        <v>0</v>
      </c>
      <c r="F3584" s="4">
        <v>43.250138958672899</v>
      </c>
      <c r="G3584" s="4" t="str">
        <f t="shared" si="110"/>
        <v>OK</v>
      </c>
      <c r="H3584" s="4" t="str">
        <f t="shared" si="111"/>
        <v>ZERO</v>
      </c>
      <c r="I3584">
        <v>0</v>
      </c>
      <c r="J3584">
        <f>IFERROR(Table4[[#This Row],[energy_kwh]]/Table4[[#This Row],[expected_kwh]],0)</f>
        <v>0</v>
      </c>
      <c r="K3584" t="str">
        <f>IF(Table4[[#This Row],[Performance_Ratio]] &lt; 0.85, "Underperforming", "Performing")</f>
        <v>Underperforming</v>
      </c>
      <c r="L3584">
        <f>Table4[[#This Row],[energy_kwh]] - Table4[[#This Row],[expected_kwh]]</f>
        <v>0</v>
      </c>
      <c r="M3584" t="str">
        <f>IF(Table4[[#This Row],[Performance_Deviation]] &lt; 0, "Underperforming", "Outperforming")</f>
        <v>Outperforming</v>
      </c>
      <c r="N3584">
        <f>IF(Table4[[#This Row],[Performance_Ratio]] &lt; 0.85, Table4[[#This Row],[Performance_Deviation]] * 50 / 1000, 0)</f>
        <v>0</v>
      </c>
    </row>
    <row r="3585" spans="1:14" x14ac:dyDescent="0.3">
      <c r="A3585" s="6" t="s">
        <v>10</v>
      </c>
      <c r="B3585" s="5">
        <v>45317.291666666664</v>
      </c>
      <c r="C3585" s="6">
        <v>275.50074744950302</v>
      </c>
      <c r="D3585" s="6">
        <v>260.69003268485102</v>
      </c>
      <c r="E3585" s="6">
        <v>260.69003268485102</v>
      </c>
      <c r="F3585" s="6">
        <v>86.221434188562199</v>
      </c>
      <c r="G3585" s="6" t="str">
        <f t="shared" si="110"/>
        <v>OK</v>
      </c>
      <c r="H3585" s="6" t="str">
        <f t="shared" si="111"/>
        <v>NON-ZERO</v>
      </c>
      <c r="I3585">
        <v>310.58285412302399</v>
      </c>
      <c r="J3585">
        <f>IFERROR(Table4[[#This Row],[energy_kwh]]/Table4[[#This Row],[expected_kwh]],0)</f>
        <v>0.83935745075479895</v>
      </c>
      <c r="K3585" t="str">
        <f>IF(Table4[[#This Row],[Performance_Ratio]] &lt; 0.85, "Underperforming", "Performing")</f>
        <v>Underperforming</v>
      </c>
      <c r="L3585">
        <f>Table4[[#This Row],[energy_kwh]] - Table4[[#This Row],[expected_kwh]]</f>
        <v>-49.892821438172973</v>
      </c>
      <c r="M3585" t="str">
        <f>IF(Table4[[#This Row],[Performance_Deviation]] &lt; 0, "Underperforming", "Outperforming")</f>
        <v>Underperforming</v>
      </c>
      <c r="N3585">
        <f>IF(Table4[[#This Row],[Performance_Ratio]] &lt; 0.85, Table4[[#This Row],[Performance_Deviation]] * 50 / 1000, 0)</f>
        <v>-2.4946410719086489</v>
      </c>
    </row>
    <row r="3586" spans="1:14" x14ac:dyDescent="0.3">
      <c r="A3586" s="4" t="s">
        <v>10</v>
      </c>
      <c r="B3586" s="3">
        <v>45317.333333333336</v>
      </c>
      <c r="C3586" s="4">
        <v>616.27306528087195</v>
      </c>
      <c r="D3586" s="4">
        <v>583.14268479547695</v>
      </c>
      <c r="E3586" s="4">
        <v>583.14268479547695</v>
      </c>
      <c r="F3586" s="4">
        <v>50.044201798985803</v>
      </c>
      <c r="G3586" s="4" t="str">
        <f t="shared" ref="G3586:G3649" si="112">IF(D3586 &gt; C3586, "ERROR", "OK")</f>
        <v>OK</v>
      </c>
      <c r="H3586" s="4" t="str">
        <f t="shared" ref="H3586:H3649" si="113">IF(E3586=0,"ZERO","NON-ZERO")</f>
        <v>NON-ZERO</v>
      </c>
      <c r="I3586">
        <v>600</v>
      </c>
      <c r="J3586">
        <f>IFERROR(Table4[[#This Row],[energy_kwh]]/Table4[[#This Row],[expected_kwh]],0)</f>
        <v>0.97190447465912821</v>
      </c>
      <c r="K3586" t="str">
        <f>IF(Table4[[#This Row],[Performance_Ratio]] &lt; 0.85, "Underperforming", "Performing")</f>
        <v>Performing</v>
      </c>
      <c r="L3586">
        <f>Table4[[#This Row],[energy_kwh]] - Table4[[#This Row],[expected_kwh]]</f>
        <v>-16.857315204523047</v>
      </c>
      <c r="M3586" t="str">
        <f>IF(Table4[[#This Row],[Performance_Deviation]] &lt; 0, "Underperforming", "Outperforming")</f>
        <v>Underperforming</v>
      </c>
      <c r="N3586">
        <f>IF(Table4[[#This Row],[Performance_Ratio]] &lt; 0.85, Table4[[#This Row],[Performance_Deviation]] * 50 / 1000, 0)</f>
        <v>0</v>
      </c>
    </row>
    <row r="3587" spans="1:14" x14ac:dyDescent="0.3">
      <c r="A3587" s="6" t="s">
        <v>10</v>
      </c>
      <c r="B3587" s="5">
        <v>45317.375</v>
      </c>
      <c r="C3587" s="6">
        <v>740.445378707999</v>
      </c>
      <c r="D3587" s="6">
        <v>700.63958723783503</v>
      </c>
      <c r="E3587" s="6">
        <v>700.63958723783503</v>
      </c>
      <c r="F3587" s="6">
        <v>44.158444697685297</v>
      </c>
      <c r="G3587" s="6" t="str">
        <f t="shared" si="112"/>
        <v>OK</v>
      </c>
      <c r="H3587" s="6" t="str">
        <f t="shared" si="113"/>
        <v>NON-ZERO</v>
      </c>
      <c r="I3587">
        <v>848.52813742385695</v>
      </c>
      <c r="J3587">
        <f>IFERROR(Table4[[#This Row],[energy_kwh]]/Table4[[#This Row],[expected_kwh]],0)</f>
        <v>0.8257116721726947</v>
      </c>
      <c r="K3587" t="str">
        <f>IF(Table4[[#This Row],[Performance_Ratio]] &lt; 0.85, "Underperforming", "Performing")</f>
        <v>Underperforming</v>
      </c>
      <c r="L3587">
        <f>Table4[[#This Row],[energy_kwh]] - Table4[[#This Row],[expected_kwh]]</f>
        <v>-147.88855018602192</v>
      </c>
      <c r="M3587" t="str">
        <f>IF(Table4[[#This Row],[Performance_Deviation]] &lt; 0, "Underperforming", "Outperforming")</f>
        <v>Underperforming</v>
      </c>
      <c r="N3587">
        <f>IF(Table4[[#This Row],[Performance_Ratio]] &lt; 0.85, Table4[[#This Row],[Performance_Deviation]] * 50 / 1000, 0)</f>
        <v>-7.3944275093010958</v>
      </c>
    </row>
    <row r="3588" spans="1:14" x14ac:dyDescent="0.3">
      <c r="A3588" s="4" t="s">
        <v>10</v>
      </c>
      <c r="B3588" s="3">
        <v>45317.416666666664</v>
      </c>
      <c r="C3588" s="4">
        <v>911.67509675480005</v>
      </c>
      <c r="D3588" s="4">
        <v>862.66412331434901</v>
      </c>
      <c r="E3588" s="4">
        <v>862.66412331434901</v>
      </c>
      <c r="F3588" s="4">
        <v>62.389814088331299</v>
      </c>
      <c r="G3588" s="4" t="str">
        <f t="shared" si="112"/>
        <v>OK</v>
      </c>
      <c r="H3588" s="4" t="str">
        <f t="shared" si="113"/>
        <v>NON-ZERO</v>
      </c>
      <c r="I3588">
        <v>1039.23048454132</v>
      </c>
      <c r="J3588">
        <f>IFERROR(Table4[[#This Row],[energy_kwh]]/Table4[[#This Row],[expected_kwh]],0)</f>
        <v>0.83009893969295823</v>
      </c>
      <c r="K3588" t="str">
        <f>IF(Table4[[#This Row],[Performance_Ratio]] &lt; 0.85, "Underperforming", "Performing")</f>
        <v>Underperforming</v>
      </c>
      <c r="L3588">
        <f>Table4[[#This Row],[energy_kwh]] - Table4[[#This Row],[expected_kwh]]</f>
        <v>-176.56636122697103</v>
      </c>
      <c r="M3588" t="str">
        <f>IF(Table4[[#This Row],[Performance_Deviation]] &lt; 0, "Underperforming", "Outperforming")</f>
        <v>Underperforming</v>
      </c>
      <c r="N3588">
        <f>IF(Table4[[#This Row],[Performance_Ratio]] &lt; 0.85, Table4[[#This Row],[Performance_Deviation]] * 50 / 1000, 0)</f>
        <v>-8.8283180613485506</v>
      </c>
    </row>
    <row r="3589" spans="1:14" x14ac:dyDescent="0.3">
      <c r="A3589" s="6" t="s">
        <v>10</v>
      </c>
      <c r="B3589" s="5">
        <v>45317.458333333336</v>
      </c>
      <c r="C3589" s="6">
        <v>1156.47380856368</v>
      </c>
      <c r="D3589" s="6">
        <v>1094.30263890263</v>
      </c>
      <c r="E3589" s="6">
        <v>1094.30263890263</v>
      </c>
      <c r="F3589" s="6">
        <v>84.835767771337103</v>
      </c>
      <c r="G3589" s="6" t="str">
        <f t="shared" si="112"/>
        <v>OK</v>
      </c>
      <c r="H3589" s="6" t="str">
        <f t="shared" si="113"/>
        <v>NON-ZERO</v>
      </c>
      <c r="I3589">
        <v>1159.1109915468801</v>
      </c>
      <c r="J3589">
        <f>IFERROR(Table4[[#This Row],[energy_kwh]]/Table4[[#This Row],[expected_kwh]],0)</f>
        <v>0.9440878801798257</v>
      </c>
      <c r="K3589" t="str">
        <f>IF(Table4[[#This Row],[Performance_Ratio]] &lt; 0.85, "Underperforming", "Performing")</f>
        <v>Performing</v>
      </c>
      <c r="L3589">
        <f>Table4[[#This Row],[energy_kwh]] - Table4[[#This Row],[expected_kwh]]</f>
        <v>-64.808352644250135</v>
      </c>
      <c r="M3589" t="str">
        <f>IF(Table4[[#This Row],[Performance_Deviation]] &lt; 0, "Underperforming", "Outperforming")</f>
        <v>Underperforming</v>
      </c>
      <c r="N3589">
        <f>IF(Table4[[#This Row],[Performance_Ratio]] &lt; 0.85, Table4[[#This Row],[Performance_Deviation]] * 50 / 1000, 0)</f>
        <v>0</v>
      </c>
    </row>
    <row r="3590" spans="1:14" x14ac:dyDescent="0.3">
      <c r="A3590" s="4" t="s">
        <v>10</v>
      </c>
      <c r="B3590" s="3">
        <v>45317.5</v>
      </c>
      <c r="C3590" s="4">
        <v>1207.3528203768799</v>
      </c>
      <c r="D3590" s="4">
        <v>1142.4464329770501</v>
      </c>
      <c r="E3590" s="4">
        <v>1142.4464329770501</v>
      </c>
      <c r="F3590" s="4">
        <v>74.353211559828296</v>
      </c>
      <c r="G3590" s="4" t="str">
        <f t="shared" si="112"/>
        <v>OK</v>
      </c>
      <c r="H3590" s="4" t="str">
        <f t="shared" si="113"/>
        <v>NON-ZERO</v>
      </c>
      <c r="I3590">
        <v>1200</v>
      </c>
      <c r="J3590">
        <f>IFERROR(Table4[[#This Row],[energy_kwh]]/Table4[[#This Row],[expected_kwh]],0)</f>
        <v>0.95203869414754172</v>
      </c>
      <c r="K3590" t="str">
        <f>IF(Table4[[#This Row],[Performance_Ratio]] &lt; 0.85, "Underperforming", "Performing")</f>
        <v>Performing</v>
      </c>
      <c r="L3590">
        <f>Table4[[#This Row],[energy_kwh]] - Table4[[#This Row],[expected_kwh]]</f>
        <v>-57.553567022949892</v>
      </c>
      <c r="M3590" t="str">
        <f>IF(Table4[[#This Row],[Performance_Deviation]] &lt; 0, "Underperforming", "Outperforming")</f>
        <v>Underperforming</v>
      </c>
      <c r="N3590">
        <f>IF(Table4[[#This Row],[Performance_Ratio]] &lt; 0.85, Table4[[#This Row],[Performance_Deviation]] * 50 / 1000, 0)</f>
        <v>0</v>
      </c>
    </row>
    <row r="3591" spans="1:14" x14ac:dyDescent="0.3">
      <c r="A3591" s="6" t="s">
        <v>10</v>
      </c>
      <c r="B3591" s="5">
        <v>45317.541666666664</v>
      </c>
      <c r="C3591" s="6">
        <v>979.83288918911205</v>
      </c>
      <c r="D3591" s="6">
        <v>927.15780364704801</v>
      </c>
      <c r="E3591" s="6">
        <v>927.15780364704801</v>
      </c>
      <c r="F3591" s="6">
        <v>79.819951211734093</v>
      </c>
      <c r="G3591" s="6" t="str">
        <f t="shared" si="112"/>
        <v>OK</v>
      </c>
      <c r="H3591" s="6" t="str">
        <f t="shared" si="113"/>
        <v>NON-ZERO</v>
      </c>
      <c r="I3591">
        <v>1159.1109915468801</v>
      </c>
      <c r="J3591">
        <f>IFERROR(Table4[[#This Row],[energy_kwh]]/Table4[[#This Row],[expected_kwh]],0)</f>
        <v>0.79988699133093266</v>
      </c>
      <c r="K3591" t="str">
        <f>IF(Table4[[#This Row],[Performance_Ratio]] &lt; 0.85, "Underperforming", "Performing")</f>
        <v>Underperforming</v>
      </c>
      <c r="L3591">
        <f>Table4[[#This Row],[energy_kwh]] - Table4[[#This Row],[expected_kwh]]</f>
        <v>-231.95318789983207</v>
      </c>
      <c r="M3591" t="str">
        <f>IF(Table4[[#This Row],[Performance_Deviation]] &lt; 0, "Underperforming", "Outperforming")</f>
        <v>Underperforming</v>
      </c>
      <c r="N3591">
        <f>IF(Table4[[#This Row],[Performance_Ratio]] &lt; 0.85, Table4[[#This Row],[Performance_Deviation]] * 50 / 1000, 0)</f>
        <v>-11.597659394991604</v>
      </c>
    </row>
    <row r="3592" spans="1:14" x14ac:dyDescent="0.3">
      <c r="A3592" s="4" t="s">
        <v>10</v>
      </c>
      <c r="B3592" s="3">
        <v>45317.583333333336</v>
      </c>
      <c r="C3592" s="4">
        <v>990.99384684999302</v>
      </c>
      <c r="D3592" s="4">
        <v>937.71875654588803</v>
      </c>
      <c r="E3592" s="4">
        <v>937.71875654588803</v>
      </c>
      <c r="F3592" s="4">
        <v>45.557261701166503</v>
      </c>
      <c r="G3592" s="4" t="str">
        <f t="shared" si="112"/>
        <v>OK</v>
      </c>
      <c r="H3592" s="4" t="str">
        <f t="shared" si="113"/>
        <v>NON-ZERO</v>
      </c>
      <c r="I3592">
        <v>1039.23048454132</v>
      </c>
      <c r="J3592">
        <f>IFERROR(Table4[[#This Row],[energy_kwh]]/Table4[[#This Row],[expected_kwh]],0)</f>
        <v>0.90232029419322146</v>
      </c>
      <c r="K3592" t="str">
        <f>IF(Table4[[#This Row],[Performance_Ratio]] &lt; 0.85, "Underperforming", "Performing")</f>
        <v>Performing</v>
      </c>
      <c r="L3592">
        <f>Table4[[#This Row],[energy_kwh]] - Table4[[#This Row],[expected_kwh]]</f>
        <v>-101.51172799543201</v>
      </c>
      <c r="M3592" t="str">
        <f>IF(Table4[[#This Row],[Performance_Deviation]] &lt; 0, "Underperforming", "Outperforming")</f>
        <v>Underperforming</v>
      </c>
      <c r="N3592">
        <f>IF(Table4[[#This Row],[Performance_Ratio]] &lt; 0.85, Table4[[#This Row],[Performance_Deviation]] * 50 / 1000, 0)</f>
        <v>0</v>
      </c>
    </row>
    <row r="3593" spans="1:14" x14ac:dyDescent="0.3">
      <c r="A3593" s="6" t="s">
        <v>10</v>
      </c>
      <c r="B3593" s="5">
        <v>45317.625</v>
      </c>
      <c r="C3593" s="6">
        <v>733.14153626146901</v>
      </c>
      <c r="D3593" s="6">
        <v>693.72839391535604</v>
      </c>
      <c r="E3593" s="6">
        <v>693.72839391535604</v>
      </c>
      <c r="F3593" s="6">
        <v>52.859176031064699</v>
      </c>
      <c r="G3593" s="6" t="str">
        <f t="shared" si="112"/>
        <v>OK</v>
      </c>
      <c r="H3593" s="6" t="str">
        <f t="shared" si="113"/>
        <v>NON-ZERO</v>
      </c>
      <c r="I3593">
        <v>848.52813742385695</v>
      </c>
      <c r="J3593">
        <f>IFERROR(Table4[[#This Row],[energy_kwh]]/Table4[[#This Row],[expected_kwh]],0)</f>
        <v>0.8175667527320013</v>
      </c>
      <c r="K3593" t="str">
        <f>IF(Table4[[#This Row],[Performance_Ratio]] &lt; 0.85, "Underperforming", "Performing")</f>
        <v>Underperforming</v>
      </c>
      <c r="L3593">
        <f>Table4[[#This Row],[energy_kwh]] - Table4[[#This Row],[expected_kwh]]</f>
        <v>-154.79974350850091</v>
      </c>
      <c r="M3593" t="str">
        <f>IF(Table4[[#This Row],[Performance_Deviation]] &lt; 0, "Underperforming", "Outperforming")</f>
        <v>Underperforming</v>
      </c>
      <c r="N3593">
        <f>IF(Table4[[#This Row],[Performance_Ratio]] &lt; 0.85, Table4[[#This Row],[Performance_Deviation]] * 50 / 1000, 0)</f>
        <v>-7.7399871754250453</v>
      </c>
    </row>
    <row r="3594" spans="1:14" x14ac:dyDescent="0.3">
      <c r="A3594" s="4" t="s">
        <v>10</v>
      </c>
      <c r="B3594" s="3">
        <v>45317.666666666664</v>
      </c>
      <c r="C3594" s="4">
        <v>608.52705353577301</v>
      </c>
      <c r="D3594" s="4">
        <v>575.81309286623002</v>
      </c>
      <c r="E3594" s="4">
        <v>575.81309286623002</v>
      </c>
      <c r="F3594" s="4">
        <v>57.565246503662401</v>
      </c>
      <c r="G3594" s="4" t="str">
        <f t="shared" si="112"/>
        <v>OK</v>
      </c>
      <c r="H3594" s="4" t="str">
        <f t="shared" si="113"/>
        <v>NON-ZERO</v>
      </c>
      <c r="I3594">
        <v>600</v>
      </c>
      <c r="J3594">
        <f>IFERROR(Table4[[#This Row],[energy_kwh]]/Table4[[#This Row],[expected_kwh]],0)</f>
        <v>0.95968848811038332</v>
      </c>
      <c r="K3594" t="str">
        <f>IF(Table4[[#This Row],[Performance_Ratio]] &lt; 0.85, "Underperforming", "Performing")</f>
        <v>Performing</v>
      </c>
      <c r="L3594">
        <f>Table4[[#This Row],[energy_kwh]] - Table4[[#This Row],[expected_kwh]]</f>
        <v>-24.186907133769978</v>
      </c>
      <c r="M3594" t="str">
        <f>IF(Table4[[#This Row],[Performance_Deviation]] &lt; 0, "Underperforming", "Outperforming")</f>
        <v>Underperforming</v>
      </c>
      <c r="N3594">
        <f>IF(Table4[[#This Row],[Performance_Ratio]] &lt; 0.85, Table4[[#This Row],[Performance_Deviation]] * 50 / 1000, 0)</f>
        <v>0</v>
      </c>
    </row>
    <row r="3595" spans="1:14" x14ac:dyDescent="0.3">
      <c r="A3595" s="6" t="s">
        <v>10</v>
      </c>
      <c r="B3595" s="5">
        <v>45317.708333333336</v>
      </c>
      <c r="C3595" s="6">
        <v>252.55366374813201</v>
      </c>
      <c r="D3595" s="6">
        <v>238.97656709351301</v>
      </c>
      <c r="E3595" s="6">
        <v>238.97656709351301</v>
      </c>
      <c r="F3595" s="6">
        <v>84.981134714361801</v>
      </c>
      <c r="G3595" s="6" t="str">
        <f t="shared" si="112"/>
        <v>OK</v>
      </c>
      <c r="H3595" s="6" t="str">
        <f t="shared" si="113"/>
        <v>NON-ZERO</v>
      </c>
      <c r="I3595">
        <v>310.58285412302502</v>
      </c>
      <c r="J3595">
        <f>IFERROR(Table4[[#This Row],[energy_kwh]]/Table4[[#This Row],[expected_kwh]],0)</f>
        <v>0.76944546011175485</v>
      </c>
      <c r="K3595" t="str">
        <f>IF(Table4[[#This Row],[Performance_Ratio]] &lt; 0.85, "Underperforming", "Performing")</f>
        <v>Underperforming</v>
      </c>
      <c r="L3595">
        <f>Table4[[#This Row],[energy_kwh]] - Table4[[#This Row],[expected_kwh]]</f>
        <v>-71.606287029512004</v>
      </c>
      <c r="M3595" t="str">
        <f>IF(Table4[[#This Row],[Performance_Deviation]] &lt; 0, "Underperforming", "Outperforming")</f>
        <v>Underperforming</v>
      </c>
      <c r="N3595">
        <f>IF(Table4[[#This Row],[Performance_Ratio]] &lt; 0.85, Table4[[#This Row],[Performance_Deviation]] * 50 / 1000, 0)</f>
        <v>-3.5803143514756002</v>
      </c>
    </row>
    <row r="3596" spans="1:14" x14ac:dyDescent="0.3">
      <c r="A3596" s="4" t="s">
        <v>10</v>
      </c>
      <c r="B3596" s="3">
        <v>45317.75</v>
      </c>
      <c r="C3596" s="7">
        <v>1.2667229483994999E-13</v>
      </c>
      <c r="D3596" s="7">
        <v>1.19862486718459E-13</v>
      </c>
      <c r="E3596" s="7">
        <v>1.19862486718459E-13</v>
      </c>
      <c r="F3596" s="4">
        <v>42.035152161162998</v>
      </c>
      <c r="G3596" s="4" t="str">
        <f t="shared" si="112"/>
        <v>OK</v>
      </c>
      <c r="H3596" s="4" t="str">
        <f t="shared" si="113"/>
        <v>NON-ZERO</v>
      </c>
      <c r="I3596" s="2">
        <v>1.46957615897682E-13</v>
      </c>
      <c r="J3596">
        <f>IFERROR(Table4[[#This Row],[energy_kwh]]/Table4[[#This Row],[expected_kwh]],0)</f>
        <v>0.81562623336181661</v>
      </c>
      <c r="K3596" t="str">
        <f>IF(Table4[[#This Row],[Performance_Ratio]] &lt; 0.85, "Underperforming", "Performing")</f>
        <v>Underperforming</v>
      </c>
      <c r="L3596">
        <f>Table4[[#This Row],[energy_kwh]] - Table4[[#This Row],[expected_kwh]]</f>
        <v>-2.7095129179223006E-14</v>
      </c>
      <c r="M3596" t="str">
        <f>IF(Table4[[#This Row],[Performance_Deviation]] &lt; 0, "Underperforming", "Outperforming")</f>
        <v>Underperforming</v>
      </c>
      <c r="N3596">
        <f>IF(Table4[[#This Row],[Performance_Ratio]] &lt; 0.85, Table4[[#This Row],[Performance_Deviation]] * 50 / 1000, 0)</f>
        <v>-1.3547564589611503E-15</v>
      </c>
    </row>
    <row r="3597" spans="1:14" x14ac:dyDescent="0.3">
      <c r="A3597" s="6" t="s">
        <v>10</v>
      </c>
      <c r="B3597" s="5">
        <v>45317.791666666664</v>
      </c>
      <c r="C3597" s="6">
        <v>0</v>
      </c>
      <c r="D3597" s="6">
        <v>0</v>
      </c>
      <c r="E3597" s="6">
        <v>0</v>
      </c>
      <c r="F3597" s="6">
        <v>87.369431275611802</v>
      </c>
      <c r="G3597" s="6" t="str">
        <f t="shared" si="112"/>
        <v>OK</v>
      </c>
      <c r="H3597" s="6" t="str">
        <f t="shared" si="113"/>
        <v>ZERO</v>
      </c>
      <c r="I3597">
        <v>0</v>
      </c>
      <c r="J3597">
        <f>IFERROR(Table4[[#This Row],[energy_kwh]]/Table4[[#This Row],[expected_kwh]],0)</f>
        <v>0</v>
      </c>
      <c r="K3597" t="str">
        <f>IF(Table4[[#This Row],[Performance_Ratio]] &lt; 0.85, "Underperforming", "Performing")</f>
        <v>Underperforming</v>
      </c>
      <c r="L3597">
        <f>Table4[[#This Row],[energy_kwh]] - Table4[[#This Row],[expected_kwh]]</f>
        <v>0</v>
      </c>
      <c r="M3597" t="str">
        <f>IF(Table4[[#This Row],[Performance_Deviation]] &lt; 0, "Underperforming", "Outperforming")</f>
        <v>Outperforming</v>
      </c>
      <c r="N3597">
        <f>IF(Table4[[#This Row],[Performance_Ratio]] &lt; 0.85, Table4[[#This Row],[Performance_Deviation]] * 50 / 1000, 0)</f>
        <v>0</v>
      </c>
    </row>
    <row r="3598" spans="1:14" x14ac:dyDescent="0.3">
      <c r="A3598" s="4" t="s">
        <v>10</v>
      </c>
      <c r="B3598" s="3">
        <v>45317.833333333336</v>
      </c>
      <c r="C3598" s="4">
        <v>0</v>
      </c>
      <c r="D3598" s="4">
        <v>0</v>
      </c>
      <c r="E3598" s="4">
        <v>0</v>
      </c>
      <c r="F3598" s="4">
        <v>78.2036719152035</v>
      </c>
      <c r="G3598" s="4" t="str">
        <f t="shared" si="112"/>
        <v>OK</v>
      </c>
      <c r="H3598" s="4" t="str">
        <f t="shared" si="113"/>
        <v>ZERO</v>
      </c>
      <c r="I3598">
        <v>0</v>
      </c>
      <c r="J3598">
        <f>IFERROR(Table4[[#This Row],[energy_kwh]]/Table4[[#This Row],[expected_kwh]],0)</f>
        <v>0</v>
      </c>
      <c r="K3598" t="str">
        <f>IF(Table4[[#This Row],[Performance_Ratio]] &lt; 0.85, "Underperforming", "Performing")</f>
        <v>Underperforming</v>
      </c>
      <c r="L3598">
        <f>Table4[[#This Row],[energy_kwh]] - Table4[[#This Row],[expected_kwh]]</f>
        <v>0</v>
      </c>
      <c r="M3598" t="str">
        <f>IF(Table4[[#This Row],[Performance_Deviation]] &lt; 0, "Underperforming", "Outperforming")</f>
        <v>Outperforming</v>
      </c>
      <c r="N3598">
        <f>IF(Table4[[#This Row],[Performance_Ratio]] &lt; 0.85, Table4[[#This Row],[Performance_Deviation]] * 50 / 1000, 0)</f>
        <v>0</v>
      </c>
    </row>
    <row r="3599" spans="1:14" x14ac:dyDescent="0.3">
      <c r="A3599" s="6" t="s">
        <v>10</v>
      </c>
      <c r="B3599" s="5">
        <v>45317.875</v>
      </c>
      <c r="C3599" s="6">
        <v>0</v>
      </c>
      <c r="D3599" s="6">
        <v>0</v>
      </c>
      <c r="E3599" s="6">
        <v>0</v>
      </c>
      <c r="F3599" s="6">
        <v>58.143344140153602</v>
      </c>
      <c r="G3599" s="6" t="str">
        <f t="shared" si="112"/>
        <v>OK</v>
      </c>
      <c r="H3599" s="6" t="str">
        <f t="shared" si="113"/>
        <v>ZERO</v>
      </c>
      <c r="I3599">
        <v>0</v>
      </c>
      <c r="J3599">
        <f>IFERROR(Table4[[#This Row],[energy_kwh]]/Table4[[#This Row],[expected_kwh]],0)</f>
        <v>0</v>
      </c>
      <c r="K3599" t="str">
        <f>IF(Table4[[#This Row],[Performance_Ratio]] &lt; 0.85, "Underperforming", "Performing")</f>
        <v>Underperforming</v>
      </c>
      <c r="L3599">
        <f>Table4[[#This Row],[energy_kwh]] - Table4[[#This Row],[expected_kwh]]</f>
        <v>0</v>
      </c>
      <c r="M3599" t="str">
        <f>IF(Table4[[#This Row],[Performance_Deviation]] &lt; 0, "Underperforming", "Outperforming")</f>
        <v>Outperforming</v>
      </c>
      <c r="N3599">
        <f>IF(Table4[[#This Row],[Performance_Ratio]] &lt; 0.85, Table4[[#This Row],[Performance_Deviation]] * 50 / 1000, 0)</f>
        <v>0</v>
      </c>
    </row>
    <row r="3600" spans="1:14" x14ac:dyDescent="0.3">
      <c r="A3600" s="4" t="s">
        <v>10</v>
      </c>
      <c r="B3600" s="3">
        <v>45317.916666666664</v>
      </c>
      <c r="C3600" s="4">
        <v>0</v>
      </c>
      <c r="D3600" s="4">
        <v>0</v>
      </c>
      <c r="E3600" s="4">
        <v>0</v>
      </c>
      <c r="F3600" s="4">
        <v>33.735152867882697</v>
      </c>
      <c r="G3600" s="4" t="str">
        <f t="shared" si="112"/>
        <v>OK</v>
      </c>
      <c r="H3600" s="4" t="str">
        <f t="shared" si="113"/>
        <v>ZERO</v>
      </c>
      <c r="I3600">
        <v>0</v>
      </c>
      <c r="J3600">
        <f>IFERROR(Table4[[#This Row],[energy_kwh]]/Table4[[#This Row],[expected_kwh]],0)</f>
        <v>0</v>
      </c>
      <c r="K3600" t="str">
        <f>IF(Table4[[#This Row],[Performance_Ratio]] &lt; 0.85, "Underperforming", "Performing")</f>
        <v>Underperforming</v>
      </c>
      <c r="L3600">
        <f>Table4[[#This Row],[energy_kwh]] - Table4[[#This Row],[expected_kwh]]</f>
        <v>0</v>
      </c>
      <c r="M3600" t="str">
        <f>IF(Table4[[#This Row],[Performance_Deviation]] &lt; 0, "Underperforming", "Outperforming")</f>
        <v>Outperforming</v>
      </c>
      <c r="N3600">
        <f>IF(Table4[[#This Row],[Performance_Ratio]] &lt; 0.85, Table4[[#This Row],[Performance_Deviation]] * 50 / 1000, 0)</f>
        <v>0</v>
      </c>
    </row>
    <row r="3601" spans="1:14" x14ac:dyDescent="0.3">
      <c r="A3601" s="6" t="s">
        <v>10</v>
      </c>
      <c r="B3601" s="5">
        <v>45317.958333333336</v>
      </c>
      <c r="C3601" s="6">
        <v>0</v>
      </c>
      <c r="D3601" s="6">
        <v>0</v>
      </c>
      <c r="E3601" s="6">
        <v>0</v>
      </c>
      <c r="F3601" s="6">
        <v>66.054873854554799</v>
      </c>
      <c r="G3601" s="6" t="str">
        <f t="shared" si="112"/>
        <v>OK</v>
      </c>
      <c r="H3601" s="6" t="str">
        <f t="shared" si="113"/>
        <v>ZERO</v>
      </c>
      <c r="I3601">
        <v>0</v>
      </c>
      <c r="J3601">
        <f>IFERROR(Table4[[#This Row],[energy_kwh]]/Table4[[#This Row],[expected_kwh]],0)</f>
        <v>0</v>
      </c>
      <c r="K3601" t="str">
        <f>IF(Table4[[#This Row],[Performance_Ratio]] &lt; 0.85, "Underperforming", "Performing")</f>
        <v>Underperforming</v>
      </c>
      <c r="L3601">
        <f>Table4[[#This Row],[energy_kwh]] - Table4[[#This Row],[expected_kwh]]</f>
        <v>0</v>
      </c>
      <c r="M3601" t="str">
        <f>IF(Table4[[#This Row],[Performance_Deviation]] &lt; 0, "Underperforming", "Outperforming")</f>
        <v>Outperforming</v>
      </c>
      <c r="N3601">
        <f>IF(Table4[[#This Row],[Performance_Ratio]] &lt; 0.85, Table4[[#This Row],[Performance_Deviation]] * 50 / 1000, 0)</f>
        <v>0</v>
      </c>
    </row>
    <row r="3602" spans="1:14" x14ac:dyDescent="0.3">
      <c r="A3602" s="4" t="s">
        <v>10</v>
      </c>
      <c r="B3602" s="3">
        <v>45318</v>
      </c>
      <c r="C3602" s="4">
        <v>0</v>
      </c>
      <c r="D3602" s="4">
        <v>0</v>
      </c>
      <c r="E3602" s="4">
        <v>0</v>
      </c>
      <c r="F3602" s="4">
        <v>25.795379470038199</v>
      </c>
      <c r="G3602" s="4" t="str">
        <f t="shared" si="112"/>
        <v>OK</v>
      </c>
      <c r="H3602" s="4" t="str">
        <f t="shared" si="113"/>
        <v>ZERO</v>
      </c>
      <c r="I3602">
        <v>0</v>
      </c>
      <c r="J3602">
        <f>IFERROR(Table4[[#This Row],[energy_kwh]]/Table4[[#This Row],[expected_kwh]],0)</f>
        <v>0</v>
      </c>
      <c r="K3602" t="str">
        <f>IF(Table4[[#This Row],[Performance_Ratio]] &lt; 0.85, "Underperforming", "Performing")</f>
        <v>Underperforming</v>
      </c>
      <c r="L3602">
        <f>Table4[[#This Row],[energy_kwh]] - Table4[[#This Row],[expected_kwh]]</f>
        <v>0</v>
      </c>
      <c r="M3602" t="str">
        <f>IF(Table4[[#This Row],[Performance_Deviation]] &lt; 0, "Underperforming", "Outperforming")</f>
        <v>Outperforming</v>
      </c>
      <c r="N3602">
        <f>IF(Table4[[#This Row],[Performance_Ratio]] &lt; 0.85, Table4[[#This Row],[Performance_Deviation]] * 50 / 1000, 0)</f>
        <v>0</v>
      </c>
    </row>
    <row r="3603" spans="1:14" x14ac:dyDescent="0.3">
      <c r="A3603" s="6" t="s">
        <v>10</v>
      </c>
      <c r="B3603" s="5">
        <v>45318.041666666664</v>
      </c>
      <c r="C3603" s="6">
        <v>0</v>
      </c>
      <c r="D3603" s="6">
        <v>0</v>
      </c>
      <c r="E3603" s="6">
        <v>0</v>
      </c>
      <c r="F3603" s="6">
        <v>57.393971554340901</v>
      </c>
      <c r="G3603" s="6" t="str">
        <f t="shared" si="112"/>
        <v>OK</v>
      </c>
      <c r="H3603" s="6" t="str">
        <f t="shared" si="113"/>
        <v>ZERO</v>
      </c>
      <c r="I3603">
        <v>0</v>
      </c>
      <c r="J3603">
        <f>IFERROR(Table4[[#This Row],[energy_kwh]]/Table4[[#This Row],[expected_kwh]],0)</f>
        <v>0</v>
      </c>
      <c r="K3603" t="str">
        <f>IF(Table4[[#This Row],[Performance_Ratio]] &lt; 0.85, "Underperforming", "Performing")</f>
        <v>Underperforming</v>
      </c>
      <c r="L3603">
        <f>Table4[[#This Row],[energy_kwh]] - Table4[[#This Row],[expected_kwh]]</f>
        <v>0</v>
      </c>
      <c r="M3603" t="str">
        <f>IF(Table4[[#This Row],[Performance_Deviation]] &lt; 0, "Underperforming", "Outperforming")</f>
        <v>Outperforming</v>
      </c>
      <c r="N3603">
        <f>IF(Table4[[#This Row],[Performance_Ratio]] &lt; 0.85, Table4[[#This Row],[Performance_Deviation]] * 50 / 1000, 0)</f>
        <v>0</v>
      </c>
    </row>
    <row r="3604" spans="1:14" x14ac:dyDescent="0.3">
      <c r="A3604" s="4" t="s">
        <v>10</v>
      </c>
      <c r="B3604" s="3">
        <v>45318.083333333336</v>
      </c>
      <c r="C3604" s="4">
        <v>0</v>
      </c>
      <c r="D3604" s="4">
        <v>0</v>
      </c>
      <c r="E3604" s="4">
        <v>0</v>
      </c>
      <c r="F3604" s="4">
        <v>80.731528807674707</v>
      </c>
      <c r="G3604" s="4" t="str">
        <f t="shared" si="112"/>
        <v>OK</v>
      </c>
      <c r="H3604" s="4" t="str">
        <f t="shared" si="113"/>
        <v>ZERO</v>
      </c>
      <c r="I3604">
        <v>0</v>
      </c>
      <c r="J3604">
        <f>IFERROR(Table4[[#This Row],[energy_kwh]]/Table4[[#This Row],[expected_kwh]],0)</f>
        <v>0</v>
      </c>
      <c r="K3604" t="str">
        <f>IF(Table4[[#This Row],[Performance_Ratio]] &lt; 0.85, "Underperforming", "Performing")</f>
        <v>Underperforming</v>
      </c>
      <c r="L3604">
        <f>Table4[[#This Row],[energy_kwh]] - Table4[[#This Row],[expected_kwh]]</f>
        <v>0</v>
      </c>
      <c r="M3604" t="str">
        <f>IF(Table4[[#This Row],[Performance_Deviation]] &lt; 0, "Underperforming", "Outperforming")</f>
        <v>Outperforming</v>
      </c>
      <c r="N3604">
        <f>IF(Table4[[#This Row],[Performance_Ratio]] &lt; 0.85, Table4[[#This Row],[Performance_Deviation]] * 50 / 1000, 0)</f>
        <v>0</v>
      </c>
    </row>
    <row r="3605" spans="1:14" x14ac:dyDescent="0.3">
      <c r="A3605" s="6" t="s">
        <v>10</v>
      </c>
      <c r="B3605" s="5">
        <v>45318.125</v>
      </c>
      <c r="C3605" s="6">
        <v>0</v>
      </c>
      <c r="D3605" s="6">
        <v>0</v>
      </c>
      <c r="E3605" s="6">
        <v>0</v>
      </c>
      <c r="F3605" s="6">
        <v>24.354750416831799</v>
      </c>
      <c r="G3605" s="6" t="str">
        <f t="shared" si="112"/>
        <v>OK</v>
      </c>
      <c r="H3605" s="6" t="str">
        <f t="shared" si="113"/>
        <v>ZERO</v>
      </c>
      <c r="I3605">
        <v>0</v>
      </c>
      <c r="J3605">
        <f>IFERROR(Table4[[#This Row],[energy_kwh]]/Table4[[#This Row],[expected_kwh]],0)</f>
        <v>0</v>
      </c>
      <c r="K3605" t="str">
        <f>IF(Table4[[#This Row],[Performance_Ratio]] &lt; 0.85, "Underperforming", "Performing")</f>
        <v>Underperforming</v>
      </c>
      <c r="L3605">
        <f>Table4[[#This Row],[energy_kwh]] - Table4[[#This Row],[expected_kwh]]</f>
        <v>0</v>
      </c>
      <c r="M3605" t="str">
        <f>IF(Table4[[#This Row],[Performance_Deviation]] &lt; 0, "Underperforming", "Outperforming")</f>
        <v>Outperforming</v>
      </c>
      <c r="N3605">
        <f>IF(Table4[[#This Row],[Performance_Ratio]] &lt; 0.85, Table4[[#This Row],[Performance_Deviation]] * 50 / 1000, 0)</f>
        <v>0</v>
      </c>
    </row>
    <row r="3606" spans="1:14" x14ac:dyDescent="0.3">
      <c r="A3606" s="4" t="s">
        <v>10</v>
      </c>
      <c r="B3606" s="3">
        <v>45318.166666666664</v>
      </c>
      <c r="C3606" s="4">
        <v>0</v>
      </c>
      <c r="D3606" s="4">
        <v>0</v>
      </c>
      <c r="E3606" s="4">
        <v>0</v>
      </c>
      <c r="F3606" s="4">
        <v>83.325016189950304</v>
      </c>
      <c r="G3606" s="4" t="str">
        <f t="shared" si="112"/>
        <v>OK</v>
      </c>
      <c r="H3606" s="4" t="str">
        <f t="shared" si="113"/>
        <v>ZERO</v>
      </c>
      <c r="I3606">
        <v>0</v>
      </c>
      <c r="J3606">
        <f>IFERROR(Table4[[#This Row],[energy_kwh]]/Table4[[#This Row],[expected_kwh]],0)</f>
        <v>0</v>
      </c>
      <c r="K3606" t="str">
        <f>IF(Table4[[#This Row],[Performance_Ratio]] &lt; 0.85, "Underperforming", "Performing")</f>
        <v>Underperforming</v>
      </c>
      <c r="L3606">
        <f>Table4[[#This Row],[energy_kwh]] - Table4[[#This Row],[expected_kwh]]</f>
        <v>0</v>
      </c>
      <c r="M3606" t="str">
        <f>IF(Table4[[#This Row],[Performance_Deviation]] &lt; 0, "Underperforming", "Outperforming")</f>
        <v>Outperforming</v>
      </c>
      <c r="N3606">
        <f>IF(Table4[[#This Row],[Performance_Ratio]] &lt; 0.85, Table4[[#This Row],[Performance_Deviation]] * 50 / 1000, 0)</f>
        <v>0</v>
      </c>
    </row>
    <row r="3607" spans="1:14" x14ac:dyDescent="0.3">
      <c r="A3607" s="6" t="s">
        <v>10</v>
      </c>
      <c r="B3607" s="5">
        <v>45318.208333333336</v>
      </c>
      <c r="C3607" s="6">
        <v>0</v>
      </c>
      <c r="D3607" s="6">
        <v>0</v>
      </c>
      <c r="E3607" s="6">
        <v>0</v>
      </c>
      <c r="F3607" s="6">
        <v>55.902665063808897</v>
      </c>
      <c r="G3607" s="6" t="str">
        <f t="shared" si="112"/>
        <v>OK</v>
      </c>
      <c r="H3607" s="6" t="str">
        <f t="shared" si="113"/>
        <v>ZERO</v>
      </c>
      <c r="I3607">
        <v>0</v>
      </c>
      <c r="J3607">
        <f>IFERROR(Table4[[#This Row],[energy_kwh]]/Table4[[#This Row],[expected_kwh]],0)</f>
        <v>0</v>
      </c>
      <c r="K3607" t="str">
        <f>IF(Table4[[#This Row],[Performance_Ratio]] &lt; 0.85, "Underperforming", "Performing")</f>
        <v>Underperforming</v>
      </c>
      <c r="L3607">
        <f>Table4[[#This Row],[energy_kwh]] - Table4[[#This Row],[expected_kwh]]</f>
        <v>0</v>
      </c>
      <c r="M3607" t="str">
        <f>IF(Table4[[#This Row],[Performance_Deviation]] &lt; 0, "Underperforming", "Outperforming")</f>
        <v>Outperforming</v>
      </c>
      <c r="N3607">
        <f>IF(Table4[[#This Row],[Performance_Ratio]] &lt; 0.85, Table4[[#This Row],[Performance_Deviation]] * 50 / 1000, 0)</f>
        <v>0</v>
      </c>
    </row>
    <row r="3608" spans="1:14" x14ac:dyDescent="0.3">
      <c r="A3608" s="4" t="s">
        <v>10</v>
      </c>
      <c r="B3608" s="3">
        <v>45318.25</v>
      </c>
      <c r="C3608" s="4">
        <v>0</v>
      </c>
      <c r="D3608" s="4">
        <v>0</v>
      </c>
      <c r="E3608" s="4">
        <v>0</v>
      </c>
      <c r="F3608" s="4">
        <v>74.334531743855806</v>
      </c>
      <c r="G3608" s="4" t="str">
        <f t="shared" si="112"/>
        <v>OK</v>
      </c>
      <c r="H3608" s="4" t="str">
        <f t="shared" si="113"/>
        <v>ZERO</v>
      </c>
      <c r="I3608">
        <v>0</v>
      </c>
      <c r="J3608">
        <f>IFERROR(Table4[[#This Row],[energy_kwh]]/Table4[[#This Row],[expected_kwh]],0)</f>
        <v>0</v>
      </c>
      <c r="K3608" t="str">
        <f>IF(Table4[[#This Row],[Performance_Ratio]] &lt; 0.85, "Underperforming", "Performing")</f>
        <v>Underperforming</v>
      </c>
      <c r="L3608">
        <f>Table4[[#This Row],[energy_kwh]] - Table4[[#This Row],[expected_kwh]]</f>
        <v>0</v>
      </c>
      <c r="M3608" t="str">
        <f>IF(Table4[[#This Row],[Performance_Deviation]] &lt; 0, "Underperforming", "Outperforming")</f>
        <v>Outperforming</v>
      </c>
      <c r="N3608">
        <f>IF(Table4[[#This Row],[Performance_Ratio]] &lt; 0.85, Table4[[#This Row],[Performance_Deviation]] * 50 / 1000, 0)</f>
        <v>0</v>
      </c>
    </row>
    <row r="3609" spans="1:14" x14ac:dyDescent="0.3">
      <c r="A3609" s="6" t="s">
        <v>10</v>
      </c>
      <c r="B3609" s="5">
        <v>45318.291666666664</v>
      </c>
      <c r="C3609" s="6">
        <v>275.75050780765503</v>
      </c>
      <c r="D3609" s="6">
        <v>260.92636611237498</v>
      </c>
      <c r="E3609" s="6">
        <v>260.92636611237498</v>
      </c>
      <c r="F3609" s="6">
        <v>24.271096152383599</v>
      </c>
      <c r="G3609" s="6" t="str">
        <f t="shared" si="112"/>
        <v>OK</v>
      </c>
      <c r="H3609" s="6" t="str">
        <f t="shared" si="113"/>
        <v>NON-ZERO</v>
      </c>
      <c r="I3609">
        <v>310.58285412302399</v>
      </c>
      <c r="J3609">
        <f>IFERROR(Table4[[#This Row],[energy_kwh]]/Table4[[#This Row],[expected_kwh]],0)</f>
        <v>0.84011838595900168</v>
      </c>
      <c r="K3609" t="str">
        <f>IF(Table4[[#This Row],[Performance_Ratio]] &lt; 0.85, "Underperforming", "Performing")</f>
        <v>Underperforming</v>
      </c>
      <c r="L3609">
        <f>Table4[[#This Row],[energy_kwh]] - Table4[[#This Row],[expected_kwh]]</f>
        <v>-49.656488010649014</v>
      </c>
      <c r="M3609" t="str">
        <f>IF(Table4[[#This Row],[Performance_Deviation]] &lt; 0, "Underperforming", "Outperforming")</f>
        <v>Underperforming</v>
      </c>
      <c r="N3609">
        <f>IF(Table4[[#This Row],[Performance_Ratio]] &lt; 0.85, Table4[[#This Row],[Performance_Deviation]] * 50 / 1000, 0)</f>
        <v>-2.4828244005324502</v>
      </c>
    </row>
    <row r="3610" spans="1:14" x14ac:dyDescent="0.3">
      <c r="A3610" s="4" t="s">
        <v>10</v>
      </c>
      <c r="B3610" s="3">
        <v>45318.333333333336</v>
      </c>
      <c r="C3610" s="4">
        <v>543.08939826968003</v>
      </c>
      <c r="D3610" s="4">
        <v>513.89331715576895</v>
      </c>
      <c r="E3610" s="4">
        <v>513.89331715576895</v>
      </c>
      <c r="F3610" s="4">
        <v>94.229216784972905</v>
      </c>
      <c r="G3610" s="4" t="str">
        <f t="shared" si="112"/>
        <v>OK</v>
      </c>
      <c r="H3610" s="4" t="str">
        <f t="shared" si="113"/>
        <v>NON-ZERO</v>
      </c>
      <c r="I3610">
        <v>600</v>
      </c>
      <c r="J3610">
        <f>IFERROR(Table4[[#This Row],[energy_kwh]]/Table4[[#This Row],[expected_kwh]],0)</f>
        <v>0.8564888619262816</v>
      </c>
      <c r="K3610" t="str">
        <f>IF(Table4[[#This Row],[Performance_Ratio]] &lt; 0.85, "Underperforming", "Performing")</f>
        <v>Performing</v>
      </c>
      <c r="L3610">
        <f>Table4[[#This Row],[energy_kwh]] - Table4[[#This Row],[expected_kwh]]</f>
        <v>-86.106682844231045</v>
      </c>
      <c r="M3610" t="str">
        <f>IF(Table4[[#This Row],[Performance_Deviation]] &lt; 0, "Underperforming", "Outperforming")</f>
        <v>Underperforming</v>
      </c>
      <c r="N3610">
        <f>IF(Table4[[#This Row],[Performance_Ratio]] &lt; 0.85, Table4[[#This Row],[Performance_Deviation]] * 50 / 1000, 0)</f>
        <v>0</v>
      </c>
    </row>
    <row r="3611" spans="1:14" x14ac:dyDescent="0.3">
      <c r="A3611" s="6" t="s">
        <v>10</v>
      </c>
      <c r="B3611" s="5">
        <v>45318.375</v>
      </c>
      <c r="C3611" s="6">
        <v>673.89991513028895</v>
      </c>
      <c r="D3611" s="6">
        <v>637.67155816458796</v>
      </c>
      <c r="E3611" s="6">
        <v>637.67155816458796</v>
      </c>
      <c r="F3611" s="6">
        <v>60.122502924905298</v>
      </c>
      <c r="G3611" s="6" t="str">
        <f t="shared" si="112"/>
        <v>OK</v>
      </c>
      <c r="H3611" s="6" t="str">
        <f t="shared" si="113"/>
        <v>NON-ZERO</v>
      </c>
      <c r="I3611">
        <v>848.52813742385695</v>
      </c>
      <c r="J3611">
        <f>IFERROR(Table4[[#This Row],[energy_kwh]]/Table4[[#This Row],[expected_kwh]],0)</f>
        <v>0.75150313824662029</v>
      </c>
      <c r="K3611" t="str">
        <f>IF(Table4[[#This Row],[Performance_Ratio]] &lt; 0.85, "Underperforming", "Performing")</f>
        <v>Underperforming</v>
      </c>
      <c r="L3611">
        <f>Table4[[#This Row],[energy_kwh]] - Table4[[#This Row],[expected_kwh]]</f>
        <v>-210.85657925926898</v>
      </c>
      <c r="M3611" t="str">
        <f>IF(Table4[[#This Row],[Performance_Deviation]] &lt; 0, "Underperforming", "Outperforming")</f>
        <v>Underperforming</v>
      </c>
      <c r="N3611">
        <f>IF(Table4[[#This Row],[Performance_Ratio]] &lt; 0.85, Table4[[#This Row],[Performance_Deviation]] * 50 / 1000, 0)</f>
        <v>-10.54282896296345</v>
      </c>
    </row>
    <row r="3612" spans="1:14" x14ac:dyDescent="0.3">
      <c r="A3612" s="4" t="s">
        <v>10</v>
      </c>
      <c r="B3612" s="3">
        <v>45318.416666666664</v>
      </c>
      <c r="C3612" s="4">
        <v>1008.15880397233</v>
      </c>
      <c r="D3612" s="4">
        <v>953.960938371824</v>
      </c>
      <c r="E3612" s="4">
        <v>953.960938371824</v>
      </c>
      <c r="F3612" s="4">
        <v>58.591481850033503</v>
      </c>
      <c r="G3612" s="4" t="str">
        <f t="shared" si="112"/>
        <v>OK</v>
      </c>
      <c r="H3612" s="4" t="str">
        <f t="shared" si="113"/>
        <v>NON-ZERO</v>
      </c>
      <c r="I3612">
        <v>1039.23048454132</v>
      </c>
      <c r="J3612">
        <f>IFERROR(Table4[[#This Row],[energy_kwh]]/Table4[[#This Row],[expected_kwh]],0)</f>
        <v>0.91794934094227321</v>
      </c>
      <c r="K3612" t="str">
        <f>IF(Table4[[#This Row],[Performance_Ratio]] &lt; 0.85, "Underperforming", "Performing")</f>
        <v>Performing</v>
      </c>
      <c r="L3612">
        <f>Table4[[#This Row],[energy_kwh]] - Table4[[#This Row],[expected_kwh]]</f>
        <v>-85.269546169496039</v>
      </c>
      <c r="M3612" t="str">
        <f>IF(Table4[[#This Row],[Performance_Deviation]] &lt; 0, "Underperforming", "Outperforming")</f>
        <v>Underperforming</v>
      </c>
      <c r="N3612">
        <f>IF(Table4[[#This Row],[Performance_Ratio]] &lt; 0.85, Table4[[#This Row],[Performance_Deviation]] * 50 / 1000, 0)</f>
        <v>0</v>
      </c>
    </row>
    <row r="3613" spans="1:14" x14ac:dyDescent="0.3">
      <c r="A3613" s="6" t="s">
        <v>10</v>
      </c>
      <c r="B3613" s="5">
        <v>45318.458333333336</v>
      </c>
      <c r="C3613" s="6">
        <v>1072.2185900699601</v>
      </c>
      <c r="D3613" s="6">
        <v>1014.57691813296</v>
      </c>
      <c r="E3613" s="6">
        <v>1014.57691813296</v>
      </c>
      <c r="F3613" s="6">
        <v>88.343386681572397</v>
      </c>
      <c r="G3613" s="6" t="str">
        <f t="shared" si="112"/>
        <v>OK</v>
      </c>
      <c r="H3613" s="6" t="str">
        <f t="shared" si="113"/>
        <v>NON-ZERO</v>
      </c>
      <c r="I3613">
        <v>1159.1109915468801</v>
      </c>
      <c r="J3613">
        <f>IFERROR(Table4[[#This Row],[energy_kwh]]/Table4[[#This Row],[expected_kwh]],0)</f>
        <v>0.87530609711410501</v>
      </c>
      <c r="K3613" t="str">
        <f>IF(Table4[[#This Row],[Performance_Ratio]] &lt; 0.85, "Underperforming", "Performing")</f>
        <v>Performing</v>
      </c>
      <c r="L3613">
        <f>Table4[[#This Row],[energy_kwh]] - Table4[[#This Row],[expected_kwh]]</f>
        <v>-144.53407341392005</v>
      </c>
      <c r="M3613" t="str">
        <f>IF(Table4[[#This Row],[Performance_Deviation]] &lt; 0, "Underperforming", "Outperforming")</f>
        <v>Underperforming</v>
      </c>
      <c r="N3613">
        <f>IF(Table4[[#This Row],[Performance_Ratio]] &lt; 0.85, Table4[[#This Row],[Performance_Deviation]] * 50 / 1000, 0)</f>
        <v>0</v>
      </c>
    </row>
    <row r="3614" spans="1:14" x14ac:dyDescent="0.3">
      <c r="A3614" s="4" t="s">
        <v>10</v>
      </c>
      <c r="B3614" s="3">
        <v>45318.5</v>
      </c>
      <c r="C3614" s="4">
        <v>1119.1791670233899</v>
      </c>
      <c r="D3614" s="4">
        <v>1059.0129294840101</v>
      </c>
      <c r="E3614" s="4">
        <v>1059.0129294840101</v>
      </c>
      <c r="F3614" s="4">
        <v>69.045775413494397</v>
      </c>
      <c r="G3614" s="4" t="str">
        <f t="shared" si="112"/>
        <v>OK</v>
      </c>
      <c r="H3614" s="4" t="str">
        <f t="shared" si="113"/>
        <v>NON-ZERO</v>
      </c>
      <c r="I3614">
        <v>1200</v>
      </c>
      <c r="J3614">
        <f>IFERROR(Table4[[#This Row],[energy_kwh]]/Table4[[#This Row],[expected_kwh]],0)</f>
        <v>0.88251077457000837</v>
      </c>
      <c r="K3614" t="str">
        <f>IF(Table4[[#This Row],[Performance_Ratio]] &lt; 0.85, "Underperforming", "Performing")</f>
        <v>Performing</v>
      </c>
      <c r="L3614">
        <f>Table4[[#This Row],[energy_kwh]] - Table4[[#This Row],[expected_kwh]]</f>
        <v>-140.9870705159899</v>
      </c>
      <c r="M3614" t="str">
        <f>IF(Table4[[#This Row],[Performance_Deviation]] &lt; 0, "Underperforming", "Outperforming")</f>
        <v>Underperforming</v>
      </c>
      <c r="N3614">
        <f>IF(Table4[[#This Row],[Performance_Ratio]] &lt; 0.85, Table4[[#This Row],[Performance_Deviation]] * 50 / 1000, 0)</f>
        <v>0</v>
      </c>
    </row>
    <row r="3615" spans="1:14" x14ac:dyDescent="0.3">
      <c r="A3615" s="6" t="s">
        <v>10</v>
      </c>
      <c r="B3615" s="5">
        <v>45318.541666666664</v>
      </c>
      <c r="C3615" s="6">
        <v>1066.56431212539</v>
      </c>
      <c r="D3615" s="6">
        <v>1009.22660995476</v>
      </c>
      <c r="E3615" s="6">
        <v>1009.22660995476</v>
      </c>
      <c r="F3615" s="6">
        <v>51.184167618293898</v>
      </c>
      <c r="G3615" s="6" t="str">
        <f t="shared" si="112"/>
        <v>OK</v>
      </c>
      <c r="H3615" s="6" t="str">
        <f t="shared" si="113"/>
        <v>NON-ZERO</v>
      </c>
      <c r="I3615">
        <v>1159.1109915468801</v>
      </c>
      <c r="J3615">
        <f>IFERROR(Table4[[#This Row],[energy_kwh]]/Table4[[#This Row],[expected_kwh]],0)</f>
        <v>0.87069022493515191</v>
      </c>
      <c r="K3615" t="str">
        <f>IF(Table4[[#This Row],[Performance_Ratio]] &lt; 0.85, "Underperforming", "Performing")</f>
        <v>Performing</v>
      </c>
      <c r="L3615">
        <f>Table4[[#This Row],[energy_kwh]] - Table4[[#This Row],[expected_kwh]]</f>
        <v>-149.88438159212012</v>
      </c>
      <c r="M3615" t="str">
        <f>IF(Table4[[#This Row],[Performance_Deviation]] &lt; 0, "Underperforming", "Outperforming")</f>
        <v>Underperforming</v>
      </c>
      <c r="N3615">
        <f>IF(Table4[[#This Row],[Performance_Ratio]] &lt; 0.85, Table4[[#This Row],[Performance_Deviation]] * 50 / 1000, 0)</f>
        <v>0</v>
      </c>
    </row>
    <row r="3616" spans="1:14" x14ac:dyDescent="0.3">
      <c r="A3616" s="4" t="s">
        <v>10</v>
      </c>
      <c r="B3616" s="3">
        <v>45318.583333333336</v>
      </c>
      <c r="C3616" s="4">
        <v>972.39409787090597</v>
      </c>
      <c r="D3616" s="4">
        <v>920.11891620361405</v>
      </c>
      <c r="E3616" s="4">
        <v>920.11891620361405</v>
      </c>
      <c r="F3616" s="4">
        <v>70.304430505904193</v>
      </c>
      <c r="G3616" s="4" t="str">
        <f t="shared" si="112"/>
        <v>OK</v>
      </c>
      <c r="H3616" s="4" t="str">
        <f t="shared" si="113"/>
        <v>NON-ZERO</v>
      </c>
      <c r="I3616">
        <v>1039.23048454132</v>
      </c>
      <c r="J3616">
        <f>IFERROR(Table4[[#This Row],[energy_kwh]]/Table4[[#This Row],[expected_kwh]],0)</f>
        <v>0.88538483992771089</v>
      </c>
      <c r="K3616" t="str">
        <f>IF(Table4[[#This Row],[Performance_Ratio]] &lt; 0.85, "Underperforming", "Performing")</f>
        <v>Performing</v>
      </c>
      <c r="L3616">
        <f>Table4[[#This Row],[energy_kwh]] - Table4[[#This Row],[expected_kwh]]</f>
        <v>-119.11156833770599</v>
      </c>
      <c r="M3616" t="str">
        <f>IF(Table4[[#This Row],[Performance_Deviation]] &lt; 0, "Underperforming", "Outperforming")</f>
        <v>Underperforming</v>
      </c>
      <c r="N3616">
        <f>IF(Table4[[#This Row],[Performance_Ratio]] &lt; 0.85, Table4[[#This Row],[Performance_Deviation]] * 50 / 1000, 0)</f>
        <v>0</v>
      </c>
    </row>
    <row r="3617" spans="1:14" x14ac:dyDescent="0.3">
      <c r="A3617" s="6" t="s">
        <v>10</v>
      </c>
      <c r="B3617" s="5">
        <v>45318.625</v>
      </c>
      <c r="C3617" s="6">
        <v>800.72113599533702</v>
      </c>
      <c r="D3617" s="6">
        <v>757.674964756078</v>
      </c>
      <c r="E3617" s="6">
        <v>757.674964756078</v>
      </c>
      <c r="F3617" s="6">
        <v>21.675870032471799</v>
      </c>
      <c r="G3617" s="6" t="str">
        <f t="shared" si="112"/>
        <v>OK</v>
      </c>
      <c r="H3617" s="6" t="str">
        <f t="shared" si="113"/>
        <v>NON-ZERO</v>
      </c>
      <c r="I3617">
        <v>848.52813742385695</v>
      </c>
      <c r="J3617">
        <f>IFERROR(Table4[[#This Row],[energy_kwh]]/Table4[[#This Row],[expected_kwh]],0)</f>
        <v>0.89292850919050204</v>
      </c>
      <c r="K3617" t="str">
        <f>IF(Table4[[#This Row],[Performance_Ratio]] &lt; 0.85, "Underperforming", "Performing")</f>
        <v>Performing</v>
      </c>
      <c r="L3617">
        <f>Table4[[#This Row],[energy_kwh]] - Table4[[#This Row],[expected_kwh]]</f>
        <v>-90.853172667778949</v>
      </c>
      <c r="M3617" t="str">
        <f>IF(Table4[[#This Row],[Performance_Deviation]] &lt; 0, "Underperforming", "Outperforming")</f>
        <v>Underperforming</v>
      </c>
      <c r="N3617">
        <f>IF(Table4[[#This Row],[Performance_Ratio]] &lt; 0.85, Table4[[#This Row],[Performance_Deviation]] * 50 / 1000, 0)</f>
        <v>0</v>
      </c>
    </row>
    <row r="3618" spans="1:14" x14ac:dyDescent="0.3">
      <c r="A3618" s="4" t="s">
        <v>10</v>
      </c>
      <c r="B3618" s="3">
        <v>45318.666666666664</v>
      </c>
      <c r="C3618" s="4">
        <v>568.32709819807201</v>
      </c>
      <c r="D3618" s="4">
        <v>537.77425715368599</v>
      </c>
      <c r="E3618" s="4">
        <v>537.77425715368599</v>
      </c>
      <c r="F3618" s="4">
        <v>24.7041193176041</v>
      </c>
      <c r="G3618" s="4" t="str">
        <f t="shared" si="112"/>
        <v>OK</v>
      </c>
      <c r="H3618" s="4" t="str">
        <f t="shared" si="113"/>
        <v>NON-ZERO</v>
      </c>
      <c r="I3618">
        <v>600</v>
      </c>
      <c r="J3618">
        <f>IFERROR(Table4[[#This Row],[energy_kwh]]/Table4[[#This Row],[expected_kwh]],0)</f>
        <v>0.89629042858947661</v>
      </c>
      <c r="K3618" t="str">
        <f>IF(Table4[[#This Row],[Performance_Ratio]] &lt; 0.85, "Underperforming", "Performing")</f>
        <v>Performing</v>
      </c>
      <c r="L3618">
        <f>Table4[[#This Row],[energy_kwh]] - Table4[[#This Row],[expected_kwh]]</f>
        <v>-62.225742846314006</v>
      </c>
      <c r="M3618" t="str">
        <f>IF(Table4[[#This Row],[Performance_Deviation]] &lt; 0, "Underperforming", "Outperforming")</f>
        <v>Underperforming</v>
      </c>
      <c r="N3618">
        <f>IF(Table4[[#This Row],[Performance_Ratio]] &lt; 0.85, Table4[[#This Row],[Performance_Deviation]] * 50 / 1000, 0)</f>
        <v>0</v>
      </c>
    </row>
    <row r="3619" spans="1:14" x14ac:dyDescent="0.3">
      <c r="A3619" s="6" t="s">
        <v>10</v>
      </c>
      <c r="B3619" s="5">
        <v>45318.708333333336</v>
      </c>
      <c r="C3619" s="6">
        <v>325.22191657649398</v>
      </c>
      <c r="D3619" s="6">
        <v>307.738228832559</v>
      </c>
      <c r="E3619" s="6">
        <v>307.738228832559</v>
      </c>
      <c r="F3619" s="6">
        <v>88.904281200037204</v>
      </c>
      <c r="G3619" s="6" t="str">
        <f t="shared" si="112"/>
        <v>OK</v>
      </c>
      <c r="H3619" s="6" t="str">
        <f t="shared" si="113"/>
        <v>NON-ZERO</v>
      </c>
      <c r="I3619">
        <v>310.58285412302502</v>
      </c>
      <c r="J3619">
        <f>IFERROR(Table4[[#This Row],[energy_kwh]]/Table4[[#This Row],[expected_kwh]],0)</f>
        <v>0.99084100988607948</v>
      </c>
      <c r="K3619" t="str">
        <f>IF(Table4[[#This Row],[Performance_Ratio]] &lt; 0.85, "Underperforming", "Performing")</f>
        <v>Performing</v>
      </c>
      <c r="L3619">
        <f>Table4[[#This Row],[energy_kwh]] - Table4[[#This Row],[expected_kwh]]</f>
        <v>-2.8446252904660128</v>
      </c>
      <c r="M3619" t="str">
        <f>IF(Table4[[#This Row],[Performance_Deviation]] &lt; 0, "Underperforming", "Outperforming")</f>
        <v>Underperforming</v>
      </c>
      <c r="N3619">
        <f>IF(Table4[[#This Row],[Performance_Ratio]] &lt; 0.85, Table4[[#This Row],[Performance_Deviation]] * 50 / 1000, 0)</f>
        <v>0</v>
      </c>
    </row>
    <row r="3620" spans="1:14" x14ac:dyDescent="0.3">
      <c r="A3620" s="4" t="s">
        <v>10</v>
      </c>
      <c r="B3620" s="3">
        <v>45318.75</v>
      </c>
      <c r="C3620" s="7">
        <v>1.4022547909335699E-13</v>
      </c>
      <c r="D3620" s="7">
        <v>1.32687061891897E-13</v>
      </c>
      <c r="E3620" s="7">
        <v>1.32687061891897E-13</v>
      </c>
      <c r="F3620" s="4">
        <v>36.028473113943399</v>
      </c>
      <c r="G3620" s="4" t="str">
        <f t="shared" si="112"/>
        <v>OK</v>
      </c>
      <c r="H3620" s="4" t="str">
        <f t="shared" si="113"/>
        <v>NON-ZERO</v>
      </c>
      <c r="I3620" s="2">
        <v>1.46957615897682E-13</v>
      </c>
      <c r="J3620">
        <f>IFERROR(Table4[[#This Row],[energy_kwh]]/Table4[[#This Row],[expected_kwh]],0)</f>
        <v>0.90289340284534314</v>
      </c>
      <c r="K3620" t="str">
        <f>IF(Table4[[#This Row],[Performance_Ratio]] &lt; 0.85, "Underperforming", "Performing")</f>
        <v>Performing</v>
      </c>
      <c r="L3620">
        <f>Table4[[#This Row],[energy_kwh]] - Table4[[#This Row],[expected_kwh]]</f>
        <v>-1.4270554005785001E-14</v>
      </c>
      <c r="M3620" t="str">
        <f>IF(Table4[[#This Row],[Performance_Deviation]] &lt; 0, "Underperforming", "Outperforming")</f>
        <v>Underperforming</v>
      </c>
      <c r="N3620">
        <f>IF(Table4[[#This Row],[Performance_Ratio]] &lt; 0.85, Table4[[#This Row],[Performance_Deviation]] * 50 / 1000, 0)</f>
        <v>0</v>
      </c>
    </row>
    <row r="3621" spans="1:14" x14ac:dyDescent="0.3">
      <c r="A3621" s="6" t="s">
        <v>10</v>
      </c>
      <c r="B3621" s="5">
        <v>45318.791666666664</v>
      </c>
      <c r="C3621" s="6">
        <v>0</v>
      </c>
      <c r="D3621" s="6">
        <v>0</v>
      </c>
      <c r="E3621" s="6">
        <v>0</v>
      </c>
      <c r="F3621" s="6">
        <v>58.6236802771854</v>
      </c>
      <c r="G3621" s="6" t="str">
        <f t="shared" si="112"/>
        <v>OK</v>
      </c>
      <c r="H3621" s="6" t="str">
        <f t="shared" si="113"/>
        <v>ZERO</v>
      </c>
      <c r="I3621">
        <v>0</v>
      </c>
      <c r="J3621">
        <f>IFERROR(Table4[[#This Row],[energy_kwh]]/Table4[[#This Row],[expected_kwh]],0)</f>
        <v>0</v>
      </c>
      <c r="K3621" t="str">
        <f>IF(Table4[[#This Row],[Performance_Ratio]] &lt; 0.85, "Underperforming", "Performing")</f>
        <v>Underperforming</v>
      </c>
      <c r="L3621">
        <f>Table4[[#This Row],[energy_kwh]] - Table4[[#This Row],[expected_kwh]]</f>
        <v>0</v>
      </c>
      <c r="M3621" t="str">
        <f>IF(Table4[[#This Row],[Performance_Deviation]] &lt; 0, "Underperforming", "Outperforming")</f>
        <v>Outperforming</v>
      </c>
      <c r="N3621">
        <f>IF(Table4[[#This Row],[Performance_Ratio]] &lt; 0.85, Table4[[#This Row],[Performance_Deviation]] * 50 / 1000, 0)</f>
        <v>0</v>
      </c>
    </row>
    <row r="3622" spans="1:14" x14ac:dyDescent="0.3">
      <c r="A3622" s="4" t="s">
        <v>10</v>
      </c>
      <c r="B3622" s="3">
        <v>45318.833333333336</v>
      </c>
      <c r="C3622" s="4">
        <v>0</v>
      </c>
      <c r="D3622" s="4">
        <v>0</v>
      </c>
      <c r="E3622" s="4">
        <v>0</v>
      </c>
      <c r="F3622" s="4">
        <v>62.791464121247898</v>
      </c>
      <c r="G3622" s="4" t="str">
        <f t="shared" si="112"/>
        <v>OK</v>
      </c>
      <c r="H3622" s="4" t="str">
        <f t="shared" si="113"/>
        <v>ZERO</v>
      </c>
      <c r="I3622">
        <v>0</v>
      </c>
      <c r="J3622">
        <f>IFERROR(Table4[[#This Row],[energy_kwh]]/Table4[[#This Row],[expected_kwh]],0)</f>
        <v>0</v>
      </c>
      <c r="K3622" t="str">
        <f>IF(Table4[[#This Row],[Performance_Ratio]] &lt; 0.85, "Underperforming", "Performing")</f>
        <v>Underperforming</v>
      </c>
      <c r="L3622">
        <f>Table4[[#This Row],[energy_kwh]] - Table4[[#This Row],[expected_kwh]]</f>
        <v>0</v>
      </c>
      <c r="M3622" t="str">
        <f>IF(Table4[[#This Row],[Performance_Deviation]] &lt; 0, "Underperforming", "Outperforming")</f>
        <v>Outperforming</v>
      </c>
      <c r="N3622">
        <f>IF(Table4[[#This Row],[Performance_Ratio]] &lt; 0.85, Table4[[#This Row],[Performance_Deviation]] * 50 / 1000, 0)</f>
        <v>0</v>
      </c>
    </row>
    <row r="3623" spans="1:14" x14ac:dyDescent="0.3">
      <c r="A3623" s="6" t="s">
        <v>10</v>
      </c>
      <c r="B3623" s="5">
        <v>45318.875</v>
      </c>
      <c r="C3623" s="6">
        <v>0</v>
      </c>
      <c r="D3623" s="6">
        <v>0</v>
      </c>
      <c r="E3623" s="6">
        <v>0</v>
      </c>
      <c r="F3623" s="6">
        <v>32.523040525441502</v>
      </c>
      <c r="G3623" s="6" t="str">
        <f t="shared" si="112"/>
        <v>OK</v>
      </c>
      <c r="H3623" s="6" t="str">
        <f t="shared" si="113"/>
        <v>ZERO</v>
      </c>
      <c r="I3623">
        <v>0</v>
      </c>
      <c r="J3623">
        <f>IFERROR(Table4[[#This Row],[energy_kwh]]/Table4[[#This Row],[expected_kwh]],0)</f>
        <v>0</v>
      </c>
      <c r="K3623" t="str">
        <f>IF(Table4[[#This Row],[Performance_Ratio]] &lt; 0.85, "Underperforming", "Performing")</f>
        <v>Underperforming</v>
      </c>
      <c r="L3623">
        <f>Table4[[#This Row],[energy_kwh]] - Table4[[#This Row],[expected_kwh]]</f>
        <v>0</v>
      </c>
      <c r="M3623" t="str">
        <f>IF(Table4[[#This Row],[Performance_Deviation]] &lt; 0, "Underperforming", "Outperforming")</f>
        <v>Outperforming</v>
      </c>
      <c r="N3623">
        <f>IF(Table4[[#This Row],[Performance_Ratio]] &lt; 0.85, Table4[[#This Row],[Performance_Deviation]] * 50 / 1000, 0)</f>
        <v>0</v>
      </c>
    </row>
    <row r="3624" spans="1:14" x14ac:dyDescent="0.3">
      <c r="A3624" s="4" t="s">
        <v>10</v>
      </c>
      <c r="B3624" s="3">
        <v>45318.916666666664</v>
      </c>
      <c r="C3624" s="4">
        <v>0</v>
      </c>
      <c r="D3624" s="4">
        <v>0</v>
      </c>
      <c r="E3624" s="4">
        <v>0</v>
      </c>
      <c r="F3624" s="4">
        <v>76.348047173913201</v>
      </c>
      <c r="G3624" s="4" t="str">
        <f t="shared" si="112"/>
        <v>OK</v>
      </c>
      <c r="H3624" s="4" t="str">
        <f t="shared" si="113"/>
        <v>ZERO</v>
      </c>
      <c r="I3624">
        <v>0</v>
      </c>
      <c r="J3624">
        <f>IFERROR(Table4[[#This Row],[energy_kwh]]/Table4[[#This Row],[expected_kwh]],0)</f>
        <v>0</v>
      </c>
      <c r="K3624" t="str">
        <f>IF(Table4[[#This Row],[Performance_Ratio]] &lt; 0.85, "Underperforming", "Performing")</f>
        <v>Underperforming</v>
      </c>
      <c r="L3624">
        <f>Table4[[#This Row],[energy_kwh]] - Table4[[#This Row],[expected_kwh]]</f>
        <v>0</v>
      </c>
      <c r="M3624" t="str">
        <f>IF(Table4[[#This Row],[Performance_Deviation]] &lt; 0, "Underperforming", "Outperforming")</f>
        <v>Outperforming</v>
      </c>
      <c r="N3624">
        <f>IF(Table4[[#This Row],[Performance_Ratio]] &lt; 0.85, Table4[[#This Row],[Performance_Deviation]] * 50 / 1000, 0)</f>
        <v>0</v>
      </c>
    </row>
    <row r="3625" spans="1:14" x14ac:dyDescent="0.3">
      <c r="A3625" s="6" t="s">
        <v>10</v>
      </c>
      <c r="B3625" s="5">
        <v>45318.958333333336</v>
      </c>
      <c r="C3625" s="6">
        <v>0</v>
      </c>
      <c r="D3625" s="6">
        <v>0</v>
      </c>
      <c r="E3625" s="6">
        <v>0</v>
      </c>
      <c r="F3625" s="6">
        <v>35.479005668613503</v>
      </c>
      <c r="G3625" s="6" t="str">
        <f t="shared" si="112"/>
        <v>OK</v>
      </c>
      <c r="H3625" s="6" t="str">
        <f t="shared" si="113"/>
        <v>ZERO</v>
      </c>
      <c r="I3625">
        <v>0</v>
      </c>
      <c r="J3625">
        <f>IFERROR(Table4[[#This Row],[energy_kwh]]/Table4[[#This Row],[expected_kwh]],0)</f>
        <v>0</v>
      </c>
      <c r="K3625" t="str">
        <f>IF(Table4[[#This Row],[Performance_Ratio]] &lt; 0.85, "Underperforming", "Performing")</f>
        <v>Underperforming</v>
      </c>
      <c r="L3625">
        <f>Table4[[#This Row],[energy_kwh]] - Table4[[#This Row],[expected_kwh]]</f>
        <v>0</v>
      </c>
      <c r="M3625" t="str">
        <f>IF(Table4[[#This Row],[Performance_Deviation]] &lt; 0, "Underperforming", "Outperforming")</f>
        <v>Outperforming</v>
      </c>
      <c r="N3625">
        <f>IF(Table4[[#This Row],[Performance_Ratio]] &lt; 0.85, Table4[[#This Row],[Performance_Deviation]] * 50 / 1000, 0)</f>
        <v>0</v>
      </c>
    </row>
    <row r="3626" spans="1:14" x14ac:dyDescent="0.3">
      <c r="A3626" s="4" t="s">
        <v>10</v>
      </c>
      <c r="B3626" s="3">
        <v>45319</v>
      </c>
      <c r="C3626" s="4">
        <v>0</v>
      </c>
      <c r="D3626" s="4">
        <v>0</v>
      </c>
      <c r="E3626" s="4">
        <v>0</v>
      </c>
      <c r="F3626" s="4">
        <v>49.742278759781001</v>
      </c>
      <c r="G3626" s="4" t="str">
        <f t="shared" si="112"/>
        <v>OK</v>
      </c>
      <c r="H3626" s="4" t="str">
        <f t="shared" si="113"/>
        <v>ZERO</v>
      </c>
      <c r="I3626">
        <v>0</v>
      </c>
      <c r="J3626">
        <f>IFERROR(Table4[[#This Row],[energy_kwh]]/Table4[[#This Row],[expected_kwh]],0)</f>
        <v>0</v>
      </c>
      <c r="K3626" t="str">
        <f>IF(Table4[[#This Row],[Performance_Ratio]] &lt; 0.85, "Underperforming", "Performing")</f>
        <v>Underperforming</v>
      </c>
      <c r="L3626">
        <f>Table4[[#This Row],[energy_kwh]] - Table4[[#This Row],[expected_kwh]]</f>
        <v>0</v>
      </c>
      <c r="M3626" t="str">
        <f>IF(Table4[[#This Row],[Performance_Deviation]] &lt; 0, "Underperforming", "Outperforming")</f>
        <v>Outperforming</v>
      </c>
      <c r="N3626">
        <f>IF(Table4[[#This Row],[Performance_Ratio]] &lt; 0.85, Table4[[#This Row],[Performance_Deviation]] * 50 / 1000, 0)</f>
        <v>0</v>
      </c>
    </row>
    <row r="3627" spans="1:14" x14ac:dyDescent="0.3">
      <c r="A3627" s="6" t="s">
        <v>10</v>
      </c>
      <c r="B3627" s="5">
        <v>45319.041666666664</v>
      </c>
      <c r="C3627" s="6">
        <v>0</v>
      </c>
      <c r="D3627" s="6">
        <v>0</v>
      </c>
      <c r="E3627" s="6">
        <v>0</v>
      </c>
      <c r="F3627" s="6">
        <v>69.259550347252301</v>
      </c>
      <c r="G3627" s="6" t="str">
        <f t="shared" si="112"/>
        <v>OK</v>
      </c>
      <c r="H3627" s="6" t="str">
        <f t="shared" si="113"/>
        <v>ZERO</v>
      </c>
      <c r="I3627">
        <v>0</v>
      </c>
      <c r="J3627">
        <f>IFERROR(Table4[[#This Row],[energy_kwh]]/Table4[[#This Row],[expected_kwh]],0)</f>
        <v>0</v>
      </c>
      <c r="K3627" t="str">
        <f>IF(Table4[[#This Row],[Performance_Ratio]] &lt; 0.85, "Underperforming", "Performing")</f>
        <v>Underperforming</v>
      </c>
      <c r="L3627">
        <f>Table4[[#This Row],[energy_kwh]] - Table4[[#This Row],[expected_kwh]]</f>
        <v>0</v>
      </c>
      <c r="M3627" t="str">
        <f>IF(Table4[[#This Row],[Performance_Deviation]] &lt; 0, "Underperforming", "Outperforming")</f>
        <v>Outperforming</v>
      </c>
      <c r="N3627">
        <f>IF(Table4[[#This Row],[Performance_Ratio]] &lt; 0.85, Table4[[#This Row],[Performance_Deviation]] * 50 / 1000, 0)</f>
        <v>0</v>
      </c>
    </row>
    <row r="3628" spans="1:14" x14ac:dyDescent="0.3">
      <c r="A3628" s="4" t="s">
        <v>10</v>
      </c>
      <c r="B3628" s="3">
        <v>45319.083333333336</v>
      </c>
      <c r="C3628" s="4">
        <v>0</v>
      </c>
      <c r="D3628" s="4">
        <v>0</v>
      </c>
      <c r="E3628" s="4">
        <v>0</v>
      </c>
      <c r="F3628" s="4">
        <v>41.830916103173401</v>
      </c>
      <c r="G3628" s="4" t="str">
        <f t="shared" si="112"/>
        <v>OK</v>
      </c>
      <c r="H3628" s="4" t="str">
        <f t="shared" si="113"/>
        <v>ZERO</v>
      </c>
      <c r="I3628">
        <v>0</v>
      </c>
      <c r="J3628">
        <f>IFERROR(Table4[[#This Row],[energy_kwh]]/Table4[[#This Row],[expected_kwh]],0)</f>
        <v>0</v>
      </c>
      <c r="K3628" t="str">
        <f>IF(Table4[[#This Row],[Performance_Ratio]] &lt; 0.85, "Underperforming", "Performing")</f>
        <v>Underperforming</v>
      </c>
      <c r="L3628">
        <f>Table4[[#This Row],[energy_kwh]] - Table4[[#This Row],[expected_kwh]]</f>
        <v>0</v>
      </c>
      <c r="M3628" t="str">
        <f>IF(Table4[[#This Row],[Performance_Deviation]] &lt; 0, "Underperforming", "Outperforming")</f>
        <v>Outperforming</v>
      </c>
      <c r="N3628">
        <f>IF(Table4[[#This Row],[Performance_Ratio]] &lt; 0.85, Table4[[#This Row],[Performance_Deviation]] * 50 / 1000, 0)</f>
        <v>0</v>
      </c>
    </row>
    <row r="3629" spans="1:14" x14ac:dyDescent="0.3">
      <c r="A3629" s="6" t="s">
        <v>10</v>
      </c>
      <c r="B3629" s="5">
        <v>45319.125</v>
      </c>
      <c r="C3629" s="6">
        <v>0</v>
      </c>
      <c r="D3629" s="6">
        <v>0</v>
      </c>
      <c r="E3629" s="6">
        <v>0</v>
      </c>
      <c r="F3629" s="6">
        <v>76.017774151664199</v>
      </c>
      <c r="G3629" s="6" t="str">
        <f t="shared" si="112"/>
        <v>OK</v>
      </c>
      <c r="H3629" s="6" t="str">
        <f t="shared" si="113"/>
        <v>ZERO</v>
      </c>
      <c r="I3629">
        <v>0</v>
      </c>
      <c r="J3629">
        <f>IFERROR(Table4[[#This Row],[energy_kwh]]/Table4[[#This Row],[expected_kwh]],0)</f>
        <v>0</v>
      </c>
      <c r="K3629" t="str">
        <f>IF(Table4[[#This Row],[Performance_Ratio]] &lt; 0.85, "Underperforming", "Performing")</f>
        <v>Underperforming</v>
      </c>
      <c r="L3629">
        <f>Table4[[#This Row],[energy_kwh]] - Table4[[#This Row],[expected_kwh]]</f>
        <v>0</v>
      </c>
      <c r="M3629" t="str">
        <f>IF(Table4[[#This Row],[Performance_Deviation]] &lt; 0, "Underperforming", "Outperforming")</f>
        <v>Outperforming</v>
      </c>
      <c r="N3629">
        <f>IF(Table4[[#This Row],[Performance_Ratio]] &lt; 0.85, Table4[[#This Row],[Performance_Deviation]] * 50 / 1000, 0)</f>
        <v>0</v>
      </c>
    </row>
    <row r="3630" spans="1:14" x14ac:dyDescent="0.3">
      <c r="A3630" s="4" t="s">
        <v>10</v>
      </c>
      <c r="B3630" s="3">
        <v>45319.166666666664</v>
      </c>
      <c r="C3630" s="4">
        <v>0</v>
      </c>
      <c r="D3630" s="4">
        <v>0</v>
      </c>
      <c r="E3630" s="4">
        <v>0</v>
      </c>
      <c r="F3630" s="4">
        <v>80.086669797586794</v>
      </c>
      <c r="G3630" s="4" t="str">
        <f t="shared" si="112"/>
        <v>OK</v>
      </c>
      <c r="H3630" s="4" t="str">
        <f t="shared" si="113"/>
        <v>ZERO</v>
      </c>
      <c r="I3630">
        <v>0</v>
      </c>
      <c r="J3630">
        <f>IFERROR(Table4[[#This Row],[energy_kwh]]/Table4[[#This Row],[expected_kwh]],0)</f>
        <v>0</v>
      </c>
      <c r="K3630" t="str">
        <f>IF(Table4[[#This Row],[Performance_Ratio]] &lt; 0.85, "Underperforming", "Performing")</f>
        <v>Underperforming</v>
      </c>
      <c r="L3630">
        <f>Table4[[#This Row],[energy_kwh]] - Table4[[#This Row],[expected_kwh]]</f>
        <v>0</v>
      </c>
      <c r="M3630" t="str">
        <f>IF(Table4[[#This Row],[Performance_Deviation]] &lt; 0, "Underperforming", "Outperforming")</f>
        <v>Outperforming</v>
      </c>
      <c r="N3630">
        <f>IF(Table4[[#This Row],[Performance_Ratio]] &lt; 0.85, Table4[[#This Row],[Performance_Deviation]] * 50 / 1000, 0)</f>
        <v>0</v>
      </c>
    </row>
    <row r="3631" spans="1:14" x14ac:dyDescent="0.3">
      <c r="A3631" s="6" t="s">
        <v>10</v>
      </c>
      <c r="B3631" s="5">
        <v>45319.208333333336</v>
      </c>
      <c r="C3631" s="6">
        <v>0</v>
      </c>
      <c r="D3631" s="6">
        <v>0</v>
      </c>
      <c r="E3631" s="6">
        <v>0</v>
      </c>
      <c r="F3631" s="6">
        <v>78.793769663491105</v>
      </c>
      <c r="G3631" s="6" t="str">
        <f t="shared" si="112"/>
        <v>OK</v>
      </c>
      <c r="H3631" s="6" t="str">
        <f t="shared" si="113"/>
        <v>ZERO</v>
      </c>
      <c r="I3631">
        <v>0</v>
      </c>
      <c r="J3631">
        <f>IFERROR(Table4[[#This Row],[energy_kwh]]/Table4[[#This Row],[expected_kwh]],0)</f>
        <v>0</v>
      </c>
      <c r="K3631" t="str">
        <f>IF(Table4[[#This Row],[Performance_Ratio]] &lt; 0.85, "Underperforming", "Performing")</f>
        <v>Underperforming</v>
      </c>
      <c r="L3631">
        <f>Table4[[#This Row],[energy_kwh]] - Table4[[#This Row],[expected_kwh]]</f>
        <v>0</v>
      </c>
      <c r="M3631" t="str">
        <f>IF(Table4[[#This Row],[Performance_Deviation]] &lt; 0, "Underperforming", "Outperforming")</f>
        <v>Outperforming</v>
      </c>
      <c r="N3631">
        <f>IF(Table4[[#This Row],[Performance_Ratio]] &lt; 0.85, Table4[[#This Row],[Performance_Deviation]] * 50 / 1000, 0)</f>
        <v>0</v>
      </c>
    </row>
    <row r="3632" spans="1:14" x14ac:dyDescent="0.3">
      <c r="A3632" s="4" t="s">
        <v>10</v>
      </c>
      <c r="B3632" s="3">
        <v>45319.25</v>
      </c>
      <c r="C3632" s="4">
        <v>0</v>
      </c>
      <c r="D3632" s="4">
        <v>0</v>
      </c>
      <c r="E3632" s="4">
        <v>0</v>
      </c>
      <c r="F3632" s="4">
        <v>75.177312897969003</v>
      </c>
      <c r="G3632" s="4" t="str">
        <f t="shared" si="112"/>
        <v>OK</v>
      </c>
      <c r="H3632" s="4" t="str">
        <f t="shared" si="113"/>
        <v>ZERO</v>
      </c>
      <c r="I3632">
        <v>0</v>
      </c>
      <c r="J3632">
        <f>IFERROR(Table4[[#This Row],[energy_kwh]]/Table4[[#This Row],[expected_kwh]],0)</f>
        <v>0</v>
      </c>
      <c r="K3632" t="str">
        <f>IF(Table4[[#This Row],[Performance_Ratio]] &lt; 0.85, "Underperforming", "Performing")</f>
        <v>Underperforming</v>
      </c>
      <c r="L3632">
        <f>Table4[[#This Row],[energy_kwh]] - Table4[[#This Row],[expected_kwh]]</f>
        <v>0</v>
      </c>
      <c r="M3632" t="str">
        <f>IF(Table4[[#This Row],[Performance_Deviation]] &lt; 0, "Underperforming", "Outperforming")</f>
        <v>Outperforming</v>
      </c>
      <c r="N3632">
        <f>IF(Table4[[#This Row],[Performance_Ratio]] &lt; 0.85, Table4[[#This Row],[Performance_Deviation]] * 50 / 1000, 0)</f>
        <v>0</v>
      </c>
    </row>
    <row r="3633" spans="1:14" x14ac:dyDescent="0.3">
      <c r="A3633" s="6" t="s">
        <v>10</v>
      </c>
      <c r="B3633" s="5">
        <v>45319.291666666664</v>
      </c>
      <c r="C3633" s="6">
        <v>320.28885091439901</v>
      </c>
      <c r="D3633" s="6">
        <v>303.07036110227602</v>
      </c>
      <c r="E3633" s="6">
        <v>303.07036110227602</v>
      </c>
      <c r="F3633" s="6">
        <v>85.372757789004098</v>
      </c>
      <c r="G3633" s="6" t="str">
        <f t="shared" si="112"/>
        <v>OK</v>
      </c>
      <c r="H3633" s="6" t="str">
        <f t="shared" si="113"/>
        <v>NON-ZERO</v>
      </c>
      <c r="I3633">
        <v>310.58285412302399</v>
      </c>
      <c r="J3633">
        <f>IFERROR(Table4[[#This Row],[energy_kwh]]/Table4[[#This Row],[expected_kwh]],0)</f>
        <v>0.97581162990481052</v>
      </c>
      <c r="K3633" t="str">
        <f>IF(Table4[[#This Row],[Performance_Ratio]] &lt; 0.85, "Underperforming", "Performing")</f>
        <v>Performing</v>
      </c>
      <c r="L3633">
        <f>Table4[[#This Row],[energy_kwh]] - Table4[[#This Row],[expected_kwh]]</f>
        <v>-7.5124930207479679</v>
      </c>
      <c r="M3633" t="str">
        <f>IF(Table4[[#This Row],[Performance_Deviation]] &lt; 0, "Underperforming", "Outperforming")</f>
        <v>Underperforming</v>
      </c>
      <c r="N3633">
        <f>IF(Table4[[#This Row],[Performance_Ratio]] &lt; 0.85, Table4[[#This Row],[Performance_Deviation]] * 50 / 1000, 0)</f>
        <v>0</v>
      </c>
    </row>
    <row r="3634" spans="1:14" x14ac:dyDescent="0.3">
      <c r="A3634" s="4" t="s">
        <v>10</v>
      </c>
      <c r="B3634" s="3">
        <v>45319.333333333336</v>
      </c>
      <c r="C3634" s="4">
        <v>589.10683857877302</v>
      </c>
      <c r="D3634" s="4">
        <v>557.43689418526299</v>
      </c>
      <c r="E3634" s="4">
        <v>557.43689418526299</v>
      </c>
      <c r="F3634" s="4">
        <v>52.6468498621498</v>
      </c>
      <c r="G3634" s="4" t="str">
        <f t="shared" si="112"/>
        <v>OK</v>
      </c>
      <c r="H3634" s="4" t="str">
        <f t="shared" si="113"/>
        <v>NON-ZERO</v>
      </c>
      <c r="I3634">
        <v>600</v>
      </c>
      <c r="J3634">
        <f>IFERROR(Table4[[#This Row],[energy_kwh]]/Table4[[#This Row],[expected_kwh]],0)</f>
        <v>0.92906149030877161</v>
      </c>
      <c r="K3634" t="str">
        <f>IF(Table4[[#This Row],[Performance_Ratio]] &lt; 0.85, "Underperforming", "Performing")</f>
        <v>Performing</v>
      </c>
      <c r="L3634">
        <f>Table4[[#This Row],[energy_kwh]] - Table4[[#This Row],[expected_kwh]]</f>
        <v>-42.563105814737014</v>
      </c>
      <c r="M3634" t="str">
        <f>IF(Table4[[#This Row],[Performance_Deviation]] &lt; 0, "Underperforming", "Outperforming")</f>
        <v>Underperforming</v>
      </c>
      <c r="N3634">
        <f>IF(Table4[[#This Row],[Performance_Ratio]] &lt; 0.85, Table4[[#This Row],[Performance_Deviation]] * 50 / 1000, 0)</f>
        <v>0</v>
      </c>
    </row>
    <row r="3635" spans="1:14" x14ac:dyDescent="0.3">
      <c r="A3635" s="6" t="s">
        <v>10</v>
      </c>
      <c r="B3635" s="5">
        <v>45319.375</v>
      </c>
      <c r="C3635" s="6">
        <v>694.57657564314604</v>
      </c>
      <c r="D3635" s="6">
        <v>657.23665682515696</v>
      </c>
      <c r="E3635" s="6">
        <v>657.23665682515696</v>
      </c>
      <c r="F3635" s="6">
        <v>80.412733344489695</v>
      </c>
      <c r="G3635" s="6" t="str">
        <f t="shared" si="112"/>
        <v>OK</v>
      </c>
      <c r="H3635" s="6" t="str">
        <f t="shared" si="113"/>
        <v>NON-ZERO</v>
      </c>
      <c r="I3635">
        <v>848.52813742385695</v>
      </c>
      <c r="J3635">
        <f>IFERROR(Table4[[#This Row],[energy_kwh]]/Table4[[#This Row],[expected_kwh]],0)</f>
        <v>0.77456082814240723</v>
      </c>
      <c r="K3635" t="str">
        <f>IF(Table4[[#This Row],[Performance_Ratio]] &lt; 0.85, "Underperforming", "Performing")</f>
        <v>Underperforming</v>
      </c>
      <c r="L3635">
        <f>Table4[[#This Row],[energy_kwh]] - Table4[[#This Row],[expected_kwh]]</f>
        <v>-191.29148059869999</v>
      </c>
      <c r="M3635" t="str">
        <f>IF(Table4[[#This Row],[Performance_Deviation]] &lt; 0, "Underperforming", "Outperforming")</f>
        <v>Underperforming</v>
      </c>
      <c r="N3635">
        <f>IF(Table4[[#This Row],[Performance_Ratio]] &lt; 0.85, Table4[[#This Row],[Performance_Deviation]] * 50 / 1000, 0)</f>
        <v>-9.5645740299350006</v>
      </c>
    </row>
    <row r="3636" spans="1:14" x14ac:dyDescent="0.3">
      <c r="A3636" s="4" t="s">
        <v>10</v>
      </c>
      <c r="B3636" s="3">
        <v>45319.416666666664</v>
      </c>
      <c r="C3636" s="4">
        <v>967.34494993929002</v>
      </c>
      <c r="D3636" s="4">
        <v>915.34120670006803</v>
      </c>
      <c r="E3636" s="4">
        <v>915.34120670006803</v>
      </c>
      <c r="F3636" s="4">
        <v>85.716746984872998</v>
      </c>
      <c r="G3636" s="4" t="str">
        <f t="shared" si="112"/>
        <v>OK</v>
      </c>
      <c r="H3636" s="4" t="str">
        <f t="shared" si="113"/>
        <v>NON-ZERO</v>
      </c>
      <c r="I3636">
        <v>1039.23048454132</v>
      </c>
      <c r="J3636">
        <f>IFERROR(Table4[[#This Row],[energy_kwh]]/Table4[[#This Row],[expected_kwh]],0)</f>
        <v>0.88078748681440733</v>
      </c>
      <c r="K3636" t="str">
        <f>IF(Table4[[#This Row],[Performance_Ratio]] &lt; 0.85, "Underperforming", "Performing")</f>
        <v>Performing</v>
      </c>
      <c r="L3636">
        <f>Table4[[#This Row],[energy_kwh]] - Table4[[#This Row],[expected_kwh]]</f>
        <v>-123.88927784125201</v>
      </c>
      <c r="M3636" t="str">
        <f>IF(Table4[[#This Row],[Performance_Deviation]] &lt; 0, "Underperforming", "Outperforming")</f>
        <v>Underperforming</v>
      </c>
      <c r="N3636">
        <f>IF(Table4[[#This Row],[Performance_Ratio]] &lt; 0.85, Table4[[#This Row],[Performance_Deviation]] * 50 / 1000, 0)</f>
        <v>0</v>
      </c>
    </row>
    <row r="3637" spans="1:14" x14ac:dyDescent="0.3">
      <c r="A3637" s="6" t="s">
        <v>10</v>
      </c>
      <c r="B3637" s="5">
        <v>45319.458333333336</v>
      </c>
      <c r="C3637" s="6">
        <v>1240.80726585146</v>
      </c>
      <c r="D3637" s="6">
        <v>1174.1023924071401</v>
      </c>
      <c r="E3637" s="6">
        <v>1174.1023924071401</v>
      </c>
      <c r="F3637" s="6">
        <v>52.126271285986299</v>
      </c>
      <c r="G3637" s="6" t="str">
        <f t="shared" si="112"/>
        <v>OK</v>
      </c>
      <c r="H3637" s="6" t="str">
        <f t="shared" si="113"/>
        <v>NON-ZERO</v>
      </c>
      <c r="I3637">
        <v>1159.1109915468801</v>
      </c>
      <c r="J3637">
        <f>IFERROR(Table4[[#This Row],[energy_kwh]]/Table4[[#This Row],[expected_kwh]],0)</f>
        <v>1.0129335335180054</v>
      </c>
      <c r="K3637" t="str">
        <f>IF(Table4[[#This Row],[Performance_Ratio]] &lt; 0.85, "Underperforming", "Performing")</f>
        <v>Performing</v>
      </c>
      <c r="L3637">
        <f>Table4[[#This Row],[energy_kwh]] - Table4[[#This Row],[expected_kwh]]</f>
        <v>14.991400860260001</v>
      </c>
      <c r="M3637" t="str">
        <f>IF(Table4[[#This Row],[Performance_Deviation]] &lt; 0, "Underperforming", "Outperforming")</f>
        <v>Outperforming</v>
      </c>
      <c r="N3637">
        <f>IF(Table4[[#This Row],[Performance_Ratio]] &lt; 0.85, Table4[[#This Row],[Performance_Deviation]] * 50 / 1000, 0)</f>
        <v>0</v>
      </c>
    </row>
    <row r="3638" spans="1:14" x14ac:dyDescent="0.3">
      <c r="A3638" s="4" t="s">
        <v>10</v>
      </c>
      <c r="B3638" s="3">
        <v>45319.5</v>
      </c>
      <c r="C3638" s="4">
        <v>1174.7756529726</v>
      </c>
      <c r="D3638" s="4">
        <v>1111.62058980231</v>
      </c>
      <c r="E3638" s="4">
        <v>1111.62058980231</v>
      </c>
      <c r="F3638" s="4">
        <v>21.954341448919401</v>
      </c>
      <c r="G3638" s="4" t="str">
        <f t="shared" si="112"/>
        <v>OK</v>
      </c>
      <c r="H3638" s="4" t="str">
        <f t="shared" si="113"/>
        <v>NON-ZERO</v>
      </c>
      <c r="I3638">
        <v>1200</v>
      </c>
      <c r="J3638">
        <f>IFERROR(Table4[[#This Row],[energy_kwh]]/Table4[[#This Row],[expected_kwh]],0)</f>
        <v>0.92635049150192494</v>
      </c>
      <c r="K3638" t="str">
        <f>IF(Table4[[#This Row],[Performance_Ratio]] &lt; 0.85, "Underperforming", "Performing")</f>
        <v>Performing</v>
      </c>
      <c r="L3638">
        <f>Table4[[#This Row],[energy_kwh]] - Table4[[#This Row],[expected_kwh]]</f>
        <v>-88.379410197690049</v>
      </c>
      <c r="M3638" t="str">
        <f>IF(Table4[[#This Row],[Performance_Deviation]] &lt; 0, "Underperforming", "Outperforming")</f>
        <v>Underperforming</v>
      </c>
      <c r="N3638">
        <f>IF(Table4[[#This Row],[Performance_Ratio]] &lt; 0.85, Table4[[#This Row],[Performance_Deviation]] * 50 / 1000, 0)</f>
        <v>0</v>
      </c>
    </row>
    <row r="3639" spans="1:14" x14ac:dyDescent="0.3">
      <c r="A3639" s="6" t="s">
        <v>10</v>
      </c>
      <c r="B3639" s="5">
        <v>45319.541666666664</v>
      </c>
      <c r="C3639" s="6">
        <v>1098.67433622317</v>
      </c>
      <c r="D3639" s="6">
        <v>1039.6104230988401</v>
      </c>
      <c r="E3639" s="6">
        <v>1039.6104230988401</v>
      </c>
      <c r="F3639" s="6">
        <v>82.583746801082199</v>
      </c>
      <c r="G3639" s="6" t="str">
        <f t="shared" si="112"/>
        <v>OK</v>
      </c>
      <c r="H3639" s="6" t="str">
        <f t="shared" si="113"/>
        <v>NON-ZERO</v>
      </c>
      <c r="I3639">
        <v>1159.1109915468801</v>
      </c>
      <c r="J3639">
        <f>IFERROR(Table4[[#This Row],[energy_kwh]]/Table4[[#This Row],[expected_kwh]],0)</f>
        <v>0.8969032566168994</v>
      </c>
      <c r="K3639" t="str">
        <f>IF(Table4[[#This Row],[Performance_Ratio]] &lt; 0.85, "Underperforming", "Performing")</f>
        <v>Performing</v>
      </c>
      <c r="L3639">
        <f>Table4[[#This Row],[energy_kwh]] - Table4[[#This Row],[expected_kwh]]</f>
        <v>-119.50056844803999</v>
      </c>
      <c r="M3639" t="str">
        <f>IF(Table4[[#This Row],[Performance_Deviation]] &lt; 0, "Underperforming", "Outperforming")</f>
        <v>Underperforming</v>
      </c>
      <c r="N3639">
        <f>IF(Table4[[#This Row],[Performance_Ratio]] &lt; 0.85, Table4[[#This Row],[Performance_Deviation]] * 50 / 1000, 0)</f>
        <v>0</v>
      </c>
    </row>
    <row r="3640" spans="1:14" x14ac:dyDescent="0.3">
      <c r="A3640" s="4" t="s">
        <v>10</v>
      </c>
      <c r="B3640" s="3">
        <v>45319.583333333336</v>
      </c>
      <c r="C3640" s="4">
        <v>968.85400765085205</v>
      </c>
      <c r="D3640" s="4">
        <v>916.76913859423598</v>
      </c>
      <c r="E3640" s="4">
        <v>916.76913859423598</v>
      </c>
      <c r="F3640" s="4">
        <v>41.6343762813596</v>
      </c>
      <c r="G3640" s="4" t="str">
        <f t="shared" si="112"/>
        <v>OK</v>
      </c>
      <c r="H3640" s="4" t="str">
        <f t="shared" si="113"/>
        <v>NON-ZERO</v>
      </c>
      <c r="I3640">
        <v>1039.23048454132</v>
      </c>
      <c r="J3640">
        <f>IFERROR(Table4[[#This Row],[energy_kwh]]/Table4[[#This Row],[expected_kwh]],0)</f>
        <v>0.88216151492021122</v>
      </c>
      <c r="K3640" t="str">
        <f>IF(Table4[[#This Row],[Performance_Ratio]] &lt; 0.85, "Underperforming", "Performing")</f>
        <v>Performing</v>
      </c>
      <c r="L3640">
        <f>Table4[[#This Row],[energy_kwh]] - Table4[[#This Row],[expected_kwh]]</f>
        <v>-122.46134594708406</v>
      </c>
      <c r="M3640" t="str">
        <f>IF(Table4[[#This Row],[Performance_Deviation]] &lt; 0, "Underperforming", "Outperforming")</f>
        <v>Underperforming</v>
      </c>
      <c r="N3640">
        <f>IF(Table4[[#This Row],[Performance_Ratio]] &lt; 0.85, Table4[[#This Row],[Performance_Deviation]] * 50 / 1000, 0)</f>
        <v>0</v>
      </c>
    </row>
    <row r="3641" spans="1:14" x14ac:dyDescent="0.3">
      <c r="A3641" s="6" t="s">
        <v>10</v>
      </c>
      <c r="B3641" s="5">
        <v>45319.625</v>
      </c>
      <c r="C3641" s="6">
        <v>902.245707317648</v>
      </c>
      <c r="D3641" s="6">
        <v>853.741650822618</v>
      </c>
      <c r="E3641" s="6">
        <v>853.741650822618</v>
      </c>
      <c r="F3641" s="6">
        <v>80.693437756511202</v>
      </c>
      <c r="G3641" s="6" t="str">
        <f t="shared" si="112"/>
        <v>OK</v>
      </c>
      <c r="H3641" s="6" t="str">
        <f t="shared" si="113"/>
        <v>NON-ZERO</v>
      </c>
      <c r="I3641">
        <v>848.52813742385695</v>
      </c>
      <c r="J3641">
        <f>IFERROR(Table4[[#This Row],[energy_kwh]]/Table4[[#This Row],[expected_kwh]],0)</f>
        <v>1.0061441844634516</v>
      </c>
      <c r="K3641" t="str">
        <f>IF(Table4[[#This Row],[Performance_Ratio]] &lt; 0.85, "Underperforming", "Performing")</f>
        <v>Performing</v>
      </c>
      <c r="L3641">
        <f>Table4[[#This Row],[energy_kwh]] - Table4[[#This Row],[expected_kwh]]</f>
        <v>5.2135133987610516</v>
      </c>
      <c r="M3641" t="str">
        <f>IF(Table4[[#This Row],[Performance_Deviation]] &lt; 0, "Underperforming", "Outperforming")</f>
        <v>Outperforming</v>
      </c>
      <c r="N3641">
        <f>IF(Table4[[#This Row],[Performance_Ratio]] &lt; 0.85, Table4[[#This Row],[Performance_Deviation]] * 50 / 1000, 0)</f>
        <v>0</v>
      </c>
    </row>
    <row r="3642" spans="1:14" x14ac:dyDescent="0.3">
      <c r="A3642" s="4" t="s">
        <v>10</v>
      </c>
      <c r="B3642" s="3">
        <v>45319.666666666664</v>
      </c>
      <c r="C3642" s="4">
        <v>549.750010337802</v>
      </c>
      <c r="D3642" s="4">
        <v>520.19585968537899</v>
      </c>
      <c r="E3642" s="4">
        <v>520.19585968537899</v>
      </c>
      <c r="F3642" s="4">
        <v>37.778113168901001</v>
      </c>
      <c r="G3642" s="4" t="str">
        <f t="shared" si="112"/>
        <v>OK</v>
      </c>
      <c r="H3642" s="4" t="str">
        <f t="shared" si="113"/>
        <v>NON-ZERO</v>
      </c>
      <c r="I3642">
        <v>600</v>
      </c>
      <c r="J3642">
        <f>IFERROR(Table4[[#This Row],[energy_kwh]]/Table4[[#This Row],[expected_kwh]],0)</f>
        <v>0.86699309947563163</v>
      </c>
      <c r="K3642" t="str">
        <f>IF(Table4[[#This Row],[Performance_Ratio]] &lt; 0.85, "Underperforming", "Performing")</f>
        <v>Performing</v>
      </c>
      <c r="L3642">
        <f>Table4[[#This Row],[energy_kwh]] - Table4[[#This Row],[expected_kwh]]</f>
        <v>-79.804140314621009</v>
      </c>
      <c r="M3642" t="str">
        <f>IF(Table4[[#This Row],[Performance_Deviation]] &lt; 0, "Underperforming", "Outperforming")</f>
        <v>Underperforming</v>
      </c>
      <c r="N3642">
        <f>IF(Table4[[#This Row],[Performance_Ratio]] &lt; 0.85, Table4[[#This Row],[Performance_Deviation]] * 50 / 1000, 0)</f>
        <v>0</v>
      </c>
    </row>
    <row r="3643" spans="1:14" x14ac:dyDescent="0.3">
      <c r="A3643" s="6" t="s">
        <v>10</v>
      </c>
      <c r="B3643" s="5">
        <v>45319.708333333336</v>
      </c>
      <c r="C3643" s="6">
        <v>306.07990064761799</v>
      </c>
      <c r="D3643" s="6">
        <v>289.62527340739302</v>
      </c>
      <c r="E3643" s="6">
        <v>289.62527340739302</v>
      </c>
      <c r="F3643" s="6">
        <v>74.682746269615706</v>
      </c>
      <c r="G3643" s="6" t="str">
        <f t="shared" si="112"/>
        <v>OK</v>
      </c>
      <c r="H3643" s="6" t="str">
        <f t="shared" si="113"/>
        <v>NON-ZERO</v>
      </c>
      <c r="I3643">
        <v>310.58285412302502</v>
      </c>
      <c r="J3643">
        <f>IFERROR(Table4[[#This Row],[energy_kwh]]/Table4[[#This Row],[expected_kwh]],0)</f>
        <v>0.93252177176744444</v>
      </c>
      <c r="K3643" t="str">
        <f>IF(Table4[[#This Row],[Performance_Ratio]] &lt; 0.85, "Underperforming", "Performing")</f>
        <v>Performing</v>
      </c>
      <c r="L3643">
        <f>Table4[[#This Row],[energy_kwh]] - Table4[[#This Row],[expected_kwh]]</f>
        <v>-20.957580715631991</v>
      </c>
      <c r="M3643" t="str">
        <f>IF(Table4[[#This Row],[Performance_Deviation]] &lt; 0, "Underperforming", "Outperforming")</f>
        <v>Underperforming</v>
      </c>
      <c r="N3643">
        <f>IF(Table4[[#This Row],[Performance_Ratio]] &lt; 0.85, Table4[[#This Row],[Performance_Deviation]] * 50 / 1000, 0)</f>
        <v>0</v>
      </c>
    </row>
    <row r="3644" spans="1:14" x14ac:dyDescent="0.3">
      <c r="A3644" s="4" t="s">
        <v>10</v>
      </c>
      <c r="B3644" s="3">
        <v>45319.75</v>
      </c>
      <c r="C3644" s="7">
        <v>1.3331639926689301E-13</v>
      </c>
      <c r="D3644" s="7">
        <v>1.2614940904537101E-13</v>
      </c>
      <c r="E3644" s="7">
        <v>1.2614940904537101E-13</v>
      </c>
      <c r="F3644" s="4">
        <v>48.227797047369997</v>
      </c>
      <c r="G3644" s="4" t="str">
        <f t="shared" si="112"/>
        <v>OK</v>
      </c>
      <c r="H3644" s="4" t="str">
        <f t="shared" si="113"/>
        <v>NON-ZERO</v>
      </c>
      <c r="I3644" s="2">
        <v>1.46957615897682E-13</v>
      </c>
      <c r="J3644">
        <f>IFERROR(Table4[[#This Row],[energy_kwh]]/Table4[[#This Row],[expected_kwh]],0)</f>
        <v>0.85840674724337851</v>
      </c>
      <c r="K3644" t="str">
        <f>IF(Table4[[#This Row],[Performance_Ratio]] &lt; 0.85, "Underperforming", "Performing")</f>
        <v>Performing</v>
      </c>
      <c r="L3644">
        <f>Table4[[#This Row],[energy_kwh]] - Table4[[#This Row],[expected_kwh]]</f>
        <v>-2.0808206852310991E-14</v>
      </c>
      <c r="M3644" t="str">
        <f>IF(Table4[[#This Row],[Performance_Deviation]] &lt; 0, "Underperforming", "Outperforming")</f>
        <v>Underperforming</v>
      </c>
      <c r="N3644">
        <f>IF(Table4[[#This Row],[Performance_Ratio]] &lt; 0.85, Table4[[#This Row],[Performance_Deviation]] * 50 / 1000, 0)</f>
        <v>0</v>
      </c>
    </row>
    <row r="3645" spans="1:14" x14ac:dyDescent="0.3">
      <c r="A3645" s="6" t="s">
        <v>10</v>
      </c>
      <c r="B3645" s="5">
        <v>45319.791666666664</v>
      </c>
      <c r="C3645" s="6">
        <v>0</v>
      </c>
      <c r="D3645" s="6">
        <v>0</v>
      </c>
      <c r="E3645" s="6">
        <v>0</v>
      </c>
      <c r="F3645" s="6">
        <v>56.742060659811798</v>
      </c>
      <c r="G3645" s="6" t="str">
        <f t="shared" si="112"/>
        <v>OK</v>
      </c>
      <c r="H3645" s="6" t="str">
        <f t="shared" si="113"/>
        <v>ZERO</v>
      </c>
      <c r="I3645">
        <v>0</v>
      </c>
      <c r="J3645">
        <f>IFERROR(Table4[[#This Row],[energy_kwh]]/Table4[[#This Row],[expected_kwh]],0)</f>
        <v>0</v>
      </c>
      <c r="K3645" t="str">
        <f>IF(Table4[[#This Row],[Performance_Ratio]] &lt; 0.85, "Underperforming", "Performing")</f>
        <v>Underperforming</v>
      </c>
      <c r="L3645">
        <f>Table4[[#This Row],[energy_kwh]] - Table4[[#This Row],[expected_kwh]]</f>
        <v>0</v>
      </c>
      <c r="M3645" t="str">
        <f>IF(Table4[[#This Row],[Performance_Deviation]] &lt; 0, "Underperforming", "Outperforming")</f>
        <v>Outperforming</v>
      </c>
      <c r="N3645">
        <f>IF(Table4[[#This Row],[Performance_Ratio]] &lt; 0.85, Table4[[#This Row],[Performance_Deviation]] * 50 / 1000, 0)</f>
        <v>0</v>
      </c>
    </row>
    <row r="3646" spans="1:14" x14ac:dyDescent="0.3">
      <c r="A3646" s="4" t="s">
        <v>10</v>
      </c>
      <c r="B3646" s="3">
        <v>45319.833333333336</v>
      </c>
      <c r="C3646" s="4">
        <v>0</v>
      </c>
      <c r="D3646" s="4">
        <v>0</v>
      </c>
      <c r="E3646" s="4">
        <v>0</v>
      </c>
      <c r="F3646" s="4">
        <v>22.414731656550199</v>
      </c>
      <c r="G3646" s="4" t="str">
        <f t="shared" si="112"/>
        <v>OK</v>
      </c>
      <c r="H3646" s="4" t="str">
        <f t="shared" si="113"/>
        <v>ZERO</v>
      </c>
      <c r="I3646">
        <v>0</v>
      </c>
      <c r="J3646">
        <f>IFERROR(Table4[[#This Row],[energy_kwh]]/Table4[[#This Row],[expected_kwh]],0)</f>
        <v>0</v>
      </c>
      <c r="K3646" t="str">
        <f>IF(Table4[[#This Row],[Performance_Ratio]] &lt; 0.85, "Underperforming", "Performing")</f>
        <v>Underperforming</v>
      </c>
      <c r="L3646">
        <f>Table4[[#This Row],[energy_kwh]] - Table4[[#This Row],[expected_kwh]]</f>
        <v>0</v>
      </c>
      <c r="M3646" t="str">
        <f>IF(Table4[[#This Row],[Performance_Deviation]] &lt; 0, "Underperforming", "Outperforming")</f>
        <v>Outperforming</v>
      </c>
      <c r="N3646">
        <f>IF(Table4[[#This Row],[Performance_Ratio]] &lt; 0.85, Table4[[#This Row],[Performance_Deviation]] * 50 / 1000, 0)</f>
        <v>0</v>
      </c>
    </row>
    <row r="3647" spans="1:14" x14ac:dyDescent="0.3">
      <c r="A3647" s="6" t="s">
        <v>10</v>
      </c>
      <c r="B3647" s="5">
        <v>45319.875</v>
      </c>
      <c r="C3647" s="6">
        <v>0</v>
      </c>
      <c r="D3647" s="6">
        <v>0</v>
      </c>
      <c r="E3647" s="6">
        <v>0</v>
      </c>
      <c r="F3647" s="6">
        <v>66.226724269926805</v>
      </c>
      <c r="G3647" s="6" t="str">
        <f t="shared" si="112"/>
        <v>OK</v>
      </c>
      <c r="H3647" s="6" t="str">
        <f t="shared" si="113"/>
        <v>ZERO</v>
      </c>
      <c r="I3647">
        <v>0</v>
      </c>
      <c r="J3647">
        <f>IFERROR(Table4[[#This Row],[energy_kwh]]/Table4[[#This Row],[expected_kwh]],0)</f>
        <v>0</v>
      </c>
      <c r="K3647" t="str">
        <f>IF(Table4[[#This Row],[Performance_Ratio]] &lt; 0.85, "Underperforming", "Performing")</f>
        <v>Underperforming</v>
      </c>
      <c r="L3647">
        <f>Table4[[#This Row],[energy_kwh]] - Table4[[#This Row],[expected_kwh]]</f>
        <v>0</v>
      </c>
      <c r="M3647" t="str">
        <f>IF(Table4[[#This Row],[Performance_Deviation]] &lt; 0, "Underperforming", "Outperforming")</f>
        <v>Outperforming</v>
      </c>
      <c r="N3647">
        <f>IF(Table4[[#This Row],[Performance_Ratio]] &lt; 0.85, Table4[[#This Row],[Performance_Deviation]] * 50 / 1000, 0)</f>
        <v>0</v>
      </c>
    </row>
    <row r="3648" spans="1:14" x14ac:dyDescent="0.3">
      <c r="A3648" s="4" t="s">
        <v>10</v>
      </c>
      <c r="B3648" s="3">
        <v>45319.916666666664</v>
      </c>
      <c r="C3648" s="4">
        <v>0</v>
      </c>
      <c r="D3648" s="4">
        <v>0</v>
      </c>
      <c r="E3648" s="4">
        <v>0</v>
      </c>
      <c r="F3648" s="4">
        <v>80.981522308536398</v>
      </c>
      <c r="G3648" s="4" t="str">
        <f t="shared" si="112"/>
        <v>OK</v>
      </c>
      <c r="H3648" s="4" t="str">
        <f t="shared" si="113"/>
        <v>ZERO</v>
      </c>
      <c r="I3648">
        <v>0</v>
      </c>
      <c r="J3648">
        <f>IFERROR(Table4[[#This Row],[energy_kwh]]/Table4[[#This Row],[expected_kwh]],0)</f>
        <v>0</v>
      </c>
      <c r="K3648" t="str">
        <f>IF(Table4[[#This Row],[Performance_Ratio]] &lt; 0.85, "Underperforming", "Performing")</f>
        <v>Underperforming</v>
      </c>
      <c r="L3648">
        <f>Table4[[#This Row],[energy_kwh]] - Table4[[#This Row],[expected_kwh]]</f>
        <v>0</v>
      </c>
      <c r="M3648" t="str">
        <f>IF(Table4[[#This Row],[Performance_Deviation]] &lt; 0, "Underperforming", "Outperforming")</f>
        <v>Outperforming</v>
      </c>
      <c r="N3648">
        <f>IF(Table4[[#This Row],[Performance_Ratio]] &lt; 0.85, Table4[[#This Row],[Performance_Deviation]] * 50 / 1000, 0)</f>
        <v>0</v>
      </c>
    </row>
    <row r="3649" spans="1:14" x14ac:dyDescent="0.3">
      <c r="A3649" s="6" t="s">
        <v>10</v>
      </c>
      <c r="B3649" s="5">
        <v>45319.958333333336</v>
      </c>
      <c r="C3649" s="6">
        <v>0</v>
      </c>
      <c r="D3649" s="6">
        <v>0</v>
      </c>
      <c r="E3649" s="6">
        <v>0</v>
      </c>
      <c r="F3649" s="6">
        <v>88.611136189342005</v>
      </c>
      <c r="G3649" s="6" t="str">
        <f t="shared" si="112"/>
        <v>OK</v>
      </c>
      <c r="H3649" s="6" t="str">
        <f t="shared" si="113"/>
        <v>ZERO</v>
      </c>
      <c r="I3649">
        <v>0</v>
      </c>
      <c r="J3649">
        <f>IFERROR(Table4[[#This Row],[energy_kwh]]/Table4[[#This Row],[expected_kwh]],0)</f>
        <v>0</v>
      </c>
      <c r="K3649" t="str">
        <f>IF(Table4[[#This Row],[Performance_Ratio]] &lt; 0.85, "Underperforming", "Performing")</f>
        <v>Underperforming</v>
      </c>
      <c r="L3649">
        <f>Table4[[#This Row],[energy_kwh]] - Table4[[#This Row],[expected_kwh]]</f>
        <v>0</v>
      </c>
      <c r="M3649" t="str">
        <f>IF(Table4[[#This Row],[Performance_Deviation]] &lt; 0, "Underperforming", "Outperforming")</f>
        <v>Outperforming</v>
      </c>
      <c r="N3649">
        <f>IF(Table4[[#This Row],[Performance_Ratio]] &lt; 0.85, Table4[[#This Row],[Performance_Deviation]] * 50 / 1000, 0)</f>
        <v>0</v>
      </c>
    </row>
    <row r="3650" spans="1:14" x14ac:dyDescent="0.3">
      <c r="A3650" s="4" t="s">
        <v>10</v>
      </c>
      <c r="B3650" s="3">
        <v>45320</v>
      </c>
      <c r="C3650" s="4">
        <v>0</v>
      </c>
      <c r="D3650" s="4">
        <v>0</v>
      </c>
      <c r="E3650" s="4">
        <v>0</v>
      </c>
      <c r="F3650" s="4">
        <v>76.978374525422495</v>
      </c>
      <c r="G3650" s="4" t="str">
        <f t="shared" ref="G3650:G3713" si="114">IF(D3650 &gt; C3650, "ERROR", "OK")</f>
        <v>OK</v>
      </c>
      <c r="H3650" s="4" t="str">
        <f t="shared" ref="H3650:H3713" si="115">IF(E3650=0,"ZERO","NON-ZERO")</f>
        <v>ZERO</v>
      </c>
      <c r="I3650">
        <v>0</v>
      </c>
      <c r="J3650">
        <f>IFERROR(Table4[[#This Row],[energy_kwh]]/Table4[[#This Row],[expected_kwh]],0)</f>
        <v>0</v>
      </c>
      <c r="K3650" t="str">
        <f>IF(Table4[[#This Row],[Performance_Ratio]] &lt; 0.85, "Underperforming", "Performing")</f>
        <v>Underperforming</v>
      </c>
      <c r="L3650">
        <f>Table4[[#This Row],[energy_kwh]] - Table4[[#This Row],[expected_kwh]]</f>
        <v>0</v>
      </c>
      <c r="M3650" t="str">
        <f>IF(Table4[[#This Row],[Performance_Deviation]] &lt; 0, "Underperforming", "Outperforming")</f>
        <v>Outperforming</v>
      </c>
      <c r="N3650">
        <f>IF(Table4[[#This Row],[Performance_Ratio]] &lt; 0.85, Table4[[#This Row],[Performance_Deviation]] * 50 / 1000, 0)</f>
        <v>0</v>
      </c>
    </row>
    <row r="3651" spans="1:14" x14ac:dyDescent="0.3">
      <c r="A3651" s="6" t="s">
        <v>10</v>
      </c>
      <c r="B3651" s="5">
        <v>45320.041666666664</v>
      </c>
      <c r="C3651" s="6">
        <v>0</v>
      </c>
      <c r="D3651" s="6">
        <v>0</v>
      </c>
      <c r="E3651" s="6">
        <v>0</v>
      </c>
      <c r="F3651" s="6">
        <v>89.7520128416121</v>
      </c>
      <c r="G3651" s="6" t="str">
        <f t="shared" si="114"/>
        <v>OK</v>
      </c>
      <c r="H3651" s="6" t="str">
        <f t="shared" si="115"/>
        <v>ZERO</v>
      </c>
      <c r="I3651">
        <v>0</v>
      </c>
      <c r="J3651">
        <f>IFERROR(Table4[[#This Row],[energy_kwh]]/Table4[[#This Row],[expected_kwh]],0)</f>
        <v>0</v>
      </c>
      <c r="K3651" t="str">
        <f>IF(Table4[[#This Row],[Performance_Ratio]] &lt; 0.85, "Underperforming", "Performing")</f>
        <v>Underperforming</v>
      </c>
      <c r="L3651">
        <f>Table4[[#This Row],[energy_kwh]] - Table4[[#This Row],[expected_kwh]]</f>
        <v>0</v>
      </c>
      <c r="M3651" t="str">
        <f>IF(Table4[[#This Row],[Performance_Deviation]] &lt; 0, "Underperforming", "Outperforming")</f>
        <v>Outperforming</v>
      </c>
      <c r="N3651">
        <f>IF(Table4[[#This Row],[Performance_Ratio]] &lt; 0.85, Table4[[#This Row],[Performance_Deviation]] * 50 / 1000, 0)</f>
        <v>0</v>
      </c>
    </row>
    <row r="3652" spans="1:14" x14ac:dyDescent="0.3">
      <c r="A3652" s="4" t="s">
        <v>10</v>
      </c>
      <c r="B3652" s="3">
        <v>45320.083333333336</v>
      </c>
      <c r="C3652" s="4">
        <v>0</v>
      </c>
      <c r="D3652" s="4">
        <v>0</v>
      </c>
      <c r="E3652" s="4">
        <v>0</v>
      </c>
      <c r="F3652" s="4">
        <v>71.167195068243799</v>
      </c>
      <c r="G3652" s="4" t="str">
        <f t="shared" si="114"/>
        <v>OK</v>
      </c>
      <c r="H3652" s="4" t="str">
        <f t="shared" si="115"/>
        <v>ZERO</v>
      </c>
      <c r="I3652">
        <v>0</v>
      </c>
      <c r="J3652">
        <f>IFERROR(Table4[[#This Row],[energy_kwh]]/Table4[[#This Row],[expected_kwh]],0)</f>
        <v>0</v>
      </c>
      <c r="K3652" t="str">
        <f>IF(Table4[[#This Row],[Performance_Ratio]] &lt; 0.85, "Underperforming", "Performing")</f>
        <v>Underperforming</v>
      </c>
      <c r="L3652">
        <f>Table4[[#This Row],[energy_kwh]] - Table4[[#This Row],[expected_kwh]]</f>
        <v>0</v>
      </c>
      <c r="M3652" t="str">
        <f>IF(Table4[[#This Row],[Performance_Deviation]] &lt; 0, "Underperforming", "Outperforming")</f>
        <v>Outperforming</v>
      </c>
      <c r="N3652">
        <f>IF(Table4[[#This Row],[Performance_Ratio]] &lt; 0.85, Table4[[#This Row],[Performance_Deviation]] * 50 / 1000, 0)</f>
        <v>0</v>
      </c>
    </row>
    <row r="3653" spans="1:14" x14ac:dyDescent="0.3">
      <c r="A3653" s="6" t="s">
        <v>10</v>
      </c>
      <c r="B3653" s="5">
        <v>45320.125</v>
      </c>
      <c r="C3653" s="6">
        <v>0</v>
      </c>
      <c r="D3653" s="6">
        <v>0</v>
      </c>
      <c r="E3653" s="6">
        <v>0</v>
      </c>
      <c r="F3653" s="6">
        <v>41.394774645614902</v>
      </c>
      <c r="G3653" s="6" t="str">
        <f t="shared" si="114"/>
        <v>OK</v>
      </c>
      <c r="H3653" s="6" t="str">
        <f t="shared" si="115"/>
        <v>ZERO</v>
      </c>
      <c r="I3653">
        <v>0</v>
      </c>
      <c r="J3653">
        <f>IFERROR(Table4[[#This Row],[energy_kwh]]/Table4[[#This Row],[expected_kwh]],0)</f>
        <v>0</v>
      </c>
      <c r="K3653" t="str">
        <f>IF(Table4[[#This Row],[Performance_Ratio]] &lt; 0.85, "Underperforming", "Performing")</f>
        <v>Underperforming</v>
      </c>
      <c r="L3653">
        <f>Table4[[#This Row],[energy_kwh]] - Table4[[#This Row],[expected_kwh]]</f>
        <v>0</v>
      </c>
      <c r="M3653" t="str">
        <f>IF(Table4[[#This Row],[Performance_Deviation]] &lt; 0, "Underperforming", "Outperforming")</f>
        <v>Outperforming</v>
      </c>
      <c r="N3653">
        <f>IF(Table4[[#This Row],[Performance_Ratio]] &lt; 0.85, Table4[[#This Row],[Performance_Deviation]] * 50 / 1000, 0)</f>
        <v>0</v>
      </c>
    </row>
    <row r="3654" spans="1:14" x14ac:dyDescent="0.3">
      <c r="A3654" s="4" t="s">
        <v>10</v>
      </c>
      <c r="B3654" s="3">
        <v>45320.166666666664</v>
      </c>
      <c r="C3654" s="4">
        <v>0</v>
      </c>
      <c r="D3654" s="4">
        <v>0</v>
      </c>
      <c r="E3654" s="4">
        <v>0</v>
      </c>
      <c r="F3654" s="4">
        <v>57.202466745606102</v>
      </c>
      <c r="G3654" s="4" t="str">
        <f t="shared" si="114"/>
        <v>OK</v>
      </c>
      <c r="H3654" s="4" t="str">
        <f t="shared" si="115"/>
        <v>ZERO</v>
      </c>
      <c r="I3654">
        <v>0</v>
      </c>
      <c r="J3654">
        <f>IFERROR(Table4[[#This Row],[energy_kwh]]/Table4[[#This Row],[expected_kwh]],0)</f>
        <v>0</v>
      </c>
      <c r="K3654" t="str">
        <f>IF(Table4[[#This Row],[Performance_Ratio]] &lt; 0.85, "Underperforming", "Performing")</f>
        <v>Underperforming</v>
      </c>
      <c r="L3654">
        <f>Table4[[#This Row],[energy_kwh]] - Table4[[#This Row],[expected_kwh]]</f>
        <v>0</v>
      </c>
      <c r="M3654" t="str">
        <f>IF(Table4[[#This Row],[Performance_Deviation]] &lt; 0, "Underperforming", "Outperforming")</f>
        <v>Outperforming</v>
      </c>
      <c r="N3654">
        <f>IF(Table4[[#This Row],[Performance_Ratio]] &lt; 0.85, Table4[[#This Row],[Performance_Deviation]] * 50 / 1000, 0)</f>
        <v>0</v>
      </c>
    </row>
    <row r="3655" spans="1:14" x14ac:dyDescent="0.3">
      <c r="A3655" s="6" t="s">
        <v>10</v>
      </c>
      <c r="B3655" s="5">
        <v>45320.208333333336</v>
      </c>
      <c r="C3655" s="6">
        <v>0</v>
      </c>
      <c r="D3655" s="6">
        <v>0</v>
      </c>
      <c r="E3655" s="6">
        <v>0</v>
      </c>
      <c r="F3655" s="6">
        <v>50.680702592457102</v>
      </c>
      <c r="G3655" s="6" t="str">
        <f t="shared" si="114"/>
        <v>OK</v>
      </c>
      <c r="H3655" s="6" t="str">
        <f t="shared" si="115"/>
        <v>ZERO</v>
      </c>
      <c r="I3655">
        <v>0</v>
      </c>
      <c r="J3655">
        <f>IFERROR(Table4[[#This Row],[energy_kwh]]/Table4[[#This Row],[expected_kwh]],0)</f>
        <v>0</v>
      </c>
      <c r="K3655" t="str">
        <f>IF(Table4[[#This Row],[Performance_Ratio]] &lt; 0.85, "Underperforming", "Performing")</f>
        <v>Underperforming</v>
      </c>
      <c r="L3655">
        <f>Table4[[#This Row],[energy_kwh]] - Table4[[#This Row],[expected_kwh]]</f>
        <v>0</v>
      </c>
      <c r="M3655" t="str">
        <f>IF(Table4[[#This Row],[Performance_Deviation]] &lt; 0, "Underperforming", "Outperforming")</f>
        <v>Outperforming</v>
      </c>
      <c r="N3655">
        <f>IF(Table4[[#This Row],[Performance_Ratio]] &lt; 0.85, Table4[[#This Row],[Performance_Deviation]] * 50 / 1000, 0)</f>
        <v>0</v>
      </c>
    </row>
    <row r="3656" spans="1:14" x14ac:dyDescent="0.3">
      <c r="A3656" s="4" t="s">
        <v>10</v>
      </c>
      <c r="B3656" s="3">
        <v>45320.25</v>
      </c>
      <c r="C3656" s="4">
        <v>0</v>
      </c>
      <c r="D3656" s="4">
        <v>0</v>
      </c>
      <c r="E3656" s="4">
        <v>0</v>
      </c>
      <c r="F3656" s="4">
        <v>61.226319188992697</v>
      </c>
      <c r="G3656" s="4" t="str">
        <f t="shared" si="114"/>
        <v>OK</v>
      </c>
      <c r="H3656" s="4" t="str">
        <f t="shared" si="115"/>
        <v>ZERO</v>
      </c>
      <c r="I3656">
        <v>0</v>
      </c>
      <c r="J3656">
        <f>IFERROR(Table4[[#This Row],[energy_kwh]]/Table4[[#This Row],[expected_kwh]],0)</f>
        <v>0</v>
      </c>
      <c r="K3656" t="str">
        <f>IF(Table4[[#This Row],[Performance_Ratio]] &lt; 0.85, "Underperforming", "Performing")</f>
        <v>Underperforming</v>
      </c>
      <c r="L3656">
        <f>Table4[[#This Row],[energy_kwh]] - Table4[[#This Row],[expected_kwh]]</f>
        <v>0</v>
      </c>
      <c r="M3656" t="str">
        <f>IF(Table4[[#This Row],[Performance_Deviation]] &lt; 0, "Underperforming", "Outperforming")</f>
        <v>Outperforming</v>
      </c>
      <c r="N3656">
        <f>IF(Table4[[#This Row],[Performance_Ratio]] &lt; 0.85, Table4[[#This Row],[Performance_Deviation]] * 50 / 1000, 0)</f>
        <v>0</v>
      </c>
    </row>
    <row r="3657" spans="1:14" x14ac:dyDescent="0.3">
      <c r="A3657" s="6" t="s">
        <v>10</v>
      </c>
      <c r="B3657" s="5">
        <v>45320.291666666664</v>
      </c>
      <c r="C3657" s="6">
        <v>260.45326868621999</v>
      </c>
      <c r="D3657" s="6">
        <v>246.45149516021499</v>
      </c>
      <c r="E3657" s="6">
        <v>246.45149516021499</v>
      </c>
      <c r="F3657" s="6">
        <v>27.453708421314499</v>
      </c>
      <c r="G3657" s="6" t="str">
        <f t="shared" si="114"/>
        <v>OK</v>
      </c>
      <c r="H3657" s="6" t="str">
        <f t="shared" si="115"/>
        <v>NON-ZERO</v>
      </c>
      <c r="I3657">
        <v>310.58285412302399</v>
      </c>
      <c r="J3657">
        <f>IFERROR(Table4[[#This Row],[energy_kwh]]/Table4[[#This Row],[expected_kwh]],0)</f>
        <v>0.79351288034269229</v>
      </c>
      <c r="K3657" t="str">
        <f>IF(Table4[[#This Row],[Performance_Ratio]] &lt; 0.85, "Underperforming", "Performing")</f>
        <v>Underperforming</v>
      </c>
      <c r="L3657">
        <f>Table4[[#This Row],[energy_kwh]] - Table4[[#This Row],[expected_kwh]]</f>
        <v>-64.131358962809003</v>
      </c>
      <c r="M3657" t="str">
        <f>IF(Table4[[#This Row],[Performance_Deviation]] &lt; 0, "Underperforming", "Outperforming")</f>
        <v>Underperforming</v>
      </c>
      <c r="N3657">
        <f>IF(Table4[[#This Row],[Performance_Ratio]] &lt; 0.85, Table4[[#This Row],[Performance_Deviation]] * 50 / 1000, 0)</f>
        <v>-3.2065679481404499</v>
      </c>
    </row>
    <row r="3658" spans="1:14" x14ac:dyDescent="0.3">
      <c r="A3658" s="4" t="s">
        <v>10</v>
      </c>
      <c r="B3658" s="3">
        <v>45320.333333333336</v>
      </c>
      <c r="C3658" s="4">
        <v>540.92982388420398</v>
      </c>
      <c r="D3658" s="4">
        <v>511.849839879039</v>
      </c>
      <c r="E3658" s="4">
        <v>511.849839879039</v>
      </c>
      <c r="F3658" s="4">
        <v>25.318094174888099</v>
      </c>
      <c r="G3658" s="4" t="str">
        <f t="shared" si="114"/>
        <v>OK</v>
      </c>
      <c r="H3658" s="4" t="str">
        <f t="shared" si="115"/>
        <v>NON-ZERO</v>
      </c>
      <c r="I3658">
        <v>600</v>
      </c>
      <c r="J3658">
        <f>IFERROR(Table4[[#This Row],[energy_kwh]]/Table4[[#This Row],[expected_kwh]],0)</f>
        <v>0.85308306646506504</v>
      </c>
      <c r="K3658" t="str">
        <f>IF(Table4[[#This Row],[Performance_Ratio]] &lt; 0.85, "Underperforming", "Performing")</f>
        <v>Performing</v>
      </c>
      <c r="L3658">
        <f>Table4[[#This Row],[energy_kwh]] - Table4[[#This Row],[expected_kwh]]</f>
        <v>-88.150160120961004</v>
      </c>
      <c r="M3658" t="str">
        <f>IF(Table4[[#This Row],[Performance_Deviation]] &lt; 0, "Underperforming", "Outperforming")</f>
        <v>Underperforming</v>
      </c>
      <c r="N3658">
        <f>IF(Table4[[#This Row],[Performance_Ratio]] &lt; 0.85, Table4[[#This Row],[Performance_Deviation]] * 50 / 1000, 0)</f>
        <v>0</v>
      </c>
    </row>
    <row r="3659" spans="1:14" x14ac:dyDescent="0.3">
      <c r="A3659" s="6" t="s">
        <v>10</v>
      </c>
      <c r="B3659" s="5">
        <v>45320.375</v>
      </c>
      <c r="C3659" s="6">
        <v>882.73455075808295</v>
      </c>
      <c r="D3659" s="6">
        <v>835.27939949183099</v>
      </c>
      <c r="E3659" s="6">
        <v>835.27939949183099</v>
      </c>
      <c r="F3659" s="6">
        <v>89.159032697091305</v>
      </c>
      <c r="G3659" s="6" t="str">
        <f t="shared" si="114"/>
        <v>OK</v>
      </c>
      <c r="H3659" s="6" t="str">
        <f t="shared" si="115"/>
        <v>NON-ZERO</v>
      </c>
      <c r="I3659">
        <v>848.52813742385695</v>
      </c>
      <c r="J3659">
        <f>IFERROR(Table4[[#This Row],[energy_kwh]]/Table4[[#This Row],[expected_kwh]],0)</f>
        <v>0.98438621261016834</v>
      </c>
      <c r="K3659" t="str">
        <f>IF(Table4[[#This Row],[Performance_Ratio]] &lt; 0.85, "Underperforming", "Performing")</f>
        <v>Performing</v>
      </c>
      <c r="L3659">
        <f>Table4[[#This Row],[energy_kwh]] - Table4[[#This Row],[expected_kwh]]</f>
        <v>-13.248737932025961</v>
      </c>
      <c r="M3659" t="str">
        <f>IF(Table4[[#This Row],[Performance_Deviation]] &lt; 0, "Underperforming", "Outperforming")</f>
        <v>Underperforming</v>
      </c>
      <c r="N3659">
        <f>IF(Table4[[#This Row],[Performance_Ratio]] &lt; 0.85, Table4[[#This Row],[Performance_Deviation]] * 50 / 1000, 0)</f>
        <v>0</v>
      </c>
    </row>
    <row r="3660" spans="1:14" x14ac:dyDescent="0.3">
      <c r="A3660" s="4" t="s">
        <v>10</v>
      </c>
      <c r="B3660" s="3">
        <v>45320.416666666664</v>
      </c>
      <c r="C3660" s="4">
        <v>985.08543185105896</v>
      </c>
      <c r="D3660" s="4">
        <v>932.12797353187796</v>
      </c>
      <c r="E3660" s="4">
        <v>932.12797353187796</v>
      </c>
      <c r="F3660" s="4">
        <v>36.292510594432599</v>
      </c>
      <c r="G3660" s="4" t="str">
        <f t="shared" si="114"/>
        <v>OK</v>
      </c>
      <c r="H3660" s="4" t="str">
        <f t="shared" si="115"/>
        <v>NON-ZERO</v>
      </c>
      <c r="I3660">
        <v>1039.23048454132</v>
      </c>
      <c r="J3660">
        <f>IFERROR(Table4[[#This Row],[energy_kwh]]/Table4[[#This Row],[expected_kwh]],0)</f>
        <v>0.89694056072968897</v>
      </c>
      <c r="K3660" t="str">
        <f>IF(Table4[[#This Row],[Performance_Ratio]] &lt; 0.85, "Underperforming", "Performing")</f>
        <v>Performing</v>
      </c>
      <c r="L3660">
        <f>Table4[[#This Row],[energy_kwh]] - Table4[[#This Row],[expected_kwh]]</f>
        <v>-107.10251100944208</v>
      </c>
      <c r="M3660" t="str">
        <f>IF(Table4[[#This Row],[Performance_Deviation]] &lt; 0, "Underperforming", "Outperforming")</f>
        <v>Underperforming</v>
      </c>
      <c r="N3660">
        <f>IF(Table4[[#This Row],[Performance_Ratio]] &lt; 0.85, Table4[[#This Row],[Performance_Deviation]] * 50 / 1000, 0)</f>
        <v>0</v>
      </c>
    </row>
    <row r="3661" spans="1:14" x14ac:dyDescent="0.3">
      <c r="A3661" s="6" t="s">
        <v>10</v>
      </c>
      <c r="B3661" s="5">
        <v>45320.458333333336</v>
      </c>
      <c r="C3661" s="6">
        <v>1048.2617630443499</v>
      </c>
      <c r="D3661" s="6">
        <v>991.90799226560898</v>
      </c>
      <c r="E3661" s="6">
        <v>991.90799226560898</v>
      </c>
      <c r="F3661" s="6">
        <v>89.202123796577496</v>
      </c>
      <c r="G3661" s="6" t="str">
        <f t="shared" si="114"/>
        <v>OK</v>
      </c>
      <c r="H3661" s="6" t="str">
        <f t="shared" si="115"/>
        <v>NON-ZERO</v>
      </c>
      <c r="I3661">
        <v>1159.1109915468801</v>
      </c>
      <c r="J3661">
        <f>IFERROR(Table4[[#This Row],[energy_kwh]]/Table4[[#This Row],[expected_kwh]],0)</f>
        <v>0.85574893129247964</v>
      </c>
      <c r="K3661" t="str">
        <f>IF(Table4[[#This Row],[Performance_Ratio]] &lt; 0.85, "Underperforming", "Performing")</f>
        <v>Performing</v>
      </c>
      <c r="L3661">
        <f>Table4[[#This Row],[energy_kwh]] - Table4[[#This Row],[expected_kwh]]</f>
        <v>-167.2029992812711</v>
      </c>
      <c r="M3661" t="str">
        <f>IF(Table4[[#This Row],[Performance_Deviation]] &lt; 0, "Underperforming", "Outperforming")</f>
        <v>Underperforming</v>
      </c>
      <c r="N3661">
        <f>IF(Table4[[#This Row],[Performance_Ratio]] &lt; 0.85, Table4[[#This Row],[Performance_Deviation]] * 50 / 1000, 0)</f>
        <v>0</v>
      </c>
    </row>
    <row r="3662" spans="1:14" x14ac:dyDescent="0.3">
      <c r="A3662" s="4" t="s">
        <v>10</v>
      </c>
      <c r="B3662" s="3">
        <v>45320.5</v>
      </c>
      <c r="C3662" s="4">
        <v>1150.0024317308601</v>
      </c>
      <c r="D3662" s="4">
        <v>1088.1791584631801</v>
      </c>
      <c r="E3662" s="4">
        <v>1088.1791584631801</v>
      </c>
      <c r="F3662" s="4">
        <v>76.327472115320603</v>
      </c>
      <c r="G3662" s="4" t="str">
        <f t="shared" si="114"/>
        <v>OK</v>
      </c>
      <c r="H3662" s="4" t="str">
        <f t="shared" si="115"/>
        <v>NON-ZERO</v>
      </c>
      <c r="I3662">
        <v>1200</v>
      </c>
      <c r="J3662">
        <f>IFERROR(Table4[[#This Row],[energy_kwh]]/Table4[[#This Row],[expected_kwh]],0)</f>
        <v>0.90681596538598341</v>
      </c>
      <c r="K3662" t="str">
        <f>IF(Table4[[#This Row],[Performance_Ratio]] &lt; 0.85, "Underperforming", "Performing")</f>
        <v>Performing</v>
      </c>
      <c r="L3662">
        <f>Table4[[#This Row],[energy_kwh]] - Table4[[#This Row],[expected_kwh]]</f>
        <v>-111.8208415368199</v>
      </c>
      <c r="M3662" t="str">
        <f>IF(Table4[[#This Row],[Performance_Deviation]] &lt; 0, "Underperforming", "Outperforming")</f>
        <v>Underperforming</v>
      </c>
      <c r="N3662">
        <f>IF(Table4[[#This Row],[Performance_Ratio]] &lt; 0.85, Table4[[#This Row],[Performance_Deviation]] * 50 / 1000, 0)</f>
        <v>0</v>
      </c>
    </row>
    <row r="3663" spans="1:14" x14ac:dyDescent="0.3">
      <c r="A3663" s="6" t="s">
        <v>10</v>
      </c>
      <c r="B3663" s="5">
        <v>45320.541666666664</v>
      </c>
      <c r="C3663" s="6">
        <v>909.77750468263105</v>
      </c>
      <c r="D3663" s="6">
        <v>860.86854437710099</v>
      </c>
      <c r="E3663" s="6">
        <v>860.86854437710099</v>
      </c>
      <c r="F3663" s="6">
        <v>50.275524321802003</v>
      </c>
      <c r="G3663" s="6" t="str">
        <f t="shared" si="114"/>
        <v>OK</v>
      </c>
      <c r="H3663" s="6" t="str">
        <f t="shared" si="115"/>
        <v>NON-ZERO</v>
      </c>
      <c r="I3663">
        <v>1159.1109915468801</v>
      </c>
      <c r="J3663">
        <f>IFERROR(Table4[[#This Row],[energy_kwh]]/Table4[[#This Row],[expected_kwh]],0)</f>
        <v>0.74269724871492881</v>
      </c>
      <c r="K3663" t="str">
        <f>IF(Table4[[#This Row],[Performance_Ratio]] &lt; 0.85, "Underperforming", "Performing")</f>
        <v>Underperforming</v>
      </c>
      <c r="L3663">
        <f>Table4[[#This Row],[energy_kwh]] - Table4[[#This Row],[expected_kwh]]</f>
        <v>-298.2424471697791</v>
      </c>
      <c r="M3663" t="str">
        <f>IF(Table4[[#This Row],[Performance_Deviation]] &lt; 0, "Underperforming", "Outperforming")</f>
        <v>Underperforming</v>
      </c>
      <c r="N3663">
        <f>IF(Table4[[#This Row],[Performance_Ratio]] &lt; 0.85, Table4[[#This Row],[Performance_Deviation]] * 50 / 1000, 0)</f>
        <v>-14.912122358488956</v>
      </c>
    </row>
    <row r="3664" spans="1:14" x14ac:dyDescent="0.3">
      <c r="A3664" s="4" t="s">
        <v>10</v>
      </c>
      <c r="B3664" s="3">
        <v>45320.583333333336</v>
      </c>
      <c r="C3664" s="4">
        <v>1020.17890997941</v>
      </c>
      <c r="D3664" s="4">
        <v>965.33485244237295</v>
      </c>
      <c r="E3664" s="4">
        <v>965.33485244237295</v>
      </c>
      <c r="F3664" s="4">
        <v>78.440383605416201</v>
      </c>
      <c r="G3664" s="4" t="str">
        <f t="shared" si="114"/>
        <v>OK</v>
      </c>
      <c r="H3664" s="4" t="str">
        <f t="shared" si="115"/>
        <v>NON-ZERO</v>
      </c>
      <c r="I3664">
        <v>1039.23048454132</v>
      </c>
      <c r="J3664">
        <f>IFERROR(Table4[[#This Row],[energy_kwh]]/Table4[[#This Row],[expected_kwh]],0)</f>
        <v>0.92889389485955853</v>
      </c>
      <c r="K3664" t="str">
        <f>IF(Table4[[#This Row],[Performance_Ratio]] &lt; 0.85, "Underperforming", "Performing")</f>
        <v>Performing</v>
      </c>
      <c r="L3664">
        <f>Table4[[#This Row],[energy_kwh]] - Table4[[#This Row],[expected_kwh]]</f>
        <v>-73.89563209894709</v>
      </c>
      <c r="M3664" t="str">
        <f>IF(Table4[[#This Row],[Performance_Deviation]] &lt; 0, "Underperforming", "Outperforming")</f>
        <v>Underperforming</v>
      </c>
      <c r="N3664">
        <f>IF(Table4[[#This Row],[Performance_Ratio]] &lt; 0.85, Table4[[#This Row],[Performance_Deviation]] * 50 / 1000, 0)</f>
        <v>0</v>
      </c>
    </row>
    <row r="3665" spans="1:14" x14ac:dyDescent="0.3">
      <c r="A3665" s="6" t="s">
        <v>10</v>
      </c>
      <c r="B3665" s="5">
        <v>45320.625</v>
      </c>
      <c r="C3665" s="6">
        <v>819.77920814732602</v>
      </c>
      <c r="D3665" s="6">
        <v>775.70848915921204</v>
      </c>
      <c r="E3665" s="6">
        <v>775.70848915921204</v>
      </c>
      <c r="F3665" s="6">
        <v>27.174768981413099</v>
      </c>
      <c r="G3665" s="6" t="str">
        <f t="shared" si="114"/>
        <v>OK</v>
      </c>
      <c r="H3665" s="6" t="str">
        <f t="shared" si="115"/>
        <v>NON-ZERO</v>
      </c>
      <c r="I3665">
        <v>848.52813742385695</v>
      </c>
      <c r="J3665">
        <f>IFERROR(Table4[[#This Row],[energy_kwh]]/Table4[[#This Row],[expected_kwh]],0)</f>
        <v>0.91418122151408399</v>
      </c>
      <c r="K3665" t="str">
        <f>IF(Table4[[#This Row],[Performance_Ratio]] &lt; 0.85, "Underperforming", "Performing")</f>
        <v>Performing</v>
      </c>
      <c r="L3665">
        <f>Table4[[#This Row],[energy_kwh]] - Table4[[#This Row],[expected_kwh]]</f>
        <v>-72.819648264644911</v>
      </c>
      <c r="M3665" t="str">
        <f>IF(Table4[[#This Row],[Performance_Deviation]] &lt; 0, "Underperforming", "Outperforming")</f>
        <v>Underperforming</v>
      </c>
      <c r="N3665">
        <f>IF(Table4[[#This Row],[Performance_Ratio]] &lt; 0.85, Table4[[#This Row],[Performance_Deviation]] * 50 / 1000, 0)</f>
        <v>0</v>
      </c>
    </row>
    <row r="3666" spans="1:14" x14ac:dyDescent="0.3">
      <c r="A3666" s="4" t="s">
        <v>10</v>
      </c>
      <c r="B3666" s="3">
        <v>45320.666666666664</v>
      </c>
      <c r="C3666" s="4">
        <v>567.86639502580897</v>
      </c>
      <c r="D3666" s="4">
        <v>537.33832104045496</v>
      </c>
      <c r="E3666" s="4">
        <v>537.33832104045496</v>
      </c>
      <c r="F3666" s="4">
        <v>48.812013731936098</v>
      </c>
      <c r="G3666" s="4" t="str">
        <f t="shared" si="114"/>
        <v>OK</v>
      </c>
      <c r="H3666" s="4" t="str">
        <f t="shared" si="115"/>
        <v>NON-ZERO</v>
      </c>
      <c r="I3666">
        <v>600</v>
      </c>
      <c r="J3666">
        <f>IFERROR(Table4[[#This Row],[energy_kwh]]/Table4[[#This Row],[expected_kwh]],0)</f>
        <v>0.8955638684007583</v>
      </c>
      <c r="K3666" t="str">
        <f>IF(Table4[[#This Row],[Performance_Ratio]] &lt; 0.85, "Underperforming", "Performing")</f>
        <v>Performing</v>
      </c>
      <c r="L3666">
        <f>Table4[[#This Row],[energy_kwh]] - Table4[[#This Row],[expected_kwh]]</f>
        <v>-62.661678959545043</v>
      </c>
      <c r="M3666" t="str">
        <f>IF(Table4[[#This Row],[Performance_Deviation]] &lt; 0, "Underperforming", "Outperforming")</f>
        <v>Underperforming</v>
      </c>
      <c r="N3666">
        <f>IF(Table4[[#This Row],[Performance_Ratio]] &lt; 0.85, Table4[[#This Row],[Performance_Deviation]] * 50 / 1000, 0)</f>
        <v>0</v>
      </c>
    </row>
    <row r="3667" spans="1:14" x14ac:dyDescent="0.3">
      <c r="A3667" s="6" t="s">
        <v>10</v>
      </c>
      <c r="B3667" s="5">
        <v>45320.708333333336</v>
      </c>
      <c r="C3667" s="6">
        <v>283.23580086535799</v>
      </c>
      <c r="D3667" s="6">
        <v>268.00925539646198</v>
      </c>
      <c r="E3667" s="6">
        <v>268.00925539646198</v>
      </c>
      <c r="F3667" s="6">
        <v>69.878608428691905</v>
      </c>
      <c r="G3667" s="6" t="str">
        <f t="shared" si="114"/>
        <v>OK</v>
      </c>
      <c r="H3667" s="6" t="str">
        <f t="shared" si="115"/>
        <v>NON-ZERO</v>
      </c>
      <c r="I3667">
        <v>310.58285412302502</v>
      </c>
      <c r="J3667">
        <f>IFERROR(Table4[[#This Row],[energy_kwh]]/Table4[[#This Row],[expected_kwh]],0)</f>
        <v>0.86292353823981793</v>
      </c>
      <c r="K3667" t="str">
        <f>IF(Table4[[#This Row],[Performance_Ratio]] &lt; 0.85, "Underperforming", "Performing")</f>
        <v>Performing</v>
      </c>
      <c r="L3667">
        <f>Table4[[#This Row],[energy_kwh]] - Table4[[#This Row],[expected_kwh]]</f>
        <v>-42.573598726563034</v>
      </c>
      <c r="M3667" t="str">
        <f>IF(Table4[[#This Row],[Performance_Deviation]] &lt; 0, "Underperforming", "Outperforming")</f>
        <v>Underperforming</v>
      </c>
      <c r="N3667">
        <f>IF(Table4[[#This Row],[Performance_Ratio]] &lt; 0.85, Table4[[#This Row],[Performance_Deviation]] * 50 / 1000, 0)</f>
        <v>0</v>
      </c>
    </row>
    <row r="3668" spans="1:14" x14ac:dyDescent="0.3">
      <c r="A3668" s="4" t="s">
        <v>10</v>
      </c>
      <c r="B3668" s="3">
        <v>45320.75</v>
      </c>
      <c r="C3668" s="7">
        <v>1.33808573870972E-13</v>
      </c>
      <c r="D3668" s="7">
        <v>1.2661512470970899E-13</v>
      </c>
      <c r="E3668" s="7">
        <v>1.2661512470970899E-13</v>
      </c>
      <c r="F3668" s="4">
        <v>41.944733271795698</v>
      </c>
      <c r="G3668" s="4" t="str">
        <f t="shared" si="114"/>
        <v>OK</v>
      </c>
      <c r="H3668" s="4" t="str">
        <f t="shared" si="115"/>
        <v>NON-ZERO</v>
      </c>
      <c r="I3668" s="2">
        <v>1.46957615897682E-13</v>
      </c>
      <c r="J3668">
        <f>IFERROR(Table4[[#This Row],[energy_kwh]]/Table4[[#This Row],[expected_kwh]],0)</f>
        <v>0.86157579473706014</v>
      </c>
      <c r="K3668" t="str">
        <f>IF(Table4[[#This Row],[Performance_Ratio]] &lt; 0.85, "Underperforming", "Performing")</f>
        <v>Performing</v>
      </c>
      <c r="L3668">
        <f>Table4[[#This Row],[energy_kwh]] - Table4[[#This Row],[expected_kwh]]</f>
        <v>-2.0342491187973012E-14</v>
      </c>
      <c r="M3668" t="str">
        <f>IF(Table4[[#This Row],[Performance_Deviation]] &lt; 0, "Underperforming", "Outperforming")</f>
        <v>Underperforming</v>
      </c>
      <c r="N3668">
        <f>IF(Table4[[#This Row],[Performance_Ratio]] &lt; 0.85, Table4[[#This Row],[Performance_Deviation]] * 50 / 1000, 0)</f>
        <v>0</v>
      </c>
    </row>
    <row r="3669" spans="1:14" x14ac:dyDescent="0.3">
      <c r="A3669" s="6" t="s">
        <v>10</v>
      </c>
      <c r="B3669" s="5">
        <v>45320.791666666664</v>
      </c>
      <c r="C3669" s="6">
        <v>0</v>
      </c>
      <c r="D3669" s="6">
        <v>0</v>
      </c>
      <c r="E3669" s="6">
        <v>0</v>
      </c>
      <c r="F3669" s="6">
        <v>30.2170833738836</v>
      </c>
      <c r="G3669" s="6" t="str">
        <f t="shared" si="114"/>
        <v>OK</v>
      </c>
      <c r="H3669" s="6" t="str">
        <f t="shared" si="115"/>
        <v>ZERO</v>
      </c>
      <c r="I3669">
        <v>0</v>
      </c>
      <c r="J3669">
        <f>IFERROR(Table4[[#This Row],[energy_kwh]]/Table4[[#This Row],[expected_kwh]],0)</f>
        <v>0</v>
      </c>
      <c r="K3669" t="str">
        <f>IF(Table4[[#This Row],[Performance_Ratio]] &lt; 0.85, "Underperforming", "Performing")</f>
        <v>Underperforming</v>
      </c>
      <c r="L3669">
        <f>Table4[[#This Row],[energy_kwh]] - Table4[[#This Row],[expected_kwh]]</f>
        <v>0</v>
      </c>
      <c r="M3669" t="str">
        <f>IF(Table4[[#This Row],[Performance_Deviation]] &lt; 0, "Underperforming", "Outperforming")</f>
        <v>Outperforming</v>
      </c>
      <c r="N3669">
        <f>IF(Table4[[#This Row],[Performance_Ratio]] &lt; 0.85, Table4[[#This Row],[Performance_Deviation]] * 50 / 1000, 0)</f>
        <v>0</v>
      </c>
    </row>
    <row r="3670" spans="1:14" x14ac:dyDescent="0.3">
      <c r="A3670" s="4" t="s">
        <v>10</v>
      </c>
      <c r="B3670" s="3">
        <v>45320.833333333336</v>
      </c>
      <c r="C3670" s="4">
        <v>0</v>
      </c>
      <c r="D3670" s="4">
        <v>0</v>
      </c>
      <c r="E3670" s="4">
        <v>0</v>
      </c>
      <c r="F3670" s="4">
        <v>38.787606852195402</v>
      </c>
      <c r="G3670" s="4" t="str">
        <f t="shared" si="114"/>
        <v>OK</v>
      </c>
      <c r="H3670" s="4" t="str">
        <f t="shared" si="115"/>
        <v>ZERO</v>
      </c>
      <c r="I3670">
        <v>0</v>
      </c>
      <c r="J3670">
        <f>IFERROR(Table4[[#This Row],[energy_kwh]]/Table4[[#This Row],[expected_kwh]],0)</f>
        <v>0</v>
      </c>
      <c r="K3670" t="str">
        <f>IF(Table4[[#This Row],[Performance_Ratio]] &lt; 0.85, "Underperforming", "Performing")</f>
        <v>Underperforming</v>
      </c>
      <c r="L3670">
        <f>Table4[[#This Row],[energy_kwh]] - Table4[[#This Row],[expected_kwh]]</f>
        <v>0</v>
      </c>
      <c r="M3670" t="str">
        <f>IF(Table4[[#This Row],[Performance_Deviation]] &lt; 0, "Underperforming", "Outperforming")</f>
        <v>Outperforming</v>
      </c>
      <c r="N3670">
        <f>IF(Table4[[#This Row],[Performance_Ratio]] &lt; 0.85, Table4[[#This Row],[Performance_Deviation]] * 50 / 1000, 0)</f>
        <v>0</v>
      </c>
    </row>
    <row r="3671" spans="1:14" x14ac:dyDescent="0.3">
      <c r="A3671" s="6" t="s">
        <v>10</v>
      </c>
      <c r="B3671" s="5">
        <v>45320.875</v>
      </c>
      <c r="C3671" s="6">
        <v>0</v>
      </c>
      <c r="D3671" s="6">
        <v>0</v>
      </c>
      <c r="E3671" s="6">
        <v>0</v>
      </c>
      <c r="F3671" s="6">
        <v>36.984545281854103</v>
      </c>
      <c r="G3671" s="6" t="str">
        <f t="shared" si="114"/>
        <v>OK</v>
      </c>
      <c r="H3671" s="6" t="str">
        <f t="shared" si="115"/>
        <v>ZERO</v>
      </c>
      <c r="I3671">
        <v>0</v>
      </c>
      <c r="J3671">
        <f>IFERROR(Table4[[#This Row],[energy_kwh]]/Table4[[#This Row],[expected_kwh]],0)</f>
        <v>0</v>
      </c>
      <c r="K3671" t="str">
        <f>IF(Table4[[#This Row],[Performance_Ratio]] &lt; 0.85, "Underperforming", "Performing")</f>
        <v>Underperforming</v>
      </c>
      <c r="L3671">
        <f>Table4[[#This Row],[energy_kwh]] - Table4[[#This Row],[expected_kwh]]</f>
        <v>0</v>
      </c>
      <c r="M3671" t="str">
        <f>IF(Table4[[#This Row],[Performance_Deviation]] &lt; 0, "Underperforming", "Outperforming")</f>
        <v>Outperforming</v>
      </c>
      <c r="N3671">
        <f>IF(Table4[[#This Row],[Performance_Ratio]] &lt; 0.85, Table4[[#This Row],[Performance_Deviation]] * 50 / 1000, 0)</f>
        <v>0</v>
      </c>
    </row>
    <row r="3672" spans="1:14" x14ac:dyDescent="0.3">
      <c r="A3672" s="4" t="s">
        <v>10</v>
      </c>
      <c r="B3672" s="3">
        <v>45320.916666666664</v>
      </c>
      <c r="C3672" s="4">
        <v>0</v>
      </c>
      <c r="D3672" s="4">
        <v>0</v>
      </c>
      <c r="E3672" s="4">
        <v>0</v>
      </c>
      <c r="F3672" s="4">
        <v>94.757193873980597</v>
      </c>
      <c r="G3672" s="4" t="str">
        <f t="shared" si="114"/>
        <v>OK</v>
      </c>
      <c r="H3672" s="4" t="str">
        <f t="shared" si="115"/>
        <v>ZERO</v>
      </c>
      <c r="I3672">
        <v>0</v>
      </c>
      <c r="J3672">
        <f>IFERROR(Table4[[#This Row],[energy_kwh]]/Table4[[#This Row],[expected_kwh]],0)</f>
        <v>0</v>
      </c>
      <c r="K3672" t="str">
        <f>IF(Table4[[#This Row],[Performance_Ratio]] &lt; 0.85, "Underperforming", "Performing")</f>
        <v>Underperforming</v>
      </c>
      <c r="L3672">
        <f>Table4[[#This Row],[energy_kwh]] - Table4[[#This Row],[expected_kwh]]</f>
        <v>0</v>
      </c>
      <c r="M3672" t="str">
        <f>IF(Table4[[#This Row],[Performance_Deviation]] &lt; 0, "Underperforming", "Outperforming")</f>
        <v>Outperforming</v>
      </c>
      <c r="N3672">
        <f>IF(Table4[[#This Row],[Performance_Ratio]] &lt; 0.85, Table4[[#This Row],[Performance_Deviation]] * 50 / 1000, 0)</f>
        <v>0</v>
      </c>
    </row>
    <row r="3673" spans="1:14" x14ac:dyDescent="0.3">
      <c r="A3673" s="6" t="s">
        <v>10</v>
      </c>
      <c r="B3673" s="5">
        <v>45320.958333333336</v>
      </c>
      <c r="C3673" s="6">
        <v>0</v>
      </c>
      <c r="D3673" s="6">
        <v>0</v>
      </c>
      <c r="E3673" s="6">
        <v>0</v>
      </c>
      <c r="F3673" s="6">
        <v>38.962715230609199</v>
      </c>
      <c r="G3673" s="6" t="str">
        <f t="shared" si="114"/>
        <v>OK</v>
      </c>
      <c r="H3673" s="6" t="str">
        <f t="shared" si="115"/>
        <v>ZERO</v>
      </c>
      <c r="I3673">
        <v>0</v>
      </c>
      <c r="J3673">
        <f>IFERROR(Table4[[#This Row],[energy_kwh]]/Table4[[#This Row],[expected_kwh]],0)</f>
        <v>0</v>
      </c>
      <c r="K3673" t="str">
        <f>IF(Table4[[#This Row],[Performance_Ratio]] &lt; 0.85, "Underperforming", "Performing")</f>
        <v>Underperforming</v>
      </c>
      <c r="L3673">
        <f>Table4[[#This Row],[energy_kwh]] - Table4[[#This Row],[expected_kwh]]</f>
        <v>0</v>
      </c>
      <c r="M3673" t="str">
        <f>IF(Table4[[#This Row],[Performance_Deviation]] &lt; 0, "Underperforming", "Outperforming")</f>
        <v>Outperforming</v>
      </c>
      <c r="N3673">
        <f>IF(Table4[[#This Row],[Performance_Ratio]] &lt; 0.85, Table4[[#This Row],[Performance_Deviation]] * 50 / 1000, 0)</f>
        <v>0</v>
      </c>
    </row>
    <row r="3674" spans="1:14" x14ac:dyDescent="0.3">
      <c r="A3674" s="4" t="s">
        <v>10</v>
      </c>
      <c r="B3674" s="3">
        <v>45321</v>
      </c>
      <c r="C3674" s="4">
        <v>0</v>
      </c>
      <c r="D3674" s="4">
        <v>0</v>
      </c>
      <c r="E3674" s="4">
        <v>0</v>
      </c>
      <c r="F3674" s="4">
        <v>45.083464015874299</v>
      </c>
      <c r="G3674" s="4" t="str">
        <f t="shared" si="114"/>
        <v>OK</v>
      </c>
      <c r="H3674" s="4" t="str">
        <f t="shared" si="115"/>
        <v>ZERO</v>
      </c>
      <c r="I3674">
        <v>0</v>
      </c>
      <c r="J3674">
        <f>IFERROR(Table4[[#This Row],[energy_kwh]]/Table4[[#This Row],[expected_kwh]],0)</f>
        <v>0</v>
      </c>
      <c r="K3674" t="str">
        <f>IF(Table4[[#This Row],[Performance_Ratio]] &lt; 0.85, "Underperforming", "Performing")</f>
        <v>Underperforming</v>
      </c>
      <c r="L3674">
        <f>Table4[[#This Row],[energy_kwh]] - Table4[[#This Row],[expected_kwh]]</f>
        <v>0</v>
      </c>
      <c r="M3674" t="str">
        <f>IF(Table4[[#This Row],[Performance_Deviation]] &lt; 0, "Underperforming", "Outperforming")</f>
        <v>Outperforming</v>
      </c>
      <c r="N3674">
        <f>IF(Table4[[#This Row],[Performance_Ratio]] &lt; 0.85, Table4[[#This Row],[Performance_Deviation]] * 50 / 1000, 0)</f>
        <v>0</v>
      </c>
    </row>
    <row r="3675" spans="1:14" x14ac:dyDescent="0.3">
      <c r="A3675" s="6" t="s">
        <v>10</v>
      </c>
      <c r="B3675" s="5">
        <v>45321.041666666664</v>
      </c>
      <c r="C3675" s="6">
        <v>0</v>
      </c>
      <c r="D3675" s="6">
        <v>0</v>
      </c>
      <c r="E3675" s="6">
        <v>0</v>
      </c>
      <c r="F3675" s="6">
        <v>79.895976194258793</v>
      </c>
      <c r="G3675" s="6" t="str">
        <f t="shared" si="114"/>
        <v>OK</v>
      </c>
      <c r="H3675" s="6" t="str">
        <f t="shared" si="115"/>
        <v>ZERO</v>
      </c>
      <c r="I3675">
        <v>0</v>
      </c>
      <c r="J3675">
        <f>IFERROR(Table4[[#This Row],[energy_kwh]]/Table4[[#This Row],[expected_kwh]],0)</f>
        <v>0</v>
      </c>
      <c r="K3675" t="str">
        <f>IF(Table4[[#This Row],[Performance_Ratio]] &lt; 0.85, "Underperforming", "Performing")</f>
        <v>Underperforming</v>
      </c>
      <c r="L3675">
        <f>Table4[[#This Row],[energy_kwh]] - Table4[[#This Row],[expected_kwh]]</f>
        <v>0</v>
      </c>
      <c r="M3675" t="str">
        <f>IF(Table4[[#This Row],[Performance_Deviation]] &lt; 0, "Underperforming", "Outperforming")</f>
        <v>Outperforming</v>
      </c>
      <c r="N3675">
        <f>IF(Table4[[#This Row],[Performance_Ratio]] &lt; 0.85, Table4[[#This Row],[Performance_Deviation]] * 50 / 1000, 0)</f>
        <v>0</v>
      </c>
    </row>
    <row r="3676" spans="1:14" x14ac:dyDescent="0.3">
      <c r="A3676" s="4" t="s">
        <v>10</v>
      </c>
      <c r="B3676" s="3">
        <v>45321.083333333336</v>
      </c>
      <c r="C3676" s="4">
        <v>0</v>
      </c>
      <c r="D3676" s="4">
        <v>0</v>
      </c>
      <c r="E3676" s="4">
        <v>0</v>
      </c>
      <c r="F3676" s="4">
        <v>35.784666285650196</v>
      </c>
      <c r="G3676" s="4" t="str">
        <f t="shared" si="114"/>
        <v>OK</v>
      </c>
      <c r="H3676" s="4" t="str">
        <f t="shared" si="115"/>
        <v>ZERO</v>
      </c>
      <c r="I3676">
        <v>0</v>
      </c>
      <c r="J3676">
        <f>IFERROR(Table4[[#This Row],[energy_kwh]]/Table4[[#This Row],[expected_kwh]],0)</f>
        <v>0</v>
      </c>
      <c r="K3676" t="str">
        <f>IF(Table4[[#This Row],[Performance_Ratio]] &lt; 0.85, "Underperforming", "Performing")</f>
        <v>Underperforming</v>
      </c>
      <c r="L3676">
        <f>Table4[[#This Row],[energy_kwh]] - Table4[[#This Row],[expected_kwh]]</f>
        <v>0</v>
      </c>
      <c r="M3676" t="str">
        <f>IF(Table4[[#This Row],[Performance_Deviation]] &lt; 0, "Underperforming", "Outperforming")</f>
        <v>Outperforming</v>
      </c>
      <c r="N3676">
        <f>IF(Table4[[#This Row],[Performance_Ratio]] &lt; 0.85, Table4[[#This Row],[Performance_Deviation]] * 50 / 1000, 0)</f>
        <v>0</v>
      </c>
    </row>
    <row r="3677" spans="1:14" x14ac:dyDescent="0.3">
      <c r="A3677" s="6" t="s">
        <v>10</v>
      </c>
      <c r="B3677" s="5">
        <v>45321.125</v>
      </c>
      <c r="C3677" s="6">
        <v>0</v>
      </c>
      <c r="D3677" s="6">
        <v>0</v>
      </c>
      <c r="E3677" s="6">
        <v>0</v>
      </c>
      <c r="F3677" s="6">
        <v>29.884000147558201</v>
      </c>
      <c r="G3677" s="6" t="str">
        <f t="shared" si="114"/>
        <v>OK</v>
      </c>
      <c r="H3677" s="6" t="str">
        <f t="shared" si="115"/>
        <v>ZERO</v>
      </c>
      <c r="I3677">
        <v>0</v>
      </c>
      <c r="J3677">
        <f>IFERROR(Table4[[#This Row],[energy_kwh]]/Table4[[#This Row],[expected_kwh]],0)</f>
        <v>0</v>
      </c>
      <c r="K3677" t="str">
        <f>IF(Table4[[#This Row],[Performance_Ratio]] &lt; 0.85, "Underperforming", "Performing")</f>
        <v>Underperforming</v>
      </c>
      <c r="L3677">
        <f>Table4[[#This Row],[energy_kwh]] - Table4[[#This Row],[expected_kwh]]</f>
        <v>0</v>
      </c>
      <c r="M3677" t="str">
        <f>IF(Table4[[#This Row],[Performance_Deviation]] &lt; 0, "Underperforming", "Outperforming")</f>
        <v>Outperforming</v>
      </c>
      <c r="N3677">
        <f>IF(Table4[[#This Row],[Performance_Ratio]] &lt; 0.85, Table4[[#This Row],[Performance_Deviation]] * 50 / 1000, 0)</f>
        <v>0</v>
      </c>
    </row>
    <row r="3678" spans="1:14" x14ac:dyDescent="0.3">
      <c r="A3678" s="4" t="s">
        <v>10</v>
      </c>
      <c r="B3678" s="3">
        <v>45321.166666666664</v>
      </c>
      <c r="C3678" s="4">
        <v>0</v>
      </c>
      <c r="D3678" s="4">
        <v>0</v>
      </c>
      <c r="E3678" s="4">
        <v>0</v>
      </c>
      <c r="F3678" s="4">
        <v>53.872751351241703</v>
      </c>
      <c r="G3678" s="4" t="str">
        <f t="shared" si="114"/>
        <v>OK</v>
      </c>
      <c r="H3678" s="4" t="str">
        <f t="shared" si="115"/>
        <v>ZERO</v>
      </c>
      <c r="I3678">
        <v>0</v>
      </c>
      <c r="J3678">
        <f>IFERROR(Table4[[#This Row],[energy_kwh]]/Table4[[#This Row],[expected_kwh]],0)</f>
        <v>0</v>
      </c>
      <c r="K3678" t="str">
        <f>IF(Table4[[#This Row],[Performance_Ratio]] &lt; 0.85, "Underperforming", "Performing")</f>
        <v>Underperforming</v>
      </c>
      <c r="L3678">
        <f>Table4[[#This Row],[energy_kwh]] - Table4[[#This Row],[expected_kwh]]</f>
        <v>0</v>
      </c>
      <c r="M3678" t="str">
        <f>IF(Table4[[#This Row],[Performance_Deviation]] &lt; 0, "Underperforming", "Outperforming")</f>
        <v>Outperforming</v>
      </c>
      <c r="N3678">
        <f>IF(Table4[[#This Row],[Performance_Ratio]] &lt; 0.85, Table4[[#This Row],[Performance_Deviation]] * 50 / 1000, 0)</f>
        <v>0</v>
      </c>
    </row>
    <row r="3679" spans="1:14" x14ac:dyDescent="0.3">
      <c r="A3679" s="6" t="s">
        <v>10</v>
      </c>
      <c r="B3679" s="5">
        <v>45321.208333333336</v>
      </c>
      <c r="C3679" s="6">
        <v>0</v>
      </c>
      <c r="D3679" s="6">
        <v>0</v>
      </c>
      <c r="E3679" s="6">
        <v>0</v>
      </c>
      <c r="F3679" s="6">
        <v>30.578726768738001</v>
      </c>
      <c r="G3679" s="6" t="str">
        <f t="shared" si="114"/>
        <v>OK</v>
      </c>
      <c r="H3679" s="6" t="str">
        <f t="shared" si="115"/>
        <v>ZERO</v>
      </c>
      <c r="I3679">
        <v>0</v>
      </c>
      <c r="J3679">
        <f>IFERROR(Table4[[#This Row],[energy_kwh]]/Table4[[#This Row],[expected_kwh]],0)</f>
        <v>0</v>
      </c>
      <c r="K3679" t="str">
        <f>IF(Table4[[#This Row],[Performance_Ratio]] &lt; 0.85, "Underperforming", "Performing")</f>
        <v>Underperforming</v>
      </c>
      <c r="L3679">
        <f>Table4[[#This Row],[energy_kwh]] - Table4[[#This Row],[expected_kwh]]</f>
        <v>0</v>
      </c>
      <c r="M3679" t="str">
        <f>IF(Table4[[#This Row],[Performance_Deviation]] &lt; 0, "Underperforming", "Outperforming")</f>
        <v>Outperforming</v>
      </c>
      <c r="N3679">
        <f>IF(Table4[[#This Row],[Performance_Ratio]] &lt; 0.85, Table4[[#This Row],[Performance_Deviation]] * 50 / 1000, 0)</f>
        <v>0</v>
      </c>
    </row>
    <row r="3680" spans="1:14" x14ac:dyDescent="0.3">
      <c r="A3680" s="4" t="s">
        <v>10</v>
      </c>
      <c r="B3680" s="3">
        <v>45321.25</v>
      </c>
      <c r="C3680" s="4">
        <v>0</v>
      </c>
      <c r="D3680" s="4">
        <v>0</v>
      </c>
      <c r="E3680" s="4">
        <v>0</v>
      </c>
      <c r="F3680" s="4">
        <v>73.651490937515405</v>
      </c>
      <c r="G3680" s="4" t="str">
        <f t="shared" si="114"/>
        <v>OK</v>
      </c>
      <c r="H3680" s="4" t="str">
        <f t="shared" si="115"/>
        <v>ZERO</v>
      </c>
      <c r="I3680">
        <v>0</v>
      </c>
      <c r="J3680">
        <f>IFERROR(Table4[[#This Row],[energy_kwh]]/Table4[[#This Row],[expected_kwh]],0)</f>
        <v>0</v>
      </c>
      <c r="K3680" t="str">
        <f>IF(Table4[[#This Row],[Performance_Ratio]] &lt; 0.85, "Underperforming", "Performing")</f>
        <v>Underperforming</v>
      </c>
      <c r="L3680">
        <f>Table4[[#This Row],[energy_kwh]] - Table4[[#This Row],[expected_kwh]]</f>
        <v>0</v>
      </c>
      <c r="M3680" t="str">
        <f>IF(Table4[[#This Row],[Performance_Deviation]] &lt; 0, "Underperforming", "Outperforming")</f>
        <v>Outperforming</v>
      </c>
      <c r="N3680">
        <f>IF(Table4[[#This Row],[Performance_Ratio]] &lt; 0.85, Table4[[#This Row],[Performance_Deviation]] * 50 / 1000, 0)</f>
        <v>0</v>
      </c>
    </row>
    <row r="3681" spans="1:14" x14ac:dyDescent="0.3">
      <c r="A3681" s="6" t="s">
        <v>10</v>
      </c>
      <c r="B3681" s="5">
        <v>45321.291666666664</v>
      </c>
      <c r="C3681" s="6">
        <v>288.811278699247</v>
      </c>
      <c r="D3681" s="6">
        <v>273.28499969917601</v>
      </c>
      <c r="E3681" s="6">
        <v>273.28499969917601</v>
      </c>
      <c r="F3681" s="6">
        <v>73.471911166964404</v>
      </c>
      <c r="G3681" s="6" t="str">
        <f t="shared" si="114"/>
        <v>OK</v>
      </c>
      <c r="H3681" s="6" t="str">
        <f t="shared" si="115"/>
        <v>NON-ZERO</v>
      </c>
      <c r="I3681">
        <v>310.58285412302399</v>
      </c>
      <c r="J3681">
        <f>IFERROR(Table4[[#This Row],[energy_kwh]]/Table4[[#This Row],[expected_kwh]],0)</f>
        <v>0.87991013048945055</v>
      </c>
      <c r="K3681" t="str">
        <f>IF(Table4[[#This Row],[Performance_Ratio]] &lt; 0.85, "Underperforming", "Performing")</f>
        <v>Performing</v>
      </c>
      <c r="L3681">
        <f>Table4[[#This Row],[energy_kwh]] - Table4[[#This Row],[expected_kwh]]</f>
        <v>-37.29785442384798</v>
      </c>
      <c r="M3681" t="str">
        <f>IF(Table4[[#This Row],[Performance_Deviation]] &lt; 0, "Underperforming", "Outperforming")</f>
        <v>Underperforming</v>
      </c>
      <c r="N3681">
        <f>IF(Table4[[#This Row],[Performance_Ratio]] &lt; 0.85, Table4[[#This Row],[Performance_Deviation]] * 50 / 1000, 0)</f>
        <v>0</v>
      </c>
    </row>
    <row r="3682" spans="1:14" x14ac:dyDescent="0.3">
      <c r="A3682" s="4" t="s">
        <v>10</v>
      </c>
      <c r="B3682" s="3">
        <v>45321.333333333336</v>
      </c>
      <c r="C3682" s="4">
        <v>582.97364431731</v>
      </c>
      <c r="D3682" s="4">
        <v>551.63341587427794</v>
      </c>
      <c r="E3682" s="4">
        <v>551.63341587427794</v>
      </c>
      <c r="F3682" s="4">
        <v>40.4984268990289</v>
      </c>
      <c r="G3682" s="4" t="str">
        <f t="shared" si="114"/>
        <v>OK</v>
      </c>
      <c r="H3682" s="4" t="str">
        <f t="shared" si="115"/>
        <v>NON-ZERO</v>
      </c>
      <c r="I3682">
        <v>600</v>
      </c>
      <c r="J3682">
        <f>IFERROR(Table4[[#This Row],[energy_kwh]]/Table4[[#This Row],[expected_kwh]],0)</f>
        <v>0.91938902645712994</v>
      </c>
      <c r="K3682" t="str">
        <f>IF(Table4[[#This Row],[Performance_Ratio]] &lt; 0.85, "Underperforming", "Performing")</f>
        <v>Performing</v>
      </c>
      <c r="L3682">
        <f>Table4[[#This Row],[energy_kwh]] - Table4[[#This Row],[expected_kwh]]</f>
        <v>-48.366584125722056</v>
      </c>
      <c r="M3682" t="str">
        <f>IF(Table4[[#This Row],[Performance_Deviation]] &lt; 0, "Underperforming", "Outperforming")</f>
        <v>Underperforming</v>
      </c>
      <c r="N3682">
        <f>IF(Table4[[#This Row],[Performance_Ratio]] &lt; 0.85, Table4[[#This Row],[Performance_Deviation]] * 50 / 1000, 0)</f>
        <v>0</v>
      </c>
    </row>
    <row r="3683" spans="1:14" x14ac:dyDescent="0.3">
      <c r="A3683" s="6" t="s">
        <v>10</v>
      </c>
      <c r="B3683" s="5">
        <v>45321.375</v>
      </c>
      <c r="C3683" s="6">
        <v>829.17782886799205</v>
      </c>
      <c r="D3683" s="6">
        <v>784.60184703771199</v>
      </c>
      <c r="E3683" s="6">
        <v>784.60184703771199</v>
      </c>
      <c r="F3683" s="6">
        <v>39.353292052753602</v>
      </c>
      <c r="G3683" s="6" t="str">
        <f t="shared" si="114"/>
        <v>OK</v>
      </c>
      <c r="H3683" s="6" t="str">
        <f t="shared" si="115"/>
        <v>NON-ZERO</v>
      </c>
      <c r="I3683">
        <v>848.52813742385695</v>
      </c>
      <c r="J3683">
        <f>IFERROR(Table4[[#This Row],[energy_kwh]]/Table4[[#This Row],[expected_kwh]],0)</f>
        <v>0.92466214428642746</v>
      </c>
      <c r="K3683" t="str">
        <f>IF(Table4[[#This Row],[Performance_Ratio]] &lt; 0.85, "Underperforming", "Performing")</f>
        <v>Performing</v>
      </c>
      <c r="L3683">
        <f>Table4[[#This Row],[energy_kwh]] - Table4[[#This Row],[expected_kwh]]</f>
        <v>-63.926290386144956</v>
      </c>
      <c r="M3683" t="str">
        <f>IF(Table4[[#This Row],[Performance_Deviation]] &lt; 0, "Underperforming", "Outperforming")</f>
        <v>Underperforming</v>
      </c>
      <c r="N3683">
        <f>IF(Table4[[#This Row],[Performance_Ratio]] &lt; 0.85, Table4[[#This Row],[Performance_Deviation]] * 50 / 1000, 0)</f>
        <v>0</v>
      </c>
    </row>
    <row r="3684" spans="1:14" x14ac:dyDescent="0.3">
      <c r="A3684" s="4" t="s">
        <v>10</v>
      </c>
      <c r="B3684" s="3">
        <v>45321.416666666664</v>
      </c>
      <c r="C3684" s="4">
        <v>999.17544824799995</v>
      </c>
      <c r="D3684" s="4">
        <v>945.46052115308498</v>
      </c>
      <c r="E3684" s="4">
        <v>945.46052115308498</v>
      </c>
      <c r="F3684" s="4">
        <v>29.5749976236729</v>
      </c>
      <c r="G3684" s="4" t="str">
        <f t="shared" si="114"/>
        <v>OK</v>
      </c>
      <c r="H3684" s="4" t="str">
        <f t="shared" si="115"/>
        <v>NON-ZERO</v>
      </c>
      <c r="I3684">
        <v>1039.23048454132</v>
      </c>
      <c r="J3684">
        <f>IFERROR(Table4[[#This Row],[energy_kwh]]/Table4[[#This Row],[expected_kwh]],0)</f>
        <v>0.90976981065983464</v>
      </c>
      <c r="K3684" t="str">
        <f>IF(Table4[[#This Row],[Performance_Ratio]] &lt; 0.85, "Underperforming", "Performing")</f>
        <v>Performing</v>
      </c>
      <c r="L3684">
        <f>Table4[[#This Row],[energy_kwh]] - Table4[[#This Row],[expected_kwh]]</f>
        <v>-93.769963388235055</v>
      </c>
      <c r="M3684" t="str">
        <f>IF(Table4[[#This Row],[Performance_Deviation]] &lt; 0, "Underperforming", "Outperforming")</f>
        <v>Underperforming</v>
      </c>
      <c r="N3684">
        <f>IF(Table4[[#This Row],[Performance_Ratio]] &lt; 0.85, Table4[[#This Row],[Performance_Deviation]] * 50 / 1000, 0)</f>
        <v>0</v>
      </c>
    </row>
    <row r="3685" spans="1:14" x14ac:dyDescent="0.3">
      <c r="A3685" s="6" t="s">
        <v>10</v>
      </c>
      <c r="B3685" s="5">
        <v>45321.458333333336</v>
      </c>
      <c r="C3685" s="6">
        <v>1076.5800385908401</v>
      </c>
      <c r="D3685" s="6">
        <v>1018.70389843332</v>
      </c>
      <c r="E3685" s="6">
        <v>1018.70389843332</v>
      </c>
      <c r="F3685" s="6">
        <v>87.618921965739702</v>
      </c>
      <c r="G3685" s="6" t="str">
        <f t="shared" si="114"/>
        <v>OK</v>
      </c>
      <c r="H3685" s="6" t="str">
        <f t="shared" si="115"/>
        <v>NON-ZERO</v>
      </c>
      <c r="I3685">
        <v>1159.1109915468801</v>
      </c>
      <c r="J3685">
        <f>IFERROR(Table4[[#This Row],[energy_kwh]]/Table4[[#This Row],[expected_kwh]],0)</f>
        <v>0.87886656744909197</v>
      </c>
      <c r="K3685" t="str">
        <f>IF(Table4[[#This Row],[Performance_Ratio]] &lt; 0.85, "Underperforming", "Performing")</f>
        <v>Performing</v>
      </c>
      <c r="L3685">
        <f>Table4[[#This Row],[energy_kwh]] - Table4[[#This Row],[expected_kwh]]</f>
        <v>-140.40709311356011</v>
      </c>
      <c r="M3685" t="str">
        <f>IF(Table4[[#This Row],[Performance_Deviation]] &lt; 0, "Underperforming", "Outperforming")</f>
        <v>Underperforming</v>
      </c>
      <c r="N3685">
        <f>IF(Table4[[#This Row],[Performance_Ratio]] &lt; 0.85, Table4[[#This Row],[Performance_Deviation]] * 50 / 1000, 0)</f>
        <v>0</v>
      </c>
    </row>
    <row r="3686" spans="1:14" x14ac:dyDescent="0.3">
      <c r="A3686" s="4" t="s">
        <v>10</v>
      </c>
      <c r="B3686" s="3">
        <v>45321.5</v>
      </c>
      <c r="C3686" s="4">
        <v>1199.2858463571299</v>
      </c>
      <c r="D3686" s="4">
        <v>1134.8131334657301</v>
      </c>
      <c r="E3686" s="4">
        <v>1134.8131334657301</v>
      </c>
      <c r="F3686" s="4">
        <v>90.042007861239696</v>
      </c>
      <c r="G3686" s="4" t="str">
        <f t="shared" si="114"/>
        <v>OK</v>
      </c>
      <c r="H3686" s="4" t="str">
        <f t="shared" si="115"/>
        <v>NON-ZERO</v>
      </c>
      <c r="I3686">
        <v>1200</v>
      </c>
      <c r="J3686">
        <f>IFERROR(Table4[[#This Row],[energy_kwh]]/Table4[[#This Row],[expected_kwh]],0)</f>
        <v>0.94567761122144167</v>
      </c>
      <c r="K3686" t="str">
        <f>IF(Table4[[#This Row],[Performance_Ratio]] &lt; 0.85, "Underperforming", "Performing")</f>
        <v>Performing</v>
      </c>
      <c r="L3686">
        <f>Table4[[#This Row],[energy_kwh]] - Table4[[#This Row],[expected_kwh]]</f>
        <v>-65.186866534269939</v>
      </c>
      <c r="M3686" t="str">
        <f>IF(Table4[[#This Row],[Performance_Deviation]] &lt; 0, "Underperforming", "Outperforming")</f>
        <v>Underperforming</v>
      </c>
      <c r="N3686">
        <f>IF(Table4[[#This Row],[Performance_Ratio]] &lt; 0.85, Table4[[#This Row],[Performance_Deviation]] * 50 / 1000, 0)</f>
        <v>0</v>
      </c>
    </row>
    <row r="3687" spans="1:14" x14ac:dyDescent="0.3">
      <c r="A3687" s="6" t="s">
        <v>10</v>
      </c>
      <c r="B3687" s="5">
        <v>45321.541666666664</v>
      </c>
      <c r="C3687" s="6">
        <v>1100.56797217798</v>
      </c>
      <c r="D3687" s="6">
        <v>1041.40225859665</v>
      </c>
      <c r="E3687" s="6">
        <v>1041.40225859665</v>
      </c>
      <c r="F3687" s="6">
        <v>23.410846347952699</v>
      </c>
      <c r="G3687" s="6" t="str">
        <f t="shared" si="114"/>
        <v>OK</v>
      </c>
      <c r="H3687" s="6" t="str">
        <f t="shared" si="115"/>
        <v>NON-ZERO</v>
      </c>
      <c r="I3687">
        <v>1159.1109915468801</v>
      </c>
      <c r="J3687">
        <f>IFERROR(Table4[[#This Row],[energy_kwh]]/Table4[[#This Row],[expected_kwh]],0)</f>
        <v>0.89844912712531255</v>
      </c>
      <c r="K3687" t="str">
        <f>IF(Table4[[#This Row],[Performance_Ratio]] &lt; 0.85, "Underperforming", "Performing")</f>
        <v>Performing</v>
      </c>
      <c r="L3687">
        <f>Table4[[#This Row],[energy_kwh]] - Table4[[#This Row],[expected_kwh]]</f>
        <v>-117.70873295023011</v>
      </c>
      <c r="M3687" t="str">
        <f>IF(Table4[[#This Row],[Performance_Deviation]] &lt; 0, "Underperforming", "Outperforming")</f>
        <v>Underperforming</v>
      </c>
      <c r="N3687">
        <f>IF(Table4[[#This Row],[Performance_Ratio]] &lt; 0.85, Table4[[#This Row],[Performance_Deviation]] * 50 / 1000, 0)</f>
        <v>0</v>
      </c>
    </row>
    <row r="3688" spans="1:14" x14ac:dyDescent="0.3">
      <c r="A3688" s="4" t="s">
        <v>10</v>
      </c>
      <c r="B3688" s="3">
        <v>45321.583333333336</v>
      </c>
      <c r="C3688" s="4">
        <v>1103.1916705184799</v>
      </c>
      <c r="D3688" s="4">
        <v>1043.8849088706399</v>
      </c>
      <c r="E3688" s="4">
        <v>1043.8849088706399</v>
      </c>
      <c r="F3688" s="4">
        <v>53.311930423437502</v>
      </c>
      <c r="G3688" s="4" t="str">
        <f t="shared" si="114"/>
        <v>OK</v>
      </c>
      <c r="H3688" s="4" t="str">
        <f t="shared" si="115"/>
        <v>NON-ZERO</v>
      </c>
      <c r="I3688">
        <v>1039.23048454132</v>
      </c>
      <c r="J3688">
        <f>IFERROR(Table4[[#This Row],[energy_kwh]]/Table4[[#This Row],[expected_kwh]],0)</f>
        <v>1.0044787218990927</v>
      </c>
      <c r="K3688" t="str">
        <f>IF(Table4[[#This Row],[Performance_Ratio]] &lt; 0.85, "Underperforming", "Performing")</f>
        <v>Performing</v>
      </c>
      <c r="L3688">
        <f>Table4[[#This Row],[energy_kwh]] - Table4[[#This Row],[expected_kwh]]</f>
        <v>4.6544243293199088</v>
      </c>
      <c r="M3688" t="str">
        <f>IF(Table4[[#This Row],[Performance_Deviation]] &lt; 0, "Underperforming", "Outperforming")</f>
        <v>Outperforming</v>
      </c>
      <c r="N3688">
        <f>IF(Table4[[#This Row],[Performance_Ratio]] &lt; 0.85, Table4[[#This Row],[Performance_Deviation]] * 50 / 1000, 0)</f>
        <v>0</v>
      </c>
    </row>
    <row r="3689" spans="1:14" x14ac:dyDescent="0.3">
      <c r="A3689" s="6" t="s">
        <v>10</v>
      </c>
      <c r="B3689" s="5">
        <v>45321.625</v>
      </c>
      <c r="C3689" s="6">
        <v>844.14588648206495</v>
      </c>
      <c r="D3689" s="6">
        <v>798.76523303490103</v>
      </c>
      <c r="E3689" s="6">
        <v>798.76523303490103</v>
      </c>
      <c r="F3689" s="6">
        <v>31.8459779316326</v>
      </c>
      <c r="G3689" s="6" t="str">
        <f t="shared" si="114"/>
        <v>OK</v>
      </c>
      <c r="H3689" s="6" t="str">
        <f t="shared" si="115"/>
        <v>NON-ZERO</v>
      </c>
      <c r="I3689">
        <v>848.52813742385695</v>
      </c>
      <c r="J3689">
        <f>IFERROR(Table4[[#This Row],[energy_kwh]]/Table4[[#This Row],[expected_kwh]],0)</f>
        <v>0.94135385475838573</v>
      </c>
      <c r="K3689" t="str">
        <f>IF(Table4[[#This Row],[Performance_Ratio]] &lt; 0.85, "Underperforming", "Performing")</f>
        <v>Performing</v>
      </c>
      <c r="L3689">
        <f>Table4[[#This Row],[energy_kwh]] - Table4[[#This Row],[expected_kwh]]</f>
        <v>-49.762904388955917</v>
      </c>
      <c r="M3689" t="str">
        <f>IF(Table4[[#This Row],[Performance_Deviation]] &lt; 0, "Underperforming", "Outperforming")</f>
        <v>Underperforming</v>
      </c>
      <c r="N3689">
        <f>IF(Table4[[#This Row],[Performance_Ratio]] &lt; 0.85, Table4[[#This Row],[Performance_Deviation]] * 50 / 1000, 0)</f>
        <v>0</v>
      </c>
    </row>
    <row r="3690" spans="1:14" x14ac:dyDescent="0.3">
      <c r="A3690" s="4" t="s">
        <v>10</v>
      </c>
      <c r="B3690" s="3">
        <v>45321.666666666664</v>
      </c>
      <c r="C3690" s="4">
        <v>562.06487398993499</v>
      </c>
      <c r="D3690" s="4">
        <v>531.84868544975404</v>
      </c>
      <c r="E3690" s="4">
        <v>531.84868544975404</v>
      </c>
      <c r="F3690" s="4">
        <v>54.385070760929203</v>
      </c>
      <c r="G3690" s="4" t="str">
        <f t="shared" si="114"/>
        <v>OK</v>
      </c>
      <c r="H3690" s="4" t="str">
        <f t="shared" si="115"/>
        <v>NON-ZERO</v>
      </c>
      <c r="I3690">
        <v>600</v>
      </c>
      <c r="J3690">
        <f>IFERROR(Table4[[#This Row],[energy_kwh]]/Table4[[#This Row],[expected_kwh]],0)</f>
        <v>0.88641447574959009</v>
      </c>
      <c r="K3690" t="str">
        <f>IF(Table4[[#This Row],[Performance_Ratio]] &lt; 0.85, "Underperforming", "Performing")</f>
        <v>Performing</v>
      </c>
      <c r="L3690">
        <f>Table4[[#This Row],[energy_kwh]] - Table4[[#This Row],[expected_kwh]]</f>
        <v>-68.151314550245957</v>
      </c>
      <c r="M3690" t="str">
        <f>IF(Table4[[#This Row],[Performance_Deviation]] &lt; 0, "Underperforming", "Outperforming")</f>
        <v>Underperforming</v>
      </c>
      <c r="N3690">
        <f>IF(Table4[[#This Row],[Performance_Ratio]] &lt; 0.85, Table4[[#This Row],[Performance_Deviation]] * 50 / 1000, 0)</f>
        <v>0</v>
      </c>
    </row>
    <row r="3691" spans="1:14" x14ac:dyDescent="0.3">
      <c r="A3691" s="6" t="s">
        <v>10</v>
      </c>
      <c r="B3691" s="5">
        <v>45321.708333333336</v>
      </c>
      <c r="C3691" s="6">
        <v>301.21676019876298</v>
      </c>
      <c r="D3691" s="6">
        <v>285.02357176302502</v>
      </c>
      <c r="E3691" s="6">
        <v>285.02357176302502</v>
      </c>
      <c r="F3691" s="6">
        <v>26.340750153509202</v>
      </c>
      <c r="G3691" s="6" t="str">
        <f t="shared" si="114"/>
        <v>OK</v>
      </c>
      <c r="H3691" s="6" t="str">
        <f t="shared" si="115"/>
        <v>NON-ZERO</v>
      </c>
      <c r="I3691">
        <v>310.58285412302502</v>
      </c>
      <c r="J3691">
        <f>IFERROR(Table4[[#This Row],[energy_kwh]]/Table4[[#This Row],[expected_kwh]],0)</f>
        <v>0.91770543022353801</v>
      </c>
      <c r="K3691" t="str">
        <f>IF(Table4[[#This Row],[Performance_Ratio]] &lt; 0.85, "Underperforming", "Performing")</f>
        <v>Performing</v>
      </c>
      <c r="L3691">
        <f>Table4[[#This Row],[energy_kwh]] - Table4[[#This Row],[expected_kwh]]</f>
        <v>-25.559282359999997</v>
      </c>
      <c r="M3691" t="str">
        <f>IF(Table4[[#This Row],[Performance_Deviation]] &lt; 0, "Underperforming", "Outperforming")</f>
        <v>Underperforming</v>
      </c>
      <c r="N3691">
        <f>IF(Table4[[#This Row],[Performance_Ratio]] &lt; 0.85, Table4[[#This Row],[Performance_Deviation]] * 50 / 1000, 0)</f>
        <v>0</v>
      </c>
    </row>
    <row r="3692" spans="1:14" x14ac:dyDescent="0.3">
      <c r="A3692" s="4" t="s">
        <v>10</v>
      </c>
      <c r="B3692" s="3">
        <v>45321.75</v>
      </c>
      <c r="C3692" s="7">
        <v>1.40037292926881E-13</v>
      </c>
      <c r="D3692" s="7">
        <v>1.3250899247341599E-13</v>
      </c>
      <c r="E3692" s="7">
        <v>1.3250899247341599E-13</v>
      </c>
      <c r="F3692" s="4">
        <v>25.765032753631601</v>
      </c>
      <c r="G3692" s="4" t="str">
        <f t="shared" si="114"/>
        <v>OK</v>
      </c>
      <c r="H3692" s="4" t="str">
        <f t="shared" si="115"/>
        <v>NON-ZERO</v>
      </c>
      <c r="I3692" s="2">
        <v>1.46957615897682E-13</v>
      </c>
      <c r="J3692">
        <f>IFERROR(Table4[[#This Row],[energy_kwh]]/Table4[[#This Row],[expected_kwh]],0)</f>
        <v>0.90168169688921906</v>
      </c>
      <c r="K3692" t="str">
        <f>IF(Table4[[#This Row],[Performance_Ratio]] &lt; 0.85, "Underperforming", "Performing")</f>
        <v>Performing</v>
      </c>
      <c r="L3692">
        <f>Table4[[#This Row],[energy_kwh]] - Table4[[#This Row],[expected_kwh]]</f>
        <v>-1.4448623424266011E-14</v>
      </c>
      <c r="M3692" t="str">
        <f>IF(Table4[[#This Row],[Performance_Deviation]] &lt; 0, "Underperforming", "Outperforming")</f>
        <v>Underperforming</v>
      </c>
      <c r="N3692">
        <f>IF(Table4[[#This Row],[Performance_Ratio]] &lt; 0.85, Table4[[#This Row],[Performance_Deviation]] * 50 / 1000, 0)</f>
        <v>0</v>
      </c>
    </row>
    <row r="3693" spans="1:14" x14ac:dyDescent="0.3">
      <c r="A3693" s="6" t="s">
        <v>10</v>
      </c>
      <c r="B3693" s="5">
        <v>45321.791666666664</v>
      </c>
      <c r="C3693" s="6">
        <v>0</v>
      </c>
      <c r="D3693" s="6">
        <v>0</v>
      </c>
      <c r="E3693" s="6">
        <v>0</v>
      </c>
      <c r="F3693" s="6">
        <v>85.583329115461893</v>
      </c>
      <c r="G3693" s="6" t="str">
        <f t="shared" si="114"/>
        <v>OK</v>
      </c>
      <c r="H3693" s="6" t="str">
        <f t="shared" si="115"/>
        <v>ZERO</v>
      </c>
      <c r="I3693">
        <v>0</v>
      </c>
      <c r="J3693">
        <f>IFERROR(Table4[[#This Row],[energy_kwh]]/Table4[[#This Row],[expected_kwh]],0)</f>
        <v>0</v>
      </c>
      <c r="K3693" t="str">
        <f>IF(Table4[[#This Row],[Performance_Ratio]] &lt; 0.85, "Underperforming", "Performing")</f>
        <v>Underperforming</v>
      </c>
      <c r="L3693">
        <f>Table4[[#This Row],[energy_kwh]] - Table4[[#This Row],[expected_kwh]]</f>
        <v>0</v>
      </c>
      <c r="M3693" t="str">
        <f>IF(Table4[[#This Row],[Performance_Deviation]] &lt; 0, "Underperforming", "Outperforming")</f>
        <v>Outperforming</v>
      </c>
      <c r="N3693">
        <f>IF(Table4[[#This Row],[Performance_Ratio]] &lt; 0.85, Table4[[#This Row],[Performance_Deviation]] * 50 / 1000, 0)</f>
        <v>0</v>
      </c>
    </row>
    <row r="3694" spans="1:14" x14ac:dyDescent="0.3">
      <c r="A3694" s="4" t="s">
        <v>10</v>
      </c>
      <c r="B3694" s="3">
        <v>45321.833333333336</v>
      </c>
      <c r="C3694" s="4">
        <v>0</v>
      </c>
      <c r="D3694" s="4">
        <v>0</v>
      </c>
      <c r="E3694" s="4">
        <v>0</v>
      </c>
      <c r="F3694" s="4">
        <v>60.117858814234602</v>
      </c>
      <c r="G3694" s="4" t="str">
        <f t="shared" si="114"/>
        <v>OK</v>
      </c>
      <c r="H3694" s="4" t="str">
        <f t="shared" si="115"/>
        <v>ZERO</v>
      </c>
      <c r="I3694">
        <v>0</v>
      </c>
      <c r="J3694">
        <f>IFERROR(Table4[[#This Row],[energy_kwh]]/Table4[[#This Row],[expected_kwh]],0)</f>
        <v>0</v>
      </c>
      <c r="K3694" t="str">
        <f>IF(Table4[[#This Row],[Performance_Ratio]] &lt; 0.85, "Underperforming", "Performing")</f>
        <v>Underperforming</v>
      </c>
      <c r="L3694">
        <f>Table4[[#This Row],[energy_kwh]] - Table4[[#This Row],[expected_kwh]]</f>
        <v>0</v>
      </c>
      <c r="M3694" t="str">
        <f>IF(Table4[[#This Row],[Performance_Deviation]] &lt; 0, "Underperforming", "Outperforming")</f>
        <v>Outperforming</v>
      </c>
      <c r="N3694">
        <f>IF(Table4[[#This Row],[Performance_Ratio]] &lt; 0.85, Table4[[#This Row],[Performance_Deviation]] * 50 / 1000, 0)</f>
        <v>0</v>
      </c>
    </row>
    <row r="3695" spans="1:14" x14ac:dyDescent="0.3">
      <c r="A3695" s="6" t="s">
        <v>10</v>
      </c>
      <c r="B3695" s="5">
        <v>45321.875</v>
      </c>
      <c r="C3695" s="6">
        <v>0</v>
      </c>
      <c r="D3695" s="6">
        <v>0</v>
      </c>
      <c r="E3695" s="6">
        <v>0</v>
      </c>
      <c r="F3695" s="6">
        <v>32.590917581213397</v>
      </c>
      <c r="G3695" s="6" t="str">
        <f t="shared" si="114"/>
        <v>OK</v>
      </c>
      <c r="H3695" s="6" t="str">
        <f t="shared" si="115"/>
        <v>ZERO</v>
      </c>
      <c r="I3695">
        <v>0</v>
      </c>
      <c r="J3695">
        <f>IFERROR(Table4[[#This Row],[energy_kwh]]/Table4[[#This Row],[expected_kwh]],0)</f>
        <v>0</v>
      </c>
      <c r="K3695" t="str">
        <f>IF(Table4[[#This Row],[Performance_Ratio]] &lt; 0.85, "Underperforming", "Performing")</f>
        <v>Underperforming</v>
      </c>
      <c r="L3695">
        <f>Table4[[#This Row],[energy_kwh]] - Table4[[#This Row],[expected_kwh]]</f>
        <v>0</v>
      </c>
      <c r="M3695" t="str">
        <f>IF(Table4[[#This Row],[Performance_Deviation]] &lt; 0, "Underperforming", "Outperforming")</f>
        <v>Outperforming</v>
      </c>
      <c r="N3695">
        <f>IF(Table4[[#This Row],[Performance_Ratio]] &lt; 0.85, Table4[[#This Row],[Performance_Deviation]] * 50 / 1000, 0)</f>
        <v>0</v>
      </c>
    </row>
    <row r="3696" spans="1:14" x14ac:dyDescent="0.3">
      <c r="A3696" s="4" t="s">
        <v>10</v>
      </c>
      <c r="B3696" s="3">
        <v>45321.916666666664</v>
      </c>
      <c r="C3696" s="4">
        <v>0</v>
      </c>
      <c r="D3696" s="4">
        <v>0</v>
      </c>
      <c r="E3696" s="4">
        <v>0</v>
      </c>
      <c r="F3696" s="4">
        <v>35.333849467439698</v>
      </c>
      <c r="G3696" s="4" t="str">
        <f t="shared" si="114"/>
        <v>OK</v>
      </c>
      <c r="H3696" s="4" t="str">
        <f t="shared" si="115"/>
        <v>ZERO</v>
      </c>
      <c r="I3696">
        <v>0</v>
      </c>
      <c r="J3696">
        <f>IFERROR(Table4[[#This Row],[energy_kwh]]/Table4[[#This Row],[expected_kwh]],0)</f>
        <v>0</v>
      </c>
      <c r="K3696" t="str">
        <f>IF(Table4[[#This Row],[Performance_Ratio]] &lt; 0.85, "Underperforming", "Performing")</f>
        <v>Underperforming</v>
      </c>
      <c r="L3696">
        <f>Table4[[#This Row],[energy_kwh]] - Table4[[#This Row],[expected_kwh]]</f>
        <v>0</v>
      </c>
      <c r="M3696" t="str">
        <f>IF(Table4[[#This Row],[Performance_Deviation]] &lt; 0, "Underperforming", "Outperforming")</f>
        <v>Outperforming</v>
      </c>
      <c r="N3696">
        <f>IF(Table4[[#This Row],[Performance_Ratio]] &lt; 0.85, Table4[[#This Row],[Performance_Deviation]] * 50 / 1000, 0)</f>
        <v>0</v>
      </c>
    </row>
    <row r="3697" spans="1:14" x14ac:dyDescent="0.3">
      <c r="A3697" s="6" t="s">
        <v>10</v>
      </c>
      <c r="B3697" s="5">
        <v>45321.958333333336</v>
      </c>
      <c r="C3697" s="6">
        <v>0</v>
      </c>
      <c r="D3697" s="6">
        <v>0</v>
      </c>
      <c r="E3697" s="6">
        <v>0</v>
      </c>
      <c r="F3697" s="6">
        <v>58.3870820496915</v>
      </c>
      <c r="G3697" s="6" t="str">
        <f t="shared" si="114"/>
        <v>OK</v>
      </c>
      <c r="H3697" s="6" t="str">
        <f t="shared" si="115"/>
        <v>ZERO</v>
      </c>
      <c r="I3697">
        <v>0</v>
      </c>
      <c r="J3697">
        <f>IFERROR(Table4[[#This Row],[energy_kwh]]/Table4[[#This Row],[expected_kwh]],0)</f>
        <v>0</v>
      </c>
      <c r="K3697" t="str">
        <f>IF(Table4[[#This Row],[Performance_Ratio]] &lt; 0.85, "Underperforming", "Performing")</f>
        <v>Underperforming</v>
      </c>
      <c r="L3697">
        <f>Table4[[#This Row],[energy_kwh]] - Table4[[#This Row],[expected_kwh]]</f>
        <v>0</v>
      </c>
      <c r="M3697" t="str">
        <f>IF(Table4[[#This Row],[Performance_Deviation]] &lt; 0, "Underperforming", "Outperforming")</f>
        <v>Outperforming</v>
      </c>
      <c r="N3697">
        <f>IF(Table4[[#This Row],[Performance_Ratio]] &lt; 0.85, Table4[[#This Row],[Performance_Deviation]] * 50 / 1000, 0)</f>
        <v>0</v>
      </c>
    </row>
    <row r="3698" spans="1:14" x14ac:dyDescent="0.3">
      <c r="A3698" s="4" t="s">
        <v>10</v>
      </c>
      <c r="B3698" s="3">
        <v>45322</v>
      </c>
      <c r="C3698" s="4">
        <v>0</v>
      </c>
      <c r="D3698" s="4">
        <v>0</v>
      </c>
      <c r="E3698" s="4">
        <v>0</v>
      </c>
      <c r="F3698" s="4">
        <v>49.826085135877499</v>
      </c>
      <c r="G3698" s="4" t="str">
        <f t="shared" si="114"/>
        <v>OK</v>
      </c>
      <c r="H3698" s="4" t="str">
        <f t="shared" si="115"/>
        <v>ZERO</v>
      </c>
      <c r="I3698">
        <v>0</v>
      </c>
      <c r="J3698">
        <f>IFERROR(Table4[[#This Row],[energy_kwh]]/Table4[[#This Row],[expected_kwh]],0)</f>
        <v>0</v>
      </c>
      <c r="K3698" t="str">
        <f>IF(Table4[[#This Row],[Performance_Ratio]] &lt; 0.85, "Underperforming", "Performing")</f>
        <v>Underperforming</v>
      </c>
      <c r="L3698">
        <f>Table4[[#This Row],[energy_kwh]] - Table4[[#This Row],[expected_kwh]]</f>
        <v>0</v>
      </c>
      <c r="M3698" t="str">
        <f>IF(Table4[[#This Row],[Performance_Deviation]] &lt; 0, "Underperforming", "Outperforming")</f>
        <v>Outperforming</v>
      </c>
      <c r="N3698">
        <f>IF(Table4[[#This Row],[Performance_Ratio]] &lt; 0.85, Table4[[#This Row],[Performance_Deviation]] * 50 / 1000, 0)</f>
        <v>0</v>
      </c>
    </row>
    <row r="3699" spans="1:14" x14ac:dyDescent="0.3">
      <c r="A3699" s="6" t="s">
        <v>10</v>
      </c>
      <c r="B3699" s="5">
        <v>45322.041666666664</v>
      </c>
      <c r="C3699" s="6">
        <v>0</v>
      </c>
      <c r="D3699" s="6">
        <v>0</v>
      </c>
      <c r="E3699" s="6">
        <v>0</v>
      </c>
      <c r="F3699" s="6">
        <v>23.0799780309958</v>
      </c>
      <c r="G3699" s="6" t="str">
        <f t="shared" si="114"/>
        <v>OK</v>
      </c>
      <c r="H3699" s="6" t="str">
        <f t="shared" si="115"/>
        <v>ZERO</v>
      </c>
      <c r="I3699">
        <v>0</v>
      </c>
      <c r="J3699">
        <f>IFERROR(Table4[[#This Row],[energy_kwh]]/Table4[[#This Row],[expected_kwh]],0)</f>
        <v>0</v>
      </c>
      <c r="K3699" t="str">
        <f>IF(Table4[[#This Row],[Performance_Ratio]] &lt; 0.85, "Underperforming", "Performing")</f>
        <v>Underperforming</v>
      </c>
      <c r="L3699">
        <f>Table4[[#This Row],[energy_kwh]] - Table4[[#This Row],[expected_kwh]]</f>
        <v>0</v>
      </c>
      <c r="M3699" t="str">
        <f>IF(Table4[[#This Row],[Performance_Deviation]] &lt; 0, "Underperforming", "Outperforming")</f>
        <v>Outperforming</v>
      </c>
      <c r="N3699">
        <f>IF(Table4[[#This Row],[Performance_Ratio]] &lt; 0.85, Table4[[#This Row],[Performance_Deviation]] * 50 / 1000, 0)</f>
        <v>0</v>
      </c>
    </row>
    <row r="3700" spans="1:14" x14ac:dyDescent="0.3">
      <c r="A3700" s="4" t="s">
        <v>10</v>
      </c>
      <c r="B3700" s="3">
        <v>45322.083333333336</v>
      </c>
      <c r="C3700" s="4">
        <v>0</v>
      </c>
      <c r="D3700" s="4">
        <v>0</v>
      </c>
      <c r="E3700" s="4">
        <v>0</v>
      </c>
      <c r="F3700" s="4">
        <v>36.595249896940999</v>
      </c>
      <c r="G3700" s="4" t="str">
        <f t="shared" si="114"/>
        <v>OK</v>
      </c>
      <c r="H3700" s="4" t="str">
        <f t="shared" si="115"/>
        <v>ZERO</v>
      </c>
      <c r="I3700">
        <v>0</v>
      </c>
      <c r="J3700">
        <f>IFERROR(Table4[[#This Row],[energy_kwh]]/Table4[[#This Row],[expected_kwh]],0)</f>
        <v>0</v>
      </c>
      <c r="K3700" t="str">
        <f>IF(Table4[[#This Row],[Performance_Ratio]] &lt; 0.85, "Underperforming", "Performing")</f>
        <v>Underperforming</v>
      </c>
      <c r="L3700">
        <f>Table4[[#This Row],[energy_kwh]] - Table4[[#This Row],[expected_kwh]]</f>
        <v>0</v>
      </c>
      <c r="M3700" t="str">
        <f>IF(Table4[[#This Row],[Performance_Deviation]] &lt; 0, "Underperforming", "Outperforming")</f>
        <v>Outperforming</v>
      </c>
      <c r="N3700">
        <f>IF(Table4[[#This Row],[Performance_Ratio]] &lt; 0.85, Table4[[#This Row],[Performance_Deviation]] * 50 / 1000, 0)</f>
        <v>0</v>
      </c>
    </row>
    <row r="3701" spans="1:14" x14ac:dyDescent="0.3">
      <c r="A3701" s="6" t="s">
        <v>10</v>
      </c>
      <c r="B3701" s="5">
        <v>45322.125</v>
      </c>
      <c r="C3701" s="6">
        <v>0</v>
      </c>
      <c r="D3701" s="6">
        <v>0</v>
      </c>
      <c r="E3701" s="6">
        <v>0</v>
      </c>
      <c r="F3701" s="6">
        <v>90.046559884642804</v>
      </c>
      <c r="G3701" s="6" t="str">
        <f t="shared" si="114"/>
        <v>OK</v>
      </c>
      <c r="H3701" s="6" t="str">
        <f t="shared" si="115"/>
        <v>ZERO</v>
      </c>
      <c r="I3701">
        <v>0</v>
      </c>
      <c r="J3701">
        <f>IFERROR(Table4[[#This Row],[energy_kwh]]/Table4[[#This Row],[expected_kwh]],0)</f>
        <v>0</v>
      </c>
      <c r="K3701" t="str">
        <f>IF(Table4[[#This Row],[Performance_Ratio]] &lt; 0.85, "Underperforming", "Performing")</f>
        <v>Underperforming</v>
      </c>
      <c r="L3701">
        <f>Table4[[#This Row],[energy_kwh]] - Table4[[#This Row],[expected_kwh]]</f>
        <v>0</v>
      </c>
      <c r="M3701" t="str">
        <f>IF(Table4[[#This Row],[Performance_Deviation]] &lt; 0, "Underperforming", "Outperforming")</f>
        <v>Outperforming</v>
      </c>
      <c r="N3701">
        <f>IF(Table4[[#This Row],[Performance_Ratio]] &lt; 0.85, Table4[[#This Row],[Performance_Deviation]] * 50 / 1000, 0)</f>
        <v>0</v>
      </c>
    </row>
    <row r="3702" spans="1:14" x14ac:dyDescent="0.3">
      <c r="A3702" s="4" t="s">
        <v>10</v>
      </c>
      <c r="B3702" s="3">
        <v>45322.166666666664</v>
      </c>
      <c r="C3702" s="4">
        <v>0</v>
      </c>
      <c r="D3702" s="4">
        <v>0</v>
      </c>
      <c r="E3702" s="4">
        <v>0</v>
      </c>
      <c r="F3702" s="4">
        <v>76.678560020081306</v>
      </c>
      <c r="G3702" s="4" t="str">
        <f t="shared" si="114"/>
        <v>OK</v>
      </c>
      <c r="H3702" s="4" t="str">
        <f t="shared" si="115"/>
        <v>ZERO</v>
      </c>
      <c r="I3702">
        <v>0</v>
      </c>
      <c r="J3702">
        <f>IFERROR(Table4[[#This Row],[energy_kwh]]/Table4[[#This Row],[expected_kwh]],0)</f>
        <v>0</v>
      </c>
      <c r="K3702" t="str">
        <f>IF(Table4[[#This Row],[Performance_Ratio]] &lt; 0.85, "Underperforming", "Performing")</f>
        <v>Underperforming</v>
      </c>
      <c r="L3702">
        <f>Table4[[#This Row],[energy_kwh]] - Table4[[#This Row],[expected_kwh]]</f>
        <v>0</v>
      </c>
      <c r="M3702" t="str">
        <f>IF(Table4[[#This Row],[Performance_Deviation]] &lt; 0, "Underperforming", "Outperforming")</f>
        <v>Outperforming</v>
      </c>
      <c r="N3702">
        <f>IF(Table4[[#This Row],[Performance_Ratio]] &lt; 0.85, Table4[[#This Row],[Performance_Deviation]] * 50 / 1000, 0)</f>
        <v>0</v>
      </c>
    </row>
    <row r="3703" spans="1:14" x14ac:dyDescent="0.3">
      <c r="A3703" s="6" t="s">
        <v>10</v>
      </c>
      <c r="B3703" s="5">
        <v>45322.208333333336</v>
      </c>
      <c r="C3703" s="6">
        <v>0</v>
      </c>
      <c r="D3703" s="6">
        <v>0</v>
      </c>
      <c r="E3703" s="6">
        <v>0</v>
      </c>
      <c r="F3703" s="6">
        <v>82.723240626175297</v>
      </c>
      <c r="G3703" s="6" t="str">
        <f t="shared" si="114"/>
        <v>OK</v>
      </c>
      <c r="H3703" s="6" t="str">
        <f t="shared" si="115"/>
        <v>ZERO</v>
      </c>
      <c r="I3703">
        <v>0</v>
      </c>
      <c r="J3703">
        <f>IFERROR(Table4[[#This Row],[energy_kwh]]/Table4[[#This Row],[expected_kwh]],0)</f>
        <v>0</v>
      </c>
      <c r="K3703" t="str">
        <f>IF(Table4[[#This Row],[Performance_Ratio]] &lt; 0.85, "Underperforming", "Performing")</f>
        <v>Underperforming</v>
      </c>
      <c r="L3703">
        <f>Table4[[#This Row],[energy_kwh]] - Table4[[#This Row],[expected_kwh]]</f>
        <v>0</v>
      </c>
      <c r="M3703" t="str">
        <f>IF(Table4[[#This Row],[Performance_Deviation]] &lt; 0, "Underperforming", "Outperforming")</f>
        <v>Outperforming</v>
      </c>
      <c r="N3703">
        <f>IF(Table4[[#This Row],[Performance_Ratio]] &lt; 0.85, Table4[[#This Row],[Performance_Deviation]] * 50 / 1000, 0)</f>
        <v>0</v>
      </c>
    </row>
    <row r="3704" spans="1:14" x14ac:dyDescent="0.3">
      <c r="A3704" s="4" t="s">
        <v>10</v>
      </c>
      <c r="B3704" s="3">
        <v>45322.25</v>
      </c>
      <c r="C3704" s="4">
        <v>0</v>
      </c>
      <c r="D3704" s="4">
        <v>0</v>
      </c>
      <c r="E3704" s="4">
        <v>0</v>
      </c>
      <c r="F3704" s="4">
        <v>78.398911330618205</v>
      </c>
      <c r="G3704" s="4" t="str">
        <f t="shared" si="114"/>
        <v>OK</v>
      </c>
      <c r="H3704" s="4" t="str">
        <f t="shared" si="115"/>
        <v>ZERO</v>
      </c>
      <c r="I3704">
        <v>0</v>
      </c>
      <c r="J3704">
        <f>IFERROR(Table4[[#This Row],[energy_kwh]]/Table4[[#This Row],[expected_kwh]],0)</f>
        <v>0</v>
      </c>
      <c r="K3704" t="str">
        <f>IF(Table4[[#This Row],[Performance_Ratio]] &lt; 0.85, "Underperforming", "Performing")</f>
        <v>Underperforming</v>
      </c>
      <c r="L3704">
        <f>Table4[[#This Row],[energy_kwh]] - Table4[[#This Row],[expected_kwh]]</f>
        <v>0</v>
      </c>
      <c r="M3704" t="str">
        <f>IF(Table4[[#This Row],[Performance_Deviation]] &lt; 0, "Underperforming", "Outperforming")</f>
        <v>Outperforming</v>
      </c>
      <c r="N3704">
        <f>IF(Table4[[#This Row],[Performance_Ratio]] &lt; 0.85, Table4[[#This Row],[Performance_Deviation]] * 50 / 1000, 0)</f>
        <v>0</v>
      </c>
    </row>
    <row r="3705" spans="1:14" x14ac:dyDescent="0.3">
      <c r="A3705" s="6" t="s">
        <v>10</v>
      </c>
      <c r="B3705" s="5">
        <v>45322.291666666664</v>
      </c>
      <c r="C3705" s="6">
        <v>282.14858225691302</v>
      </c>
      <c r="D3705" s="6">
        <v>266.98048484975698</v>
      </c>
      <c r="E3705" s="6">
        <v>266.98048484975698</v>
      </c>
      <c r="F3705" s="6">
        <v>37.8591553570812</v>
      </c>
      <c r="G3705" s="6" t="str">
        <f t="shared" si="114"/>
        <v>OK</v>
      </c>
      <c r="H3705" s="6" t="str">
        <f t="shared" si="115"/>
        <v>NON-ZERO</v>
      </c>
      <c r="I3705">
        <v>310.58285412302399</v>
      </c>
      <c r="J3705">
        <f>IFERROR(Table4[[#This Row],[energy_kwh]]/Table4[[#This Row],[expected_kwh]],0)</f>
        <v>0.85961115143852784</v>
      </c>
      <c r="K3705" t="str">
        <f>IF(Table4[[#This Row],[Performance_Ratio]] &lt; 0.85, "Underperforming", "Performing")</f>
        <v>Performing</v>
      </c>
      <c r="L3705">
        <f>Table4[[#This Row],[energy_kwh]] - Table4[[#This Row],[expected_kwh]]</f>
        <v>-43.602369273267016</v>
      </c>
      <c r="M3705" t="str">
        <f>IF(Table4[[#This Row],[Performance_Deviation]] &lt; 0, "Underperforming", "Outperforming")</f>
        <v>Underperforming</v>
      </c>
      <c r="N3705">
        <f>IF(Table4[[#This Row],[Performance_Ratio]] &lt; 0.85, Table4[[#This Row],[Performance_Deviation]] * 50 / 1000, 0)</f>
        <v>0</v>
      </c>
    </row>
    <row r="3706" spans="1:14" x14ac:dyDescent="0.3">
      <c r="A3706" s="4" t="s">
        <v>10</v>
      </c>
      <c r="B3706" s="3">
        <v>45322.333333333336</v>
      </c>
      <c r="C3706" s="4">
        <v>559.01023438621598</v>
      </c>
      <c r="D3706" s="4">
        <v>528.95826099353701</v>
      </c>
      <c r="E3706" s="4">
        <v>528.95826099353701</v>
      </c>
      <c r="F3706" s="4">
        <v>84.610610925702005</v>
      </c>
      <c r="G3706" s="4" t="str">
        <f t="shared" si="114"/>
        <v>OK</v>
      </c>
      <c r="H3706" s="4" t="str">
        <f t="shared" si="115"/>
        <v>NON-ZERO</v>
      </c>
      <c r="I3706">
        <v>600</v>
      </c>
      <c r="J3706">
        <f>IFERROR(Table4[[#This Row],[energy_kwh]]/Table4[[#This Row],[expected_kwh]],0)</f>
        <v>0.881597101655895</v>
      </c>
      <c r="K3706" t="str">
        <f>IF(Table4[[#This Row],[Performance_Ratio]] &lt; 0.85, "Underperforming", "Performing")</f>
        <v>Performing</v>
      </c>
      <c r="L3706">
        <f>Table4[[#This Row],[energy_kwh]] - Table4[[#This Row],[expected_kwh]]</f>
        <v>-71.04173900646299</v>
      </c>
      <c r="M3706" t="str">
        <f>IF(Table4[[#This Row],[Performance_Deviation]] &lt; 0, "Underperforming", "Outperforming")</f>
        <v>Underperforming</v>
      </c>
      <c r="N3706">
        <f>IF(Table4[[#This Row],[Performance_Ratio]] &lt; 0.85, Table4[[#This Row],[Performance_Deviation]] * 50 / 1000, 0)</f>
        <v>0</v>
      </c>
    </row>
    <row r="3707" spans="1:14" x14ac:dyDescent="0.3">
      <c r="A3707" s="6" t="s">
        <v>10</v>
      </c>
      <c r="B3707" s="5">
        <v>45322.375</v>
      </c>
      <c r="C3707" s="6">
        <v>803.66361617907899</v>
      </c>
      <c r="D3707" s="6">
        <v>760.45925939910705</v>
      </c>
      <c r="E3707" s="6">
        <v>760.45925939910705</v>
      </c>
      <c r="F3707" s="6">
        <v>22.934919086289401</v>
      </c>
      <c r="G3707" s="6" t="str">
        <f t="shared" si="114"/>
        <v>OK</v>
      </c>
      <c r="H3707" s="6" t="str">
        <f t="shared" si="115"/>
        <v>NON-ZERO</v>
      </c>
      <c r="I3707">
        <v>848.52813742385695</v>
      </c>
      <c r="J3707">
        <f>IFERROR(Table4[[#This Row],[energy_kwh]]/Table4[[#This Row],[expected_kwh]],0)</f>
        <v>0.89620983189534742</v>
      </c>
      <c r="K3707" t="str">
        <f>IF(Table4[[#This Row],[Performance_Ratio]] &lt; 0.85, "Underperforming", "Performing")</f>
        <v>Performing</v>
      </c>
      <c r="L3707">
        <f>Table4[[#This Row],[energy_kwh]] - Table4[[#This Row],[expected_kwh]]</f>
        <v>-88.068878024749893</v>
      </c>
      <c r="M3707" t="str">
        <f>IF(Table4[[#This Row],[Performance_Deviation]] &lt; 0, "Underperforming", "Outperforming")</f>
        <v>Underperforming</v>
      </c>
      <c r="N3707">
        <f>IF(Table4[[#This Row],[Performance_Ratio]] &lt; 0.85, Table4[[#This Row],[Performance_Deviation]] * 50 / 1000, 0)</f>
        <v>0</v>
      </c>
    </row>
    <row r="3708" spans="1:14" x14ac:dyDescent="0.3">
      <c r="A3708" s="4" t="s">
        <v>10</v>
      </c>
      <c r="B3708" s="3">
        <v>45322.416666666664</v>
      </c>
      <c r="C3708" s="4">
        <v>1040.7619171634001</v>
      </c>
      <c r="D3708" s="4">
        <v>984.81133250720802</v>
      </c>
      <c r="E3708" s="4">
        <v>984.81133250720802</v>
      </c>
      <c r="F3708" s="4">
        <v>22.354972235955501</v>
      </c>
      <c r="G3708" s="4" t="str">
        <f t="shared" si="114"/>
        <v>OK</v>
      </c>
      <c r="H3708" s="4" t="str">
        <f t="shared" si="115"/>
        <v>NON-ZERO</v>
      </c>
      <c r="I3708">
        <v>1039.23048454132</v>
      </c>
      <c r="J3708">
        <f>IFERROR(Table4[[#This Row],[energy_kwh]]/Table4[[#This Row],[expected_kwh]],0)</f>
        <v>0.94763514654005676</v>
      </c>
      <c r="K3708" t="str">
        <f>IF(Table4[[#This Row],[Performance_Ratio]] &lt; 0.85, "Underperforming", "Performing")</f>
        <v>Performing</v>
      </c>
      <c r="L3708">
        <f>Table4[[#This Row],[energy_kwh]] - Table4[[#This Row],[expected_kwh]]</f>
        <v>-54.419152034112017</v>
      </c>
      <c r="M3708" t="str">
        <f>IF(Table4[[#This Row],[Performance_Deviation]] &lt; 0, "Underperforming", "Outperforming")</f>
        <v>Underperforming</v>
      </c>
      <c r="N3708">
        <f>IF(Table4[[#This Row],[Performance_Ratio]] &lt; 0.85, Table4[[#This Row],[Performance_Deviation]] * 50 / 1000, 0)</f>
        <v>0</v>
      </c>
    </row>
    <row r="3709" spans="1:14" x14ac:dyDescent="0.3">
      <c r="A3709" s="6" t="s">
        <v>10</v>
      </c>
      <c r="B3709" s="5">
        <v>45322.458333333336</v>
      </c>
      <c r="C3709" s="6">
        <v>1074.55912994101</v>
      </c>
      <c r="D3709" s="6">
        <v>1016.79163232569</v>
      </c>
      <c r="E3709" s="6">
        <v>1016.79163232569</v>
      </c>
      <c r="F3709" s="6">
        <v>38.916379495127899</v>
      </c>
      <c r="G3709" s="6" t="str">
        <f t="shared" si="114"/>
        <v>OK</v>
      </c>
      <c r="H3709" s="6" t="str">
        <f t="shared" si="115"/>
        <v>NON-ZERO</v>
      </c>
      <c r="I3709">
        <v>1159.1109915468801</v>
      </c>
      <c r="J3709">
        <f>IFERROR(Table4[[#This Row],[energy_kwh]]/Table4[[#This Row],[expected_kwh]],0)</f>
        <v>0.87721679782256301</v>
      </c>
      <c r="K3709" t="str">
        <f>IF(Table4[[#This Row],[Performance_Ratio]] &lt; 0.85, "Underperforming", "Performing")</f>
        <v>Performing</v>
      </c>
      <c r="L3709">
        <f>Table4[[#This Row],[energy_kwh]] - Table4[[#This Row],[expected_kwh]]</f>
        <v>-142.3193592211901</v>
      </c>
      <c r="M3709" t="str">
        <f>IF(Table4[[#This Row],[Performance_Deviation]] &lt; 0, "Underperforming", "Outperforming")</f>
        <v>Underperforming</v>
      </c>
      <c r="N3709">
        <f>IF(Table4[[#This Row],[Performance_Ratio]] &lt; 0.85, Table4[[#This Row],[Performance_Deviation]] * 50 / 1000, 0)</f>
        <v>0</v>
      </c>
    </row>
    <row r="3710" spans="1:14" x14ac:dyDescent="0.3">
      <c r="A3710" s="4" t="s">
        <v>10</v>
      </c>
      <c r="B3710" s="3">
        <v>45322.5</v>
      </c>
      <c r="C3710" s="4">
        <v>1125.5141359896199</v>
      </c>
      <c r="D3710" s="4">
        <v>1065.00733524208</v>
      </c>
      <c r="E3710" s="4">
        <v>1065.00733524208</v>
      </c>
      <c r="F3710" s="4">
        <v>30.6580219874436</v>
      </c>
      <c r="G3710" s="4" t="str">
        <f t="shared" si="114"/>
        <v>OK</v>
      </c>
      <c r="H3710" s="4" t="str">
        <f t="shared" si="115"/>
        <v>NON-ZERO</v>
      </c>
      <c r="I3710">
        <v>1200</v>
      </c>
      <c r="J3710">
        <f>IFERROR(Table4[[#This Row],[energy_kwh]]/Table4[[#This Row],[expected_kwh]],0)</f>
        <v>0.8875061127017333</v>
      </c>
      <c r="K3710" t="str">
        <f>IF(Table4[[#This Row],[Performance_Ratio]] &lt; 0.85, "Underperforming", "Performing")</f>
        <v>Performing</v>
      </c>
      <c r="L3710">
        <f>Table4[[#This Row],[energy_kwh]] - Table4[[#This Row],[expected_kwh]]</f>
        <v>-134.99266475792001</v>
      </c>
      <c r="M3710" t="str">
        <f>IF(Table4[[#This Row],[Performance_Deviation]] &lt; 0, "Underperforming", "Outperforming")</f>
        <v>Underperforming</v>
      </c>
      <c r="N3710">
        <f>IF(Table4[[#This Row],[Performance_Ratio]] &lt; 0.85, Table4[[#This Row],[Performance_Deviation]] * 50 / 1000, 0)</f>
        <v>0</v>
      </c>
    </row>
    <row r="3711" spans="1:14" x14ac:dyDescent="0.3">
      <c r="A3711" s="6" t="s">
        <v>10</v>
      </c>
      <c r="B3711" s="5">
        <v>45322.541666666664</v>
      </c>
      <c r="C3711" s="6">
        <v>1183.77301914436</v>
      </c>
      <c r="D3711" s="6">
        <v>1120.1342642772699</v>
      </c>
      <c r="E3711" s="6">
        <v>1120.1342642772699</v>
      </c>
      <c r="F3711" s="6">
        <v>37.814228138605102</v>
      </c>
      <c r="G3711" s="6" t="str">
        <f t="shared" si="114"/>
        <v>OK</v>
      </c>
      <c r="H3711" s="6" t="str">
        <f t="shared" si="115"/>
        <v>NON-ZERO</v>
      </c>
      <c r="I3711">
        <v>1159.1109915468801</v>
      </c>
      <c r="J3711">
        <f>IFERROR(Table4[[#This Row],[energy_kwh]]/Table4[[#This Row],[expected_kwh]],0)</f>
        <v>0.9663736022228604</v>
      </c>
      <c r="K3711" t="str">
        <f>IF(Table4[[#This Row],[Performance_Ratio]] &lt; 0.85, "Underperforming", "Performing")</f>
        <v>Performing</v>
      </c>
      <c r="L3711">
        <f>Table4[[#This Row],[energy_kwh]] - Table4[[#This Row],[expected_kwh]]</f>
        <v>-38.976727269610137</v>
      </c>
      <c r="M3711" t="str">
        <f>IF(Table4[[#This Row],[Performance_Deviation]] &lt; 0, "Underperforming", "Outperforming")</f>
        <v>Underperforming</v>
      </c>
      <c r="N3711">
        <f>IF(Table4[[#This Row],[Performance_Ratio]] &lt; 0.85, Table4[[#This Row],[Performance_Deviation]] * 50 / 1000, 0)</f>
        <v>0</v>
      </c>
    </row>
    <row r="3712" spans="1:14" x14ac:dyDescent="0.3">
      <c r="A3712" s="4" t="s">
        <v>10</v>
      </c>
      <c r="B3712" s="3">
        <v>45322.583333333336</v>
      </c>
      <c r="C3712" s="4">
        <v>980.27869561627801</v>
      </c>
      <c r="D3712" s="4">
        <v>927.57964385309003</v>
      </c>
      <c r="E3712" s="4">
        <v>927.57964385309003</v>
      </c>
      <c r="F3712" s="4">
        <v>28.6853667010555</v>
      </c>
      <c r="G3712" s="4" t="str">
        <f t="shared" si="114"/>
        <v>OK</v>
      </c>
      <c r="H3712" s="4" t="str">
        <f t="shared" si="115"/>
        <v>NON-ZERO</v>
      </c>
      <c r="I3712">
        <v>1039.23048454132</v>
      </c>
      <c r="J3712">
        <f>IFERROR(Table4[[#This Row],[energy_kwh]]/Table4[[#This Row],[expected_kwh]],0)</f>
        <v>0.89256392845567001</v>
      </c>
      <c r="K3712" t="str">
        <f>IF(Table4[[#This Row],[Performance_Ratio]] &lt; 0.85, "Underperforming", "Performing")</f>
        <v>Performing</v>
      </c>
      <c r="L3712">
        <f>Table4[[#This Row],[energy_kwh]] - Table4[[#This Row],[expected_kwh]]</f>
        <v>-111.65084068823001</v>
      </c>
      <c r="M3712" t="str">
        <f>IF(Table4[[#This Row],[Performance_Deviation]] &lt; 0, "Underperforming", "Outperforming")</f>
        <v>Underperforming</v>
      </c>
      <c r="N3712">
        <f>IF(Table4[[#This Row],[Performance_Ratio]] &lt; 0.85, Table4[[#This Row],[Performance_Deviation]] * 50 / 1000, 0)</f>
        <v>0</v>
      </c>
    </row>
    <row r="3713" spans="1:14" x14ac:dyDescent="0.3">
      <c r="A3713" s="6" t="s">
        <v>10</v>
      </c>
      <c r="B3713" s="5">
        <v>45322.625</v>
      </c>
      <c r="C3713" s="6">
        <v>926.25835960139796</v>
      </c>
      <c r="D3713" s="6">
        <v>876.463400823852</v>
      </c>
      <c r="E3713" s="6">
        <v>876.463400823852</v>
      </c>
      <c r="F3713" s="6">
        <v>31.338718950293998</v>
      </c>
      <c r="G3713" s="6" t="str">
        <f t="shared" si="114"/>
        <v>OK</v>
      </c>
      <c r="H3713" s="6" t="str">
        <f t="shared" si="115"/>
        <v>NON-ZERO</v>
      </c>
      <c r="I3713">
        <v>848.52813742385695</v>
      </c>
      <c r="J3713">
        <f>IFERROR(Table4[[#This Row],[energy_kwh]]/Table4[[#This Row],[expected_kwh]],0)</f>
        <v>1.0329220236406147</v>
      </c>
      <c r="K3713" t="str">
        <f>IF(Table4[[#This Row],[Performance_Ratio]] &lt; 0.85, "Underperforming", "Performing")</f>
        <v>Performing</v>
      </c>
      <c r="L3713">
        <f>Table4[[#This Row],[energy_kwh]] - Table4[[#This Row],[expected_kwh]]</f>
        <v>27.935263399995051</v>
      </c>
      <c r="M3713" t="str">
        <f>IF(Table4[[#This Row],[Performance_Deviation]] &lt; 0, "Underperforming", "Outperforming")</f>
        <v>Outperforming</v>
      </c>
      <c r="N3713">
        <f>IF(Table4[[#This Row],[Performance_Ratio]] &lt; 0.85, Table4[[#This Row],[Performance_Deviation]] * 50 / 1000, 0)</f>
        <v>0</v>
      </c>
    </row>
    <row r="3714" spans="1:14" x14ac:dyDescent="0.3">
      <c r="A3714" s="4" t="s">
        <v>10</v>
      </c>
      <c r="B3714" s="3">
        <v>45322.666666666664</v>
      </c>
      <c r="C3714" s="4">
        <v>594.79371822655003</v>
      </c>
      <c r="D3714" s="4">
        <v>562.81805142341295</v>
      </c>
      <c r="E3714" s="4">
        <v>562.81805142341295</v>
      </c>
      <c r="F3714" s="4">
        <v>24.465810350187201</v>
      </c>
      <c r="G3714" s="4" t="str">
        <f t="shared" ref="G3714:G3721" si="116">IF(D3714 &gt; C3714, "ERROR", "OK")</f>
        <v>OK</v>
      </c>
      <c r="H3714" s="4" t="str">
        <f t="shared" ref="H3714:H3721" si="117">IF(E3714=0,"ZERO","NON-ZERO")</f>
        <v>NON-ZERO</v>
      </c>
      <c r="I3714">
        <v>600</v>
      </c>
      <c r="J3714">
        <f>IFERROR(Table4[[#This Row],[energy_kwh]]/Table4[[#This Row],[expected_kwh]],0)</f>
        <v>0.93803008570568824</v>
      </c>
      <c r="K3714" t="str">
        <f>IF(Table4[[#This Row],[Performance_Ratio]] &lt; 0.85, "Underperforming", "Performing")</f>
        <v>Performing</v>
      </c>
      <c r="L3714">
        <f>Table4[[#This Row],[energy_kwh]] - Table4[[#This Row],[expected_kwh]]</f>
        <v>-37.181948576587047</v>
      </c>
      <c r="M3714" t="str">
        <f>IF(Table4[[#This Row],[Performance_Deviation]] &lt; 0, "Underperforming", "Outperforming")</f>
        <v>Underperforming</v>
      </c>
      <c r="N3714">
        <f>IF(Table4[[#This Row],[Performance_Ratio]] &lt; 0.85, Table4[[#This Row],[Performance_Deviation]] * 50 / 1000, 0)</f>
        <v>0</v>
      </c>
    </row>
    <row r="3715" spans="1:14" x14ac:dyDescent="0.3">
      <c r="A3715" s="6" t="s">
        <v>10</v>
      </c>
      <c r="B3715" s="5">
        <v>45322.708333333336</v>
      </c>
      <c r="C3715" s="6">
        <v>310.37810726060599</v>
      </c>
      <c r="D3715" s="6">
        <v>293.69241163768601</v>
      </c>
      <c r="E3715" s="6">
        <v>293.69241163768601</v>
      </c>
      <c r="F3715" s="6">
        <v>63.037068018789199</v>
      </c>
      <c r="G3715" s="6" t="str">
        <f t="shared" si="116"/>
        <v>OK</v>
      </c>
      <c r="H3715" s="6" t="str">
        <f t="shared" si="117"/>
        <v>NON-ZERO</v>
      </c>
      <c r="I3715">
        <v>310.58285412302502</v>
      </c>
      <c r="J3715">
        <f>IFERROR(Table4[[#This Row],[energy_kwh]]/Table4[[#This Row],[expected_kwh]],0)</f>
        <v>0.94561695128653644</v>
      </c>
      <c r="K3715" t="str">
        <f>IF(Table4[[#This Row],[Performance_Ratio]] &lt; 0.85, "Underperforming", "Performing")</f>
        <v>Performing</v>
      </c>
      <c r="L3715">
        <f>Table4[[#This Row],[energy_kwh]] - Table4[[#This Row],[expected_kwh]]</f>
        <v>-16.890442485339008</v>
      </c>
      <c r="M3715" t="str">
        <f>IF(Table4[[#This Row],[Performance_Deviation]] &lt; 0, "Underperforming", "Outperforming")</f>
        <v>Underperforming</v>
      </c>
      <c r="N3715">
        <f>IF(Table4[[#This Row],[Performance_Ratio]] &lt; 0.85, Table4[[#This Row],[Performance_Deviation]] * 50 / 1000, 0)</f>
        <v>0</v>
      </c>
    </row>
    <row r="3716" spans="1:14" x14ac:dyDescent="0.3">
      <c r="A3716" s="4" t="s">
        <v>10</v>
      </c>
      <c r="B3716" s="3">
        <v>45322.75</v>
      </c>
      <c r="C3716" s="7">
        <v>1.4847830340587199E-13</v>
      </c>
      <c r="D3716" s="7">
        <v>1.4049622052282301E-13</v>
      </c>
      <c r="E3716" s="7">
        <v>1.4049622052282301E-13</v>
      </c>
      <c r="F3716" s="4">
        <v>56.567402245919297</v>
      </c>
      <c r="G3716" s="4" t="str">
        <f t="shared" si="116"/>
        <v>OK</v>
      </c>
      <c r="H3716" s="4" t="str">
        <f t="shared" si="117"/>
        <v>NON-ZERO</v>
      </c>
      <c r="I3716" s="2">
        <v>1.46957615897682E-13</v>
      </c>
      <c r="J3716">
        <f>IFERROR(Table4[[#This Row],[energy_kwh]]/Table4[[#This Row],[expected_kwh]],0)</f>
        <v>0.95603225232397837</v>
      </c>
      <c r="K3716" t="str">
        <f>IF(Table4[[#This Row],[Performance_Ratio]] &lt; 0.85, "Underperforming", "Performing")</f>
        <v>Performing</v>
      </c>
      <c r="L3716">
        <f>Table4[[#This Row],[energy_kwh]] - Table4[[#This Row],[expected_kwh]]</f>
        <v>-6.46139537485899E-15</v>
      </c>
      <c r="M3716" t="str">
        <f>IF(Table4[[#This Row],[Performance_Deviation]] &lt; 0, "Underperforming", "Outperforming")</f>
        <v>Underperforming</v>
      </c>
      <c r="N3716">
        <f>IF(Table4[[#This Row],[Performance_Ratio]] &lt; 0.85, Table4[[#This Row],[Performance_Deviation]] * 50 / 1000, 0)</f>
        <v>0</v>
      </c>
    </row>
    <row r="3717" spans="1:14" x14ac:dyDescent="0.3">
      <c r="A3717" s="6" t="s">
        <v>10</v>
      </c>
      <c r="B3717" s="5">
        <v>45322.791666666664</v>
      </c>
      <c r="C3717" s="6">
        <v>0</v>
      </c>
      <c r="D3717" s="6">
        <v>0</v>
      </c>
      <c r="E3717" s="6">
        <v>0</v>
      </c>
      <c r="F3717" s="6">
        <v>86.290708398941106</v>
      </c>
      <c r="G3717" s="6" t="str">
        <f t="shared" si="116"/>
        <v>OK</v>
      </c>
      <c r="H3717" s="6" t="str">
        <f t="shared" si="117"/>
        <v>ZERO</v>
      </c>
      <c r="I3717">
        <v>0</v>
      </c>
      <c r="J3717">
        <f>IFERROR(Table4[[#This Row],[energy_kwh]]/Table4[[#This Row],[expected_kwh]],0)</f>
        <v>0</v>
      </c>
      <c r="K3717" t="str">
        <f>IF(Table4[[#This Row],[Performance_Ratio]] &lt; 0.85, "Underperforming", "Performing")</f>
        <v>Underperforming</v>
      </c>
      <c r="L3717">
        <f>Table4[[#This Row],[energy_kwh]] - Table4[[#This Row],[expected_kwh]]</f>
        <v>0</v>
      </c>
      <c r="M3717" t="str">
        <f>IF(Table4[[#This Row],[Performance_Deviation]] &lt; 0, "Underperforming", "Outperforming")</f>
        <v>Outperforming</v>
      </c>
      <c r="N3717">
        <f>IF(Table4[[#This Row],[Performance_Ratio]] &lt; 0.85, Table4[[#This Row],[Performance_Deviation]] * 50 / 1000, 0)</f>
        <v>0</v>
      </c>
    </row>
    <row r="3718" spans="1:14" x14ac:dyDescent="0.3">
      <c r="A3718" s="4" t="s">
        <v>10</v>
      </c>
      <c r="B3718" s="3">
        <v>45322.833333333336</v>
      </c>
      <c r="C3718" s="4">
        <v>0</v>
      </c>
      <c r="D3718" s="4">
        <v>0</v>
      </c>
      <c r="E3718" s="4">
        <v>0</v>
      </c>
      <c r="F3718" s="4">
        <v>82.623055502366697</v>
      </c>
      <c r="G3718" s="4" t="str">
        <f t="shared" si="116"/>
        <v>OK</v>
      </c>
      <c r="H3718" s="4" t="str">
        <f t="shared" si="117"/>
        <v>ZERO</v>
      </c>
      <c r="I3718">
        <v>0</v>
      </c>
      <c r="J3718">
        <f>IFERROR(Table4[[#This Row],[energy_kwh]]/Table4[[#This Row],[expected_kwh]],0)</f>
        <v>0</v>
      </c>
      <c r="K3718" t="str">
        <f>IF(Table4[[#This Row],[Performance_Ratio]] &lt; 0.85, "Underperforming", "Performing")</f>
        <v>Underperforming</v>
      </c>
      <c r="L3718">
        <f>Table4[[#This Row],[energy_kwh]] - Table4[[#This Row],[expected_kwh]]</f>
        <v>0</v>
      </c>
      <c r="M3718" t="str">
        <f>IF(Table4[[#This Row],[Performance_Deviation]] &lt; 0, "Underperforming", "Outperforming")</f>
        <v>Outperforming</v>
      </c>
      <c r="N3718">
        <f>IF(Table4[[#This Row],[Performance_Ratio]] &lt; 0.85, Table4[[#This Row],[Performance_Deviation]] * 50 / 1000, 0)</f>
        <v>0</v>
      </c>
    </row>
    <row r="3719" spans="1:14" x14ac:dyDescent="0.3">
      <c r="A3719" s="6" t="s">
        <v>10</v>
      </c>
      <c r="B3719" s="5">
        <v>45322.875</v>
      </c>
      <c r="C3719" s="6">
        <v>0</v>
      </c>
      <c r="D3719" s="6">
        <v>0</v>
      </c>
      <c r="E3719" s="6">
        <v>0</v>
      </c>
      <c r="F3719" s="6">
        <v>69.310352664211507</v>
      </c>
      <c r="G3719" s="6" t="str">
        <f t="shared" si="116"/>
        <v>OK</v>
      </c>
      <c r="H3719" s="6" t="str">
        <f t="shared" si="117"/>
        <v>ZERO</v>
      </c>
      <c r="I3719">
        <v>0</v>
      </c>
      <c r="J3719">
        <f>IFERROR(Table4[[#This Row],[energy_kwh]]/Table4[[#This Row],[expected_kwh]],0)</f>
        <v>0</v>
      </c>
      <c r="K3719" t="str">
        <f>IF(Table4[[#This Row],[Performance_Ratio]] &lt; 0.85, "Underperforming", "Performing")</f>
        <v>Underperforming</v>
      </c>
      <c r="L3719">
        <f>Table4[[#This Row],[energy_kwh]] - Table4[[#This Row],[expected_kwh]]</f>
        <v>0</v>
      </c>
      <c r="M3719" t="str">
        <f>IF(Table4[[#This Row],[Performance_Deviation]] &lt; 0, "Underperforming", "Outperforming")</f>
        <v>Outperforming</v>
      </c>
      <c r="N3719">
        <f>IF(Table4[[#This Row],[Performance_Ratio]] &lt; 0.85, Table4[[#This Row],[Performance_Deviation]] * 50 / 1000, 0)</f>
        <v>0</v>
      </c>
    </row>
    <row r="3720" spans="1:14" x14ac:dyDescent="0.3">
      <c r="A3720" s="4" t="s">
        <v>10</v>
      </c>
      <c r="B3720" s="3">
        <v>45322.916666666664</v>
      </c>
      <c r="C3720" s="4">
        <v>0</v>
      </c>
      <c r="D3720" s="4">
        <v>0</v>
      </c>
      <c r="E3720" s="4">
        <v>0</v>
      </c>
      <c r="F3720" s="4">
        <v>43.977176499968699</v>
      </c>
      <c r="G3720" s="4" t="str">
        <f t="shared" si="116"/>
        <v>OK</v>
      </c>
      <c r="H3720" s="4" t="str">
        <f t="shared" si="117"/>
        <v>ZERO</v>
      </c>
      <c r="I3720">
        <v>0</v>
      </c>
      <c r="J3720">
        <f>IFERROR(Table4[[#This Row],[energy_kwh]]/Table4[[#This Row],[expected_kwh]],0)</f>
        <v>0</v>
      </c>
      <c r="K3720" t="str">
        <f>IF(Table4[[#This Row],[Performance_Ratio]] &lt; 0.85, "Underperforming", "Performing")</f>
        <v>Underperforming</v>
      </c>
      <c r="L3720">
        <f>Table4[[#This Row],[energy_kwh]] - Table4[[#This Row],[expected_kwh]]</f>
        <v>0</v>
      </c>
      <c r="M3720" t="str">
        <f>IF(Table4[[#This Row],[Performance_Deviation]] &lt; 0, "Underperforming", "Outperforming")</f>
        <v>Outperforming</v>
      </c>
      <c r="N3720">
        <f>IF(Table4[[#This Row],[Performance_Ratio]] &lt; 0.85, Table4[[#This Row],[Performance_Deviation]] * 50 / 1000, 0)</f>
        <v>0</v>
      </c>
    </row>
    <row r="3721" spans="1:14" x14ac:dyDescent="0.3">
      <c r="A3721" s="6" t="s">
        <v>10</v>
      </c>
      <c r="B3721" s="5">
        <v>45322.958333333336</v>
      </c>
      <c r="C3721" s="6">
        <v>0</v>
      </c>
      <c r="D3721" s="6">
        <v>0</v>
      </c>
      <c r="E3721" s="6">
        <v>0</v>
      </c>
      <c r="F3721" s="6">
        <v>65.638425689401004</v>
      </c>
      <c r="G3721" s="6" t="str">
        <f t="shared" si="116"/>
        <v>OK</v>
      </c>
      <c r="H3721" s="6" t="str">
        <f t="shared" si="117"/>
        <v>ZERO</v>
      </c>
      <c r="I3721">
        <v>0</v>
      </c>
      <c r="J3721">
        <f>IFERROR(Table4[[#This Row],[energy_kwh]]/Table4[[#This Row],[expected_kwh]],0)</f>
        <v>0</v>
      </c>
      <c r="K3721" t="str">
        <f>IF(Table4[[#This Row],[Performance_Ratio]] &lt; 0.85, "Underperforming", "Performing")</f>
        <v>Underperforming</v>
      </c>
      <c r="L3721">
        <f>Table4[[#This Row],[energy_kwh]] - Table4[[#This Row],[expected_kwh]]</f>
        <v>0</v>
      </c>
      <c r="M3721" t="str">
        <f>IF(Table4[[#This Row],[Performance_Deviation]] &lt; 0, "Underperforming", "Outperforming")</f>
        <v>Outperforming</v>
      </c>
      <c r="N3721">
        <f>IF(Table4[[#This Row],[Performance_Ratio]] &lt; 0.85, Table4[[#This Row],[Performance_Deviation]] * 50 / 1000, 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4FC1-B2B1-4149-8DB6-283B3BF1E48D}">
  <dimension ref="A1:D3721"/>
  <sheetViews>
    <sheetView workbookViewId="0">
      <selection activeCell="C3721" sqref="C1:C3721"/>
    </sheetView>
  </sheetViews>
  <sheetFormatPr defaultRowHeight="14.4" x14ac:dyDescent="0.3"/>
  <cols>
    <col min="2" max="2" width="11.88671875" customWidth="1"/>
    <col min="3" max="3" width="15.109375" customWidth="1"/>
    <col min="4" max="4" width="11.21875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12</v>
      </c>
    </row>
    <row r="2" spans="1:4" x14ac:dyDescent="0.3">
      <c r="A2" t="s">
        <v>6</v>
      </c>
      <c r="B2" s="1">
        <v>45292</v>
      </c>
      <c r="C2">
        <v>0</v>
      </c>
      <c r="D2">
        <v>0</v>
      </c>
    </row>
    <row r="3" spans="1:4" x14ac:dyDescent="0.3">
      <c r="A3" t="s">
        <v>6</v>
      </c>
      <c r="B3" s="1">
        <v>45292.041666666664</v>
      </c>
      <c r="C3">
        <v>0</v>
      </c>
      <c r="D3">
        <v>0</v>
      </c>
    </row>
    <row r="4" spans="1:4" x14ac:dyDescent="0.3">
      <c r="A4" t="s">
        <v>6</v>
      </c>
      <c r="B4" s="1">
        <v>45292.083333333336</v>
      </c>
      <c r="C4">
        <v>0</v>
      </c>
      <c r="D4">
        <v>0</v>
      </c>
    </row>
    <row r="5" spans="1:4" x14ac:dyDescent="0.3">
      <c r="A5" t="s">
        <v>6</v>
      </c>
      <c r="B5" s="1">
        <v>45292.125</v>
      </c>
      <c r="C5">
        <v>0</v>
      </c>
      <c r="D5">
        <v>0</v>
      </c>
    </row>
    <row r="6" spans="1:4" x14ac:dyDescent="0.3">
      <c r="A6" t="s">
        <v>6</v>
      </c>
      <c r="B6" s="1">
        <v>45292.166666666664</v>
      </c>
      <c r="C6">
        <v>0</v>
      </c>
      <c r="D6">
        <v>0</v>
      </c>
    </row>
    <row r="7" spans="1:4" x14ac:dyDescent="0.3">
      <c r="A7" t="s">
        <v>6</v>
      </c>
      <c r="B7" s="1">
        <v>45292.208333333336</v>
      </c>
      <c r="C7">
        <v>0</v>
      </c>
      <c r="D7">
        <v>0</v>
      </c>
    </row>
    <row r="8" spans="1:4" x14ac:dyDescent="0.3">
      <c r="A8" t="s">
        <v>6</v>
      </c>
      <c r="B8" s="1">
        <v>45292.25</v>
      </c>
      <c r="C8">
        <v>0</v>
      </c>
      <c r="D8">
        <v>0</v>
      </c>
    </row>
    <row r="9" spans="1:4" x14ac:dyDescent="0.3">
      <c r="A9" t="s">
        <v>6</v>
      </c>
      <c r="B9" s="1">
        <v>45292.291666666664</v>
      </c>
      <c r="C9">
        <v>103.527618041008</v>
      </c>
      <c r="D9">
        <v>207.05523608201599</v>
      </c>
    </row>
    <row r="10" spans="1:4" x14ac:dyDescent="0.3">
      <c r="A10" t="s">
        <v>6</v>
      </c>
      <c r="B10" s="1">
        <v>45292.333333333336</v>
      </c>
      <c r="C10">
        <v>199.99999999999901</v>
      </c>
      <c r="D10">
        <v>399.99999999999898</v>
      </c>
    </row>
    <row r="11" spans="1:4" x14ac:dyDescent="0.3">
      <c r="A11" t="s">
        <v>6</v>
      </c>
      <c r="B11" s="1">
        <v>45292.375</v>
      </c>
      <c r="C11">
        <v>282.84271247461902</v>
      </c>
      <c r="D11">
        <v>565.68542494923804</v>
      </c>
    </row>
    <row r="12" spans="1:4" x14ac:dyDescent="0.3">
      <c r="A12" t="s">
        <v>6</v>
      </c>
      <c r="B12" s="1">
        <v>45292.416666666664</v>
      </c>
      <c r="C12">
        <v>346.41016151377499</v>
      </c>
      <c r="D12">
        <v>692.82032302754999</v>
      </c>
    </row>
    <row r="13" spans="1:4" x14ac:dyDescent="0.3">
      <c r="A13" t="s">
        <v>6</v>
      </c>
      <c r="B13" s="1">
        <v>45292.458333333336</v>
      </c>
      <c r="C13">
        <v>386.37033051562702</v>
      </c>
      <c r="D13">
        <v>772.74066103125404</v>
      </c>
    </row>
    <row r="14" spans="1:4" x14ac:dyDescent="0.3">
      <c r="A14" t="s">
        <v>6</v>
      </c>
      <c r="B14" s="1">
        <v>45292.5</v>
      </c>
      <c r="C14">
        <v>400</v>
      </c>
      <c r="D14">
        <v>800</v>
      </c>
    </row>
    <row r="15" spans="1:4" x14ac:dyDescent="0.3">
      <c r="A15" t="s">
        <v>6</v>
      </c>
      <c r="B15" s="1">
        <v>45292.541666666664</v>
      </c>
      <c r="C15">
        <v>386.37033051562702</v>
      </c>
      <c r="D15">
        <v>772.74066103125404</v>
      </c>
    </row>
    <row r="16" spans="1:4" x14ac:dyDescent="0.3">
      <c r="A16" t="s">
        <v>6</v>
      </c>
      <c r="B16" s="1">
        <v>45292.583333333336</v>
      </c>
      <c r="C16">
        <v>346.41016151377499</v>
      </c>
      <c r="D16">
        <v>692.82032302755101</v>
      </c>
    </row>
    <row r="17" spans="1:4" x14ac:dyDescent="0.3">
      <c r="A17" t="s">
        <v>6</v>
      </c>
      <c r="B17" s="1">
        <v>45292.625</v>
      </c>
      <c r="C17">
        <v>282.84271247461902</v>
      </c>
      <c r="D17">
        <v>565.68542494923804</v>
      </c>
    </row>
    <row r="18" spans="1:4" x14ac:dyDescent="0.3">
      <c r="A18" t="s">
        <v>6</v>
      </c>
      <c r="B18" s="1">
        <v>45292.666666666664</v>
      </c>
      <c r="C18">
        <v>199.99999999999901</v>
      </c>
      <c r="D18">
        <v>399.99999999999898</v>
      </c>
    </row>
    <row r="19" spans="1:4" x14ac:dyDescent="0.3">
      <c r="A19" t="s">
        <v>6</v>
      </c>
      <c r="B19" s="1">
        <v>45292.708333333336</v>
      </c>
      <c r="C19">
        <v>103.527618041008</v>
      </c>
      <c r="D19">
        <v>207.05523608201599</v>
      </c>
    </row>
    <row r="20" spans="1:4" x14ac:dyDescent="0.3">
      <c r="A20" t="s">
        <v>6</v>
      </c>
      <c r="B20" s="1">
        <v>45292.75</v>
      </c>
      <c r="C20" s="2">
        <v>4.8985871965894097E-14</v>
      </c>
      <c r="D20" s="2">
        <v>9.7971743931788194E-14</v>
      </c>
    </row>
    <row r="21" spans="1:4" x14ac:dyDescent="0.3">
      <c r="A21" t="s">
        <v>6</v>
      </c>
      <c r="B21" s="1">
        <v>45292.791666666664</v>
      </c>
      <c r="C21">
        <v>0</v>
      </c>
      <c r="D21">
        <v>0</v>
      </c>
    </row>
    <row r="22" spans="1:4" x14ac:dyDescent="0.3">
      <c r="A22" t="s">
        <v>6</v>
      </c>
      <c r="B22" s="1">
        <v>45292.833333333336</v>
      </c>
      <c r="C22">
        <v>0</v>
      </c>
      <c r="D22">
        <v>0</v>
      </c>
    </row>
    <row r="23" spans="1:4" x14ac:dyDescent="0.3">
      <c r="A23" t="s">
        <v>6</v>
      </c>
      <c r="B23" s="1">
        <v>45292.875</v>
      </c>
      <c r="C23">
        <v>0</v>
      </c>
      <c r="D23">
        <v>0</v>
      </c>
    </row>
    <row r="24" spans="1:4" x14ac:dyDescent="0.3">
      <c r="A24" t="s">
        <v>6</v>
      </c>
      <c r="B24" s="1">
        <v>45292.916666666664</v>
      </c>
      <c r="C24">
        <v>0</v>
      </c>
      <c r="D24">
        <v>0</v>
      </c>
    </row>
    <row r="25" spans="1:4" x14ac:dyDescent="0.3">
      <c r="A25" t="s">
        <v>6</v>
      </c>
      <c r="B25" s="1">
        <v>45292.958333333336</v>
      </c>
      <c r="C25">
        <v>0</v>
      </c>
      <c r="D25">
        <v>0</v>
      </c>
    </row>
    <row r="26" spans="1:4" x14ac:dyDescent="0.3">
      <c r="A26" t="s">
        <v>6</v>
      </c>
      <c r="B26" s="1">
        <v>45293</v>
      </c>
      <c r="C26">
        <v>0</v>
      </c>
      <c r="D26">
        <v>0</v>
      </c>
    </row>
    <row r="27" spans="1:4" x14ac:dyDescent="0.3">
      <c r="A27" t="s">
        <v>6</v>
      </c>
      <c r="B27" s="1">
        <v>45293.041666666664</v>
      </c>
      <c r="C27">
        <v>0</v>
      </c>
      <c r="D27">
        <v>0</v>
      </c>
    </row>
    <row r="28" spans="1:4" x14ac:dyDescent="0.3">
      <c r="A28" t="s">
        <v>6</v>
      </c>
      <c r="B28" s="1">
        <v>45293.083333333336</v>
      </c>
      <c r="C28">
        <v>0</v>
      </c>
      <c r="D28">
        <v>0</v>
      </c>
    </row>
    <row r="29" spans="1:4" x14ac:dyDescent="0.3">
      <c r="A29" t="s">
        <v>6</v>
      </c>
      <c r="B29" s="1">
        <v>45293.125</v>
      </c>
      <c r="C29">
        <v>0</v>
      </c>
      <c r="D29">
        <v>0</v>
      </c>
    </row>
    <row r="30" spans="1:4" x14ac:dyDescent="0.3">
      <c r="A30" t="s">
        <v>6</v>
      </c>
      <c r="B30" s="1">
        <v>45293.166666666664</v>
      </c>
      <c r="C30">
        <v>0</v>
      </c>
      <c r="D30">
        <v>0</v>
      </c>
    </row>
    <row r="31" spans="1:4" x14ac:dyDescent="0.3">
      <c r="A31" t="s">
        <v>6</v>
      </c>
      <c r="B31" s="1">
        <v>45293.208333333336</v>
      </c>
      <c r="C31">
        <v>0</v>
      </c>
      <c r="D31">
        <v>0</v>
      </c>
    </row>
    <row r="32" spans="1:4" x14ac:dyDescent="0.3">
      <c r="A32" t="s">
        <v>6</v>
      </c>
      <c r="B32" s="1">
        <v>45293.25</v>
      </c>
      <c r="C32">
        <v>0</v>
      </c>
      <c r="D32">
        <v>0</v>
      </c>
    </row>
    <row r="33" spans="1:4" x14ac:dyDescent="0.3">
      <c r="A33" t="s">
        <v>6</v>
      </c>
      <c r="B33" s="1">
        <v>45293.291666666664</v>
      </c>
      <c r="C33">
        <v>103.527618041008</v>
      </c>
      <c r="D33">
        <v>207.05523608201599</v>
      </c>
    </row>
    <row r="34" spans="1:4" x14ac:dyDescent="0.3">
      <c r="A34" t="s">
        <v>6</v>
      </c>
      <c r="B34" s="1">
        <v>45293.333333333336</v>
      </c>
      <c r="C34">
        <v>199.99999999999901</v>
      </c>
      <c r="D34">
        <v>399.99999999999898</v>
      </c>
    </row>
    <row r="35" spans="1:4" x14ac:dyDescent="0.3">
      <c r="A35" t="s">
        <v>6</v>
      </c>
      <c r="B35" s="1">
        <v>45293.375</v>
      </c>
      <c r="C35">
        <v>282.84271247461902</v>
      </c>
      <c r="D35">
        <v>565.68542494923804</v>
      </c>
    </row>
    <row r="36" spans="1:4" x14ac:dyDescent="0.3">
      <c r="A36" t="s">
        <v>6</v>
      </c>
      <c r="B36" s="1">
        <v>45293.416666666664</v>
      </c>
      <c r="C36">
        <v>346.41016151377499</v>
      </c>
      <c r="D36">
        <v>692.82032302754999</v>
      </c>
    </row>
    <row r="37" spans="1:4" x14ac:dyDescent="0.3">
      <c r="A37" t="s">
        <v>6</v>
      </c>
      <c r="B37" s="1">
        <v>45293.458333333336</v>
      </c>
      <c r="C37">
        <v>386.37033051562702</v>
      </c>
      <c r="D37">
        <v>772.74066103125404</v>
      </c>
    </row>
    <row r="38" spans="1:4" x14ac:dyDescent="0.3">
      <c r="A38" t="s">
        <v>6</v>
      </c>
      <c r="B38" s="1">
        <v>45293.5</v>
      </c>
      <c r="C38">
        <v>400</v>
      </c>
      <c r="D38">
        <v>800</v>
      </c>
    </row>
    <row r="39" spans="1:4" x14ac:dyDescent="0.3">
      <c r="A39" t="s">
        <v>6</v>
      </c>
      <c r="B39" s="1">
        <v>45293.541666666664</v>
      </c>
      <c r="C39">
        <v>386.37033051562702</v>
      </c>
      <c r="D39">
        <v>772.74066103125404</v>
      </c>
    </row>
    <row r="40" spans="1:4" x14ac:dyDescent="0.3">
      <c r="A40" t="s">
        <v>6</v>
      </c>
      <c r="B40" s="1">
        <v>45293.583333333336</v>
      </c>
      <c r="C40">
        <v>346.41016151377499</v>
      </c>
      <c r="D40">
        <v>692.82032302755101</v>
      </c>
    </row>
    <row r="41" spans="1:4" x14ac:dyDescent="0.3">
      <c r="A41" t="s">
        <v>6</v>
      </c>
      <c r="B41" s="1">
        <v>45293.625</v>
      </c>
      <c r="C41">
        <v>282.84271247461902</v>
      </c>
      <c r="D41">
        <v>565.68542494923804</v>
      </c>
    </row>
    <row r="42" spans="1:4" x14ac:dyDescent="0.3">
      <c r="A42" t="s">
        <v>6</v>
      </c>
      <c r="B42" s="1">
        <v>45293.666666666664</v>
      </c>
      <c r="C42">
        <v>199.99999999999901</v>
      </c>
      <c r="D42">
        <v>399.99999999999898</v>
      </c>
    </row>
    <row r="43" spans="1:4" x14ac:dyDescent="0.3">
      <c r="A43" t="s">
        <v>6</v>
      </c>
      <c r="B43" s="1">
        <v>45293.708333333336</v>
      </c>
      <c r="C43">
        <v>103.527618041008</v>
      </c>
      <c r="D43">
        <v>207.05523608201599</v>
      </c>
    </row>
    <row r="44" spans="1:4" x14ac:dyDescent="0.3">
      <c r="A44" t="s">
        <v>6</v>
      </c>
      <c r="B44" s="1">
        <v>45293.75</v>
      </c>
      <c r="C44" s="2">
        <v>4.8985871965894097E-14</v>
      </c>
      <c r="D44" s="2">
        <v>9.7971743931788194E-14</v>
      </c>
    </row>
    <row r="45" spans="1:4" x14ac:dyDescent="0.3">
      <c r="A45" t="s">
        <v>6</v>
      </c>
      <c r="B45" s="1">
        <v>45293.791666666664</v>
      </c>
      <c r="C45">
        <v>0</v>
      </c>
      <c r="D45">
        <v>0</v>
      </c>
    </row>
    <row r="46" spans="1:4" x14ac:dyDescent="0.3">
      <c r="A46" t="s">
        <v>6</v>
      </c>
      <c r="B46" s="1">
        <v>45293.833333333336</v>
      </c>
      <c r="C46">
        <v>0</v>
      </c>
      <c r="D46">
        <v>0</v>
      </c>
    </row>
    <row r="47" spans="1:4" x14ac:dyDescent="0.3">
      <c r="A47" t="s">
        <v>6</v>
      </c>
      <c r="B47" s="1">
        <v>45293.875</v>
      </c>
      <c r="C47">
        <v>0</v>
      </c>
      <c r="D47">
        <v>0</v>
      </c>
    </row>
    <row r="48" spans="1:4" x14ac:dyDescent="0.3">
      <c r="A48" t="s">
        <v>6</v>
      </c>
      <c r="B48" s="1">
        <v>45293.916666666664</v>
      </c>
      <c r="C48">
        <v>0</v>
      </c>
      <c r="D48">
        <v>0</v>
      </c>
    </row>
    <row r="49" spans="1:4" x14ac:dyDescent="0.3">
      <c r="A49" t="s">
        <v>6</v>
      </c>
      <c r="B49" s="1">
        <v>45293.958333333336</v>
      </c>
      <c r="C49">
        <v>0</v>
      </c>
      <c r="D49">
        <v>0</v>
      </c>
    </row>
    <row r="50" spans="1:4" x14ac:dyDescent="0.3">
      <c r="A50" t="s">
        <v>6</v>
      </c>
      <c r="B50" s="1">
        <v>45294</v>
      </c>
      <c r="C50">
        <v>0</v>
      </c>
      <c r="D50">
        <v>0</v>
      </c>
    </row>
    <row r="51" spans="1:4" x14ac:dyDescent="0.3">
      <c r="A51" t="s">
        <v>6</v>
      </c>
      <c r="B51" s="1">
        <v>45294.041666666664</v>
      </c>
      <c r="C51">
        <v>0</v>
      </c>
      <c r="D51">
        <v>0</v>
      </c>
    </row>
    <row r="52" spans="1:4" x14ac:dyDescent="0.3">
      <c r="A52" t="s">
        <v>6</v>
      </c>
      <c r="B52" s="1">
        <v>45294.083333333336</v>
      </c>
      <c r="C52">
        <v>0</v>
      </c>
      <c r="D52">
        <v>0</v>
      </c>
    </row>
    <row r="53" spans="1:4" x14ac:dyDescent="0.3">
      <c r="A53" t="s">
        <v>6</v>
      </c>
      <c r="B53" s="1">
        <v>45294.125</v>
      </c>
      <c r="C53">
        <v>0</v>
      </c>
      <c r="D53">
        <v>0</v>
      </c>
    </row>
    <row r="54" spans="1:4" x14ac:dyDescent="0.3">
      <c r="A54" t="s">
        <v>6</v>
      </c>
      <c r="B54" s="1">
        <v>45294.166666666664</v>
      </c>
      <c r="C54">
        <v>0</v>
      </c>
      <c r="D54">
        <v>0</v>
      </c>
    </row>
    <row r="55" spans="1:4" x14ac:dyDescent="0.3">
      <c r="A55" t="s">
        <v>6</v>
      </c>
      <c r="B55" s="1">
        <v>45294.208333333336</v>
      </c>
      <c r="C55">
        <v>0</v>
      </c>
      <c r="D55">
        <v>0</v>
      </c>
    </row>
    <row r="56" spans="1:4" x14ac:dyDescent="0.3">
      <c r="A56" t="s">
        <v>6</v>
      </c>
      <c r="B56" s="1">
        <v>45294.25</v>
      </c>
      <c r="C56">
        <v>0</v>
      </c>
      <c r="D56">
        <v>0</v>
      </c>
    </row>
    <row r="57" spans="1:4" x14ac:dyDescent="0.3">
      <c r="A57" t="s">
        <v>6</v>
      </c>
      <c r="B57" s="1">
        <v>45294.291666666664</v>
      </c>
      <c r="C57">
        <v>103.527618041008</v>
      </c>
      <c r="D57">
        <v>207.05523608201599</v>
      </c>
    </row>
    <row r="58" spans="1:4" x14ac:dyDescent="0.3">
      <c r="A58" t="s">
        <v>6</v>
      </c>
      <c r="B58" s="1">
        <v>45294.333333333336</v>
      </c>
      <c r="C58">
        <v>199.99999999999901</v>
      </c>
      <c r="D58">
        <v>399.99999999999898</v>
      </c>
    </row>
    <row r="59" spans="1:4" x14ac:dyDescent="0.3">
      <c r="A59" t="s">
        <v>6</v>
      </c>
      <c r="B59" s="1">
        <v>45294.375</v>
      </c>
      <c r="C59">
        <v>282.84271247461902</v>
      </c>
      <c r="D59">
        <v>565.68542494923804</v>
      </c>
    </row>
    <row r="60" spans="1:4" x14ac:dyDescent="0.3">
      <c r="A60" t="s">
        <v>6</v>
      </c>
      <c r="B60" s="1">
        <v>45294.416666666664</v>
      </c>
      <c r="C60">
        <v>346.41016151377499</v>
      </c>
      <c r="D60">
        <v>692.82032302754999</v>
      </c>
    </row>
    <row r="61" spans="1:4" x14ac:dyDescent="0.3">
      <c r="A61" t="s">
        <v>6</v>
      </c>
      <c r="B61" s="1">
        <v>45294.458333333336</v>
      </c>
      <c r="C61">
        <v>386.37033051562702</v>
      </c>
      <c r="D61">
        <v>772.74066103125404</v>
      </c>
    </row>
    <row r="62" spans="1:4" x14ac:dyDescent="0.3">
      <c r="A62" t="s">
        <v>6</v>
      </c>
      <c r="B62" s="1">
        <v>45294.5</v>
      </c>
      <c r="C62">
        <v>400</v>
      </c>
      <c r="D62">
        <v>800</v>
      </c>
    </row>
    <row r="63" spans="1:4" x14ac:dyDescent="0.3">
      <c r="A63" t="s">
        <v>6</v>
      </c>
      <c r="B63" s="1">
        <v>45294.541666666664</v>
      </c>
      <c r="C63">
        <v>386.37033051562702</v>
      </c>
      <c r="D63">
        <v>772.74066103125404</v>
      </c>
    </row>
    <row r="64" spans="1:4" x14ac:dyDescent="0.3">
      <c r="A64" t="s">
        <v>6</v>
      </c>
      <c r="B64" s="1">
        <v>45294.583333333336</v>
      </c>
      <c r="C64">
        <v>346.41016151377499</v>
      </c>
      <c r="D64">
        <v>692.82032302755101</v>
      </c>
    </row>
    <row r="65" spans="1:4" x14ac:dyDescent="0.3">
      <c r="A65" t="s">
        <v>6</v>
      </c>
      <c r="B65" s="1">
        <v>45294.625</v>
      </c>
      <c r="C65">
        <v>282.84271247461902</v>
      </c>
      <c r="D65">
        <v>565.68542494923804</v>
      </c>
    </row>
    <row r="66" spans="1:4" x14ac:dyDescent="0.3">
      <c r="A66" t="s">
        <v>6</v>
      </c>
      <c r="B66" s="1">
        <v>45294.666666666664</v>
      </c>
      <c r="C66">
        <v>199.99999999999901</v>
      </c>
      <c r="D66">
        <v>399.99999999999898</v>
      </c>
    </row>
    <row r="67" spans="1:4" x14ac:dyDescent="0.3">
      <c r="A67" t="s">
        <v>6</v>
      </c>
      <c r="B67" s="1">
        <v>45294.708333333336</v>
      </c>
      <c r="C67">
        <v>103.527618041008</v>
      </c>
      <c r="D67">
        <v>207.05523608201599</v>
      </c>
    </row>
    <row r="68" spans="1:4" x14ac:dyDescent="0.3">
      <c r="A68" t="s">
        <v>6</v>
      </c>
      <c r="B68" s="1">
        <v>45294.75</v>
      </c>
      <c r="C68" s="2">
        <v>4.8985871965894097E-14</v>
      </c>
      <c r="D68" s="2">
        <v>9.7971743931788194E-14</v>
      </c>
    </row>
    <row r="69" spans="1:4" x14ac:dyDescent="0.3">
      <c r="A69" t="s">
        <v>6</v>
      </c>
      <c r="B69" s="1">
        <v>45294.791666666664</v>
      </c>
      <c r="C69">
        <v>0</v>
      </c>
      <c r="D69">
        <v>0</v>
      </c>
    </row>
    <row r="70" spans="1:4" x14ac:dyDescent="0.3">
      <c r="A70" t="s">
        <v>6</v>
      </c>
      <c r="B70" s="1">
        <v>45294.833333333336</v>
      </c>
      <c r="C70">
        <v>0</v>
      </c>
      <c r="D70">
        <v>0</v>
      </c>
    </row>
    <row r="71" spans="1:4" x14ac:dyDescent="0.3">
      <c r="A71" t="s">
        <v>6</v>
      </c>
      <c r="B71" s="1">
        <v>45294.875</v>
      </c>
      <c r="C71">
        <v>0</v>
      </c>
      <c r="D71">
        <v>0</v>
      </c>
    </row>
    <row r="72" spans="1:4" x14ac:dyDescent="0.3">
      <c r="A72" t="s">
        <v>6</v>
      </c>
      <c r="B72" s="1">
        <v>45294.916666666664</v>
      </c>
      <c r="C72">
        <v>0</v>
      </c>
      <c r="D72">
        <v>0</v>
      </c>
    </row>
    <row r="73" spans="1:4" x14ac:dyDescent="0.3">
      <c r="A73" t="s">
        <v>6</v>
      </c>
      <c r="B73" s="1">
        <v>45294.958333333336</v>
      </c>
      <c r="C73">
        <v>0</v>
      </c>
      <c r="D73">
        <v>0</v>
      </c>
    </row>
    <row r="74" spans="1:4" x14ac:dyDescent="0.3">
      <c r="A74" t="s">
        <v>6</v>
      </c>
      <c r="B74" s="1">
        <v>45295</v>
      </c>
      <c r="C74">
        <v>0</v>
      </c>
      <c r="D74">
        <v>0</v>
      </c>
    </row>
    <row r="75" spans="1:4" x14ac:dyDescent="0.3">
      <c r="A75" t="s">
        <v>6</v>
      </c>
      <c r="B75" s="1">
        <v>45295.041666666664</v>
      </c>
      <c r="C75">
        <v>0</v>
      </c>
      <c r="D75">
        <v>0</v>
      </c>
    </row>
    <row r="76" spans="1:4" x14ac:dyDescent="0.3">
      <c r="A76" t="s">
        <v>6</v>
      </c>
      <c r="B76" s="1">
        <v>45295.083333333336</v>
      </c>
      <c r="C76">
        <v>0</v>
      </c>
      <c r="D76">
        <v>0</v>
      </c>
    </row>
    <row r="77" spans="1:4" x14ac:dyDescent="0.3">
      <c r="A77" t="s">
        <v>6</v>
      </c>
      <c r="B77" s="1">
        <v>45295.125</v>
      </c>
      <c r="C77">
        <v>0</v>
      </c>
      <c r="D77">
        <v>0</v>
      </c>
    </row>
    <row r="78" spans="1:4" x14ac:dyDescent="0.3">
      <c r="A78" t="s">
        <v>6</v>
      </c>
      <c r="B78" s="1">
        <v>45295.166666666664</v>
      </c>
      <c r="C78">
        <v>0</v>
      </c>
      <c r="D78">
        <v>0</v>
      </c>
    </row>
    <row r="79" spans="1:4" x14ac:dyDescent="0.3">
      <c r="A79" t="s">
        <v>6</v>
      </c>
      <c r="B79" s="1">
        <v>45295.208333333336</v>
      </c>
      <c r="C79">
        <v>0</v>
      </c>
      <c r="D79">
        <v>0</v>
      </c>
    </row>
    <row r="80" spans="1:4" x14ac:dyDescent="0.3">
      <c r="A80" t="s">
        <v>6</v>
      </c>
      <c r="B80" s="1">
        <v>45295.25</v>
      </c>
      <c r="C80">
        <v>0</v>
      </c>
      <c r="D80">
        <v>0</v>
      </c>
    </row>
    <row r="81" spans="1:4" x14ac:dyDescent="0.3">
      <c r="A81" t="s">
        <v>6</v>
      </c>
      <c r="B81" s="1">
        <v>45295.291666666664</v>
      </c>
      <c r="C81">
        <v>103.527618041008</v>
      </c>
      <c r="D81">
        <v>207.05523608201599</v>
      </c>
    </row>
    <row r="82" spans="1:4" x14ac:dyDescent="0.3">
      <c r="A82" t="s">
        <v>6</v>
      </c>
      <c r="B82" s="1">
        <v>45295.333333333336</v>
      </c>
      <c r="C82">
        <v>199.99999999999901</v>
      </c>
      <c r="D82">
        <v>399.99999999999898</v>
      </c>
    </row>
    <row r="83" spans="1:4" x14ac:dyDescent="0.3">
      <c r="A83" t="s">
        <v>6</v>
      </c>
      <c r="B83" s="1">
        <v>45295.375</v>
      </c>
      <c r="C83">
        <v>282.84271247461902</v>
      </c>
      <c r="D83">
        <v>565.68542494923804</v>
      </c>
    </row>
    <row r="84" spans="1:4" x14ac:dyDescent="0.3">
      <c r="A84" t="s">
        <v>6</v>
      </c>
      <c r="B84" s="1">
        <v>45295.416666666664</v>
      </c>
      <c r="C84">
        <v>346.41016151377499</v>
      </c>
      <c r="D84">
        <v>692.82032302754999</v>
      </c>
    </row>
    <row r="85" spans="1:4" x14ac:dyDescent="0.3">
      <c r="A85" t="s">
        <v>6</v>
      </c>
      <c r="B85" s="1">
        <v>45295.458333333336</v>
      </c>
      <c r="C85">
        <v>386.37033051562702</v>
      </c>
      <c r="D85">
        <v>772.74066103125404</v>
      </c>
    </row>
    <row r="86" spans="1:4" x14ac:dyDescent="0.3">
      <c r="A86" t="s">
        <v>6</v>
      </c>
      <c r="B86" s="1">
        <v>45295.5</v>
      </c>
      <c r="C86">
        <v>400</v>
      </c>
      <c r="D86">
        <v>800</v>
      </c>
    </row>
    <row r="87" spans="1:4" x14ac:dyDescent="0.3">
      <c r="A87" t="s">
        <v>6</v>
      </c>
      <c r="B87" s="1">
        <v>45295.541666666664</v>
      </c>
      <c r="C87">
        <v>386.37033051562702</v>
      </c>
      <c r="D87">
        <v>772.74066103125404</v>
      </c>
    </row>
    <row r="88" spans="1:4" x14ac:dyDescent="0.3">
      <c r="A88" t="s">
        <v>6</v>
      </c>
      <c r="B88" s="1">
        <v>45295.583333333336</v>
      </c>
      <c r="C88">
        <v>346.41016151377499</v>
      </c>
      <c r="D88">
        <v>692.82032302755101</v>
      </c>
    </row>
    <row r="89" spans="1:4" x14ac:dyDescent="0.3">
      <c r="A89" t="s">
        <v>6</v>
      </c>
      <c r="B89" s="1">
        <v>45295.625</v>
      </c>
      <c r="C89">
        <v>282.84271247461902</v>
      </c>
      <c r="D89">
        <v>565.68542494923804</v>
      </c>
    </row>
    <row r="90" spans="1:4" x14ac:dyDescent="0.3">
      <c r="A90" t="s">
        <v>6</v>
      </c>
      <c r="B90" s="1">
        <v>45295.666666666664</v>
      </c>
      <c r="C90">
        <v>199.99999999999901</v>
      </c>
      <c r="D90">
        <v>399.99999999999898</v>
      </c>
    </row>
    <row r="91" spans="1:4" x14ac:dyDescent="0.3">
      <c r="A91" t="s">
        <v>6</v>
      </c>
      <c r="B91" s="1">
        <v>45295.708333333336</v>
      </c>
      <c r="C91">
        <v>103.527618041008</v>
      </c>
      <c r="D91">
        <v>207.05523608201599</v>
      </c>
    </row>
    <row r="92" spans="1:4" x14ac:dyDescent="0.3">
      <c r="A92" t="s">
        <v>6</v>
      </c>
      <c r="B92" s="1">
        <v>45295.75</v>
      </c>
      <c r="C92" s="2">
        <v>4.8985871965894097E-14</v>
      </c>
      <c r="D92" s="2">
        <v>9.7971743931788194E-14</v>
      </c>
    </row>
    <row r="93" spans="1:4" x14ac:dyDescent="0.3">
      <c r="A93" t="s">
        <v>6</v>
      </c>
      <c r="B93" s="1">
        <v>45295.791666666664</v>
      </c>
      <c r="C93">
        <v>0</v>
      </c>
      <c r="D93">
        <v>0</v>
      </c>
    </row>
    <row r="94" spans="1:4" x14ac:dyDescent="0.3">
      <c r="A94" t="s">
        <v>6</v>
      </c>
      <c r="B94" s="1">
        <v>45295.833333333336</v>
      </c>
      <c r="C94">
        <v>0</v>
      </c>
      <c r="D94">
        <v>0</v>
      </c>
    </row>
    <row r="95" spans="1:4" x14ac:dyDescent="0.3">
      <c r="A95" t="s">
        <v>6</v>
      </c>
      <c r="B95" s="1">
        <v>45295.875</v>
      </c>
      <c r="C95">
        <v>0</v>
      </c>
      <c r="D95">
        <v>0</v>
      </c>
    </row>
    <row r="96" spans="1:4" x14ac:dyDescent="0.3">
      <c r="A96" t="s">
        <v>6</v>
      </c>
      <c r="B96" s="1">
        <v>45295.916666666664</v>
      </c>
      <c r="C96">
        <v>0</v>
      </c>
      <c r="D96">
        <v>0</v>
      </c>
    </row>
    <row r="97" spans="1:4" x14ac:dyDescent="0.3">
      <c r="A97" t="s">
        <v>6</v>
      </c>
      <c r="B97" s="1">
        <v>45295.958333333336</v>
      </c>
      <c r="C97">
        <v>0</v>
      </c>
      <c r="D97">
        <v>0</v>
      </c>
    </row>
    <row r="98" spans="1:4" x14ac:dyDescent="0.3">
      <c r="A98" t="s">
        <v>6</v>
      </c>
      <c r="B98" s="1">
        <v>45296</v>
      </c>
      <c r="C98">
        <v>0</v>
      </c>
      <c r="D98">
        <v>0</v>
      </c>
    </row>
    <row r="99" spans="1:4" x14ac:dyDescent="0.3">
      <c r="A99" t="s">
        <v>6</v>
      </c>
      <c r="B99" s="1">
        <v>45296.041666666664</v>
      </c>
      <c r="C99">
        <v>0</v>
      </c>
      <c r="D99">
        <v>0</v>
      </c>
    </row>
    <row r="100" spans="1:4" x14ac:dyDescent="0.3">
      <c r="A100" t="s">
        <v>6</v>
      </c>
      <c r="B100" s="1">
        <v>45296.083333333336</v>
      </c>
      <c r="C100">
        <v>0</v>
      </c>
      <c r="D100">
        <v>0</v>
      </c>
    </row>
    <row r="101" spans="1:4" x14ac:dyDescent="0.3">
      <c r="A101" t="s">
        <v>6</v>
      </c>
      <c r="B101" s="1">
        <v>45296.125</v>
      </c>
      <c r="C101">
        <v>0</v>
      </c>
      <c r="D101">
        <v>0</v>
      </c>
    </row>
    <row r="102" spans="1:4" x14ac:dyDescent="0.3">
      <c r="A102" t="s">
        <v>6</v>
      </c>
      <c r="B102" s="1">
        <v>45296.166666666664</v>
      </c>
      <c r="C102">
        <v>0</v>
      </c>
      <c r="D102">
        <v>0</v>
      </c>
    </row>
    <row r="103" spans="1:4" x14ac:dyDescent="0.3">
      <c r="A103" t="s">
        <v>6</v>
      </c>
      <c r="B103" s="1">
        <v>45296.208333333336</v>
      </c>
      <c r="C103">
        <v>0</v>
      </c>
      <c r="D103">
        <v>0</v>
      </c>
    </row>
    <row r="104" spans="1:4" x14ac:dyDescent="0.3">
      <c r="A104" t="s">
        <v>6</v>
      </c>
      <c r="B104" s="1">
        <v>45296.25</v>
      </c>
      <c r="C104">
        <v>0</v>
      </c>
      <c r="D104">
        <v>0</v>
      </c>
    </row>
    <row r="105" spans="1:4" x14ac:dyDescent="0.3">
      <c r="A105" t="s">
        <v>6</v>
      </c>
      <c r="B105" s="1">
        <v>45296.291666666664</v>
      </c>
      <c r="C105">
        <v>103.527618041008</v>
      </c>
      <c r="D105">
        <v>207.05523608201599</v>
      </c>
    </row>
    <row r="106" spans="1:4" x14ac:dyDescent="0.3">
      <c r="A106" t="s">
        <v>6</v>
      </c>
      <c r="B106" s="1">
        <v>45296.333333333336</v>
      </c>
      <c r="C106">
        <v>199.99999999999901</v>
      </c>
      <c r="D106">
        <v>399.99999999999898</v>
      </c>
    </row>
    <row r="107" spans="1:4" x14ac:dyDescent="0.3">
      <c r="A107" t="s">
        <v>6</v>
      </c>
      <c r="B107" s="1">
        <v>45296.375</v>
      </c>
      <c r="C107">
        <v>282.84271247461902</v>
      </c>
      <c r="D107">
        <v>565.68542494923804</v>
      </c>
    </row>
    <row r="108" spans="1:4" x14ac:dyDescent="0.3">
      <c r="A108" t="s">
        <v>6</v>
      </c>
      <c r="B108" s="1">
        <v>45296.416666666664</v>
      </c>
      <c r="C108">
        <v>346.41016151377499</v>
      </c>
      <c r="D108">
        <v>692.82032302754999</v>
      </c>
    </row>
    <row r="109" spans="1:4" x14ac:dyDescent="0.3">
      <c r="A109" t="s">
        <v>6</v>
      </c>
      <c r="B109" s="1">
        <v>45296.458333333336</v>
      </c>
      <c r="C109">
        <v>386.37033051562702</v>
      </c>
      <c r="D109">
        <v>772.74066103125404</v>
      </c>
    </row>
    <row r="110" spans="1:4" x14ac:dyDescent="0.3">
      <c r="A110" t="s">
        <v>6</v>
      </c>
      <c r="B110" s="1">
        <v>45296.5</v>
      </c>
      <c r="C110">
        <v>400</v>
      </c>
      <c r="D110">
        <v>800</v>
      </c>
    </row>
    <row r="111" spans="1:4" x14ac:dyDescent="0.3">
      <c r="A111" t="s">
        <v>6</v>
      </c>
      <c r="B111" s="1">
        <v>45296.541666666664</v>
      </c>
      <c r="C111">
        <v>386.37033051562702</v>
      </c>
      <c r="D111">
        <v>772.74066103125404</v>
      </c>
    </row>
    <row r="112" spans="1:4" x14ac:dyDescent="0.3">
      <c r="A112" t="s">
        <v>6</v>
      </c>
      <c r="B112" s="1">
        <v>45296.583333333336</v>
      </c>
      <c r="C112">
        <v>346.41016151377499</v>
      </c>
      <c r="D112">
        <v>692.82032302755101</v>
      </c>
    </row>
    <row r="113" spans="1:4" x14ac:dyDescent="0.3">
      <c r="A113" t="s">
        <v>6</v>
      </c>
      <c r="B113" s="1">
        <v>45296.625</v>
      </c>
      <c r="C113">
        <v>282.84271247461902</v>
      </c>
      <c r="D113">
        <v>565.68542494923804</v>
      </c>
    </row>
    <row r="114" spans="1:4" x14ac:dyDescent="0.3">
      <c r="A114" t="s">
        <v>6</v>
      </c>
      <c r="B114" s="1">
        <v>45296.666666666664</v>
      </c>
      <c r="C114">
        <v>199.99999999999901</v>
      </c>
      <c r="D114">
        <v>399.99999999999898</v>
      </c>
    </row>
    <row r="115" spans="1:4" x14ac:dyDescent="0.3">
      <c r="A115" t="s">
        <v>6</v>
      </c>
      <c r="B115" s="1">
        <v>45296.708333333336</v>
      </c>
      <c r="C115">
        <v>103.527618041008</v>
      </c>
      <c r="D115">
        <v>207.05523608201599</v>
      </c>
    </row>
    <row r="116" spans="1:4" x14ac:dyDescent="0.3">
      <c r="A116" t="s">
        <v>6</v>
      </c>
      <c r="B116" s="1">
        <v>45296.75</v>
      </c>
      <c r="C116" s="2">
        <v>4.8985871965894097E-14</v>
      </c>
      <c r="D116" s="2">
        <v>9.7971743931788194E-14</v>
      </c>
    </row>
    <row r="117" spans="1:4" x14ac:dyDescent="0.3">
      <c r="A117" t="s">
        <v>6</v>
      </c>
      <c r="B117" s="1">
        <v>45296.791666666664</v>
      </c>
      <c r="C117">
        <v>0</v>
      </c>
      <c r="D117">
        <v>0</v>
      </c>
    </row>
    <row r="118" spans="1:4" x14ac:dyDescent="0.3">
      <c r="A118" t="s">
        <v>6</v>
      </c>
      <c r="B118" s="1">
        <v>45296.833333333336</v>
      </c>
      <c r="C118">
        <v>0</v>
      </c>
      <c r="D118">
        <v>0</v>
      </c>
    </row>
    <row r="119" spans="1:4" x14ac:dyDescent="0.3">
      <c r="A119" t="s">
        <v>6</v>
      </c>
      <c r="B119" s="1">
        <v>45296.875</v>
      </c>
      <c r="C119">
        <v>0</v>
      </c>
      <c r="D119">
        <v>0</v>
      </c>
    </row>
    <row r="120" spans="1:4" x14ac:dyDescent="0.3">
      <c r="A120" t="s">
        <v>6</v>
      </c>
      <c r="B120" s="1">
        <v>45296.916666666664</v>
      </c>
      <c r="C120">
        <v>0</v>
      </c>
      <c r="D120">
        <v>0</v>
      </c>
    </row>
    <row r="121" spans="1:4" x14ac:dyDescent="0.3">
      <c r="A121" t="s">
        <v>6</v>
      </c>
      <c r="B121" s="1">
        <v>45296.958333333336</v>
      </c>
      <c r="C121">
        <v>0</v>
      </c>
      <c r="D121">
        <v>0</v>
      </c>
    </row>
    <row r="122" spans="1:4" x14ac:dyDescent="0.3">
      <c r="A122" t="s">
        <v>6</v>
      </c>
      <c r="B122" s="1">
        <v>45297</v>
      </c>
      <c r="C122">
        <v>0</v>
      </c>
      <c r="D122">
        <v>0</v>
      </c>
    </row>
    <row r="123" spans="1:4" x14ac:dyDescent="0.3">
      <c r="A123" t="s">
        <v>6</v>
      </c>
      <c r="B123" s="1">
        <v>45297.041666666664</v>
      </c>
      <c r="C123">
        <v>0</v>
      </c>
      <c r="D123">
        <v>0</v>
      </c>
    </row>
    <row r="124" spans="1:4" x14ac:dyDescent="0.3">
      <c r="A124" t="s">
        <v>6</v>
      </c>
      <c r="B124" s="1">
        <v>45297.083333333336</v>
      </c>
      <c r="C124">
        <v>0</v>
      </c>
      <c r="D124">
        <v>0</v>
      </c>
    </row>
    <row r="125" spans="1:4" x14ac:dyDescent="0.3">
      <c r="A125" t="s">
        <v>6</v>
      </c>
      <c r="B125" s="1">
        <v>45297.125</v>
      </c>
      <c r="C125">
        <v>0</v>
      </c>
      <c r="D125">
        <v>0</v>
      </c>
    </row>
    <row r="126" spans="1:4" x14ac:dyDescent="0.3">
      <c r="A126" t="s">
        <v>6</v>
      </c>
      <c r="B126" s="1">
        <v>45297.166666666664</v>
      </c>
      <c r="C126">
        <v>0</v>
      </c>
      <c r="D126">
        <v>0</v>
      </c>
    </row>
    <row r="127" spans="1:4" x14ac:dyDescent="0.3">
      <c r="A127" t="s">
        <v>6</v>
      </c>
      <c r="B127" s="1">
        <v>45297.208333333336</v>
      </c>
      <c r="C127">
        <v>0</v>
      </c>
      <c r="D127">
        <v>0</v>
      </c>
    </row>
    <row r="128" spans="1:4" x14ac:dyDescent="0.3">
      <c r="A128" t="s">
        <v>6</v>
      </c>
      <c r="B128" s="1">
        <v>45297.25</v>
      </c>
      <c r="C128">
        <v>0</v>
      </c>
      <c r="D128">
        <v>0</v>
      </c>
    </row>
    <row r="129" spans="1:4" x14ac:dyDescent="0.3">
      <c r="A129" t="s">
        <v>6</v>
      </c>
      <c r="B129" s="1">
        <v>45297.291666666664</v>
      </c>
      <c r="C129">
        <v>103.527618041008</v>
      </c>
      <c r="D129">
        <v>207.05523608201599</v>
      </c>
    </row>
    <row r="130" spans="1:4" x14ac:dyDescent="0.3">
      <c r="A130" t="s">
        <v>6</v>
      </c>
      <c r="B130" s="1">
        <v>45297.333333333336</v>
      </c>
      <c r="C130">
        <v>199.99999999999901</v>
      </c>
      <c r="D130">
        <v>399.99999999999898</v>
      </c>
    </row>
    <row r="131" spans="1:4" x14ac:dyDescent="0.3">
      <c r="A131" t="s">
        <v>6</v>
      </c>
      <c r="B131" s="1">
        <v>45297.375</v>
      </c>
      <c r="C131">
        <v>282.84271247461902</v>
      </c>
      <c r="D131">
        <v>565.68542494923804</v>
      </c>
    </row>
    <row r="132" spans="1:4" x14ac:dyDescent="0.3">
      <c r="A132" t="s">
        <v>6</v>
      </c>
      <c r="B132" s="1">
        <v>45297.416666666664</v>
      </c>
      <c r="C132">
        <v>346.41016151377499</v>
      </c>
      <c r="D132">
        <v>692.82032302754999</v>
      </c>
    </row>
    <row r="133" spans="1:4" x14ac:dyDescent="0.3">
      <c r="A133" t="s">
        <v>6</v>
      </c>
      <c r="B133" s="1">
        <v>45297.458333333336</v>
      </c>
      <c r="C133">
        <v>386.37033051562702</v>
      </c>
      <c r="D133">
        <v>772.74066103125404</v>
      </c>
    </row>
    <row r="134" spans="1:4" x14ac:dyDescent="0.3">
      <c r="A134" t="s">
        <v>6</v>
      </c>
      <c r="B134" s="1">
        <v>45297.5</v>
      </c>
      <c r="C134">
        <v>400</v>
      </c>
      <c r="D134">
        <v>800</v>
      </c>
    </row>
    <row r="135" spans="1:4" x14ac:dyDescent="0.3">
      <c r="A135" t="s">
        <v>6</v>
      </c>
      <c r="B135" s="1">
        <v>45297.541666666664</v>
      </c>
      <c r="C135">
        <v>386.37033051562702</v>
      </c>
      <c r="D135">
        <v>772.74066103125404</v>
      </c>
    </row>
    <row r="136" spans="1:4" x14ac:dyDescent="0.3">
      <c r="A136" t="s">
        <v>6</v>
      </c>
      <c r="B136" s="1">
        <v>45297.583333333336</v>
      </c>
      <c r="C136">
        <v>346.41016151377499</v>
      </c>
      <c r="D136">
        <v>692.82032302755101</v>
      </c>
    </row>
    <row r="137" spans="1:4" x14ac:dyDescent="0.3">
      <c r="A137" t="s">
        <v>6</v>
      </c>
      <c r="B137" s="1">
        <v>45297.625</v>
      </c>
      <c r="C137">
        <v>282.84271247461902</v>
      </c>
      <c r="D137">
        <v>565.68542494923804</v>
      </c>
    </row>
    <row r="138" spans="1:4" x14ac:dyDescent="0.3">
      <c r="A138" t="s">
        <v>6</v>
      </c>
      <c r="B138" s="1">
        <v>45297.666666666664</v>
      </c>
      <c r="C138">
        <v>199.99999999999901</v>
      </c>
      <c r="D138">
        <v>399.99999999999898</v>
      </c>
    </row>
    <row r="139" spans="1:4" x14ac:dyDescent="0.3">
      <c r="A139" t="s">
        <v>6</v>
      </c>
      <c r="B139" s="1">
        <v>45297.708333333336</v>
      </c>
      <c r="C139">
        <v>103.527618041008</v>
      </c>
      <c r="D139">
        <v>207.05523608201599</v>
      </c>
    </row>
    <row r="140" spans="1:4" x14ac:dyDescent="0.3">
      <c r="A140" t="s">
        <v>6</v>
      </c>
      <c r="B140" s="1">
        <v>45297.75</v>
      </c>
      <c r="C140" s="2">
        <v>4.8985871965894097E-14</v>
      </c>
      <c r="D140" s="2">
        <v>9.7971743931788194E-14</v>
      </c>
    </row>
    <row r="141" spans="1:4" x14ac:dyDescent="0.3">
      <c r="A141" t="s">
        <v>6</v>
      </c>
      <c r="B141" s="1">
        <v>45297.791666666664</v>
      </c>
      <c r="C141">
        <v>0</v>
      </c>
      <c r="D141">
        <v>0</v>
      </c>
    </row>
    <row r="142" spans="1:4" x14ac:dyDescent="0.3">
      <c r="A142" t="s">
        <v>6</v>
      </c>
      <c r="B142" s="1">
        <v>45297.833333333336</v>
      </c>
      <c r="C142">
        <v>0</v>
      </c>
      <c r="D142">
        <v>0</v>
      </c>
    </row>
    <row r="143" spans="1:4" x14ac:dyDescent="0.3">
      <c r="A143" t="s">
        <v>6</v>
      </c>
      <c r="B143" s="1">
        <v>45297.875</v>
      </c>
      <c r="C143">
        <v>0</v>
      </c>
      <c r="D143">
        <v>0</v>
      </c>
    </row>
    <row r="144" spans="1:4" x14ac:dyDescent="0.3">
      <c r="A144" t="s">
        <v>6</v>
      </c>
      <c r="B144" s="1">
        <v>45297.916666666664</v>
      </c>
      <c r="C144">
        <v>0</v>
      </c>
      <c r="D144">
        <v>0</v>
      </c>
    </row>
    <row r="145" spans="1:4" x14ac:dyDescent="0.3">
      <c r="A145" t="s">
        <v>6</v>
      </c>
      <c r="B145" s="1">
        <v>45297.958333333336</v>
      </c>
      <c r="C145">
        <v>0</v>
      </c>
      <c r="D145">
        <v>0</v>
      </c>
    </row>
    <row r="146" spans="1:4" x14ac:dyDescent="0.3">
      <c r="A146" t="s">
        <v>6</v>
      </c>
      <c r="B146" s="1">
        <v>45298</v>
      </c>
      <c r="C146">
        <v>0</v>
      </c>
      <c r="D146">
        <v>0</v>
      </c>
    </row>
    <row r="147" spans="1:4" x14ac:dyDescent="0.3">
      <c r="A147" t="s">
        <v>6</v>
      </c>
      <c r="B147" s="1">
        <v>45298.041666666664</v>
      </c>
      <c r="C147">
        <v>0</v>
      </c>
      <c r="D147">
        <v>0</v>
      </c>
    </row>
    <row r="148" spans="1:4" x14ac:dyDescent="0.3">
      <c r="A148" t="s">
        <v>6</v>
      </c>
      <c r="B148" s="1">
        <v>45298.083333333336</v>
      </c>
      <c r="C148">
        <v>0</v>
      </c>
      <c r="D148">
        <v>0</v>
      </c>
    </row>
    <row r="149" spans="1:4" x14ac:dyDescent="0.3">
      <c r="A149" t="s">
        <v>6</v>
      </c>
      <c r="B149" s="1">
        <v>45298.125</v>
      </c>
      <c r="C149">
        <v>0</v>
      </c>
      <c r="D149">
        <v>0</v>
      </c>
    </row>
    <row r="150" spans="1:4" x14ac:dyDescent="0.3">
      <c r="A150" t="s">
        <v>6</v>
      </c>
      <c r="B150" s="1">
        <v>45298.166666666664</v>
      </c>
      <c r="C150">
        <v>0</v>
      </c>
      <c r="D150">
        <v>0</v>
      </c>
    </row>
    <row r="151" spans="1:4" x14ac:dyDescent="0.3">
      <c r="A151" t="s">
        <v>6</v>
      </c>
      <c r="B151" s="1">
        <v>45298.208333333336</v>
      </c>
      <c r="C151">
        <v>0</v>
      </c>
      <c r="D151">
        <v>0</v>
      </c>
    </row>
    <row r="152" spans="1:4" x14ac:dyDescent="0.3">
      <c r="A152" t="s">
        <v>6</v>
      </c>
      <c r="B152" s="1">
        <v>45298.25</v>
      </c>
      <c r="C152">
        <v>0</v>
      </c>
      <c r="D152">
        <v>0</v>
      </c>
    </row>
    <row r="153" spans="1:4" x14ac:dyDescent="0.3">
      <c r="A153" t="s">
        <v>6</v>
      </c>
      <c r="B153" s="1">
        <v>45298.291666666664</v>
      </c>
      <c r="C153">
        <v>103.527618041008</v>
      </c>
      <c r="D153">
        <v>207.05523608201599</v>
      </c>
    </row>
    <row r="154" spans="1:4" x14ac:dyDescent="0.3">
      <c r="A154" t="s">
        <v>6</v>
      </c>
      <c r="B154" s="1">
        <v>45298.333333333336</v>
      </c>
      <c r="C154">
        <v>199.99999999999901</v>
      </c>
      <c r="D154">
        <v>399.99999999999898</v>
      </c>
    </row>
    <row r="155" spans="1:4" x14ac:dyDescent="0.3">
      <c r="A155" t="s">
        <v>6</v>
      </c>
      <c r="B155" s="1">
        <v>45298.375</v>
      </c>
      <c r="C155">
        <v>282.84271247461902</v>
      </c>
      <c r="D155">
        <v>565.68542494923804</v>
      </c>
    </row>
    <row r="156" spans="1:4" x14ac:dyDescent="0.3">
      <c r="A156" t="s">
        <v>6</v>
      </c>
      <c r="B156" s="1">
        <v>45298.416666666664</v>
      </c>
      <c r="C156">
        <v>346.41016151377499</v>
      </c>
      <c r="D156">
        <v>692.82032302754999</v>
      </c>
    </row>
    <row r="157" spans="1:4" x14ac:dyDescent="0.3">
      <c r="A157" t="s">
        <v>6</v>
      </c>
      <c r="B157" s="1">
        <v>45298.458333333336</v>
      </c>
      <c r="C157">
        <v>386.37033051562702</v>
      </c>
      <c r="D157">
        <v>772.74066103125404</v>
      </c>
    </row>
    <row r="158" spans="1:4" x14ac:dyDescent="0.3">
      <c r="A158" t="s">
        <v>6</v>
      </c>
      <c r="B158" s="1">
        <v>45298.5</v>
      </c>
      <c r="C158">
        <v>400</v>
      </c>
      <c r="D158">
        <v>800</v>
      </c>
    </row>
    <row r="159" spans="1:4" x14ac:dyDescent="0.3">
      <c r="A159" t="s">
        <v>6</v>
      </c>
      <c r="B159" s="1">
        <v>45298.541666666664</v>
      </c>
      <c r="C159">
        <v>386.37033051562702</v>
      </c>
      <c r="D159">
        <v>772.74066103125404</v>
      </c>
    </row>
    <row r="160" spans="1:4" x14ac:dyDescent="0.3">
      <c r="A160" t="s">
        <v>6</v>
      </c>
      <c r="B160" s="1">
        <v>45298.583333333336</v>
      </c>
      <c r="C160">
        <v>346.41016151377499</v>
      </c>
      <c r="D160">
        <v>692.82032302755101</v>
      </c>
    </row>
    <row r="161" spans="1:4" x14ac:dyDescent="0.3">
      <c r="A161" t="s">
        <v>6</v>
      </c>
      <c r="B161" s="1">
        <v>45298.625</v>
      </c>
      <c r="C161">
        <v>282.84271247461902</v>
      </c>
      <c r="D161">
        <v>565.68542494923804</v>
      </c>
    </row>
    <row r="162" spans="1:4" x14ac:dyDescent="0.3">
      <c r="A162" t="s">
        <v>6</v>
      </c>
      <c r="B162" s="1">
        <v>45298.666666666664</v>
      </c>
      <c r="C162">
        <v>199.99999999999901</v>
      </c>
      <c r="D162">
        <v>399.99999999999898</v>
      </c>
    </row>
    <row r="163" spans="1:4" x14ac:dyDescent="0.3">
      <c r="A163" t="s">
        <v>6</v>
      </c>
      <c r="B163" s="1">
        <v>45298.708333333336</v>
      </c>
      <c r="C163">
        <v>103.527618041008</v>
      </c>
      <c r="D163">
        <v>207.05523608201599</v>
      </c>
    </row>
    <row r="164" spans="1:4" x14ac:dyDescent="0.3">
      <c r="A164" t="s">
        <v>6</v>
      </c>
      <c r="B164" s="1">
        <v>45298.75</v>
      </c>
      <c r="C164" s="2">
        <v>4.8985871965894097E-14</v>
      </c>
      <c r="D164" s="2">
        <v>9.7971743931788194E-14</v>
      </c>
    </row>
    <row r="165" spans="1:4" x14ac:dyDescent="0.3">
      <c r="A165" t="s">
        <v>6</v>
      </c>
      <c r="B165" s="1">
        <v>45298.791666666664</v>
      </c>
      <c r="C165">
        <v>0</v>
      </c>
      <c r="D165">
        <v>0</v>
      </c>
    </row>
    <row r="166" spans="1:4" x14ac:dyDescent="0.3">
      <c r="A166" t="s">
        <v>6</v>
      </c>
      <c r="B166" s="1">
        <v>45298.833333333336</v>
      </c>
      <c r="C166">
        <v>0</v>
      </c>
      <c r="D166">
        <v>0</v>
      </c>
    </row>
    <row r="167" spans="1:4" x14ac:dyDescent="0.3">
      <c r="A167" t="s">
        <v>6</v>
      </c>
      <c r="B167" s="1">
        <v>45298.875</v>
      </c>
      <c r="C167">
        <v>0</v>
      </c>
      <c r="D167">
        <v>0</v>
      </c>
    </row>
    <row r="168" spans="1:4" x14ac:dyDescent="0.3">
      <c r="A168" t="s">
        <v>6</v>
      </c>
      <c r="B168" s="1">
        <v>45298.916666666664</v>
      </c>
      <c r="C168">
        <v>0</v>
      </c>
      <c r="D168">
        <v>0</v>
      </c>
    </row>
    <row r="169" spans="1:4" x14ac:dyDescent="0.3">
      <c r="A169" t="s">
        <v>6</v>
      </c>
      <c r="B169" s="1">
        <v>45298.958333333336</v>
      </c>
      <c r="C169">
        <v>0</v>
      </c>
      <c r="D169">
        <v>0</v>
      </c>
    </row>
    <row r="170" spans="1:4" x14ac:dyDescent="0.3">
      <c r="A170" t="s">
        <v>6</v>
      </c>
      <c r="B170" s="1">
        <v>45299</v>
      </c>
      <c r="C170">
        <v>0</v>
      </c>
      <c r="D170">
        <v>0</v>
      </c>
    </row>
    <row r="171" spans="1:4" x14ac:dyDescent="0.3">
      <c r="A171" t="s">
        <v>6</v>
      </c>
      <c r="B171" s="1">
        <v>45299.041666666664</v>
      </c>
      <c r="C171">
        <v>0</v>
      </c>
      <c r="D171">
        <v>0</v>
      </c>
    </row>
    <row r="172" spans="1:4" x14ac:dyDescent="0.3">
      <c r="A172" t="s">
        <v>6</v>
      </c>
      <c r="B172" s="1">
        <v>45299.083333333336</v>
      </c>
      <c r="C172">
        <v>0</v>
      </c>
      <c r="D172">
        <v>0</v>
      </c>
    </row>
    <row r="173" spans="1:4" x14ac:dyDescent="0.3">
      <c r="A173" t="s">
        <v>6</v>
      </c>
      <c r="B173" s="1">
        <v>45299.125</v>
      </c>
      <c r="C173">
        <v>0</v>
      </c>
      <c r="D173">
        <v>0</v>
      </c>
    </row>
    <row r="174" spans="1:4" x14ac:dyDescent="0.3">
      <c r="A174" t="s">
        <v>6</v>
      </c>
      <c r="B174" s="1">
        <v>45299.166666666664</v>
      </c>
      <c r="C174">
        <v>0</v>
      </c>
      <c r="D174">
        <v>0</v>
      </c>
    </row>
    <row r="175" spans="1:4" x14ac:dyDescent="0.3">
      <c r="A175" t="s">
        <v>6</v>
      </c>
      <c r="B175" s="1">
        <v>45299.208333333336</v>
      </c>
      <c r="C175">
        <v>0</v>
      </c>
      <c r="D175">
        <v>0</v>
      </c>
    </row>
    <row r="176" spans="1:4" x14ac:dyDescent="0.3">
      <c r="A176" t="s">
        <v>6</v>
      </c>
      <c r="B176" s="1">
        <v>45299.25</v>
      </c>
      <c r="C176">
        <v>0</v>
      </c>
      <c r="D176">
        <v>0</v>
      </c>
    </row>
    <row r="177" spans="1:4" x14ac:dyDescent="0.3">
      <c r="A177" t="s">
        <v>6</v>
      </c>
      <c r="B177" s="1">
        <v>45299.291666666664</v>
      </c>
      <c r="C177">
        <v>103.527618041008</v>
      </c>
      <c r="D177">
        <v>207.05523608201599</v>
      </c>
    </row>
    <row r="178" spans="1:4" x14ac:dyDescent="0.3">
      <c r="A178" t="s">
        <v>6</v>
      </c>
      <c r="B178" s="1">
        <v>45299.333333333336</v>
      </c>
      <c r="C178">
        <v>199.99999999999901</v>
      </c>
      <c r="D178">
        <v>399.99999999999898</v>
      </c>
    </row>
    <row r="179" spans="1:4" x14ac:dyDescent="0.3">
      <c r="A179" t="s">
        <v>6</v>
      </c>
      <c r="B179" s="1">
        <v>45299.375</v>
      </c>
      <c r="C179">
        <v>282.84271247461902</v>
      </c>
      <c r="D179">
        <v>565.68542494923804</v>
      </c>
    </row>
    <row r="180" spans="1:4" x14ac:dyDescent="0.3">
      <c r="A180" t="s">
        <v>6</v>
      </c>
      <c r="B180" s="1">
        <v>45299.416666666664</v>
      </c>
      <c r="C180">
        <v>346.41016151377499</v>
      </c>
      <c r="D180">
        <v>692.82032302754999</v>
      </c>
    </row>
    <row r="181" spans="1:4" x14ac:dyDescent="0.3">
      <c r="A181" t="s">
        <v>6</v>
      </c>
      <c r="B181" s="1">
        <v>45299.458333333336</v>
      </c>
      <c r="C181">
        <v>386.37033051562702</v>
      </c>
      <c r="D181">
        <v>772.74066103125404</v>
      </c>
    </row>
    <row r="182" spans="1:4" x14ac:dyDescent="0.3">
      <c r="A182" t="s">
        <v>6</v>
      </c>
      <c r="B182" s="1">
        <v>45299.5</v>
      </c>
      <c r="C182">
        <v>400</v>
      </c>
      <c r="D182">
        <v>800</v>
      </c>
    </row>
    <row r="183" spans="1:4" x14ac:dyDescent="0.3">
      <c r="A183" t="s">
        <v>6</v>
      </c>
      <c r="B183" s="1">
        <v>45299.541666666664</v>
      </c>
      <c r="C183">
        <v>386.37033051562702</v>
      </c>
      <c r="D183">
        <v>772.74066103125404</v>
      </c>
    </row>
    <row r="184" spans="1:4" x14ac:dyDescent="0.3">
      <c r="A184" t="s">
        <v>6</v>
      </c>
      <c r="B184" s="1">
        <v>45299.583333333336</v>
      </c>
      <c r="C184">
        <v>346.41016151377499</v>
      </c>
      <c r="D184">
        <v>692.82032302755101</v>
      </c>
    </row>
    <row r="185" spans="1:4" x14ac:dyDescent="0.3">
      <c r="A185" t="s">
        <v>6</v>
      </c>
      <c r="B185" s="1">
        <v>45299.625</v>
      </c>
      <c r="C185">
        <v>282.84271247461902</v>
      </c>
      <c r="D185">
        <v>565.68542494923804</v>
      </c>
    </row>
    <row r="186" spans="1:4" x14ac:dyDescent="0.3">
      <c r="A186" t="s">
        <v>6</v>
      </c>
      <c r="B186" s="1">
        <v>45299.666666666664</v>
      </c>
      <c r="C186">
        <v>199.99999999999901</v>
      </c>
      <c r="D186">
        <v>399.99999999999898</v>
      </c>
    </row>
    <row r="187" spans="1:4" x14ac:dyDescent="0.3">
      <c r="A187" t="s">
        <v>6</v>
      </c>
      <c r="B187" s="1">
        <v>45299.708333333336</v>
      </c>
      <c r="C187">
        <v>103.527618041008</v>
      </c>
      <c r="D187">
        <v>207.05523608201599</v>
      </c>
    </row>
    <row r="188" spans="1:4" x14ac:dyDescent="0.3">
      <c r="A188" t="s">
        <v>6</v>
      </c>
      <c r="B188" s="1">
        <v>45299.75</v>
      </c>
      <c r="C188" s="2">
        <v>4.8985871965894097E-14</v>
      </c>
      <c r="D188" s="2">
        <v>9.7971743931788194E-14</v>
      </c>
    </row>
    <row r="189" spans="1:4" x14ac:dyDescent="0.3">
      <c r="A189" t="s">
        <v>6</v>
      </c>
      <c r="B189" s="1">
        <v>45299.791666666664</v>
      </c>
      <c r="C189">
        <v>0</v>
      </c>
      <c r="D189">
        <v>0</v>
      </c>
    </row>
    <row r="190" spans="1:4" x14ac:dyDescent="0.3">
      <c r="A190" t="s">
        <v>6</v>
      </c>
      <c r="B190" s="1">
        <v>45299.833333333336</v>
      </c>
      <c r="C190">
        <v>0</v>
      </c>
      <c r="D190">
        <v>0</v>
      </c>
    </row>
    <row r="191" spans="1:4" x14ac:dyDescent="0.3">
      <c r="A191" t="s">
        <v>6</v>
      </c>
      <c r="B191" s="1">
        <v>45299.875</v>
      </c>
      <c r="C191">
        <v>0</v>
      </c>
      <c r="D191">
        <v>0</v>
      </c>
    </row>
    <row r="192" spans="1:4" x14ac:dyDescent="0.3">
      <c r="A192" t="s">
        <v>6</v>
      </c>
      <c r="B192" s="1">
        <v>45299.916666666664</v>
      </c>
      <c r="C192">
        <v>0</v>
      </c>
      <c r="D192">
        <v>0</v>
      </c>
    </row>
    <row r="193" spans="1:4" x14ac:dyDescent="0.3">
      <c r="A193" t="s">
        <v>6</v>
      </c>
      <c r="B193" s="1">
        <v>45299.958333333336</v>
      </c>
      <c r="C193">
        <v>0</v>
      </c>
      <c r="D193">
        <v>0</v>
      </c>
    </row>
    <row r="194" spans="1:4" x14ac:dyDescent="0.3">
      <c r="A194" t="s">
        <v>6</v>
      </c>
      <c r="B194" s="1">
        <v>45300</v>
      </c>
      <c r="C194">
        <v>0</v>
      </c>
      <c r="D194">
        <v>0</v>
      </c>
    </row>
    <row r="195" spans="1:4" x14ac:dyDescent="0.3">
      <c r="A195" t="s">
        <v>6</v>
      </c>
      <c r="B195" s="1">
        <v>45300.041666666664</v>
      </c>
      <c r="C195">
        <v>0</v>
      </c>
      <c r="D195">
        <v>0</v>
      </c>
    </row>
    <row r="196" spans="1:4" x14ac:dyDescent="0.3">
      <c r="A196" t="s">
        <v>6</v>
      </c>
      <c r="B196" s="1">
        <v>45300.083333333336</v>
      </c>
      <c r="C196">
        <v>0</v>
      </c>
      <c r="D196">
        <v>0</v>
      </c>
    </row>
    <row r="197" spans="1:4" x14ac:dyDescent="0.3">
      <c r="A197" t="s">
        <v>6</v>
      </c>
      <c r="B197" s="1">
        <v>45300.125</v>
      </c>
      <c r="C197">
        <v>0</v>
      </c>
      <c r="D197">
        <v>0</v>
      </c>
    </row>
    <row r="198" spans="1:4" x14ac:dyDescent="0.3">
      <c r="A198" t="s">
        <v>6</v>
      </c>
      <c r="B198" s="1">
        <v>45300.166666666664</v>
      </c>
      <c r="C198">
        <v>0</v>
      </c>
      <c r="D198">
        <v>0</v>
      </c>
    </row>
    <row r="199" spans="1:4" x14ac:dyDescent="0.3">
      <c r="A199" t="s">
        <v>6</v>
      </c>
      <c r="B199" s="1">
        <v>45300.208333333336</v>
      </c>
      <c r="C199">
        <v>0</v>
      </c>
      <c r="D199">
        <v>0</v>
      </c>
    </row>
    <row r="200" spans="1:4" x14ac:dyDescent="0.3">
      <c r="A200" t="s">
        <v>6</v>
      </c>
      <c r="B200" s="1">
        <v>45300.25</v>
      </c>
      <c r="C200">
        <v>0</v>
      </c>
      <c r="D200">
        <v>0</v>
      </c>
    </row>
    <row r="201" spans="1:4" x14ac:dyDescent="0.3">
      <c r="A201" t="s">
        <v>6</v>
      </c>
      <c r="B201" s="1">
        <v>45300.291666666664</v>
      </c>
      <c r="C201">
        <v>103.527618041008</v>
      </c>
      <c r="D201">
        <v>207.05523608201599</v>
      </c>
    </row>
    <row r="202" spans="1:4" x14ac:dyDescent="0.3">
      <c r="A202" t="s">
        <v>6</v>
      </c>
      <c r="B202" s="1">
        <v>45300.333333333336</v>
      </c>
      <c r="C202">
        <v>199.99999999999901</v>
      </c>
      <c r="D202">
        <v>399.99999999999898</v>
      </c>
    </row>
    <row r="203" spans="1:4" x14ac:dyDescent="0.3">
      <c r="A203" t="s">
        <v>6</v>
      </c>
      <c r="B203" s="1">
        <v>45300.375</v>
      </c>
      <c r="C203">
        <v>282.84271247461902</v>
      </c>
      <c r="D203">
        <v>565.68542494923804</v>
      </c>
    </row>
    <row r="204" spans="1:4" x14ac:dyDescent="0.3">
      <c r="A204" t="s">
        <v>6</v>
      </c>
      <c r="B204" s="1">
        <v>45300.416666666664</v>
      </c>
      <c r="C204">
        <v>346.41016151377499</v>
      </c>
      <c r="D204">
        <v>692.82032302754999</v>
      </c>
    </row>
    <row r="205" spans="1:4" x14ac:dyDescent="0.3">
      <c r="A205" t="s">
        <v>6</v>
      </c>
      <c r="B205" s="1">
        <v>45300.458333333336</v>
      </c>
      <c r="C205">
        <v>386.37033051562702</v>
      </c>
      <c r="D205">
        <v>772.74066103125404</v>
      </c>
    </row>
    <row r="206" spans="1:4" x14ac:dyDescent="0.3">
      <c r="A206" t="s">
        <v>6</v>
      </c>
      <c r="B206" s="1">
        <v>45300.5</v>
      </c>
      <c r="C206">
        <v>400</v>
      </c>
      <c r="D206">
        <v>800</v>
      </c>
    </row>
    <row r="207" spans="1:4" x14ac:dyDescent="0.3">
      <c r="A207" t="s">
        <v>6</v>
      </c>
      <c r="B207" s="1">
        <v>45300.541666666664</v>
      </c>
      <c r="C207">
        <v>386.37033051562702</v>
      </c>
      <c r="D207">
        <v>772.74066103125404</v>
      </c>
    </row>
    <row r="208" spans="1:4" x14ac:dyDescent="0.3">
      <c r="A208" t="s">
        <v>6</v>
      </c>
      <c r="B208" s="1">
        <v>45300.583333333336</v>
      </c>
      <c r="C208">
        <v>346.41016151377499</v>
      </c>
      <c r="D208">
        <v>692.82032302755101</v>
      </c>
    </row>
    <row r="209" spans="1:4" x14ac:dyDescent="0.3">
      <c r="A209" t="s">
        <v>6</v>
      </c>
      <c r="B209" s="1">
        <v>45300.625</v>
      </c>
      <c r="C209">
        <v>282.84271247461902</v>
      </c>
      <c r="D209">
        <v>565.68542494923804</v>
      </c>
    </row>
    <row r="210" spans="1:4" x14ac:dyDescent="0.3">
      <c r="A210" t="s">
        <v>6</v>
      </c>
      <c r="B210" s="1">
        <v>45300.666666666664</v>
      </c>
      <c r="C210">
        <v>199.99999999999901</v>
      </c>
      <c r="D210">
        <v>399.99999999999898</v>
      </c>
    </row>
    <row r="211" spans="1:4" x14ac:dyDescent="0.3">
      <c r="A211" t="s">
        <v>6</v>
      </c>
      <c r="B211" s="1">
        <v>45300.708333333336</v>
      </c>
      <c r="C211">
        <v>103.527618041008</v>
      </c>
      <c r="D211">
        <v>207.05523608201599</v>
      </c>
    </row>
    <row r="212" spans="1:4" x14ac:dyDescent="0.3">
      <c r="A212" t="s">
        <v>6</v>
      </c>
      <c r="B212" s="1">
        <v>45300.75</v>
      </c>
      <c r="C212" s="2">
        <v>4.8985871965894097E-14</v>
      </c>
      <c r="D212" s="2">
        <v>9.7971743931788194E-14</v>
      </c>
    </row>
    <row r="213" spans="1:4" x14ac:dyDescent="0.3">
      <c r="A213" t="s">
        <v>6</v>
      </c>
      <c r="B213" s="1">
        <v>45300.791666666664</v>
      </c>
      <c r="C213">
        <v>0</v>
      </c>
      <c r="D213">
        <v>0</v>
      </c>
    </row>
    <row r="214" spans="1:4" x14ac:dyDescent="0.3">
      <c r="A214" t="s">
        <v>6</v>
      </c>
      <c r="B214" s="1">
        <v>45300.833333333336</v>
      </c>
      <c r="C214">
        <v>0</v>
      </c>
      <c r="D214">
        <v>0</v>
      </c>
    </row>
    <row r="215" spans="1:4" x14ac:dyDescent="0.3">
      <c r="A215" t="s">
        <v>6</v>
      </c>
      <c r="B215" s="1">
        <v>45300.875</v>
      </c>
      <c r="C215">
        <v>0</v>
      </c>
      <c r="D215">
        <v>0</v>
      </c>
    </row>
    <row r="216" spans="1:4" x14ac:dyDescent="0.3">
      <c r="A216" t="s">
        <v>6</v>
      </c>
      <c r="B216" s="1">
        <v>45300.916666666664</v>
      </c>
      <c r="C216">
        <v>0</v>
      </c>
      <c r="D216">
        <v>0</v>
      </c>
    </row>
    <row r="217" spans="1:4" x14ac:dyDescent="0.3">
      <c r="A217" t="s">
        <v>6</v>
      </c>
      <c r="B217" s="1">
        <v>45300.958333333336</v>
      </c>
      <c r="C217">
        <v>0</v>
      </c>
      <c r="D217">
        <v>0</v>
      </c>
    </row>
    <row r="218" spans="1:4" x14ac:dyDescent="0.3">
      <c r="A218" t="s">
        <v>6</v>
      </c>
      <c r="B218" s="1">
        <v>45301</v>
      </c>
      <c r="C218">
        <v>0</v>
      </c>
      <c r="D218">
        <v>0</v>
      </c>
    </row>
    <row r="219" spans="1:4" x14ac:dyDescent="0.3">
      <c r="A219" t="s">
        <v>6</v>
      </c>
      <c r="B219" s="1">
        <v>45301.041666666664</v>
      </c>
      <c r="C219">
        <v>0</v>
      </c>
      <c r="D219">
        <v>0</v>
      </c>
    </row>
    <row r="220" spans="1:4" x14ac:dyDescent="0.3">
      <c r="A220" t="s">
        <v>6</v>
      </c>
      <c r="B220" s="1">
        <v>45301.083333333336</v>
      </c>
      <c r="C220">
        <v>0</v>
      </c>
      <c r="D220">
        <v>0</v>
      </c>
    </row>
    <row r="221" spans="1:4" x14ac:dyDescent="0.3">
      <c r="A221" t="s">
        <v>6</v>
      </c>
      <c r="B221" s="1">
        <v>45301.125</v>
      </c>
      <c r="C221">
        <v>0</v>
      </c>
      <c r="D221">
        <v>0</v>
      </c>
    </row>
    <row r="222" spans="1:4" x14ac:dyDescent="0.3">
      <c r="A222" t="s">
        <v>6</v>
      </c>
      <c r="B222" s="1">
        <v>45301.166666666664</v>
      </c>
      <c r="C222">
        <v>0</v>
      </c>
      <c r="D222">
        <v>0</v>
      </c>
    </row>
    <row r="223" spans="1:4" x14ac:dyDescent="0.3">
      <c r="A223" t="s">
        <v>6</v>
      </c>
      <c r="B223" s="1">
        <v>45301.208333333336</v>
      </c>
      <c r="C223">
        <v>0</v>
      </c>
      <c r="D223">
        <v>0</v>
      </c>
    </row>
    <row r="224" spans="1:4" x14ac:dyDescent="0.3">
      <c r="A224" t="s">
        <v>6</v>
      </c>
      <c r="B224" s="1">
        <v>45301.25</v>
      </c>
      <c r="C224">
        <v>0</v>
      </c>
      <c r="D224">
        <v>0</v>
      </c>
    </row>
    <row r="225" spans="1:4" x14ac:dyDescent="0.3">
      <c r="A225" t="s">
        <v>6</v>
      </c>
      <c r="B225" s="1">
        <v>45301.291666666664</v>
      </c>
      <c r="C225">
        <v>103.527618041008</v>
      </c>
      <c r="D225">
        <v>207.05523608201599</v>
      </c>
    </row>
    <row r="226" spans="1:4" x14ac:dyDescent="0.3">
      <c r="A226" t="s">
        <v>6</v>
      </c>
      <c r="B226" s="1">
        <v>45301.333333333336</v>
      </c>
      <c r="C226">
        <v>199.99999999999901</v>
      </c>
      <c r="D226">
        <v>399.99999999999898</v>
      </c>
    </row>
    <row r="227" spans="1:4" x14ac:dyDescent="0.3">
      <c r="A227" t="s">
        <v>6</v>
      </c>
      <c r="B227" s="1">
        <v>45301.375</v>
      </c>
      <c r="C227">
        <v>282.84271247461902</v>
      </c>
      <c r="D227">
        <v>565.68542494923804</v>
      </c>
    </row>
    <row r="228" spans="1:4" x14ac:dyDescent="0.3">
      <c r="A228" t="s">
        <v>6</v>
      </c>
      <c r="B228" s="1">
        <v>45301.416666666664</v>
      </c>
      <c r="C228">
        <v>346.41016151377499</v>
      </c>
      <c r="D228">
        <v>692.82032302754999</v>
      </c>
    </row>
    <row r="229" spans="1:4" x14ac:dyDescent="0.3">
      <c r="A229" t="s">
        <v>6</v>
      </c>
      <c r="B229" s="1">
        <v>45301.458333333336</v>
      </c>
      <c r="C229">
        <v>386.37033051562702</v>
      </c>
      <c r="D229">
        <v>772.74066103125404</v>
      </c>
    </row>
    <row r="230" spans="1:4" x14ac:dyDescent="0.3">
      <c r="A230" t="s">
        <v>6</v>
      </c>
      <c r="B230" s="1">
        <v>45301.5</v>
      </c>
      <c r="C230">
        <v>400</v>
      </c>
      <c r="D230">
        <v>800</v>
      </c>
    </row>
    <row r="231" spans="1:4" x14ac:dyDescent="0.3">
      <c r="A231" t="s">
        <v>6</v>
      </c>
      <c r="B231" s="1">
        <v>45301.541666666664</v>
      </c>
      <c r="C231">
        <v>386.37033051562702</v>
      </c>
      <c r="D231">
        <v>772.74066103125404</v>
      </c>
    </row>
    <row r="232" spans="1:4" x14ac:dyDescent="0.3">
      <c r="A232" t="s">
        <v>6</v>
      </c>
      <c r="B232" s="1">
        <v>45301.583333333336</v>
      </c>
      <c r="C232">
        <v>346.41016151377499</v>
      </c>
      <c r="D232">
        <v>692.82032302755101</v>
      </c>
    </row>
    <row r="233" spans="1:4" x14ac:dyDescent="0.3">
      <c r="A233" t="s">
        <v>6</v>
      </c>
      <c r="B233" s="1">
        <v>45301.625</v>
      </c>
      <c r="C233">
        <v>282.84271247461902</v>
      </c>
      <c r="D233">
        <v>565.68542494923804</v>
      </c>
    </row>
    <row r="234" spans="1:4" x14ac:dyDescent="0.3">
      <c r="A234" t="s">
        <v>6</v>
      </c>
      <c r="B234" s="1">
        <v>45301.666666666664</v>
      </c>
      <c r="C234">
        <v>199.99999999999901</v>
      </c>
      <c r="D234">
        <v>399.99999999999898</v>
      </c>
    </row>
    <row r="235" spans="1:4" x14ac:dyDescent="0.3">
      <c r="A235" t="s">
        <v>6</v>
      </c>
      <c r="B235" s="1">
        <v>45301.708333333336</v>
      </c>
      <c r="C235">
        <v>103.527618041008</v>
      </c>
      <c r="D235">
        <v>207.05523608201599</v>
      </c>
    </row>
    <row r="236" spans="1:4" x14ac:dyDescent="0.3">
      <c r="A236" t="s">
        <v>6</v>
      </c>
      <c r="B236" s="1">
        <v>45301.75</v>
      </c>
      <c r="C236" s="2">
        <v>4.8985871965894097E-14</v>
      </c>
      <c r="D236" s="2">
        <v>9.7971743931788194E-14</v>
      </c>
    </row>
    <row r="237" spans="1:4" x14ac:dyDescent="0.3">
      <c r="A237" t="s">
        <v>6</v>
      </c>
      <c r="B237" s="1">
        <v>45301.791666666664</v>
      </c>
      <c r="C237">
        <v>0</v>
      </c>
      <c r="D237">
        <v>0</v>
      </c>
    </row>
    <row r="238" spans="1:4" x14ac:dyDescent="0.3">
      <c r="A238" t="s">
        <v>6</v>
      </c>
      <c r="B238" s="1">
        <v>45301.833333333336</v>
      </c>
      <c r="C238">
        <v>0</v>
      </c>
      <c r="D238">
        <v>0</v>
      </c>
    </row>
    <row r="239" spans="1:4" x14ac:dyDescent="0.3">
      <c r="A239" t="s">
        <v>6</v>
      </c>
      <c r="B239" s="1">
        <v>45301.875</v>
      </c>
      <c r="C239">
        <v>0</v>
      </c>
      <c r="D239">
        <v>0</v>
      </c>
    </row>
    <row r="240" spans="1:4" x14ac:dyDescent="0.3">
      <c r="A240" t="s">
        <v>6</v>
      </c>
      <c r="B240" s="1">
        <v>45301.916666666664</v>
      </c>
      <c r="C240">
        <v>0</v>
      </c>
      <c r="D240">
        <v>0</v>
      </c>
    </row>
    <row r="241" spans="1:4" x14ac:dyDescent="0.3">
      <c r="A241" t="s">
        <v>6</v>
      </c>
      <c r="B241" s="1">
        <v>45301.958333333336</v>
      </c>
      <c r="C241">
        <v>0</v>
      </c>
      <c r="D241">
        <v>0</v>
      </c>
    </row>
    <row r="242" spans="1:4" x14ac:dyDescent="0.3">
      <c r="A242" t="s">
        <v>6</v>
      </c>
      <c r="B242" s="1">
        <v>45302</v>
      </c>
      <c r="C242">
        <v>0</v>
      </c>
      <c r="D242">
        <v>0</v>
      </c>
    </row>
    <row r="243" spans="1:4" x14ac:dyDescent="0.3">
      <c r="A243" t="s">
        <v>6</v>
      </c>
      <c r="B243" s="1">
        <v>45302.041666666664</v>
      </c>
      <c r="C243">
        <v>0</v>
      </c>
      <c r="D243">
        <v>0</v>
      </c>
    </row>
    <row r="244" spans="1:4" x14ac:dyDescent="0.3">
      <c r="A244" t="s">
        <v>6</v>
      </c>
      <c r="B244" s="1">
        <v>45302.083333333336</v>
      </c>
      <c r="C244">
        <v>0</v>
      </c>
      <c r="D244">
        <v>0</v>
      </c>
    </row>
    <row r="245" spans="1:4" x14ac:dyDescent="0.3">
      <c r="A245" t="s">
        <v>6</v>
      </c>
      <c r="B245" s="1">
        <v>45302.125</v>
      </c>
      <c r="C245">
        <v>0</v>
      </c>
      <c r="D245">
        <v>0</v>
      </c>
    </row>
    <row r="246" spans="1:4" x14ac:dyDescent="0.3">
      <c r="A246" t="s">
        <v>6</v>
      </c>
      <c r="B246" s="1">
        <v>45302.166666666664</v>
      </c>
      <c r="C246">
        <v>0</v>
      </c>
      <c r="D246">
        <v>0</v>
      </c>
    </row>
    <row r="247" spans="1:4" x14ac:dyDescent="0.3">
      <c r="A247" t="s">
        <v>6</v>
      </c>
      <c r="B247" s="1">
        <v>45302.208333333336</v>
      </c>
      <c r="C247">
        <v>0</v>
      </c>
      <c r="D247">
        <v>0</v>
      </c>
    </row>
    <row r="248" spans="1:4" x14ac:dyDescent="0.3">
      <c r="A248" t="s">
        <v>6</v>
      </c>
      <c r="B248" s="1">
        <v>45302.25</v>
      </c>
      <c r="C248">
        <v>0</v>
      </c>
      <c r="D248">
        <v>0</v>
      </c>
    </row>
    <row r="249" spans="1:4" x14ac:dyDescent="0.3">
      <c r="A249" t="s">
        <v>6</v>
      </c>
      <c r="B249" s="1">
        <v>45302.291666666664</v>
      </c>
      <c r="C249">
        <v>103.527618041008</v>
      </c>
      <c r="D249">
        <v>207.05523608201599</v>
      </c>
    </row>
    <row r="250" spans="1:4" x14ac:dyDescent="0.3">
      <c r="A250" t="s">
        <v>6</v>
      </c>
      <c r="B250" s="1">
        <v>45302.333333333336</v>
      </c>
      <c r="C250">
        <v>199.99999999999901</v>
      </c>
      <c r="D250">
        <v>399.99999999999898</v>
      </c>
    </row>
    <row r="251" spans="1:4" x14ac:dyDescent="0.3">
      <c r="A251" t="s">
        <v>6</v>
      </c>
      <c r="B251" s="1">
        <v>45302.375</v>
      </c>
      <c r="C251">
        <v>282.84271247461902</v>
      </c>
      <c r="D251">
        <v>565.68542494923804</v>
      </c>
    </row>
    <row r="252" spans="1:4" x14ac:dyDescent="0.3">
      <c r="A252" t="s">
        <v>6</v>
      </c>
      <c r="B252" s="1">
        <v>45302.416666666664</v>
      </c>
      <c r="C252">
        <v>346.41016151377499</v>
      </c>
      <c r="D252">
        <v>692.82032302754999</v>
      </c>
    </row>
    <row r="253" spans="1:4" x14ac:dyDescent="0.3">
      <c r="A253" t="s">
        <v>6</v>
      </c>
      <c r="B253" s="1">
        <v>45302.458333333336</v>
      </c>
      <c r="C253">
        <v>386.37033051562702</v>
      </c>
      <c r="D253">
        <v>772.74066103125404</v>
      </c>
    </row>
    <row r="254" spans="1:4" x14ac:dyDescent="0.3">
      <c r="A254" t="s">
        <v>6</v>
      </c>
      <c r="B254" s="1">
        <v>45302.5</v>
      </c>
      <c r="C254">
        <v>400</v>
      </c>
      <c r="D254">
        <v>800</v>
      </c>
    </row>
    <row r="255" spans="1:4" x14ac:dyDescent="0.3">
      <c r="A255" t="s">
        <v>6</v>
      </c>
      <c r="B255" s="1">
        <v>45302.541666666664</v>
      </c>
      <c r="C255">
        <v>386.37033051562702</v>
      </c>
      <c r="D255">
        <v>772.74066103125404</v>
      </c>
    </row>
    <row r="256" spans="1:4" x14ac:dyDescent="0.3">
      <c r="A256" t="s">
        <v>6</v>
      </c>
      <c r="B256" s="1">
        <v>45302.583333333336</v>
      </c>
      <c r="C256">
        <v>346.41016151377499</v>
      </c>
      <c r="D256">
        <v>692.82032302755101</v>
      </c>
    </row>
    <row r="257" spans="1:4" x14ac:dyDescent="0.3">
      <c r="A257" t="s">
        <v>6</v>
      </c>
      <c r="B257" s="1">
        <v>45302.625</v>
      </c>
      <c r="C257">
        <v>282.84271247461902</v>
      </c>
      <c r="D257">
        <v>565.68542494923804</v>
      </c>
    </row>
    <row r="258" spans="1:4" x14ac:dyDescent="0.3">
      <c r="A258" t="s">
        <v>6</v>
      </c>
      <c r="B258" s="1">
        <v>45302.666666666664</v>
      </c>
      <c r="C258">
        <v>199.99999999999901</v>
      </c>
      <c r="D258">
        <v>399.99999999999898</v>
      </c>
    </row>
    <row r="259" spans="1:4" x14ac:dyDescent="0.3">
      <c r="A259" t="s">
        <v>6</v>
      </c>
      <c r="B259" s="1">
        <v>45302.708333333336</v>
      </c>
      <c r="C259">
        <v>103.527618041008</v>
      </c>
      <c r="D259">
        <v>207.05523608201599</v>
      </c>
    </row>
    <row r="260" spans="1:4" x14ac:dyDescent="0.3">
      <c r="A260" t="s">
        <v>6</v>
      </c>
      <c r="B260" s="1">
        <v>45302.75</v>
      </c>
      <c r="C260" s="2">
        <v>4.8985871965894097E-14</v>
      </c>
      <c r="D260" s="2">
        <v>9.7971743931788194E-14</v>
      </c>
    </row>
    <row r="261" spans="1:4" x14ac:dyDescent="0.3">
      <c r="A261" t="s">
        <v>6</v>
      </c>
      <c r="B261" s="1">
        <v>45302.791666666664</v>
      </c>
      <c r="C261">
        <v>0</v>
      </c>
      <c r="D261">
        <v>0</v>
      </c>
    </row>
    <row r="262" spans="1:4" x14ac:dyDescent="0.3">
      <c r="A262" t="s">
        <v>6</v>
      </c>
      <c r="B262" s="1">
        <v>45302.833333333336</v>
      </c>
      <c r="C262">
        <v>0</v>
      </c>
      <c r="D262">
        <v>0</v>
      </c>
    </row>
    <row r="263" spans="1:4" x14ac:dyDescent="0.3">
      <c r="A263" t="s">
        <v>6</v>
      </c>
      <c r="B263" s="1">
        <v>45302.875</v>
      </c>
      <c r="C263">
        <v>0</v>
      </c>
      <c r="D263">
        <v>0</v>
      </c>
    </row>
    <row r="264" spans="1:4" x14ac:dyDescent="0.3">
      <c r="A264" t="s">
        <v>6</v>
      </c>
      <c r="B264" s="1">
        <v>45302.916666666664</v>
      </c>
      <c r="C264">
        <v>0</v>
      </c>
      <c r="D264">
        <v>0</v>
      </c>
    </row>
    <row r="265" spans="1:4" x14ac:dyDescent="0.3">
      <c r="A265" t="s">
        <v>6</v>
      </c>
      <c r="B265" s="1">
        <v>45302.958333333336</v>
      </c>
      <c r="C265">
        <v>0</v>
      </c>
      <c r="D265">
        <v>0</v>
      </c>
    </row>
    <row r="266" spans="1:4" x14ac:dyDescent="0.3">
      <c r="A266" t="s">
        <v>6</v>
      </c>
      <c r="B266" s="1">
        <v>45303</v>
      </c>
      <c r="C266">
        <v>0</v>
      </c>
      <c r="D266">
        <v>0</v>
      </c>
    </row>
    <row r="267" spans="1:4" x14ac:dyDescent="0.3">
      <c r="A267" t="s">
        <v>6</v>
      </c>
      <c r="B267" s="1">
        <v>45303.041666666664</v>
      </c>
      <c r="C267">
        <v>0</v>
      </c>
      <c r="D267">
        <v>0</v>
      </c>
    </row>
    <row r="268" spans="1:4" x14ac:dyDescent="0.3">
      <c r="A268" t="s">
        <v>6</v>
      </c>
      <c r="B268" s="1">
        <v>45303.083333333336</v>
      </c>
      <c r="C268">
        <v>0</v>
      </c>
      <c r="D268">
        <v>0</v>
      </c>
    </row>
    <row r="269" spans="1:4" x14ac:dyDescent="0.3">
      <c r="A269" t="s">
        <v>6</v>
      </c>
      <c r="B269" s="1">
        <v>45303.125</v>
      </c>
      <c r="C269">
        <v>0</v>
      </c>
      <c r="D269">
        <v>0</v>
      </c>
    </row>
    <row r="270" spans="1:4" x14ac:dyDescent="0.3">
      <c r="A270" t="s">
        <v>6</v>
      </c>
      <c r="B270" s="1">
        <v>45303.166666666664</v>
      </c>
      <c r="C270">
        <v>0</v>
      </c>
      <c r="D270">
        <v>0</v>
      </c>
    </row>
    <row r="271" spans="1:4" x14ac:dyDescent="0.3">
      <c r="A271" t="s">
        <v>6</v>
      </c>
      <c r="B271" s="1">
        <v>45303.208333333336</v>
      </c>
      <c r="C271">
        <v>0</v>
      </c>
      <c r="D271">
        <v>0</v>
      </c>
    </row>
    <row r="272" spans="1:4" x14ac:dyDescent="0.3">
      <c r="A272" t="s">
        <v>6</v>
      </c>
      <c r="B272" s="1">
        <v>45303.25</v>
      </c>
      <c r="C272">
        <v>0</v>
      </c>
      <c r="D272">
        <v>0</v>
      </c>
    </row>
    <row r="273" spans="1:4" x14ac:dyDescent="0.3">
      <c r="A273" t="s">
        <v>6</v>
      </c>
      <c r="B273" s="1">
        <v>45303.291666666664</v>
      </c>
      <c r="C273">
        <v>103.527618041008</v>
      </c>
      <c r="D273">
        <v>207.05523608201599</v>
      </c>
    </row>
    <row r="274" spans="1:4" x14ac:dyDescent="0.3">
      <c r="A274" t="s">
        <v>6</v>
      </c>
      <c r="B274" s="1">
        <v>45303.333333333336</v>
      </c>
      <c r="C274">
        <v>199.99999999999901</v>
      </c>
      <c r="D274">
        <v>399.99999999999898</v>
      </c>
    </row>
    <row r="275" spans="1:4" x14ac:dyDescent="0.3">
      <c r="A275" t="s">
        <v>6</v>
      </c>
      <c r="B275" s="1">
        <v>45303.375</v>
      </c>
      <c r="C275">
        <v>282.84271247461902</v>
      </c>
      <c r="D275">
        <v>565.68542494923804</v>
      </c>
    </row>
    <row r="276" spans="1:4" x14ac:dyDescent="0.3">
      <c r="A276" t="s">
        <v>6</v>
      </c>
      <c r="B276" s="1">
        <v>45303.416666666664</v>
      </c>
      <c r="C276">
        <v>346.41016151377499</v>
      </c>
      <c r="D276">
        <v>692.82032302754999</v>
      </c>
    </row>
    <row r="277" spans="1:4" x14ac:dyDescent="0.3">
      <c r="A277" t="s">
        <v>6</v>
      </c>
      <c r="B277" s="1">
        <v>45303.458333333336</v>
      </c>
      <c r="C277">
        <v>386.37033051562702</v>
      </c>
      <c r="D277">
        <v>772.74066103125404</v>
      </c>
    </row>
    <row r="278" spans="1:4" x14ac:dyDescent="0.3">
      <c r="A278" t="s">
        <v>6</v>
      </c>
      <c r="B278" s="1">
        <v>45303.5</v>
      </c>
      <c r="C278">
        <v>400</v>
      </c>
      <c r="D278">
        <v>800</v>
      </c>
    </row>
    <row r="279" spans="1:4" x14ac:dyDescent="0.3">
      <c r="A279" t="s">
        <v>6</v>
      </c>
      <c r="B279" s="1">
        <v>45303.541666666664</v>
      </c>
      <c r="C279">
        <v>386.37033051562702</v>
      </c>
      <c r="D279">
        <v>772.74066103125404</v>
      </c>
    </row>
    <row r="280" spans="1:4" x14ac:dyDescent="0.3">
      <c r="A280" t="s">
        <v>6</v>
      </c>
      <c r="B280" s="1">
        <v>45303.583333333336</v>
      </c>
      <c r="C280">
        <v>346.41016151377499</v>
      </c>
      <c r="D280">
        <v>692.82032302755101</v>
      </c>
    </row>
    <row r="281" spans="1:4" x14ac:dyDescent="0.3">
      <c r="A281" t="s">
        <v>6</v>
      </c>
      <c r="B281" s="1">
        <v>45303.625</v>
      </c>
      <c r="C281">
        <v>282.84271247461902</v>
      </c>
      <c r="D281">
        <v>565.68542494923804</v>
      </c>
    </row>
    <row r="282" spans="1:4" x14ac:dyDescent="0.3">
      <c r="A282" t="s">
        <v>6</v>
      </c>
      <c r="B282" s="1">
        <v>45303.666666666664</v>
      </c>
      <c r="C282">
        <v>199.99999999999901</v>
      </c>
      <c r="D282">
        <v>399.99999999999898</v>
      </c>
    </row>
    <row r="283" spans="1:4" x14ac:dyDescent="0.3">
      <c r="A283" t="s">
        <v>6</v>
      </c>
      <c r="B283" s="1">
        <v>45303.708333333336</v>
      </c>
      <c r="C283">
        <v>103.527618041008</v>
      </c>
      <c r="D283">
        <v>207.05523608201599</v>
      </c>
    </row>
    <row r="284" spans="1:4" x14ac:dyDescent="0.3">
      <c r="A284" t="s">
        <v>6</v>
      </c>
      <c r="B284" s="1">
        <v>45303.75</v>
      </c>
      <c r="C284" s="2">
        <v>4.8985871965894097E-14</v>
      </c>
      <c r="D284" s="2">
        <v>9.7971743931788194E-14</v>
      </c>
    </row>
    <row r="285" spans="1:4" x14ac:dyDescent="0.3">
      <c r="A285" t="s">
        <v>6</v>
      </c>
      <c r="B285" s="1">
        <v>45303.791666666664</v>
      </c>
      <c r="C285">
        <v>0</v>
      </c>
      <c r="D285">
        <v>0</v>
      </c>
    </row>
    <row r="286" spans="1:4" x14ac:dyDescent="0.3">
      <c r="A286" t="s">
        <v>6</v>
      </c>
      <c r="B286" s="1">
        <v>45303.833333333336</v>
      </c>
      <c r="C286">
        <v>0</v>
      </c>
      <c r="D286">
        <v>0</v>
      </c>
    </row>
    <row r="287" spans="1:4" x14ac:dyDescent="0.3">
      <c r="A287" t="s">
        <v>6</v>
      </c>
      <c r="B287" s="1">
        <v>45303.875</v>
      </c>
      <c r="C287">
        <v>0</v>
      </c>
      <c r="D287">
        <v>0</v>
      </c>
    </row>
    <row r="288" spans="1:4" x14ac:dyDescent="0.3">
      <c r="A288" t="s">
        <v>6</v>
      </c>
      <c r="B288" s="1">
        <v>45303.916666666664</v>
      </c>
      <c r="C288">
        <v>0</v>
      </c>
      <c r="D288">
        <v>0</v>
      </c>
    </row>
    <row r="289" spans="1:4" x14ac:dyDescent="0.3">
      <c r="A289" t="s">
        <v>6</v>
      </c>
      <c r="B289" s="1">
        <v>45303.958333333336</v>
      </c>
      <c r="C289">
        <v>0</v>
      </c>
      <c r="D289">
        <v>0</v>
      </c>
    </row>
    <row r="290" spans="1:4" x14ac:dyDescent="0.3">
      <c r="A290" t="s">
        <v>6</v>
      </c>
      <c r="B290" s="1">
        <v>45304</v>
      </c>
      <c r="C290">
        <v>0</v>
      </c>
      <c r="D290">
        <v>0</v>
      </c>
    </row>
    <row r="291" spans="1:4" x14ac:dyDescent="0.3">
      <c r="A291" t="s">
        <v>6</v>
      </c>
      <c r="B291" s="1">
        <v>45304.041666666664</v>
      </c>
      <c r="C291">
        <v>0</v>
      </c>
      <c r="D291">
        <v>0</v>
      </c>
    </row>
    <row r="292" spans="1:4" x14ac:dyDescent="0.3">
      <c r="A292" t="s">
        <v>6</v>
      </c>
      <c r="B292" s="1">
        <v>45304.083333333336</v>
      </c>
      <c r="C292">
        <v>0</v>
      </c>
      <c r="D292">
        <v>0</v>
      </c>
    </row>
    <row r="293" spans="1:4" x14ac:dyDescent="0.3">
      <c r="A293" t="s">
        <v>6</v>
      </c>
      <c r="B293" s="1">
        <v>45304.125</v>
      </c>
      <c r="C293">
        <v>0</v>
      </c>
      <c r="D293">
        <v>0</v>
      </c>
    </row>
    <row r="294" spans="1:4" x14ac:dyDescent="0.3">
      <c r="A294" t="s">
        <v>6</v>
      </c>
      <c r="B294" s="1">
        <v>45304.166666666664</v>
      </c>
      <c r="C294">
        <v>0</v>
      </c>
      <c r="D294">
        <v>0</v>
      </c>
    </row>
    <row r="295" spans="1:4" x14ac:dyDescent="0.3">
      <c r="A295" t="s">
        <v>6</v>
      </c>
      <c r="B295" s="1">
        <v>45304.208333333336</v>
      </c>
      <c r="C295">
        <v>0</v>
      </c>
      <c r="D295">
        <v>0</v>
      </c>
    </row>
    <row r="296" spans="1:4" x14ac:dyDescent="0.3">
      <c r="A296" t="s">
        <v>6</v>
      </c>
      <c r="B296" s="1">
        <v>45304.25</v>
      </c>
      <c r="C296">
        <v>0</v>
      </c>
      <c r="D296">
        <v>0</v>
      </c>
    </row>
    <row r="297" spans="1:4" x14ac:dyDescent="0.3">
      <c r="A297" t="s">
        <v>6</v>
      </c>
      <c r="B297" s="1">
        <v>45304.291666666664</v>
      </c>
      <c r="C297">
        <v>103.527618041008</v>
      </c>
      <c r="D297">
        <v>207.05523608201599</v>
      </c>
    </row>
    <row r="298" spans="1:4" x14ac:dyDescent="0.3">
      <c r="A298" t="s">
        <v>6</v>
      </c>
      <c r="B298" s="1">
        <v>45304.333333333336</v>
      </c>
      <c r="C298">
        <v>199.99999999999901</v>
      </c>
      <c r="D298">
        <v>399.99999999999898</v>
      </c>
    </row>
    <row r="299" spans="1:4" x14ac:dyDescent="0.3">
      <c r="A299" t="s">
        <v>6</v>
      </c>
      <c r="B299" s="1">
        <v>45304.375</v>
      </c>
      <c r="C299">
        <v>282.84271247461902</v>
      </c>
      <c r="D299">
        <v>565.68542494923804</v>
      </c>
    </row>
    <row r="300" spans="1:4" x14ac:dyDescent="0.3">
      <c r="A300" t="s">
        <v>6</v>
      </c>
      <c r="B300" s="1">
        <v>45304.416666666664</v>
      </c>
      <c r="C300">
        <v>346.41016151377499</v>
      </c>
      <c r="D300">
        <v>692.82032302754999</v>
      </c>
    </row>
    <row r="301" spans="1:4" x14ac:dyDescent="0.3">
      <c r="A301" t="s">
        <v>6</v>
      </c>
      <c r="B301" s="1">
        <v>45304.458333333336</v>
      </c>
      <c r="C301">
        <v>386.37033051562702</v>
      </c>
      <c r="D301">
        <v>772.74066103125404</v>
      </c>
    </row>
    <row r="302" spans="1:4" x14ac:dyDescent="0.3">
      <c r="A302" t="s">
        <v>6</v>
      </c>
      <c r="B302" s="1">
        <v>45304.5</v>
      </c>
      <c r="C302">
        <v>400</v>
      </c>
      <c r="D302">
        <v>800</v>
      </c>
    </row>
    <row r="303" spans="1:4" x14ac:dyDescent="0.3">
      <c r="A303" t="s">
        <v>6</v>
      </c>
      <c r="B303" s="1">
        <v>45304.541666666664</v>
      </c>
      <c r="C303">
        <v>386.37033051562702</v>
      </c>
      <c r="D303">
        <v>772.74066103125404</v>
      </c>
    </row>
    <row r="304" spans="1:4" x14ac:dyDescent="0.3">
      <c r="A304" t="s">
        <v>6</v>
      </c>
      <c r="B304" s="1">
        <v>45304.583333333336</v>
      </c>
      <c r="C304">
        <v>346.41016151377499</v>
      </c>
      <c r="D304">
        <v>692.82032302755101</v>
      </c>
    </row>
    <row r="305" spans="1:4" x14ac:dyDescent="0.3">
      <c r="A305" t="s">
        <v>6</v>
      </c>
      <c r="B305" s="1">
        <v>45304.625</v>
      </c>
      <c r="C305">
        <v>282.84271247461902</v>
      </c>
      <c r="D305">
        <v>565.68542494923804</v>
      </c>
    </row>
    <row r="306" spans="1:4" x14ac:dyDescent="0.3">
      <c r="A306" t="s">
        <v>6</v>
      </c>
      <c r="B306" s="1">
        <v>45304.666666666664</v>
      </c>
      <c r="C306">
        <v>199.99999999999901</v>
      </c>
      <c r="D306">
        <v>399.99999999999898</v>
      </c>
    </row>
    <row r="307" spans="1:4" x14ac:dyDescent="0.3">
      <c r="A307" t="s">
        <v>6</v>
      </c>
      <c r="B307" s="1">
        <v>45304.708333333336</v>
      </c>
      <c r="C307">
        <v>103.527618041008</v>
      </c>
      <c r="D307">
        <v>207.05523608201599</v>
      </c>
    </row>
    <row r="308" spans="1:4" x14ac:dyDescent="0.3">
      <c r="A308" t="s">
        <v>6</v>
      </c>
      <c r="B308" s="1">
        <v>45304.75</v>
      </c>
      <c r="C308" s="2">
        <v>4.8985871965894097E-14</v>
      </c>
      <c r="D308" s="2">
        <v>9.7971743931788194E-14</v>
      </c>
    </row>
    <row r="309" spans="1:4" x14ac:dyDescent="0.3">
      <c r="A309" t="s">
        <v>6</v>
      </c>
      <c r="B309" s="1">
        <v>45304.791666666664</v>
      </c>
      <c r="C309">
        <v>0</v>
      </c>
      <c r="D309">
        <v>0</v>
      </c>
    </row>
    <row r="310" spans="1:4" x14ac:dyDescent="0.3">
      <c r="A310" t="s">
        <v>6</v>
      </c>
      <c r="B310" s="1">
        <v>45304.833333333336</v>
      </c>
      <c r="C310">
        <v>0</v>
      </c>
      <c r="D310">
        <v>0</v>
      </c>
    </row>
    <row r="311" spans="1:4" x14ac:dyDescent="0.3">
      <c r="A311" t="s">
        <v>6</v>
      </c>
      <c r="B311" s="1">
        <v>45304.875</v>
      </c>
      <c r="C311">
        <v>0</v>
      </c>
      <c r="D311">
        <v>0</v>
      </c>
    </row>
    <row r="312" spans="1:4" x14ac:dyDescent="0.3">
      <c r="A312" t="s">
        <v>6</v>
      </c>
      <c r="B312" s="1">
        <v>45304.916666666664</v>
      </c>
      <c r="C312">
        <v>0</v>
      </c>
      <c r="D312">
        <v>0</v>
      </c>
    </row>
    <row r="313" spans="1:4" x14ac:dyDescent="0.3">
      <c r="A313" t="s">
        <v>6</v>
      </c>
      <c r="B313" s="1">
        <v>45304.958333333336</v>
      </c>
      <c r="C313">
        <v>0</v>
      </c>
      <c r="D313">
        <v>0</v>
      </c>
    </row>
    <row r="314" spans="1:4" x14ac:dyDescent="0.3">
      <c r="A314" t="s">
        <v>6</v>
      </c>
      <c r="B314" s="1">
        <v>45305</v>
      </c>
      <c r="C314">
        <v>0</v>
      </c>
      <c r="D314">
        <v>0</v>
      </c>
    </row>
    <row r="315" spans="1:4" x14ac:dyDescent="0.3">
      <c r="A315" t="s">
        <v>6</v>
      </c>
      <c r="B315" s="1">
        <v>45305.041666666664</v>
      </c>
      <c r="C315">
        <v>0</v>
      </c>
      <c r="D315">
        <v>0</v>
      </c>
    </row>
    <row r="316" spans="1:4" x14ac:dyDescent="0.3">
      <c r="A316" t="s">
        <v>6</v>
      </c>
      <c r="B316" s="1">
        <v>45305.083333333336</v>
      </c>
      <c r="C316">
        <v>0</v>
      </c>
      <c r="D316">
        <v>0</v>
      </c>
    </row>
    <row r="317" spans="1:4" x14ac:dyDescent="0.3">
      <c r="A317" t="s">
        <v>6</v>
      </c>
      <c r="B317" s="1">
        <v>45305.125</v>
      </c>
      <c r="C317">
        <v>0</v>
      </c>
      <c r="D317">
        <v>0</v>
      </c>
    </row>
    <row r="318" spans="1:4" x14ac:dyDescent="0.3">
      <c r="A318" t="s">
        <v>6</v>
      </c>
      <c r="B318" s="1">
        <v>45305.166666666664</v>
      </c>
      <c r="C318">
        <v>0</v>
      </c>
      <c r="D318">
        <v>0</v>
      </c>
    </row>
    <row r="319" spans="1:4" x14ac:dyDescent="0.3">
      <c r="A319" t="s">
        <v>6</v>
      </c>
      <c r="B319" s="1">
        <v>45305.208333333336</v>
      </c>
      <c r="C319">
        <v>0</v>
      </c>
      <c r="D319">
        <v>0</v>
      </c>
    </row>
    <row r="320" spans="1:4" x14ac:dyDescent="0.3">
      <c r="A320" t="s">
        <v>6</v>
      </c>
      <c r="B320" s="1">
        <v>45305.25</v>
      </c>
      <c r="C320">
        <v>0</v>
      </c>
      <c r="D320">
        <v>0</v>
      </c>
    </row>
    <row r="321" spans="1:4" x14ac:dyDescent="0.3">
      <c r="A321" t="s">
        <v>6</v>
      </c>
      <c r="B321" s="1">
        <v>45305.291666666664</v>
      </c>
      <c r="C321">
        <v>103.527618041008</v>
      </c>
      <c r="D321">
        <v>207.05523608201599</v>
      </c>
    </row>
    <row r="322" spans="1:4" x14ac:dyDescent="0.3">
      <c r="A322" t="s">
        <v>6</v>
      </c>
      <c r="B322" s="1">
        <v>45305.333333333336</v>
      </c>
      <c r="C322">
        <v>199.99999999999901</v>
      </c>
      <c r="D322">
        <v>399.99999999999898</v>
      </c>
    </row>
    <row r="323" spans="1:4" x14ac:dyDescent="0.3">
      <c r="A323" t="s">
        <v>6</v>
      </c>
      <c r="B323" s="1">
        <v>45305.375</v>
      </c>
      <c r="C323">
        <v>282.84271247461902</v>
      </c>
      <c r="D323">
        <v>565.68542494923804</v>
      </c>
    </row>
    <row r="324" spans="1:4" x14ac:dyDescent="0.3">
      <c r="A324" t="s">
        <v>6</v>
      </c>
      <c r="B324" s="1">
        <v>45305.416666666664</v>
      </c>
      <c r="C324">
        <v>346.41016151377499</v>
      </c>
      <c r="D324">
        <v>692.82032302754999</v>
      </c>
    </row>
    <row r="325" spans="1:4" x14ac:dyDescent="0.3">
      <c r="A325" t="s">
        <v>6</v>
      </c>
      <c r="B325" s="1">
        <v>45305.458333333336</v>
      </c>
      <c r="C325">
        <v>386.37033051562702</v>
      </c>
      <c r="D325">
        <v>772.74066103125404</v>
      </c>
    </row>
    <row r="326" spans="1:4" x14ac:dyDescent="0.3">
      <c r="A326" t="s">
        <v>6</v>
      </c>
      <c r="B326" s="1">
        <v>45305.5</v>
      </c>
      <c r="C326">
        <v>400</v>
      </c>
      <c r="D326">
        <v>800</v>
      </c>
    </row>
    <row r="327" spans="1:4" x14ac:dyDescent="0.3">
      <c r="A327" t="s">
        <v>6</v>
      </c>
      <c r="B327" s="1">
        <v>45305.541666666664</v>
      </c>
      <c r="C327">
        <v>386.37033051562702</v>
      </c>
      <c r="D327">
        <v>772.74066103125404</v>
      </c>
    </row>
    <row r="328" spans="1:4" x14ac:dyDescent="0.3">
      <c r="A328" t="s">
        <v>6</v>
      </c>
      <c r="B328" s="1">
        <v>45305.583333333336</v>
      </c>
      <c r="C328">
        <v>346.41016151377499</v>
      </c>
      <c r="D328">
        <v>692.82032302755101</v>
      </c>
    </row>
    <row r="329" spans="1:4" x14ac:dyDescent="0.3">
      <c r="A329" t="s">
        <v>6</v>
      </c>
      <c r="B329" s="1">
        <v>45305.625</v>
      </c>
      <c r="C329">
        <v>282.84271247461902</v>
      </c>
      <c r="D329">
        <v>565.68542494923804</v>
      </c>
    </row>
    <row r="330" spans="1:4" x14ac:dyDescent="0.3">
      <c r="A330" t="s">
        <v>6</v>
      </c>
      <c r="B330" s="1">
        <v>45305.666666666664</v>
      </c>
      <c r="C330">
        <v>199.99999999999901</v>
      </c>
      <c r="D330">
        <v>399.99999999999898</v>
      </c>
    </row>
    <row r="331" spans="1:4" x14ac:dyDescent="0.3">
      <c r="A331" t="s">
        <v>6</v>
      </c>
      <c r="B331" s="1">
        <v>45305.708333333336</v>
      </c>
      <c r="C331">
        <v>103.527618041008</v>
      </c>
      <c r="D331">
        <v>207.05523608201599</v>
      </c>
    </row>
    <row r="332" spans="1:4" x14ac:dyDescent="0.3">
      <c r="A332" t="s">
        <v>6</v>
      </c>
      <c r="B332" s="1">
        <v>45305.75</v>
      </c>
      <c r="C332" s="2">
        <v>4.8985871965894097E-14</v>
      </c>
      <c r="D332" s="2">
        <v>9.7971743931788194E-14</v>
      </c>
    </row>
    <row r="333" spans="1:4" x14ac:dyDescent="0.3">
      <c r="A333" t="s">
        <v>6</v>
      </c>
      <c r="B333" s="1">
        <v>45305.791666666664</v>
      </c>
      <c r="C333">
        <v>0</v>
      </c>
      <c r="D333">
        <v>0</v>
      </c>
    </row>
    <row r="334" spans="1:4" x14ac:dyDescent="0.3">
      <c r="A334" t="s">
        <v>6</v>
      </c>
      <c r="B334" s="1">
        <v>45305.833333333336</v>
      </c>
      <c r="C334">
        <v>0</v>
      </c>
      <c r="D334">
        <v>0</v>
      </c>
    </row>
    <row r="335" spans="1:4" x14ac:dyDescent="0.3">
      <c r="A335" t="s">
        <v>6</v>
      </c>
      <c r="B335" s="1">
        <v>45305.875</v>
      </c>
      <c r="C335">
        <v>0</v>
      </c>
      <c r="D335">
        <v>0</v>
      </c>
    </row>
    <row r="336" spans="1:4" x14ac:dyDescent="0.3">
      <c r="A336" t="s">
        <v>6</v>
      </c>
      <c r="B336" s="1">
        <v>45305.916666666664</v>
      </c>
      <c r="C336">
        <v>0</v>
      </c>
      <c r="D336">
        <v>0</v>
      </c>
    </row>
    <row r="337" spans="1:4" x14ac:dyDescent="0.3">
      <c r="A337" t="s">
        <v>6</v>
      </c>
      <c r="B337" s="1">
        <v>45305.958333333336</v>
      </c>
      <c r="C337">
        <v>0</v>
      </c>
      <c r="D337">
        <v>0</v>
      </c>
    </row>
    <row r="338" spans="1:4" x14ac:dyDescent="0.3">
      <c r="A338" t="s">
        <v>6</v>
      </c>
      <c r="B338" s="1">
        <v>45306</v>
      </c>
      <c r="C338">
        <v>0</v>
      </c>
      <c r="D338">
        <v>0</v>
      </c>
    </row>
    <row r="339" spans="1:4" x14ac:dyDescent="0.3">
      <c r="A339" t="s">
        <v>6</v>
      </c>
      <c r="B339" s="1">
        <v>45306.041666666664</v>
      </c>
      <c r="C339">
        <v>0</v>
      </c>
      <c r="D339">
        <v>0</v>
      </c>
    </row>
    <row r="340" spans="1:4" x14ac:dyDescent="0.3">
      <c r="A340" t="s">
        <v>6</v>
      </c>
      <c r="B340" s="1">
        <v>45306.083333333336</v>
      </c>
      <c r="C340">
        <v>0</v>
      </c>
      <c r="D340">
        <v>0</v>
      </c>
    </row>
    <row r="341" spans="1:4" x14ac:dyDescent="0.3">
      <c r="A341" t="s">
        <v>6</v>
      </c>
      <c r="B341" s="1">
        <v>45306.125</v>
      </c>
      <c r="C341">
        <v>0</v>
      </c>
      <c r="D341">
        <v>0</v>
      </c>
    </row>
    <row r="342" spans="1:4" x14ac:dyDescent="0.3">
      <c r="A342" t="s">
        <v>6</v>
      </c>
      <c r="B342" s="1">
        <v>45306.166666666664</v>
      </c>
      <c r="C342">
        <v>0</v>
      </c>
      <c r="D342">
        <v>0</v>
      </c>
    </row>
    <row r="343" spans="1:4" x14ac:dyDescent="0.3">
      <c r="A343" t="s">
        <v>6</v>
      </c>
      <c r="B343" s="1">
        <v>45306.208333333336</v>
      </c>
      <c r="C343">
        <v>0</v>
      </c>
      <c r="D343">
        <v>0</v>
      </c>
    </row>
    <row r="344" spans="1:4" x14ac:dyDescent="0.3">
      <c r="A344" t="s">
        <v>6</v>
      </c>
      <c r="B344" s="1">
        <v>45306.25</v>
      </c>
      <c r="C344">
        <v>0</v>
      </c>
      <c r="D344">
        <v>0</v>
      </c>
    </row>
    <row r="345" spans="1:4" x14ac:dyDescent="0.3">
      <c r="A345" t="s">
        <v>6</v>
      </c>
      <c r="B345" s="1">
        <v>45306.291666666664</v>
      </c>
      <c r="C345">
        <v>103.527618041008</v>
      </c>
      <c r="D345">
        <v>207.05523608201599</v>
      </c>
    </row>
    <row r="346" spans="1:4" x14ac:dyDescent="0.3">
      <c r="A346" t="s">
        <v>6</v>
      </c>
      <c r="B346" s="1">
        <v>45306.333333333336</v>
      </c>
      <c r="C346">
        <v>199.99999999999901</v>
      </c>
      <c r="D346">
        <v>399.99999999999898</v>
      </c>
    </row>
    <row r="347" spans="1:4" x14ac:dyDescent="0.3">
      <c r="A347" t="s">
        <v>6</v>
      </c>
      <c r="B347" s="1">
        <v>45306.375</v>
      </c>
      <c r="C347">
        <v>282.84271247461902</v>
      </c>
      <c r="D347">
        <v>565.68542494923804</v>
      </c>
    </row>
    <row r="348" spans="1:4" x14ac:dyDescent="0.3">
      <c r="A348" t="s">
        <v>6</v>
      </c>
      <c r="B348" s="1">
        <v>45306.416666666664</v>
      </c>
      <c r="C348">
        <v>346.41016151377499</v>
      </c>
      <c r="D348">
        <v>692.82032302754999</v>
      </c>
    </row>
    <row r="349" spans="1:4" x14ac:dyDescent="0.3">
      <c r="A349" t="s">
        <v>6</v>
      </c>
      <c r="B349" s="1">
        <v>45306.458333333336</v>
      </c>
      <c r="C349">
        <v>386.37033051562702</v>
      </c>
      <c r="D349">
        <v>772.74066103125404</v>
      </c>
    </row>
    <row r="350" spans="1:4" x14ac:dyDescent="0.3">
      <c r="A350" t="s">
        <v>6</v>
      </c>
      <c r="B350" s="1">
        <v>45306.5</v>
      </c>
      <c r="C350">
        <v>400</v>
      </c>
      <c r="D350">
        <v>800</v>
      </c>
    </row>
    <row r="351" spans="1:4" x14ac:dyDescent="0.3">
      <c r="A351" t="s">
        <v>6</v>
      </c>
      <c r="B351" s="1">
        <v>45306.541666666664</v>
      </c>
      <c r="C351">
        <v>386.37033051562702</v>
      </c>
      <c r="D351">
        <v>772.74066103125404</v>
      </c>
    </row>
    <row r="352" spans="1:4" x14ac:dyDescent="0.3">
      <c r="A352" t="s">
        <v>6</v>
      </c>
      <c r="B352" s="1">
        <v>45306.583333333336</v>
      </c>
      <c r="C352">
        <v>346.41016151377499</v>
      </c>
      <c r="D352">
        <v>692.82032302755101</v>
      </c>
    </row>
    <row r="353" spans="1:4" x14ac:dyDescent="0.3">
      <c r="A353" t="s">
        <v>6</v>
      </c>
      <c r="B353" s="1">
        <v>45306.625</v>
      </c>
      <c r="C353">
        <v>282.84271247461902</v>
      </c>
      <c r="D353">
        <v>565.68542494923804</v>
      </c>
    </row>
    <row r="354" spans="1:4" x14ac:dyDescent="0.3">
      <c r="A354" t="s">
        <v>6</v>
      </c>
      <c r="B354" s="1">
        <v>45306.666666666664</v>
      </c>
      <c r="C354">
        <v>199.99999999999901</v>
      </c>
      <c r="D354">
        <v>399.99999999999898</v>
      </c>
    </row>
    <row r="355" spans="1:4" x14ac:dyDescent="0.3">
      <c r="A355" t="s">
        <v>6</v>
      </c>
      <c r="B355" s="1">
        <v>45306.708333333336</v>
      </c>
      <c r="C355">
        <v>103.527618041008</v>
      </c>
      <c r="D355">
        <v>207.05523608201599</v>
      </c>
    </row>
    <row r="356" spans="1:4" x14ac:dyDescent="0.3">
      <c r="A356" t="s">
        <v>6</v>
      </c>
      <c r="B356" s="1">
        <v>45306.75</v>
      </c>
      <c r="C356" s="2">
        <v>4.8985871965894097E-14</v>
      </c>
      <c r="D356" s="2">
        <v>9.7971743931788194E-14</v>
      </c>
    </row>
    <row r="357" spans="1:4" x14ac:dyDescent="0.3">
      <c r="A357" t="s">
        <v>6</v>
      </c>
      <c r="B357" s="1">
        <v>45306.791666666664</v>
      </c>
      <c r="C357">
        <v>0</v>
      </c>
      <c r="D357">
        <v>0</v>
      </c>
    </row>
    <row r="358" spans="1:4" x14ac:dyDescent="0.3">
      <c r="A358" t="s">
        <v>6</v>
      </c>
      <c r="B358" s="1">
        <v>45306.833333333336</v>
      </c>
      <c r="C358">
        <v>0</v>
      </c>
      <c r="D358">
        <v>0</v>
      </c>
    </row>
    <row r="359" spans="1:4" x14ac:dyDescent="0.3">
      <c r="A359" t="s">
        <v>6</v>
      </c>
      <c r="B359" s="1">
        <v>45306.875</v>
      </c>
      <c r="C359">
        <v>0</v>
      </c>
      <c r="D359">
        <v>0</v>
      </c>
    </row>
    <row r="360" spans="1:4" x14ac:dyDescent="0.3">
      <c r="A360" t="s">
        <v>6</v>
      </c>
      <c r="B360" s="1">
        <v>45306.916666666664</v>
      </c>
      <c r="C360">
        <v>0</v>
      </c>
      <c r="D360">
        <v>0</v>
      </c>
    </row>
    <row r="361" spans="1:4" x14ac:dyDescent="0.3">
      <c r="A361" t="s">
        <v>6</v>
      </c>
      <c r="B361" s="1">
        <v>45306.958333333336</v>
      </c>
      <c r="C361">
        <v>0</v>
      </c>
      <c r="D361">
        <v>0</v>
      </c>
    </row>
    <row r="362" spans="1:4" x14ac:dyDescent="0.3">
      <c r="A362" t="s">
        <v>6</v>
      </c>
      <c r="B362" s="1">
        <v>45307</v>
      </c>
      <c r="C362">
        <v>0</v>
      </c>
      <c r="D362">
        <v>0</v>
      </c>
    </row>
    <row r="363" spans="1:4" x14ac:dyDescent="0.3">
      <c r="A363" t="s">
        <v>6</v>
      </c>
      <c r="B363" s="1">
        <v>45307.041666666664</v>
      </c>
      <c r="C363">
        <v>0</v>
      </c>
      <c r="D363">
        <v>0</v>
      </c>
    </row>
    <row r="364" spans="1:4" x14ac:dyDescent="0.3">
      <c r="A364" t="s">
        <v>6</v>
      </c>
      <c r="B364" s="1">
        <v>45307.083333333336</v>
      </c>
      <c r="C364">
        <v>0</v>
      </c>
      <c r="D364">
        <v>0</v>
      </c>
    </row>
    <row r="365" spans="1:4" x14ac:dyDescent="0.3">
      <c r="A365" t="s">
        <v>6</v>
      </c>
      <c r="B365" s="1">
        <v>45307.125</v>
      </c>
      <c r="C365">
        <v>0</v>
      </c>
      <c r="D365">
        <v>0</v>
      </c>
    </row>
    <row r="366" spans="1:4" x14ac:dyDescent="0.3">
      <c r="A366" t="s">
        <v>6</v>
      </c>
      <c r="B366" s="1">
        <v>45307.166666666664</v>
      </c>
      <c r="C366">
        <v>0</v>
      </c>
      <c r="D366">
        <v>0</v>
      </c>
    </row>
    <row r="367" spans="1:4" x14ac:dyDescent="0.3">
      <c r="A367" t="s">
        <v>6</v>
      </c>
      <c r="B367" s="1">
        <v>45307.208333333336</v>
      </c>
      <c r="C367">
        <v>0</v>
      </c>
      <c r="D367">
        <v>0</v>
      </c>
    </row>
    <row r="368" spans="1:4" x14ac:dyDescent="0.3">
      <c r="A368" t="s">
        <v>6</v>
      </c>
      <c r="B368" s="1">
        <v>45307.25</v>
      </c>
      <c r="C368">
        <v>0</v>
      </c>
      <c r="D368">
        <v>0</v>
      </c>
    </row>
    <row r="369" spans="1:4" x14ac:dyDescent="0.3">
      <c r="A369" t="s">
        <v>6</v>
      </c>
      <c r="B369" s="1">
        <v>45307.291666666664</v>
      </c>
      <c r="C369">
        <v>103.527618041008</v>
      </c>
      <c r="D369">
        <v>207.05523608201599</v>
      </c>
    </row>
    <row r="370" spans="1:4" x14ac:dyDescent="0.3">
      <c r="A370" t="s">
        <v>6</v>
      </c>
      <c r="B370" s="1">
        <v>45307.333333333336</v>
      </c>
      <c r="C370">
        <v>199.99999999999901</v>
      </c>
      <c r="D370">
        <v>399.99999999999898</v>
      </c>
    </row>
    <row r="371" spans="1:4" x14ac:dyDescent="0.3">
      <c r="A371" t="s">
        <v>6</v>
      </c>
      <c r="B371" s="1">
        <v>45307.375</v>
      </c>
      <c r="C371">
        <v>282.84271247461902</v>
      </c>
      <c r="D371">
        <v>565.68542494923804</v>
      </c>
    </row>
    <row r="372" spans="1:4" x14ac:dyDescent="0.3">
      <c r="A372" t="s">
        <v>6</v>
      </c>
      <c r="B372" s="1">
        <v>45307.416666666664</v>
      </c>
      <c r="C372">
        <v>346.41016151377499</v>
      </c>
      <c r="D372">
        <v>692.82032302754999</v>
      </c>
    </row>
    <row r="373" spans="1:4" x14ac:dyDescent="0.3">
      <c r="A373" t="s">
        <v>6</v>
      </c>
      <c r="B373" s="1">
        <v>45307.458333333336</v>
      </c>
      <c r="C373">
        <v>386.37033051562702</v>
      </c>
      <c r="D373">
        <v>772.74066103125404</v>
      </c>
    </row>
    <row r="374" spans="1:4" x14ac:dyDescent="0.3">
      <c r="A374" t="s">
        <v>6</v>
      </c>
      <c r="B374" s="1">
        <v>45307.5</v>
      </c>
      <c r="C374">
        <v>400</v>
      </c>
      <c r="D374">
        <v>800</v>
      </c>
    </row>
    <row r="375" spans="1:4" x14ac:dyDescent="0.3">
      <c r="A375" t="s">
        <v>6</v>
      </c>
      <c r="B375" s="1">
        <v>45307.541666666664</v>
      </c>
      <c r="C375">
        <v>386.37033051562702</v>
      </c>
      <c r="D375">
        <v>772.74066103125404</v>
      </c>
    </row>
    <row r="376" spans="1:4" x14ac:dyDescent="0.3">
      <c r="A376" t="s">
        <v>6</v>
      </c>
      <c r="B376" s="1">
        <v>45307.583333333336</v>
      </c>
      <c r="C376">
        <v>346.41016151377499</v>
      </c>
      <c r="D376">
        <v>692.82032302755101</v>
      </c>
    </row>
    <row r="377" spans="1:4" x14ac:dyDescent="0.3">
      <c r="A377" t="s">
        <v>6</v>
      </c>
      <c r="B377" s="1">
        <v>45307.625</v>
      </c>
      <c r="C377">
        <v>282.84271247461902</v>
      </c>
      <c r="D377">
        <v>565.68542494923804</v>
      </c>
    </row>
    <row r="378" spans="1:4" x14ac:dyDescent="0.3">
      <c r="A378" t="s">
        <v>6</v>
      </c>
      <c r="B378" s="1">
        <v>45307.666666666664</v>
      </c>
      <c r="C378">
        <v>199.99999999999901</v>
      </c>
      <c r="D378">
        <v>399.99999999999898</v>
      </c>
    </row>
    <row r="379" spans="1:4" x14ac:dyDescent="0.3">
      <c r="A379" t="s">
        <v>6</v>
      </c>
      <c r="B379" s="1">
        <v>45307.708333333336</v>
      </c>
      <c r="C379">
        <v>103.527618041008</v>
      </c>
      <c r="D379">
        <v>207.05523608201599</v>
      </c>
    </row>
    <row r="380" spans="1:4" x14ac:dyDescent="0.3">
      <c r="A380" t="s">
        <v>6</v>
      </c>
      <c r="B380" s="1">
        <v>45307.75</v>
      </c>
      <c r="C380" s="2">
        <v>4.8985871965894097E-14</v>
      </c>
      <c r="D380" s="2">
        <v>9.7971743931788194E-14</v>
      </c>
    </row>
    <row r="381" spans="1:4" x14ac:dyDescent="0.3">
      <c r="A381" t="s">
        <v>6</v>
      </c>
      <c r="B381" s="1">
        <v>45307.791666666664</v>
      </c>
      <c r="C381">
        <v>0</v>
      </c>
      <c r="D381">
        <v>0</v>
      </c>
    </row>
    <row r="382" spans="1:4" x14ac:dyDescent="0.3">
      <c r="A382" t="s">
        <v>6</v>
      </c>
      <c r="B382" s="1">
        <v>45307.833333333336</v>
      </c>
      <c r="C382">
        <v>0</v>
      </c>
      <c r="D382">
        <v>0</v>
      </c>
    </row>
    <row r="383" spans="1:4" x14ac:dyDescent="0.3">
      <c r="A383" t="s">
        <v>6</v>
      </c>
      <c r="B383" s="1">
        <v>45307.875</v>
      </c>
      <c r="C383">
        <v>0</v>
      </c>
      <c r="D383">
        <v>0</v>
      </c>
    </row>
    <row r="384" spans="1:4" x14ac:dyDescent="0.3">
      <c r="A384" t="s">
        <v>6</v>
      </c>
      <c r="B384" s="1">
        <v>45307.916666666664</v>
      </c>
      <c r="C384">
        <v>0</v>
      </c>
      <c r="D384">
        <v>0</v>
      </c>
    </row>
    <row r="385" spans="1:4" x14ac:dyDescent="0.3">
      <c r="A385" t="s">
        <v>6</v>
      </c>
      <c r="B385" s="1">
        <v>45307.958333333336</v>
      </c>
      <c r="C385">
        <v>0</v>
      </c>
      <c r="D385">
        <v>0</v>
      </c>
    </row>
    <row r="386" spans="1:4" x14ac:dyDescent="0.3">
      <c r="A386" t="s">
        <v>6</v>
      </c>
      <c r="B386" s="1">
        <v>45308</v>
      </c>
      <c r="C386">
        <v>0</v>
      </c>
      <c r="D386">
        <v>0</v>
      </c>
    </row>
    <row r="387" spans="1:4" x14ac:dyDescent="0.3">
      <c r="A387" t="s">
        <v>6</v>
      </c>
      <c r="B387" s="1">
        <v>45308.041666666664</v>
      </c>
      <c r="C387">
        <v>0</v>
      </c>
      <c r="D387">
        <v>0</v>
      </c>
    </row>
    <row r="388" spans="1:4" x14ac:dyDescent="0.3">
      <c r="A388" t="s">
        <v>6</v>
      </c>
      <c r="B388" s="1">
        <v>45308.083333333336</v>
      </c>
      <c r="C388">
        <v>0</v>
      </c>
      <c r="D388">
        <v>0</v>
      </c>
    </row>
    <row r="389" spans="1:4" x14ac:dyDescent="0.3">
      <c r="A389" t="s">
        <v>6</v>
      </c>
      <c r="B389" s="1">
        <v>45308.125</v>
      </c>
      <c r="C389">
        <v>0</v>
      </c>
      <c r="D389">
        <v>0</v>
      </c>
    </row>
    <row r="390" spans="1:4" x14ac:dyDescent="0.3">
      <c r="A390" t="s">
        <v>6</v>
      </c>
      <c r="B390" s="1">
        <v>45308.166666666664</v>
      </c>
      <c r="C390">
        <v>0</v>
      </c>
      <c r="D390">
        <v>0</v>
      </c>
    </row>
    <row r="391" spans="1:4" x14ac:dyDescent="0.3">
      <c r="A391" t="s">
        <v>6</v>
      </c>
      <c r="B391" s="1">
        <v>45308.208333333336</v>
      </c>
      <c r="C391">
        <v>0</v>
      </c>
      <c r="D391">
        <v>0</v>
      </c>
    </row>
    <row r="392" spans="1:4" x14ac:dyDescent="0.3">
      <c r="A392" t="s">
        <v>6</v>
      </c>
      <c r="B392" s="1">
        <v>45308.25</v>
      </c>
      <c r="C392">
        <v>0</v>
      </c>
      <c r="D392">
        <v>0</v>
      </c>
    </row>
    <row r="393" spans="1:4" x14ac:dyDescent="0.3">
      <c r="A393" t="s">
        <v>6</v>
      </c>
      <c r="B393" s="1">
        <v>45308.291666666664</v>
      </c>
      <c r="C393">
        <v>103.527618041008</v>
      </c>
      <c r="D393">
        <v>207.05523608201599</v>
      </c>
    </row>
    <row r="394" spans="1:4" x14ac:dyDescent="0.3">
      <c r="A394" t="s">
        <v>6</v>
      </c>
      <c r="B394" s="1">
        <v>45308.333333333336</v>
      </c>
      <c r="C394">
        <v>199.99999999999901</v>
      </c>
      <c r="D394">
        <v>399.99999999999898</v>
      </c>
    </row>
    <row r="395" spans="1:4" x14ac:dyDescent="0.3">
      <c r="A395" t="s">
        <v>6</v>
      </c>
      <c r="B395" s="1">
        <v>45308.375</v>
      </c>
      <c r="C395">
        <v>282.84271247461902</v>
      </c>
      <c r="D395">
        <v>565.68542494923804</v>
      </c>
    </row>
    <row r="396" spans="1:4" x14ac:dyDescent="0.3">
      <c r="A396" t="s">
        <v>6</v>
      </c>
      <c r="B396" s="1">
        <v>45308.416666666664</v>
      </c>
      <c r="C396">
        <v>346.41016151377499</v>
      </c>
      <c r="D396">
        <v>692.82032302754999</v>
      </c>
    </row>
    <row r="397" spans="1:4" x14ac:dyDescent="0.3">
      <c r="A397" t="s">
        <v>6</v>
      </c>
      <c r="B397" s="1">
        <v>45308.458333333336</v>
      </c>
      <c r="C397">
        <v>386.37033051562702</v>
      </c>
      <c r="D397">
        <v>772.74066103125404</v>
      </c>
    </row>
    <row r="398" spans="1:4" x14ac:dyDescent="0.3">
      <c r="A398" t="s">
        <v>6</v>
      </c>
      <c r="B398" s="1">
        <v>45308.5</v>
      </c>
      <c r="C398">
        <v>400</v>
      </c>
      <c r="D398">
        <v>800</v>
      </c>
    </row>
    <row r="399" spans="1:4" x14ac:dyDescent="0.3">
      <c r="A399" t="s">
        <v>6</v>
      </c>
      <c r="B399" s="1">
        <v>45308.541666666664</v>
      </c>
      <c r="C399">
        <v>386.37033051562702</v>
      </c>
      <c r="D399">
        <v>772.74066103125404</v>
      </c>
    </row>
    <row r="400" spans="1:4" x14ac:dyDescent="0.3">
      <c r="A400" t="s">
        <v>6</v>
      </c>
      <c r="B400" s="1">
        <v>45308.583333333336</v>
      </c>
      <c r="C400">
        <v>346.41016151377499</v>
      </c>
      <c r="D400">
        <v>692.82032302755101</v>
      </c>
    </row>
    <row r="401" spans="1:4" x14ac:dyDescent="0.3">
      <c r="A401" t="s">
        <v>6</v>
      </c>
      <c r="B401" s="1">
        <v>45308.625</v>
      </c>
      <c r="C401">
        <v>282.84271247461902</v>
      </c>
      <c r="D401">
        <v>565.68542494923804</v>
      </c>
    </row>
    <row r="402" spans="1:4" x14ac:dyDescent="0.3">
      <c r="A402" t="s">
        <v>6</v>
      </c>
      <c r="B402" s="1">
        <v>45308.666666666664</v>
      </c>
      <c r="C402">
        <v>199.99999999999901</v>
      </c>
      <c r="D402">
        <v>399.99999999999898</v>
      </c>
    </row>
    <row r="403" spans="1:4" x14ac:dyDescent="0.3">
      <c r="A403" t="s">
        <v>6</v>
      </c>
      <c r="B403" s="1">
        <v>45308.708333333336</v>
      </c>
      <c r="C403">
        <v>103.527618041008</v>
      </c>
      <c r="D403">
        <v>207.05523608201599</v>
      </c>
    </row>
    <row r="404" spans="1:4" x14ac:dyDescent="0.3">
      <c r="A404" t="s">
        <v>6</v>
      </c>
      <c r="B404" s="1">
        <v>45308.75</v>
      </c>
      <c r="C404" s="2">
        <v>4.8985871965894097E-14</v>
      </c>
      <c r="D404" s="2">
        <v>9.7971743931788194E-14</v>
      </c>
    </row>
    <row r="405" spans="1:4" x14ac:dyDescent="0.3">
      <c r="A405" t="s">
        <v>6</v>
      </c>
      <c r="B405" s="1">
        <v>45308.791666666664</v>
      </c>
      <c r="C405">
        <v>0</v>
      </c>
      <c r="D405">
        <v>0</v>
      </c>
    </row>
    <row r="406" spans="1:4" x14ac:dyDescent="0.3">
      <c r="A406" t="s">
        <v>6</v>
      </c>
      <c r="B406" s="1">
        <v>45308.833333333336</v>
      </c>
      <c r="C406">
        <v>0</v>
      </c>
      <c r="D406">
        <v>0</v>
      </c>
    </row>
    <row r="407" spans="1:4" x14ac:dyDescent="0.3">
      <c r="A407" t="s">
        <v>6</v>
      </c>
      <c r="B407" s="1">
        <v>45308.875</v>
      </c>
      <c r="C407">
        <v>0</v>
      </c>
      <c r="D407">
        <v>0</v>
      </c>
    </row>
    <row r="408" spans="1:4" x14ac:dyDescent="0.3">
      <c r="A408" t="s">
        <v>6</v>
      </c>
      <c r="B408" s="1">
        <v>45308.916666666664</v>
      </c>
      <c r="C408">
        <v>0</v>
      </c>
      <c r="D408">
        <v>0</v>
      </c>
    </row>
    <row r="409" spans="1:4" x14ac:dyDescent="0.3">
      <c r="A409" t="s">
        <v>6</v>
      </c>
      <c r="B409" s="1">
        <v>45308.958333333336</v>
      </c>
      <c r="C409">
        <v>0</v>
      </c>
      <c r="D409">
        <v>0</v>
      </c>
    </row>
    <row r="410" spans="1:4" x14ac:dyDescent="0.3">
      <c r="A410" t="s">
        <v>6</v>
      </c>
      <c r="B410" s="1">
        <v>45309</v>
      </c>
      <c r="C410">
        <v>0</v>
      </c>
      <c r="D410">
        <v>0</v>
      </c>
    </row>
    <row r="411" spans="1:4" x14ac:dyDescent="0.3">
      <c r="A411" t="s">
        <v>6</v>
      </c>
      <c r="B411" s="1">
        <v>45309.041666666664</v>
      </c>
      <c r="C411">
        <v>0</v>
      </c>
      <c r="D411">
        <v>0</v>
      </c>
    </row>
    <row r="412" spans="1:4" x14ac:dyDescent="0.3">
      <c r="A412" t="s">
        <v>6</v>
      </c>
      <c r="B412" s="1">
        <v>45309.083333333336</v>
      </c>
      <c r="C412">
        <v>0</v>
      </c>
      <c r="D412">
        <v>0</v>
      </c>
    </row>
    <row r="413" spans="1:4" x14ac:dyDescent="0.3">
      <c r="A413" t="s">
        <v>6</v>
      </c>
      <c r="B413" s="1">
        <v>45309.125</v>
      </c>
      <c r="C413">
        <v>0</v>
      </c>
      <c r="D413">
        <v>0</v>
      </c>
    </row>
    <row r="414" spans="1:4" x14ac:dyDescent="0.3">
      <c r="A414" t="s">
        <v>6</v>
      </c>
      <c r="B414" s="1">
        <v>45309.166666666664</v>
      </c>
      <c r="C414">
        <v>0</v>
      </c>
      <c r="D414">
        <v>0</v>
      </c>
    </row>
    <row r="415" spans="1:4" x14ac:dyDescent="0.3">
      <c r="A415" t="s">
        <v>6</v>
      </c>
      <c r="B415" s="1">
        <v>45309.208333333336</v>
      </c>
      <c r="C415">
        <v>0</v>
      </c>
      <c r="D415">
        <v>0</v>
      </c>
    </row>
    <row r="416" spans="1:4" x14ac:dyDescent="0.3">
      <c r="A416" t="s">
        <v>6</v>
      </c>
      <c r="B416" s="1">
        <v>45309.25</v>
      </c>
      <c r="C416">
        <v>0</v>
      </c>
      <c r="D416">
        <v>0</v>
      </c>
    </row>
    <row r="417" spans="1:4" x14ac:dyDescent="0.3">
      <c r="A417" t="s">
        <v>6</v>
      </c>
      <c r="B417" s="1">
        <v>45309.291666666664</v>
      </c>
      <c r="C417">
        <v>103.527618041008</v>
      </c>
      <c r="D417">
        <v>207.05523608201599</v>
      </c>
    </row>
    <row r="418" spans="1:4" x14ac:dyDescent="0.3">
      <c r="A418" t="s">
        <v>6</v>
      </c>
      <c r="B418" s="1">
        <v>45309.333333333336</v>
      </c>
      <c r="C418">
        <v>199.99999999999901</v>
      </c>
      <c r="D418">
        <v>399.99999999999898</v>
      </c>
    </row>
    <row r="419" spans="1:4" x14ac:dyDescent="0.3">
      <c r="A419" t="s">
        <v>6</v>
      </c>
      <c r="B419" s="1">
        <v>45309.375</v>
      </c>
      <c r="C419">
        <v>282.84271247461902</v>
      </c>
      <c r="D419">
        <v>565.68542494923804</v>
      </c>
    </row>
    <row r="420" spans="1:4" x14ac:dyDescent="0.3">
      <c r="A420" t="s">
        <v>6</v>
      </c>
      <c r="B420" s="1">
        <v>45309.416666666664</v>
      </c>
      <c r="C420">
        <v>346.41016151377499</v>
      </c>
      <c r="D420">
        <v>692.82032302754999</v>
      </c>
    </row>
    <row r="421" spans="1:4" x14ac:dyDescent="0.3">
      <c r="A421" t="s">
        <v>6</v>
      </c>
      <c r="B421" s="1">
        <v>45309.458333333336</v>
      </c>
      <c r="C421">
        <v>386.37033051562702</v>
      </c>
      <c r="D421">
        <v>772.74066103125404</v>
      </c>
    </row>
    <row r="422" spans="1:4" x14ac:dyDescent="0.3">
      <c r="A422" t="s">
        <v>6</v>
      </c>
      <c r="B422" s="1">
        <v>45309.5</v>
      </c>
      <c r="C422">
        <v>400</v>
      </c>
      <c r="D422">
        <v>800</v>
      </c>
    </row>
    <row r="423" spans="1:4" x14ac:dyDescent="0.3">
      <c r="A423" t="s">
        <v>6</v>
      </c>
      <c r="B423" s="1">
        <v>45309.541666666664</v>
      </c>
      <c r="C423">
        <v>386.37033051562702</v>
      </c>
      <c r="D423">
        <v>772.74066103125404</v>
      </c>
    </row>
    <row r="424" spans="1:4" x14ac:dyDescent="0.3">
      <c r="A424" t="s">
        <v>6</v>
      </c>
      <c r="B424" s="1">
        <v>45309.583333333336</v>
      </c>
      <c r="C424">
        <v>346.41016151377499</v>
      </c>
      <c r="D424">
        <v>692.82032302755101</v>
      </c>
    </row>
    <row r="425" spans="1:4" x14ac:dyDescent="0.3">
      <c r="A425" t="s">
        <v>6</v>
      </c>
      <c r="B425" s="1">
        <v>45309.625</v>
      </c>
      <c r="C425">
        <v>282.84271247461902</v>
      </c>
      <c r="D425">
        <v>565.68542494923804</v>
      </c>
    </row>
    <row r="426" spans="1:4" x14ac:dyDescent="0.3">
      <c r="A426" t="s">
        <v>6</v>
      </c>
      <c r="B426" s="1">
        <v>45309.666666666664</v>
      </c>
      <c r="C426">
        <v>199.99999999999901</v>
      </c>
      <c r="D426">
        <v>399.99999999999898</v>
      </c>
    </row>
    <row r="427" spans="1:4" x14ac:dyDescent="0.3">
      <c r="A427" t="s">
        <v>6</v>
      </c>
      <c r="B427" s="1">
        <v>45309.708333333336</v>
      </c>
      <c r="C427">
        <v>103.527618041008</v>
      </c>
      <c r="D427">
        <v>207.05523608201599</v>
      </c>
    </row>
    <row r="428" spans="1:4" x14ac:dyDescent="0.3">
      <c r="A428" t="s">
        <v>6</v>
      </c>
      <c r="B428" s="1">
        <v>45309.75</v>
      </c>
      <c r="C428" s="2">
        <v>4.8985871965894097E-14</v>
      </c>
      <c r="D428" s="2">
        <v>9.7971743931788194E-14</v>
      </c>
    </row>
    <row r="429" spans="1:4" x14ac:dyDescent="0.3">
      <c r="A429" t="s">
        <v>6</v>
      </c>
      <c r="B429" s="1">
        <v>45309.791666666664</v>
      </c>
      <c r="C429">
        <v>0</v>
      </c>
      <c r="D429">
        <v>0</v>
      </c>
    </row>
    <row r="430" spans="1:4" x14ac:dyDescent="0.3">
      <c r="A430" t="s">
        <v>6</v>
      </c>
      <c r="B430" s="1">
        <v>45309.833333333336</v>
      </c>
      <c r="C430">
        <v>0</v>
      </c>
      <c r="D430">
        <v>0</v>
      </c>
    </row>
    <row r="431" spans="1:4" x14ac:dyDescent="0.3">
      <c r="A431" t="s">
        <v>6</v>
      </c>
      <c r="B431" s="1">
        <v>45309.875</v>
      </c>
      <c r="C431">
        <v>0</v>
      </c>
      <c r="D431">
        <v>0</v>
      </c>
    </row>
    <row r="432" spans="1:4" x14ac:dyDescent="0.3">
      <c r="A432" t="s">
        <v>6</v>
      </c>
      <c r="B432" s="1">
        <v>45309.916666666664</v>
      </c>
      <c r="C432">
        <v>0</v>
      </c>
      <c r="D432">
        <v>0</v>
      </c>
    </row>
    <row r="433" spans="1:4" x14ac:dyDescent="0.3">
      <c r="A433" t="s">
        <v>6</v>
      </c>
      <c r="B433" s="1">
        <v>45309.958333333336</v>
      </c>
      <c r="C433">
        <v>0</v>
      </c>
      <c r="D433">
        <v>0</v>
      </c>
    </row>
    <row r="434" spans="1:4" x14ac:dyDescent="0.3">
      <c r="A434" t="s">
        <v>6</v>
      </c>
      <c r="B434" s="1">
        <v>45310</v>
      </c>
      <c r="C434">
        <v>0</v>
      </c>
      <c r="D434">
        <v>0</v>
      </c>
    </row>
    <row r="435" spans="1:4" x14ac:dyDescent="0.3">
      <c r="A435" t="s">
        <v>6</v>
      </c>
      <c r="B435" s="1">
        <v>45310.041666666664</v>
      </c>
      <c r="C435">
        <v>0</v>
      </c>
      <c r="D435">
        <v>0</v>
      </c>
    </row>
    <row r="436" spans="1:4" x14ac:dyDescent="0.3">
      <c r="A436" t="s">
        <v>6</v>
      </c>
      <c r="B436" s="1">
        <v>45310.083333333336</v>
      </c>
      <c r="C436">
        <v>0</v>
      </c>
      <c r="D436">
        <v>0</v>
      </c>
    </row>
    <row r="437" spans="1:4" x14ac:dyDescent="0.3">
      <c r="A437" t="s">
        <v>6</v>
      </c>
      <c r="B437" s="1">
        <v>45310.125</v>
      </c>
      <c r="C437">
        <v>0</v>
      </c>
      <c r="D437">
        <v>0</v>
      </c>
    </row>
    <row r="438" spans="1:4" x14ac:dyDescent="0.3">
      <c r="A438" t="s">
        <v>6</v>
      </c>
      <c r="B438" s="1">
        <v>45310.166666666664</v>
      </c>
      <c r="C438">
        <v>0</v>
      </c>
      <c r="D438">
        <v>0</v>
      </c>
    </row>
    <row r="439" spans="1:4" x14ac:dyDescent="0.3">
      <c r="A439" t="s">
        <v>6</v>
      </c>
      <c r="B439" s="1">
        <v>45310.208333333336</v>
      </c>
      <c r="C439">
        <v>0</v>
      </c>
      <c r="D439">
        <v>0</v>
      </c>
    </row>
    <row r="440" spans="1:4" x14ac:dyDescent="0.3">
      <c r="A440" t="s">
        <v>6</v>
      </c>
      <c r="B440" s="1">
        <v>45310.25</v>
      </c>
      <c r="C440">
        <v>0</v>
      </c>
      <c r="D440">
        <v>0</v>
      </c>
    </row>
    <row r="441" spans="1:4" x14ac:dyDescent="0.3">
      <c r="A441" t="s">
        <v>6</v>
      </c>
      <c r="B441" s="1">
        <v>45310.291666666664</v>
      </c>
      <c r="C441">
        <v>103.527618041008</v>
      </c>
      <c r="D441">
        <v>207.05523608201599</v>
      </c>
    </row>
    <row r="442" spans="1:4" x14ac:dyDescent="0.3">
      <c r="A442" t="s">
        <v>6</v>
      </c>
      <c r="B442" s="1">
        <v>45310.333333333336</v>
      </c>
      <c r="C442">
        <v>199.99999999999901</v>
      </c>
      <c r="D442">
        <v>399.99999999999898</v>
      </c>
    </row>
    <row r="443" spans="1:4" x14ac:dyDescent="0.3">
      <c r="A443" t="s">
        <v>6</v>
      </c>
      <c r="B443" s="1">
        <v>45310.375</v>
      </c>
      <c r="C443">
        <v>282.84271247461902</v>
      </c>
      <c r="D443">
        <v>565.68542494923804</v>
      </c>
    </row>
    <row r="444" spans="1:4" x14ac:dyDescent="0.3">
      <c r="A444" t="s">
        <v>6</v>
      </c>
      <c r="B444" s="1">
        <v>45310.416666666664</v>
      </c>
      <c r="C444">
        <v>346.41016151377499</v>
      </c>
      <c r="D444">
        <v>692.82032302754999</v>
      </c>
    </row>
    <row r="445" spans="1:4" x14ac:dyDescent="0.3">
      <c r="A445" t="s">
        <v>6</v>
      </c>
      <c r="B445" s="1">
        <v>45310.458333333336</v>
      </c>
      <c r="C445">
        <v>386.37033051562702</v>
      </c>
      <c r="D445">
        <v>772.74066103125404</v>
      </c>
    </row>
    <row r="446" spans="1:4" x14ac:dyDescent="0.3">
      <c r="A446" t="s">
        <v>6</v>
      </c>
      <c r="B446" s="1">
        <v>45310.5</v>
      </c>
      <c r="C446">
        <v>400</v>
      </c>
      <c r="D446">
        <v>800</v>
      </c>
    </row>
    <row r="447" spans="1:4" x14ac:dyDescent="0.3">
      <c r="A447" t="s">
        <v>6</v>
      </c>
      <c r="B447" s="1">
        <v>45310.541666666664</v>
      </c>
      <c r="C447">
        <v>386.37033051562702</v>
      </c>
      <c r="D447">
        <v>772.74066103125404</v>
      </c>
    </row>
    <row r="448" spans="1:4" x14ac:dyDescent="0.3">
      <c r="A448" t="s">
        <v>6</v>
      </c>
      <c r="B448" s="1">
        <v>45310.583333333336</v>
      </c>
      <c r="C448">
        <v>346.41016151377499</v>
      </c>
      <c r="D448">
        <v>692.82032302755101</v>
      </c>
    </row>
    <row r="449" spans="1:4" x14ac:dyDescent="0.3">
      <c r="A449" t="s">
        <v>6</v>
      </c>
      <c r="B449" s="1">
        <v>45310.625</v>
      </c>
      <c r="C449">
        <v>282.84271247461902</v>
      </c>
      <c r="D449">
        <v>565.68542494923804</v>
      </c>
    </row>
    <row r="450" spans="1:4" x14ac:dyDescent="0.3">
      <c r="A450" t="s">
        <v>6</v>
      </c>
      <c r="B450" s="1">
        <v>45310.666666666664</v>
      </c>
      <c r="C450">
        <v>199.99999999999901</v>
      </c>
      <c r="D450">
        <v>399.99999999999898</v>
      </c>
    </row>
    <row r="451" spans="1:4" x14ac:dyDescent="0.3">
      <c r="A451" t="s">
        <v>6</v>
      </c>
      <c r="B451" s="1">
        <v>45310.708333333336</v>
      </c>
      <c r="C451">
        <v>103.527618041008</v>
      </c>
      <c r="D451">
        <v>207.05523608201599</v>
      </c>
    </row>
    <row r="452" spans="1:4" x14ac:dyDescent="0.3">
      <c r="A452" t="s">
        <v>6</v>
      </c>
      <c r="B452" s="1">
        <v>45310.75</v>
      </c>
      <c r="C452" s="2">
        <v>4.8985871965894097E-14</v>
      </c>
      <c r="D452" s="2">
        <v>9.7971743931788194E-14</v>
      </c>
    </row>
    <row r="453" spans="1:4" x14ac:dyDescent="0.3">
      <c r="A453" t="s">
        <v>6</v>
      </c>
      <c r="B453" s="1">
        <v>45310.791666666664</v>
      </c>
      <c r="C453">
        <v>0</v>
      </c>
      <c r="D453">
        <v>0</v>
      </c>
    </row>
    <row r="454" spans="1:4" x14ac:dyDescent="0.3">
      <c r="A454" t="s">
        <v>6</v>
      </c>
      <c r="B454" s="1">
        <v>45310.833333333336</v>
      </c>
      <c r="C454">
        <v>0</v>
      </c>
      <c r="D454">
        <v>0</v>
      </c>
    </row>
    <row r="455" spans="1:4" x14ac:dyDescent="0.3">
      <c r="A455" t="s">
        <v>6</v>
      </c>
      <c r="B455" s="1">
        <v>45310.875</v>
      </c>
      <c r="C455">
        <v>0</v>
      </c>
      <c r="D455">
        <v>0</v>
      </c>
    </row>
    <row r="456" spans="1:4" x14ac:dyDescent="0.3">
      <c r="A456" t="s">
        <v>6</v>
      </c>
      <c r="B456" s="1">
        <v>45310.916666666664</v>
      </c>
      <c r="C456">
        <v>0</v>
      </c>
      <c r="D456">
        <v>0</v>
      </c>
    </row>
    <row r="457" spans="1:4" x14ac:dyDescent="0.3">
      <c r="A457" t="s">
        <v>6</v>
      </c>
      <c r="B457" s="1">
        <v>45310.958333333336</v>
      </c>
      <c r="C457">
        <v>0</v>
      </c>
      <c r="D457">
        <v>0</v>
      </c>
    </row>
    <row r="458" spans="1:4" x14ac:dyDescent="0.3">
      <c r="A458" t="s">
        <v>6</v>
      </c>
      <c r="B458" s="1">
        <v>45311</v>
      </c>
      <c r="C458">
        <v>0</v>
      </c>
      <c r="D458">
        <v>0</v>
      </c>
    </row>
    <row r="459" spans="1:4" x14ac:dyDescent="0.3">
      <c r="A459" t="s">
        <v>6</v>
      </c>
      <c r="B459" s="1">
        <v>45311.041666666664</v>
      </c>
      <c r="C459">
        <v>0</v>
      </c>
      <c r="D459">
        <v>0</v>
      </c>
    </row>
    <row r="460" spans="1:4" x14ac:dyDescent="0.3">
      <c r="A460" t="s">
        <v>6</v>
      </c>
      <c r="B460" s="1">
        <v>45311.083333333336</v>
      </c>
      <c r="C460">
        <v>0</v>
      </c>
      <c r="D460">
        <v>0</v>
      </c>
    </row>
    <row r="461" spans="1:4" x14ac:dyDescent="0.3">
      <c r="A461" t="s">
        <v>6</v>
      </c>
      <c r="B461" s="1">
        <v>45311.125</v>
      </c>
      <c r="C461">
        <v>0</v>
      </c>
      <c r="D461">
        <v>0</v>
      </c>
    </row>
    <row r="462" spans="1:4" x14ac:dyDescent="0.3">
      <c r="A462" t="s">
        <v>6</v>
      </c>
      <c r="B462" s="1">
        <v>45311.166666666664</v>
      </c>
      <c r="C462">
        <v>0</v>
      </c>
      <c r="D462">
        <v>0</v>
      </c>
    </row>
    <row r="463" spans="1:4" x14ac:dyDescent="0.3">
      <c r="A463" t="s">
        <v>6</v>
      </c>
      <c r="B463" s="1">
        <v>45311.208333333336</v>
      </c>
      <c r="C463">
        <v>0</v>
      </c>
      <c r="D463">
        <v>0</v>
      </c>
    </row>
    <row r="464" spans="1:4" x14ac:dyDescent="0.3">
      <c r="A464" t="s">
        <v>6</v>
      </c>
      <c r="B464" s="1">
        <v>45311.25</v>
      </c>
      <c r="C464">
        <v>0</v>
      </c>
      <c r="D464">
        <v>0</v>
      </c>
    </row>
    <row r="465" spans="1:4" x14ac:dyDescent="0.3">
      <c r="A465" t="s">
        <v>6</v>
      </c>
      <c r="B465" s="1">
        <v>45311.291666666664</v>
      </c>
      <c r="C465">
        <v>103.527618041008</v>
      </c>
      <c r="D465">
        <v>207.05523608201599</v>
      </c>
    </row>
    <row r="466" spans="1:4" x14ac:dyDescent="0.3">
      <c r="A466" t="s">
        <v>6</v>
      </c>
      <c r="B466" s="1">
        <v>45311.333333333336</v>
      </c>
      <c r="C466">
        <v>199.99999999999901</v>
      </c>
      <c r="D466">
        <v>399.99999999999898</v>
      </c>
    </row>
    <row r="467" spans="1:4" x14ac:dyDescent="0.3">
      <c r="A467" t="s">
        <v>6</v>
      </c>
      <c r="B467" s="1">
        <v>45311.375</v>
      </c>
      <c r="C467">
        <v>282.84271247461902</v>
      </c>
      <c r="D467">
        <v>565.68542494923804</v>
      </c>
    </row>
    <row r="468" spans="1:4" x14ac:dyDescent="0.3">
      <c r="A468" t="s">
        <v>6</v>
      </c>
      <c r="B468" s="1">
        <v>45311.416666666664</v>
      </c>
      <c r="C468">
        <v>346.41016151377499</v>
      </c>
      <c r="D468">
        <v>692.82032302754999</v>
      </c>
    </row>
    <row r="469" spans="1:4" x14ac:dyDescent="0.3">
      <c r="A469" t="s">
        <v>6</v>
      </c>
      <c r="B469" s="1">
        <v>45311.458333333336</v>
      </c>
      <c r="C469">
        <v>386.37033051562702</v>
      </c>
      <c r="D469">
        <v>772.74066103125404</v>
      </c>
    </row>
    <row r="470" spans="1:4" x14ac:dyDescent="0.3">
      <c r="A470" t="s">
        <v>6</v>
      </c>
      <c r="B470" s="1">
        <v>45311.5</v>
      </c>
      <c r="C470">
        <v>400</v>
      </c>
      <c r="D470">
        <v>800</v>
      </c>
    </row>
    <row r="471" spans="1:4" x14ac:dyDescent="0.3">
      <c r="A471" t="s">
        <v>6</v>
      </c>
      <c r="B471" s="1">
        <v>45311.541666666664</v>
      </c>
      <c r="C471">
        <v>386.37033051562702</v>
      </c>
      <c r="D471">
        <v>772.74066103125404</v>
      </c>
    </row>
    <row r="472" spans="1:4" x14ac:dyDescent="0.3">
      <c r="A472" t="s">
        <v>6</v>
      </c>
      <c r="B472" s="1">
        <v>45311.583333333336</v>
      </c>
      <c r="C472">
        <v>346.41016151377499</v>
      </c>
      <c r="D472">
        <v>692.82032302755101</v>
      </c>
    </row>
    <row r="473" spans="1:4" x14ac:dyDescent="0.3">
      <c r="A473" t="s">
        <v>6</v>
      </c>
      <c r="B473" s="1">
        <v>45311.625</v>
      </c>
      <c r="C473">
        <v>282.84271247461902</v>
      </c>
      <c r="D473">
        <v>565.68542494923804</v>
      </c>
    </row>
    <row r="474" spans="1:4" x14ac:dyDescent="0.3">
      <c r="A474" t="s">
        <v>6</v>
      </c>
      <c r="B474" s="1">
        <v>45311.666666666664</v>
      </c>
      <c r="C474">
        <v>199.99999999999901</v>
      </c>
      <c r="D474">
        <v>399.99999999999898</v>
      </c>
    </row>
    <row r="475" spans="1:4" x14ac:dyDescent="0.3">
      <c r="A475" t="s">
        <v>6</v>
      </c>
      <c r="B475" s="1">
        <v>45311.708333333336</v>
      </c>
      <c r="C475">
        <v>103.527618041008</v>
      </c>
      <c r="D475">
        <v>207.05523608201599</v>
      </c>
    </row>
    <row r="476" spans="1:4" x14ac:dyDescent="0.3">
      <c r="A476" t="s">
        <v>6</v>
      </c>
      <c r="B476" s="1">
        <v>45311.75</v>
      </c>
      <c r="C476" s="2">
        <v>4.8985871965894097E-14</v>
      </c>
      <c r="D476" s="2">
        <v>9.7971743931788194E-14</v>
      </c>
    </row>
    <row r="477" spans="1:4" x14ac:dyDescent="0.3">
      <c r="A477" t="s">
        <v>6</v>
      </c>
      <c r="B477" s="1">
        <v>45311.791666666664</v>
      </c>
      <c r="C477">
        <v>0</v>
      </c>
      <c r="D477">
        <v>0</v>
      </c>
    </row>
    <row r="478" spans="1:4" x14ac:dyDescent="0.3">
      <c r="A478" t="s">
        <v>6</v>
      </c>
      <c r="B478" s="1">
        <v>45311.833333333336</v>
      </c>
      <c r="C478">
        <v>0</v>
      </c>
      <c r="D478">
        <v>0</v>
      </c>
    </row>
    <row r="479" spans="1:4" x14ac:dyDescent="0.3">
      <c r="A479" t="s">
        <v>6</v>
      </c>
      <c r="B479" s="1">
        <v>45311.875</v>
      </c>
      <c r="C479">
        <v>0</v>
      </c>
      <c r="D479">
        <v>0</v>
      </c>
    </row>
    <row r="480" spans="1:4" x14ac:dyDescent="0.3">
      <c r="A480" t="s">
        <v>6</v>
      </c>
      <c r="B480" s="1">
        <v>45311.916666666664</v>
      </c>
      <c r="C480">
        <v>0</v>
      </c>
      <c r="D480">
        <v>0</v>
      </c>
    </row>
    <row r="481" spans="1:4" x14ac:dyDescent="0.3">
      <c r="A481" t="s">
        <v>6</v>
      </c>
      <c r="B481" s="1">
        <v>45311.958333333336</v>
      </c>
      <c r="C481">
        <v>0</v>
      </c>
      <c r="D481">
        <v>0</v>
      </c>
    </row>
    <row r="482" spans="1:4" x14ac:dyDescent="0.3">
      <c r="A482" t="s">
        <v>6</v>
      </c>
      <c r="B482" s="1">
        <v>45312</v>
      </c>
      <c r="C482">
        <v>0</v>
      </c>
      <c r="D482">
        <v>0</v>
      </c>
    </row>
    <row r="483" spans="1:4" x14ac:dyDescent="0.3">
      <c r="A483" t="s">
        <v>6</v>
      </c>
      <c r="B483" s="1">
        <v>45312.041666666664</v>
      </c>
      <c r="C483">
        <v>0</v>
      </c>
      <c r="D483">
        <v>0</v>
      </c>
    </row>
    <row r="484" spans="1:4" x14ac:dyDescent="0.3">
      <c r="A484" t="s">
        <v>6</v>
      </c>
      <c r="B484" s="1">
        <v>45312.083333333336</v>
      </c>
      <c r="C484">
        <v>0</v>
      </c>
      <c r="D484">
        <v>0</v>
      </c>
    </row>
    <row r="485" spans="1:4" x14ac:dyDescent="0.3">
      <c r="A485" t="s">
        <v>6</v>
      </c>
      <c r="B485" s="1">
        <v>45312.125</v>
      </c>
      <c r="C485">
        <v>0</v>
      </c>
      <c r="D485">
        <v>0</v>
      </c>
    </row>
    <row r="486" spans="1:4" x14ac:dyDescent="0.3">
      <c r="A486" t="s">
        <v>6</v>
      </c>
      <c r="B486" s="1">
        <v>45312.166666666664</v>
      </c>
      <c r="C486">
        <v>0</v>
      </c>
      <c r="D486">
        <v>0</v>
      </c>
    </row>
    <row r="487" spans="1:4" x14ac:dyDescent="0.3">
      <c r="A487" t="s">
        <v>6</v>
      </c>
      <c r="B487" s="1">
        <v>45312.208333333336</v>
      </c>
      <c r="C487">
        <v>0</v>
      </c>
      <c r="D487">
        <v>0</v>
      </c>
    </row>
    <row r="488" spans="1:4" x14ac:dyDescent="0.3">
      <c r="A488" t="s">
        <v>6</v>
      </c>
      <c r="B488" s="1">
        <v>45312.25</v>
      </c>
      <c r="C488">
        <v>0</v>
      </c>
      <c r="D488">
        <v>0</v>
      </c>
    </row>
    <row r="489" spans="1:4" x14ac:dyDescent="0.3">
      <c r="A489" t="s">
        <v>6</v>
      </c>
      <c r="B489" s="1">
        <v>45312.291666666664</v>
      </c>
      <c r="C489">
        <v>103.527618041008</v>
      </c>
      <c r="D489">
        <v>207.05523608201599</v>
      </c>
    </row>
    <row r="490" spans="1:4" x14ac:dyDescent="0.3">
      <c r="A490" t="s">
        <v>6</v>
      </c>
      <c r="B490" s="1">
        <v>45312.333333333336</v>
      </c>
      <c r="C490">
        <v>199.99999999999901</v>
      </c>
      <c r="D490">
        <v>399.99999999999898</v>
      </c>
    </row>
    <row r="491" spans="1:4" x14ac:dyDescent="0.3">
      <c r="A491" t="s">
        <v>6</v>
      </c>
      <c r="B491" s="1">
        <v>45312.375</v>
      </c>
      <c r="C491">
        <v>282.84271247461902</v>
      </c>
      <c r="D491">
        <v>565.68542494923804</v>
      </c>
    </row>
    <row r="492" spans="1:4" x14ac:dyDescent="0.3">
      <c r="A492" t="s">
        <v>6</v>
      </c>
      <c r="B492" s="1">
        <v>45312.416666666664</v>
      </c>
      <c r="C492">
        <v>346.41016151377499</v>
      </c>
      <c r="D492">
        <v>692.82032302754999</v>
      </c>
    </row>
    <row r="493" spans="1:4" x14ac:dyDescent="0.3">
      <c r="A493" t="s">
        <v>6</v>
      </c>
      <c r="B493" s="1">
        <v>45312.458333333336</v>
      </c>
      <c r="C493">
        <v>386.37033051562702</v>
      </c>
      <c r="D493">
        <v>772.74066103125404</v>
      </c>
    </row>
    <row r="494" spans="1:4" x14ac:dyDescent="0.3">
      <c r="A494" t="s">
        <v>6</v>
      </c>
      <c r="B494" s="1">
        <v>45312.5</v>
      </c>
      <c r="C494">
        <v>400</v>
      </c>
      <c r="D494">
        <v>800</v>
      </c>
    </row>
    <row r="495" spans="1:4" x14ac:dyDescent="0.3">
      <c r="A495" t="s">
        <v>6</v>
      </c>
      <c r="B495" s="1">
        <v>45312.541666666664</v>
      </c>
      <c r="C495">
        <v>386.37033051562702</v>
      </c>
      <c r="D495">
        <v>772.74066103125404</v>
      </c>
    </row>
    <row r="496" spans="1:4" x14ac:dyDescent="0.3">
      <c r="A496" t="s">
        <v>6</v>
      </c>
      <c r="B496" s="1">
        <v>45312.583333333336</v>
      </c>
      <c r="C496">
        <v>346.41016151377499</v>
      </c>
      <c r="D496">
        <v>692.82032302755101</v>
      </c>
    </row>
    <row r="497" spans="1:4" x14ac:dyDescent="0.3">
      <c r="A497" t="s">
        <v>6</v>
      </c>
      <c r="B497" s="1">
        <v>45312.625</v>
      </c>
      <c r="C497">
        <v>282.84271247461902</v>
      </c>
      <c r="D497">
        <v>565.68542494923804</v>
      </c>
    </row>
    <row r="498" spans="1:4" x14ac:dyDescent="0.3">
      <c r="A498" t="s">
        <v>6</v>
      </c>
      <c r="B498" s="1">
        <v>45312.666666666664</v>
      </c>
      <c r="C498">
        <v>199.99999999999901</v>
      </c>
      <c r="D498">
        <v>399.99999999999898</v>
      </c>
    </row>
    <row r="499" spans="1:4" x14ac:dyDescent="0.3">
      <c r="A499" t="s">
        <v>6</v>
      </c>
      <c r="B499" s="1">
        <v>45312.708333333336</v>
      </c>
      <c r="C499">
        <v>103.527618041008</v>
      </c>
      <c r="D499">
        <v>207.05523608201599</v>
      </c>
    </row>
    <row r="500" spans="1:4" x14ac:dyDescent="0.3">
      <c r="A500" t="s">
        <v>6</v>
      </c>
      <c r="B500" s="1">
        <v>45312.75</v>
      </c>
      <c r="C500" s="2">
        <v>4.8985871965894097E-14</v>
      </c>
      <c r="D500" s="2">
        <v>9.7971743931788194E-14</v>
      </c>
    </row>
    <row r="501" spans="1:4" x14ac:dyDescent="0.3">
      <c r="A501" t="s">
        <v>6</v>
      </c>
      <c r="B501" s="1">
        <v>45312.791666666664</v>
      </c>
      <c r="C501">
        <v>0</v>
      </c>
      <c r="D501">
        <v>0</v>
      </c>
    </row>
    <row r="502" spans="1:4" x14ac:dyDescent="0.3">
      <c r="A502" t="s">
        <v>6</v>
      </c>
      <c r="B502" s="1">
        <v>45312.833333333336</v>
      </c>
      <c r="C502">
        <v>0</v>
      </c>
      <c r="D502">
        <v>0</v>
      </c>
    </row>
    <row r="503" spans="1:4" x14ac:dyDescent="0.3">
      <c r="A503" t="s">
        <v>6</v>
      </c>
      <c r="B503" s="1">
        <v>45312.875</v>
      </c>
      <c r="C503">
        <v>0</v>
      </c>
      <c r="D503">
        <v>0</v>
      </c>
    </row>
    <row r="504" spans="1:4" x14ac:dyDescent="0.3">
      <c r="A504" t="s">
        <v>6</v>
      </c>
      <c r="B504" s="1">
        <v>45312.916666666664</v>
      </c>
      <c r="C504">
        <v>0</v>
      </c>
      <c r="D504">
        <v>0</v>
      </c>
    </row>
    <row r="505" spans="1:4" x14ac:dyDescent="0.3">
      <c r="A505" t="s">
        <v>6</v>
      </c>
      <c r="B505" s="1">
        <v>45312.958333333336</v>
      </c>
      <c r="C505">
        <v>0</v>
      </c>
      <c r="D505">
        <v>0</v>
      </c>
    </row>
    <row r="506" spans="1:4" x14ac:dyDescent="0.3">
      <c r="A506" t="s">
        <v>6</v>
      </c>
      <c r="B506" s="1">
        <v>45313</v>
      </c>
      <c r="C506">
        <v>0</v>
      </c>
      <c r="D506">
        <v>0</v>
      </c>
    </row>
    <row r="507" spans="1:4" x14ac:dyDescent="0.3">
      <c r="A507" t="s">
        <v>6</v>
      </c>
      <c r="B507" s="1">
        <v>45313.041666666664</v>
      </c>
      <c r="C507">
        <v>0</v>
      </c>
      <c r="D507">
        <v>0</v>
      </c>
    </row>
    <row r="508" spans="1:4" x14ac:dyDescent="0.3">
      <c r="A508" t="s">
        <v>6</v>
      </c>
      <c r="B508" s="1">
        <v>45313.083333333336</v>
      </c>
      <c r="C508">
        <v>0</v>
      </c>
      <c r="D508">
        <v>0</v>
      </c>
    </row>
    <row r="509" spans="1:4" x14ac:dyDescent="0.3">
      <c r="A509" t="s">
        <v>6</v>
      </c>
      <c r="B509" s="1">
        <v>45313.125</v>
      </c>
      <c r="C509">
        <v>0</v>
      </c>
      <c r="D509">
        <v>0</v>
      </c>
    </row>
    <row r="510" spans="1:4" x14ac:dyDescent="0.3">
      <c r="A510" t="s">
        <v>6</v>
      </c>
      <c r="B510" s="1">
        <v>45313.166666666664</v>
      </c>
      <c r="C510">
        <v>0</v>
      </c>
      <c r="D510">
        <v>0</v>
      </c>
    </row>
    <row r="511" spans="1:4" x14ac:dyDescent="0.3">
      <c r="A511" t="s">
        <v>6</v>
      </c>
      <c r="B511" s="1">
        <v>45313.208333333336</v>
      </c>
      <c r="C511">
        <v>0</v>
      </c>
      <c r="D511">
        <v>0</v>
      </c>
    </row>
    <row r="512" spans="1:4" x14ac:dyDescent="0.3">
      <c r="A512" t="s">
        <v>6</v>
      </c>
      <c r="B512" s="1">
        <v>45313.25</v>
      </c>
      <c r="C512">
        <v>0</v>
      </c>
      <c r="D512">
        <v>0</v>
      </c>
    </row>
    <row r="513" spans="1:4" x14ac:dyDescent="0.3">
      <c r="A513" t="s">
        <v>6</v>
      </c>
      <c r="B513" s="1">
        <v>45313.291666666664</v>
      </c>
      <c r="C513">
        <v>103.527618041008</v>
      </c>
      <c r="D513">
        <v>207.05523608201599</v>
      </c>
    </row>
    <row r="514" spans="1:4" x14ac:dyDescent="0.3">
      <c r="A514" t="s">
        <v>6</v>
      </c>
      <c r="B514" s="1">
        <v>45313.333333333336</v>
      </c>
      <c r="C514">
        <v>199.99999999999901</v>
      </c>
      <c r="D514">
        <v>399.99999999999898</v>
      </c>
    </row>
    <row r="515" spans="1:4" x14ac:dyDescent="0.3">
      <c r="A515" t="s">
        <v>6</v>
      </c>
      <c r="B515" s="1">
        <v>45313.375</v>
      </c>
      <c r="C515">
        <v>282.84271247461902</v>
      </c>
      <c r="D515">
        <v>565.68542494923804</v>
      </c>
    </row>
    <row r="516" spans="1:4" x14ac:dyDescent="0.3">
      <c r="A516" t="s">
        <v>6</v>
      </c>
      <c r="B516" s="1">
        <v>45313.416666666664</v>
      </c>
      <c r="C516">
        <v>346.41016151377499</v>
      </c>
      <c r="D516">
        <v>692.82032302754999</v>
      </c>
    </row>
    <row r="517" spans="1:4" x14ac:dyDescent="0.3">
      <c r="A517" t="s">
        <v>6</v>
      </c>
      <c r="B517" s="1">
        <v>45313.458333333336</v>
      </c>
      <c r="C517">
        <v>386.37033051562702</v>
      </c>
      <c r="D517">
        <v>772.74066103125404</v>
      </c>
    </row>
    <row r="518" spans="1:4" x14ac:dyDescent="0.3">
      <c r="A518" t="s">
        <v>6</v>
      </c>
      <c r="B518" s="1">
        <v>45313.5</v>
      </c>
      <c r="C518">
        <v>400</v>
      </c>
      <c r="D518">
        <v>800</v>
      </c>
    </row>
    <row r="519" spans="1:4" x14ac:dyDescent="0.3">
      <c r="A519" t="s">
        <v>6</v>
      </c>
      <c r="B519" s="1">
        <v>45313.541666666664</v>
      </c>
      <c r="C519">
        <v>386.37033051562702</v>
      </c>
      <c r="D519">
        <v>772.74066103125404</v>
      </c>
    </row>
    <row r="520" spans="1:4" x14ac:dyDescent="0.3">
      <c r="A520" t="s">
        <v>6</v>
      </c>
      <c r="B520" s="1">
        <v>45313.583333333336</v>
      </c>
      <c r="C520">
        <v>346.41016151377499</v>
      </c>
      <c r="D520">
        <v>692.82032302755101</v>
      </c>
    </row>
    <row r="521" spans="1:4" x14ac:dyDescent="0.3">
      <c r="A521" t="s">
        <v>6</v>
      </c>
      <c r="B521" s="1">
        <v>45313.625</v>
      </c>
      <c r="C521">
        <v>282.84271247461902</v>
      </c>
      <c r="D521">
        <v>565.68542494923804</v>
      </c>
    </row>
    <row r="522" spans="1:4" x14ac:dyDescent="0.3">
      <c r="A522" t="s">
        <v>6</v>
      </c>
      <c r="B522" s="1">
        <v>45313.666666666664</v>
      </c>
      <c r="C522">
        <v>199.99999999999901</v>
      </c>
      <c r="D522">
        <v>399.99999999999898</v>
      </c>
    </row>
    <row r="523" spans="1:4" x14ac:dyDescent="0.3">
      <c r="A523" t="s">
        <v>6</v>
      </c>
      <c r="B523" s="1">
        <v>45313.708333333336</v>
      </c>
      <c r="C523">
        <v>103.527618041008</v>
      </c>
      <c r="D523">
        <v>207.05523608201599</v>
      </c>
    </row>
    <row r="524" spans="1:4" x14ac:dyDescent="0.3">
      <c r="A524" t="s">
        <v>6</v>
      </c>
      <c r="B524" s="1">
        <v>45313.75</v>
      </c>
      <c r="C524" s="2">
        <v>4.8985871965894097E-14</v>
      </c>
      <c r="D524" s="2">
        <v>9.7971743931788194E-14</v>
      </c>
    </row>
    <row r="525" spans="1:4" x14ac:dyDescent="0.3">
      <c r="A525" t="s">
        <v>6</v>
      </c>
      <c r="B525" s="1">
        <v>45313.791666666664</v>
      </c>
      <c r="C525">
        <v>0</v>
      </c>
      <c r="D525">
        <v>0</v>
      </c>
    </row>
    <row r="526" spans="1:4" x14ac:dyDescent="0.3">
      <c r="A526" t="s">
        <v>6</v>
      </c>
      <c r="B526" s="1">
        <v>45313.833333333336</v>
      </c>
      <c r="C526">
        <v>0</v>
      </c>
      <c r="D526">
        <v>0</v>
      </c>
    </row>
    <row r="527" spans="1:4" x14ac:dyDescent="0.3">
      <c r="A527" t="s">
        <v>6</v>
      </c>
      <c r="B527" s="1">
        <v>45313.875</v>
      </c>
      <c r="C527">
        <v>0</v>
      </c>
      <c r="D527">
        <v>0</v>
      </c>
    </row>
    <row r="528" spans="1:4" x14ac:dyDescent="0.3">
      <c r="A528" t="s">
        <v>6</v>
      </c>
      <c r="B528" s="1">
        <v>45313.916666666664</v>
      </c>
      <c r="C528">
        <v>0</v>
      </c>
      <c r="D528">
        <v>0</v>
      </c>
    </row>
    <row r="529" spans="1:4" x14ac:dyDescent="0.3">
      <c r="A529" t="s">
        <v>6</v>
      </c>
      <c r="B529" s="1">
        <v>45313.958333333336</v>
      </c>
      <c r="C529">
        <v>0</v>
      </c>
      <c r="D529">
        <v>0</v>
      </c>
    </row>
    <row r="530" spans="1:4" x14ac:dyDescent="0.3">
      <c r="A530" t="s">
        <v>6</v>
      </c>
      <c r="B530" s="1">
        <v>45314</v>
      </c>
      <c r="C530">
        <v>0</v>
      </c>
      <c r="D530">
        <v>0</v>
      </c>
    </row>
    <row r="531" spans="1:4" x14ac:dyDescent="0.3">
      <c r="A531" t="s">
        <v>6</v>
      </c>
      <c r="B531" s="1">
        <v>45314.041666666664</v>
      </c>
      <c r="C531">
        <v>0</v>
      </c>
      <c r="D531">
        <v>0</v>
      </c>
    </row>
    <row r="532" spans="1:4" x14ac:dyDescent="0.3">
      <c r="A532" t="s">
        <v>6</v>
      </c>
      <c r="B532" s="1">
        <v>45314.083333333336</v>
      </c>
      <c r="C532">
        <v>0</v>
      </c>
      <c r="D532">
        <v>0</v>
      </c>
    </row>
    <row r="533" spans="1:4" x14ac:dyDescent="0.3">
      <c r="A533" t="s">
        <v>6</v>
      </c>
      <c r="B533" s="1">
        <v>45314.125</v>
      </c>
      <c r="C533">
        <v>0</v>
      </c>
      <c r="D533">
        <v>0</v>
      </c>
    </row>
    <row r="534" spans="1:4" x14ac:dyDescent="0.3">
      <c r="A534" t="s">
        <v>6</v>
      </c>
      <c r="B534" s="1">
        <v>45314.166666666664</v>
      </c>
      <c r="C534">
        <v>0</v>
      </c>
      <c r="D534">
        <v>0</v>
      </c>
    </row>
    <row r="535" spans="1:4" x14ac:dyDescent="0.3">
      <c r="A535" t="s">
        <v>6</v>
      </c>
      <c r="B535" s="1">
        <v>45314.208333333336</v>
      </c>
      <c r="C535">
        <v>0</v>
      </c>
      <c r="D535">
        <v>0</v>
      </c>
    </row>
    <row r="536" spans="1:4" x14ac:dyDescent="0.3">
      <c r="A536" t="s">
        <v>6</v>
      </c>
      <c r="B536" s="1">
        <v>45314.25</v>
      </c>
      <c r="C536">
        <v>0</v>
      </c>
      <c r="D536">
        <v>0</v>
      </c>
    </row>
    <row r="537" spans="1:4" x14ac:dyDescent="0.3">
      <c r="A537" t="s">
        <v>6</v>
      </c>
      <c r="B537" s="1">
        <v>45314.291666666664</v>
      </c>
      <c r="C537">
        <v>103.527618041008</v>
      </c>
      <c r="D537">
        <v>207.05523608201599</v>
      </c>
    </row>
    <row r="538" spans="1:4" x14ac:dyDescent="0.3">
      <c r="A538" t="s">
        <v>6</v>
      </c>
      <c r="B538" s="1">
        <v>45314.333333333336</v>
      </c>
      <c r="C538">
        <v>199.99999999999901</v>
      </c>
      <c r="D538">
        <v>399.99999999999898</v>
      </c>
    </row>
    <row r="539" spans="1:4" x14ac:dyDescent="0.3">
      <c r="A539" t="s">
        <v>6</v>
      </c>
      <c r="B539" s="1">
        <v>45314.375</v>
      </c>
      <c r="C539">
        <v>282.84271247461902</v>
      </c>
      <c r="D539">
        <v>565.68542494923804</v>
      </c>
    </row>
    <row r="540" spans="1:4" x14ac:dyDescent="0.3">
      <c r="A540" t="s">
        <v>6</v>
      </c>
      <c r="B540" s="1">
        <v>45314.416666666664</v>
      </c>
      <c r="C540">
        <v>346.41016151377499</v>
      </c>
      <c r="D540">
        <v>692.82032302754999</v>
      </c>
    </row>
    <row r="541" spans="1:4" x14ac:dyDescent="0.3">
      <c r="A541" t="s">
        <v>6</v>
      </c>
      <c r="B541" s="1">
        <v>45314.458333333336</v>
      </c>
      <c r="C541">
        <v>386.37033051562702</v>
      </c>
      <c r="D541">
        <v>772.74066103125404</v>
      </c>
    </row>
    <row r="542" spans="1:4" x14ac:dyDescent="0.3">
      <c r="A542" t="s">
        <v>6</v>
      </c>
      <c r="B542" s="1">
        <v>45314.5</v>
      </c>
      <c r="C542">
        <v>400</v>
      </c>
      <c r="D542">
        <v>800</v>
      </c>
    </row>
    <row r="543" spans="1:4" x14ac:dyDescent="0.3">
      <c r="A543" t="s">
        <v>6</v>
      </c>
      <c r="B543" s="1">
        <v>45314.541666666664</v>
      </c>
      <c r="C543">
        <v>386.37033051562702</v>
      </c>
      <c r="D543">
        <v>772.74066103125404</v>
      </c>
    </row>
    <row r="544" spans="1:4" x14ac:dyDescent="0.3">
      <c r="A544" t="s">
        <v>6</v>
      </c>
      <c r="B544" s="1">
        <v>45314.583333333336</v>
      </c>
      <c r="C544">
        <v>346.41016151377499</v>
      </c>
      <c r="D544">
        <v>692.82032302755101</v>
      </c>
    </row>
    <row r="545" spans="1:4" x14ac:dyDescent="0.3">
      <c r="A545" t="s">
        <v>6</v>
      </c>
      <c r="B545" s="1">
        <v>45314.625</v>
      </c>
      <c r="C545">
        <v>282.84271247461902</v>
      </c>
      <c r="D545">
        <v>565.68542494923804</v>
      </c>
    </row>
    <row r="546" spans="1:4" x14ac:dyDescent="0.3">
      <c r="A546" t="s">
        <v>6</v>
      </c>
      <c r="B546" s="1">
        <v>45314.666666666664</v>
      </c>
      <c r="C546">
        <v>199.99999999999901</v>
      </c>
      <c r="D546">
        <v>399.99999999999898</v>
      </c>
    </row>
    <row r="547" spans="1:4" x14ac:dyDescent="0.3">
      <c r="A547" t="s">
        <v>6</v>
      </c>
      <c r="B547" s="1">
        <v>45314.708333333336</v>
      </c>
      <c r="C547">
        <v>103.527618041008</v>
      </c>
      <c r="D547">
        <v>207.05523608201599</v>
      </c>
    </row>
    <row r="548" spans="1:4" x14ac:dyDescent="0.3">
      <c r="A548" t="s">
        <v>6</v>
      </c>
      <c r="B548" s="1">
        <v>45314.75</v>
      </c>
      <c r="C548" s="2">
        <v>4.8985871965894097E-14</v>
      </c>
      <c r="D548" s="2">
        <v>9.7971743931788194E-14</v>
      </c>
    </row>
    <row r="549" spans="1:4" x14ac:dyDescent="0.3">
      <c r="A549" t="s">
        <v>6</v>
      </c>
      <c r="B549" s="1">
        <v>45314.791666666664</v>
      </c>
      <c r="C549">
        <v>0</v>
      </c>
      <c r="D549">
        <v>0</v>
      </c>
    </row>
    <row r="550" spans="1:4" x14ac:dyDescent="0.3">
      <c r="A550" t="s">
        <v>6</v>
      </c>
      <c r="B550" s="1">
        <v>45314.833333333336</v>
      </c>
      <c r="C550">
        <v>0</v>
      </c>
      <c r="D550">
        <v>0</v>
      </c>
    </row>
    <row r="551" spans="1:4" x14ac:dyDescent="0.3">
      <c r="A551" t="s">
        <v>6</v>
      </c>
      <c r="B551" s="1">
        <v>45314.875</v>
      </c>
      <c r="C551">
        <v>0</v>
      </c>
      <c r="D551">
        <v>0</v>
      </c>
    </row>
    <row r="552" spans="1:4" x14ac:dyDescent="0.3">
      <c r="A552" t="s">
        <v>6</v>
      </c>
      <c r="B552" s="1">
        <v>45314.916666666664</v>
      </c>
      <c r="C552">
        <v>0</v>
      </c>
      <c r="D552">
        <v>0</v>
      </c>
    </row>
    <row r="553" spans="1:4" x14ac:dyDescent="0.3">
      <c r="A553" t="s">
        <v>6</v>
      </c>
      <c r="B553" s="1">
        <v>45314.958333333336</v>
      </c>
      <c r="C553">
        <v>0</v>
      </c>
      <c r="D553">
        <v>0</v>
      </c>
    </row>
    <row r="554" spans="1:4" x14ac:dyDescent="0.3">
      <c r="A554" t="s">
        <v>6</v>
      </c>
      <c r="B554" s="1">
        <v>45315</v>
      </c>
      <c r="C554">
        <v>0</v>
      </c>
      <c r="D554">
        <v>0</v>
      </c>
    </row>
    <row r="555" spans="1:4" x14ac:dyDescent="0.3">
      <c r="A555" t="s">
        <v>6</v>
      </c>
      <c r="B555" s="1">
        <v>45315.041666666664</v>
      </c>
      <c r="C555">
        <v>0</v>
      </c>
      <c r="D555">
        <v>0</v>
      </c>
    </row>
    <row r="556" spans="1:4" x14ac:dyDescent="0.3">
      <c r="A556" t="s">
        <v>6</v>
      </c>
      <c r="B556" s="1">
        <v>45315.083333333336</v>
      </c>
      <c r="C556">
        <v>0</v>
      </c>
      <c r="D556">
        <v>0</v>
      </c>
    </row>
    <row r="557" spans="1:4" x14ac:dyDescent="0.3">
      <c r="A557" t="s">
        <v>6</v>
      </c>
      <c r="B557" s="1">
        <v>45315.125</v>
      </c>
      <c r="C557">
        <v>0</v>
      </c>
      <c r="D557">
        <v>0</v>
      </c>
    </row>
    <row r="558" spans="1:4" x14ac:dyDescent="0.3">
      <c r="A558" t="s">
        <v>6</v>
      </c>
      <c r="B558" s="1">
        <v>45315.166666666664</v>
      </c>
      <c r="C558">
        <v>0</v>
      </c>
      <c r="D558">
        <v>0</v>
      </c>
    </row>
    <row r="559" spans="1:4" x14ac:dyDescent="0.3">
      <c r="A559" t="s">
        <v>6</v>
      </c>
      <c r="B559" s="1">
        <v>45315.208333333336</v>
      </c>
      <c r="C559">
        <v>0</v>
      </c>
      <c r="D559">
        <v>0</v>
      </c>
    </row>
    <row r="560" spans="1:4" x14ac:dyDescent="0.3">
      <c r="A560" t="s">
        <v>6</v>
      </c>
      <c r="B560" s="1">
        <v>45315.25</v>
      </c>
      <c r="C560">
        <v>0</v>
      </c>
      <c r="D560">
        <v>0</v>
      </c>
    </row>
    <row r="561" spans="1:4" x14ac:dyDescent="0.3">
      <c r="A561" t="s">
        <v>6</v>
      </c>
      <c r="B561" s="1">
        <v>45315.291666666664</v>
      </c>
      <c r="C561">
        <v>103.527618041008</v>
      </c>
      <c r="D561">
        <v>207.05523608201599</v>
      </c>
    </row>
    <row r="562" spans="1:4" x14ac:dyDescent="0.3">
      <c r="A562" t="s">
        <v>6</v>
      </c>
      <c r="B562" s="1">
        <v>45315.333333333336</v>
      </c>
      <c r="C562">
        <v>199.99999999999901</v>
      </c>
      <c r="D562">
        <v>399.99999999999898</v>
      </c>
    </row>
    <row r="563" spans="1:4" x14ac:dyDescent="0.3">
      <c r="A563" t="s">
        <v>6</v>
      </c>
      <c r="B563" s="1">
        <v>45315.375</v>
      </c>
      <c r="C563">
        <v>282.84271247461902</v>
      </c>
      <c r="D563">
        <v>565.68542494923804</v>
      </c>
    </row>
    <row r="564" spans="1:4" x14ac:dyDescent="0.3">
      <c r="A564" t="s">
        <v>6</v>
      </c>
      <c r="B564" s="1">
        <v>45315.416666666664</v>
      </c>
      <c r="C564">
        <v>346.41016151377499</v>
      </c>
      <c r="D564">
        <v>692.82032302754999</v>
      </c>
    </row>
    <row r="565" spans="1:4" x14ac:dyDescent="0.3">
      <c r="A565" t="s">
        <v>6</v>
      </c>
      <c r="B565" s="1">
        <v>45315.458333333336</v>
      </c>
      <c r="C565">
        <v>386.37033051562702</v>
      </c>
      <c r="D565">
        <v>772.74066103125404</v>
      </c>
    </row>
    <row r="566" spans="1:4" x14ac:dyDescent="0.3">
      <c r="A566" t="s">
        <v>6</v>
      </c>
      <c r="B566" s="1">
        <v>45315.5</v>
      </c>
      <c r="C566">
        <v>400</v>
      </c>
      <c r="D566">
        <v>800</v>
      </c>
    </row>
    <row r="567" spans="1:4" x14ac:dyDescent="0.3">
      <c r="A567" t="s">
        <v>6</v>
      </c>
      <c r="B567" s="1">
        <v>45315.541666666664</v>
      </c>
      <c r="C567">
        <v>386.37033051562702</v>
      </c>
      <c r="D567">
        <v>772.74066103125404</v>
      </c>
    </row>
    <row r="568" spans="1:4" x14ac:dyDescent="0.3">
      <c r="A568" t="s">
        <v>6</v>
      </c>
      <c r="B568" s="1">
        <v>45315.583333333336</v>
      </c>
      <c r="C568">
        <v>346.41016151377499</v>
      </c>
      <c r="D568">
        <v>692.82032302755101</v>
      </c>
    </row>
    <row r="569" spans="1:4" x14ac:dyDescent="0.3">
      <c r="A569" t="s">
        <v>6</v>
      </c>
      <c r="B569" s="1">
        <v>45315.625</v>
      </c>
      <c r="C569">
        <v>282.84271247461902</v>
      </c>
      <c r="D569">
        <v>565.68542494923804</v>
      </c>
    </row>
    <row r="570" spans="1:4" x14ac:dyDescent="0.3">
      <c r="A570" t="s">
        <v>6</v>
      </c>
      <c r="B570" s="1">
        <v>45315.666666666664</v>
      </c>
      <c r="C570">
        <v>199.99999999999901</v>
      </c>
      <c r="D570">
        <v>399.99999999999898</v>
      </c>
    </row>
    <row r="571" spans="1:4" x14ac:dyDescent="0.3">
      <c r="A571" t="s">
        <v>6</v>
      </c>
      <c r="B571" s="1">
        <v>45315.708333333336</v>
      </c>
      <c r="C571">
        <v>103.527618041008</v>
      </c>
      <c r="D571">
        <v>207.05523608201599</v>
      </c>
    </row>
    <row r="572" spans="1:4" x14ac:dyDescent="0.3">
      <c r="A572" t="s">
        <v>6</v>
      </c>
      <c r="B572" s="1">
        <v>45315.75</v>
      </c>
      <c r="C572" s="2">
        <v>4.8985871965894097E-14</v>
      </c>
      <c r="D572" s="2">
        <v>9.7971743931788194E-14</v>
      </c>
    </row>
    <row r="573" spans="1:4" x14ac:dyDescent="0.3">
      <c r="A573" t="s">
        <v>6</v>
      </c>
      <c r="B573" s="1">
        <v>45315.791666666664</v>
      </c>
      <c r="C573">
        <v>0</v>
      </c>
      <c r="D573">
        <v>0</v>
      </c>
    </row>
    <row r="574" spans="1:4" x14ac:dyDescent="0.3">
      <c r="A574" t="s">
        <v>6</v>
      </c>
      <c r="B574" s="1">
        <v>45315.833333333336</v>
      </c>
      <c r="C574">
        <v>0</v>
      </c>
      <c r="D574">
        <v>0</v>
      </c>
    </row>
    <row r="575" spans="1:4" x14ac:dyDescent="0.3">
      <c r="A575" t="s">
        <v>6</v>
      </c>
      <c r="B575" s="1">
        <v>45315.875</v>
      </c>
      <c r="C575">
        <v>0</v>
      </c>
      <c r="D575">
        <v>0</v>
      </c>
    </row>
    <row r="576" spans="1:4" x14ac:dyDescent="0.3">
      <c r="A576" t="s">
        <v>6</v>
      </c>
      <c r="B576" s="1">
        <v>45315.916666666664</v>
      </c>
      <c r="C576">
        <v>0</v>
      </c>
      <c r="D576">
        <v>0</v>
      </c>
    </row>
    <row r="577" spans="1:4" x14ac:dyDescent="0.3">
      <c r="A577" t="s">
        <v>6</v>
      </c>
      <c r="B577" s="1">
        <v>45315.958333333336</v>
      </c>
      <c r="C577">
        <v>0</v>
      </c>
      <c r="D577">
        <v>0</v>
      </c>
    </row>
    <row r="578" spans="1:4" x14ac:dyDescent="0.3">
      <c r="A578" t="s">
        <v>6</v>
      </c>
      <c r="B578" s="1">
        <v>45316</v>
      </c>
      <c r="C578">
        <v>0</v>
      </c>
      <c r="D578">
        <v>0</v>
      </c>
    </row>
    <row r="579" spans="1:4" x14ac:dyDescent="0.3">
      <c r="A579" t="s">
        <v>6</v>
      </c>
      <c r="B579" s="1">
        <v>45316.041666666664</v>
      </c>
      <c r="C579">
        <v>0</v>
      </c>
      <c r="D579">
        <v>0</v>
      </c>
    </row>
    <row r="580" spans="1:4" x14ac:dyDescent="0.3">
      <c r="A580" t="s">
        <v>6</v>
      </c>
      <c r="B580" s="1">
        <v>45316.083333333336</v>
      </c>
      <c r="C580">
        <v>0</v>
      </c>
      <c r="D580">
        <v>0</v>
      </c>
    </row>
    <row r="581" spans="1:4" x14ac:dyDescent="0.3">
      <c r="A581" t="s">
        <v>6</v>
      </c>
      <c r="B581" s="1">
        <v>45316.125</v>
      </c>
      <c r="C581">
        <v>0</v>
      </c>
      <c r="D581">
        <v>0</v>
      </c>
    </row>
    <row r="582" spans="1:4" x14ac:dyDescent="0.3">
      <c r="A582" t="s">
        <v>6</v>
      </c>
      <c r="B582" s="1">
        <v>45316.166666666664</v>
      </c>
      <c r="C582">
        <v>0</v>
      </c>
      <c r="D582">
        <v>0</v>
      </c>
    </row>
    <row r="583" spans="1:4" x14ac:dyDescent="0.3">
      <c r="A583" t="s">
        <v>6</v>
      </c>
      <c r="B583" s="1">
        <v>45316.208333333336</v>
      </c>
      <c r="C583">
        <v>0</v>
      </c>
      <c r="D583">
        <v>0</v>
      </c>
    </row>
    <row r="584" spans="1:4" x14ac:dyDescent="0.3">
      <c r="A584" t="s">
        <v>6</v>
      </c>
      <c r="B584" s="1">
        <v>45316.25</v>
      </c>
      <c r="C584">
        <v>0</v>
      </c>
      <c r="D584">
        <v>0</v>
      </c>
    </row>
    <row r="585" spans="1:4" x14ac:dyDescent="0.3">
      <c r="A585" t="s">
        <v>6</v>
      </c>
      <c r="B585" s="1">
        <v>45316.291666666664</v>
      </c>
      <c r="C585">
        <v>103.527618041008</v>
      </c>
      <c r="D585">
        <v>207.05523608201599</v>
      </c>
    </row>
    <row r="586" spans="1:4" x14ac:dyDescent="0.3">
      <c r="A586" t="s">
        <v>6</v>
      </c>
      <c r="B586" s="1">
        <v>45316.333333333336</v>
      </c>
      <c r="C586">
        <v>199.99999999999901</v>
      </c>
      <c r="D586">
        <v>399.99999999999898</v>
      </c>
    </row>
    <row r="587" spans="1:4" x14ac:dyDescent="0.3">
      <c r="A587" t="s">
        <v>6</v>
      </c>
      <c r="B587" s="1">
        <v>45316.375</v>
      </c>
      <c r="C587">
        <v>282.84271247461902</v>
      </c>
      <c r="D587">
        <v>565.68542494923804</v>
      </c>
    </row>
    <row r="588" spans="1:4" x14ac:dyDescent="0.3">
      <c r="A588" t="s">
        <v>6</v>
      </c>
      <c r="B588" s="1">
        <v>45316.416666666664</v>
      </c>
      <c r="C588">
        <v>346.41016151377499</v>
      </c>
      <c r="D588">
        <v>692.82032302754999</v>
      </c>
    </row>
    <row r="589" spans="1:4" x14ac:dyDescent="0.3">
      <c r="A589" t="s">
        <v>6</v>
      </c>
      <c r="B589" s="1">
        <v>45316.458333333336</v>
      </c>
      <c r="C589">
        <v>386.37033051562702</v>
      </c>
      <c r="D589">
        <v>772.74066103125404</v>
      </c>
    </row>
    <row r="590" spans="1:4" x14ac:dyDescent="0.3">
      <c r="A590" t="s">
        <v>6</v>
      </c>
      <c r="B590" s="1">
        <v>45316.5</v>
      </c>
      <c r="C590">
        <v>400</v>
      </c>
      <c r="D590">
        <v>800</v>
      </c>
    </row>
    <row r="591" spans="1:4" x14ac:dyDescent="0.3">
      <c r="A591" t="s">
        <v>6</v>
      </c>
      <c r="B591" s="1">
        <v>45316.541666666664</v>
      </c>
      <c r="C591">
        <v>386.37033051562702</v>
      </c>
      <c r="D591">
        <v>772.74066103125404</v>
      </c>
    </row>
    <row r="592" spans="1:4" x14ac:dyDescent="0.3">
      <c r="A592" t="s">
        <v>6</v>
      </c>
      <c r="B592" s="1">
        <v>45316.583333333336</v>
      </c>
      <c r="C592">
        <v>346.41016151377499</v>
      </c>
      <c r="D592">
        <v>692.82032302755101</v>
      </c>
    </row>
    <row r="593" spans="1:4" x14ac:dyDescent="0.3">
      <c r="A593" t="s">
        <v>6</v>
      </c>
      <c r="B593" s="1">
        <v>45316.625</v>
      </c>
      <c r="C593">
        <v>282.84271247461902</v>
      </c>
      <c r="D593">
        <v>565.68542494923804</v>
      </c>
    </row>
    <row r="594" spans="1:4" x14ac:dyDescent="0.3">
      <c r="A594" t="s">
        <v>6</v>
      </c>
      <c r="B594" s="1">
        <v>45316.666666666664</v>
      </c>
      <c r="C594">
        <v>199.99999999999901</v>
      </c>
      <c r="D594">
        <v>399.99999999999898</v>
      </c>
    </row>
    <row r="595" spans="1:4" x14ac:dyDescent="0.3">
      <c r="A595" t="s">
        <v>6</v>
      </c>
      <c r="B595" s="1">
        <v>45316.708333333336</v>
      </c>
      <c r="C595">
        <v>103.527618041008</v>
      </c>
      <c r="D595">
        <v>207.05523608201599</v>
      </c>
    </row>
    <row r="596" spans="1:4" x14ac:dyDescent="0.3">
      <c r="A596" t="s">
        <v>6</v>
      </c>
      <c r="B596" s="1">
        <v>45316.75</v>
      </c>
      <c r="C596" s="2">
        <v>4.8985871965894097E-14</v>
      </c>
      <c r="D596" s="2">
        <v>9.7971743931788194E-14</v>
      </c>
    </row>
    <row r="597" spans="1:4" x14ac:dyDescent="0.3">
      <c r="A597" t="s">
        <v>6</v>
      </c>
      <c r="B597" s="1">
        <v>45316.791666666664</v>
      </c>
      <c r="C597">
        <v>0</v>
      </c>
      <c r="D597">
        <v>0</v>
      </c>
    </row>
    <row r="598" spans="1:4" x14ac:dyDescent="0.3">
      <c r="A598" t="s">
        <v>6</v>
      </c>
      <c r="B598" s="1">
        <v>45316.833333333336</v>
      </c>
      <c r="C598">
        <v>0</v>
      </c>
      <c r="D598">
        <v>0</v>
      </c>
    </row>
    <row r="599" spans="1:4" x14ac:dyDescent="0.3">
      <c r="A599" t="s">
        <v>6</v>
      </c>
      <c r="B599" s="1">
        <v>45316.875</v>
      </c>
      <c r="C599">
        <v>0</v>
      </c>
      <c r="D599">
        <v>0</v>
      </c>
    </row>
    <row r="600" spans="1:4" x14ac:dyDescent="0.3">
      <c r="A600" t="s">
        <v>6</v>
      </c>
      <c r="B600" s="1">
        <v>45316.916666666664</v>
      </c>
      <c r="C600">
        <v>0</v>
      </c>
      <c r="D600">
        <v>0</v>
      </c>
    </row>
    <row r="601" spans="1:4" x14ac:dyDescent="0.3">
      <c r="A601" t="s">
        <v>6</v>
      </c>
      <c r="B601" s="1">
        <v>45316.958333333336</v>
      </c>
      <c r="C601">
        <v>0</v>
      </c>
      <c r="D601">
        <v>0</v>
      </c>
    </row>
    <row r="602" spans="1:4" x14ac:dyDescent="0.3">
      <c r="A602" t="s">
        <v>6</v>
      </c>
      <c r="B602" s="1">
        <v>45317</v>
      </c>
      <c r="C602">
        <v>0</v>
      </c>
      <c r="D602">
        <v>0</v>
      </c>
    </row>
    <row r="603" spans="1:4" x14ac:dyDescent="0.3">
      <c r="A603" t="s">
        <v>6</v>
      </c>
      <c r="B603" s="1">
        <v>45317.041666666664</v>
      </c>
      <c r="C603">
        <v>0</v>
      </c>
      <c r="D603">
        <v>0</v>
      </c>
    </row>
    <row r="604" spans="1:4" x14ac:dyDescent="0.3">
      <c r="A604" t="s">
        <v>6</v>
      </c>
      <c r="B604" s="1">
        <v>45317.083333333336</v>
      </c>
      <c r="C604">
        <v>0</v>
      </c>
      <c r="D604">
        <v>0</v>
      </c>
    </row>
    <row r="605" spans="1:4" x14ac:dyDescent="0.3">
      <c r="A605" t="s">
        <v>6</v>
      </c>
      <c r="B605" s="1">
        <v>45317.125</v>
      </c>
      <c r="C605">
        <v>0</v>
      </c>
      <c r="D605">
        <v>0</v>
      </c>
    </row>
    <row r="606" spans="1:4" x14ac:dyDescent="0.3">
      <c r="A606" t="s">
        <v>6</v>
      </c>
      <c r="B606" s="1">
        <v>45317.166666666664</v>
      </c>
      <c r="C606">
        <v>0</v>
      </c>
      <c r="D606">
        <v>0</v>
      </c>
    </row>
    <row r="607" spans="1:4" x14ac:dyDescent="0.3">
      <c r="A607" t="s">
        <v>6</v>
      </c>
      <c r="B607" s="1">
        <v>45317.208333333336</v>
      </c>
      <c r="C607">
        <v>0</v>
      </c>
      <c r="D607">
        <v>0</v>
      </c>
    </row>
    <row r="608" spans="1:4" x14ac:dyDescent="0.3">
      <c r="A608" t="s">
        <v>6</v>
      </c>
      <c r="B608" s="1">
        <v>45317.25</v>
      </c>
      <c r="C608">
        <v>0</v>
      </c>
      <c r="D608">
        <v>0</v>
      </c>
    </row>
    <row r="609" spans="1:4" x14ac:dyDescent="0.3">
      <c r="A609" t="s">
        <v>6</v>
      </c>
      <c r="B609" s="1">
        <v>45317.291666666664</v>
      </c>
      <c r="C609">
        <v>103.527618041008</v>
      </c>
      <c r="D609">
        <v>207.05523608201599</v>
      </c>
    </row>
    <row r="610" spans="1:4" x14ac:dyDescent="0.3">
      <c r="A610" t="s">
        <v>6</v>
      </c>
      <c r="B610" s="1">
        <v>45317.333333333336</v>
      </c>
      <c r="C610">
        <v>199.99999999999901</v>
      </c>
      <c r="D610">
        <v>399.99999999999898</v>
      </c>
    </row>
    <row r="611" spans="1:4" x14ac:dyDescent="0.3">
      <c r="A611" t="s">
        <v>6</v>
      </c>
      <c r="B611" s="1">
        <v>45317.375</v>
      </c>
      <c r="C611">
        <v>282.84271247461902</v>
      </c>
      <c r="D611">
        <v>565.68542494923804</v>
      </c>
    </row>
    <row r="612" spans="1:4" x14ac:dyDescent="0.3">
      <c r="A612" t="s">
        <v>6</v>
      </c>
      <c r="B612" s="1">
        <v>45317.416666666664</v>
      </c>
      <c r="C612">
        <v>346.41016151377499</v>
      </c>
      <c r="D612">
        <v>692.82032302754999</v>
      </c>
    </row>
    <row r="613" spans="1:4" x14ac:dyDescent="0.3">
      <c r="A613" t="s">
        <v>6</v>
      </c>
      <c r="B613" s="1">
        <v>45317.458333333336</v>
      </c>
      <c r="C613">
        <v>386.37033051562702</v>
      </c>
      <c r="D613">
        <v>772.74066103125404</v>
      </c>
    </row>
    <row r="614" spans="1:4" x14ac:dyDescent="0.3">
      <c r="A614" t="s">
        <v>6</v>
      </c>
      <c r="B614" s="1">
        <v>45317.5</v>
      </c>
      <c r="C614">
        <v>400</v>
      </c>
      <c r="D614">
        <v>800</v>
      </c>
    </row>
    <row r="615" spans="1:4" x14ac:dyDescent="0.3">
      <c r="A615" t="s">
        <v>6</v>
      </c>
      <c r="B615" s="1">
        <v>45317.541666666664</v>
      </c>
      <c r="C615">
        <v>386.37033051562702</v>
      </c>
      <c r="D615">
        <v>772.74066103125404</v>
      </c>
    </row>
    <row r="616" spans="1:4" x14ac:dyDescent="0.3">
      <c r="A616" t="s">
        <v>6</v>
      </c>
      <c r="B616" s="1">
        <v>45317.583333333336</v>
      </c>
      <c r="C616">
        <v>346.41016151377499</v>
      </c>
      <c r="D616">
        <v>692.82032302755101</v>
      </c>
    </row>
    <row r="617" spans="1:4" x14ac:dyDescent="0.3">
      <c r="A617" t="s">
        <v>6</v>
      </c>
      <c r="B617" s="1">
        <v>45317.625</v>
      </c>
      <c r="C617">
        <v>282.84271247461902</v>
      </c>
      <c r="D617">
        <v>565.68542494923804</v>
      </c>
    </row>
    <row r="618" spans="1:4" x14ac:dyDescent="0.3">
      <c r="A618" t="s">
        <v>6</v>
      </c>
      <c r="B618" s="1">
        <v>45317.666666666664</v>
      </c>
      <c r="C618">
        <v>199.99999999999901</v>
      </c>
      <c r="D618">
        <v>399.99999999999898</v>
      </c>
    </row>
    <row r="619" spans="1:4" x14ac:dyDescent="0.3">
      <c r="A619" t="s">
        <v>6</v>
      </c>
      <c r="B619" s="1">
        <v>45317.708333333336</v>
      </c>
      <c r="C619">
        <v>103.527618041008</v>
      </c>
      <c r="D619">
        <v>207.05523608201599</v>
      </c>
    </row>
    <row r="620" spans="1:4" x14ac:dyDescent="0.3">
      <c r="A620" t="s">
        <v>6</v>
      </c>
      <c r="B620" s="1">
        <v>45317.75</v>
      </c>
      <c r="C620" s="2">
        <v>4.8985871965894097E-14</v>
      </c>
      <c r="D620" s="2">
        <v>9.7971743931788194E-14</v>
      </c>
    </row>
    <row r="621" spans="1:4" x14ac:dyDescent="0.3">
      <c r="A621" t="s">
        <v>6</v>
      </c>
      <c r="B621" s="1">
        <v>45317.791666666664</v>
      </c>
      <c r="C621">
        <v>0</v>
      </c>
      <c r="D621">
        <v>0</v>
      </c>
    </row>
    <row r="622" spans="1:4" x14ac:dyDescent="0.3">
      <c r="A622" t="s">
        <v>6</v>
      </c>
      <c r="B622" s="1">
        <v>45317.833333333336</v>
      </c>
      <c r="C622">
        <v>0</v>
      </c>
      <c r="D622">
        <v>0</v>
      </c>
    </row>
    <row r="623" spans="1:4" x14ac:dyDescent="0.3">
      <c r="A623" t="s">
        <v>6</v>
      </c>
      <c r="B623" s="1">
        <v>45317.875</v>
      </c>
      <c r="C623">
        <v>0</v>
      </c>
      <c r="D623">
        <v>0</v>
      </c>
    </row>
    <row r="624" spans="1:4" x14ac:dyDescent="0.3">
      <c r="A624" t="s">
        <v>6</v>
      </c>
      <c r="B624" s="1">
        <v>45317.916666666664</v>
      </c>
      <c r="C624">
        <v>0</v>
      </c>
      <c r="D624">
        <v>0</v>
      </c>
    </row>
    <row r="625" spans="1:4" x14ac:dyDescent="0.3">
      <c r="A625" t="s">
        <v>6</v>
      </c>
      <c r="B625" s="1">
        <v>45317.958333333336</v>
      </c>
      <c r="C625">
        <v>0</v>
      </c>
      <c r="D625">
        <v>0</v>
      </c>
    </row>
    <row r="626" spans="1:4" x14ac:dyDescent="0.3">
      <c r="A626" t="s">
        <v>6</v>
      </c>
      <c r="B626" s="1">
        <v>45318</v>
      </c>
      <c r="C626">
        <v>0</v>
      </c>
      <c r="D626">
        <v>0</v>
      </c>
    </row>
    <row r="627" spans="1:4" x14ac:dyDescent="0.3">
      <c r="A627" t="s">
        <v>6</v>
      </c>
      <c r="B627" s="1">
        <v>45318.041666666664</v>
      </c>
      <c r="C627">
        <v>0</v>
      </c>
      <c r="D627">
        <v>0</v>
      </c>
    </row>
    <row r="628" spans="1:4" x14ac:dyDescent="0.3">
      <c r="A628" t="s">
        <v>6</v>
      </c>
      <c r="B628" s="1">
        <v>45318.083333333336</v>
      </c>
      <c r="C628">
        <v>0</v>
      </c>
      <c r="D628">
        <v>0</v>
      </c>
    </row>
    <row r="629" spans="1:4" x14ac:dyDescent="0.3">
      <c r="A629" t="s">
        <v>6</v>
      </c>
      <c r="B629" s="1">
        <v>45318.125</v>
      </c>
      <c r="C629">
        <v>0</v>
      </c>
      <c r="D629">
        <v>0</v>
      </c>
    </row>
    <row r="630" spans="1:4" x14ac:dyDescent="0.3">
      <c r="A630" t="s">
        <v>6</v>
      </c>
      <c r="B630" s="1">
        <v>45318.166666666664</v>
      </c>
      <c r="C630">
        <v>0</v>
      </c>
      <c r="D630">
        <v>0</v>
      </c>
    </row>
    <row r="631" spans="1:4" x14ac:dyDescent="0.3">
      <c r="A631" t="s">
        <v>6</v>
      </c>
      <c r="B631" s="1">
        <v>45318.208333333336</v>
      </c>
      <c r="C631">
        <v>0</v>
      </c>
      <c r="D631">
        <v>0</v>
      </c>
    </row>
    <row r="632" spans="1:4" x14ac:dyDescent="0.3">
      <c r="A632" t="s">
        <v>6</v>
      </c>
      <c r="B632" s="1">
        <v>45318.25</v>
      </c>
      <c r="C632">
        <v>0</v>
      </c>
      <c r="D632">
        <v>0</v>
      </c>
    </row>
    <row r="633" spans="1:4" x14ac:dyDescent="0.3">
      <c r="A633" t="s">
        <v>6</v>
      </c>
      <c r="B633" s="1">
        <v>45318.291666666664</v>
      </c>
      <c r="C633">
        <v>103.527618041008</v>
      </c>
      <c r="D633">
        <v>207.05523608201599</v>
      </c>
    </row>
    <row r="634" spans="1:4" x14ac:dyDescent="0.3">
      <c r="A634" t="s">
        <v>6</v>
      </c>
      <c r="B634" s="1">
        <v>45318.333333333336</v>
      </c>
      <c r="C634">
        <v>199.99999999999901</v>
      </c>
      <c r="D634">
        <v>399.99999999999898</v>
      </c>
    </row>
    <row r="635" spans="1:4" x14ac:dyDescent="0.3">
      <c r="A635" t="s">
        <v>6</v>
      </c>
      <c r="B635" s="1">
        <v>45318.375</v>
      </c>
      <c r="C635">
        <v>282.84271247461902</v>
      </c>
      <c r="D635">
        <v>565.68542494923804</v>
      </c>
    </row>
    <row r="636" spans="1:4" x14ac:dyDescent="0.3">
      <c r="A636" t="s">
        <v>6</v>
      </c>
      <c r="B636" s="1">
        <v>45318.416666666664</v>
      </c>
      <c r="C636">
        <v>346.41016151377499</v>
      </c>
      <c r="D636">
        <v>692.82032302754999</v>
      </c>
    </row>
    <row r="637" spans="1:4" x14ac:dyDescent="0.3">
      <c r="A637" t="s">
        <v>6</v>
      </c>
      <c r="B637" s="1">
        <v>45318.458333333336</v>
      </c>
      <c r="C637">
        <v>386.37033051562702</v>
      </c>
      <c r="D637">
        <v>772.74066103125404</v>
      </c>
    </row>
    <row r="638" spans="1:4" x14ac:dyDescent="0.3">
      <c r="A638" t="s">
        <v>6</v>
      </c>
      <c r="B638" s="1">
        <v>45318.5</v>
      </c>
      <c r="C638">
        <v>400</v>
      </c>
      <c r="D638">
        <v>800</v>
      </c>
    </row>
    <row r="639" spans="1:4" x14ac:dyDescent="0.3">
      <c r="A639" t="s">
        <v>6</v>
      </c>
      <c r="B639" s="1">
        <v>45318.541666666664</v>
      </c>
      <c r="C639">
        <v>386.37033051562702</v>
      </c>
      <c r="D639">
        <v>772.74066103125404</v>
      </c>
    </row>
    <row r="640" spans="1:4" x14ac:dyDescent="0.3">
      <c r="A640" t="s">
        <v>6</v>
      </c>
      <c r="B640" s="1">
        <v>45318.583333333336</v>
      </c>
      <c r="C640">
        <v>346.41016151377499</v>
      </c>
      <c r="D640">
        <v>692.82032302755101</v>
      </c>
    </row>
    <row r="641" spans="1:4" x14ac:dyDescent="0.3">
      <c r="A641" t="s">
        <v>6</v>
      </c>
      <c r="B641" s="1">
        <v>45318.625</v>
      </c>
      <c r="C641">
        <v>282.84271247461902</v>
      </c>
      <c r="D641">
        <v>565.68542494923804</v>
      </c>
    </row>
    <row r="642" spans="1:4" x14ac:dyDescent="0.3">
      <c r="A642" t="s">
        <v>6</v>
      </c>
      <c r="B642" s="1">
        <v>45318.666666666664</v>
      </c>
      <c r="C642">
        <v>199.99999999999901</v>
      </c>
      <c r="D642">
        <v>399.99999999999898</v>
      </c>
    </row>
    <row r="643" spans="1:4" x14ac:dyDescent="0.3">
      <c r="A643" t="s">
        <v>6</v>
      </c>
      <c r="B643" s="1">
        <v>45318.708333333336</v>
      </c>
      <c r="C643">
        <v>103.527618041008</v>
      </c>
      <c r="D643">
        <v>207.05523608201599</v>
      </c>
    </row>
    <row r="644" spans="1:4" x14ac:dyDescent="0.3">
      <c r="A644" t="s">
        <v>6</v>
      </c>
      <c r="B644" s="1">
        <v>45318.75</v>
      </c>
      <c r="C644" s="2">
        <v>4.8985871965894097E-14</v>
      </c>
      <c r="D644" s="2">
        <v>9.7971743931788194E-14</v>
      </c>
    </row>
    <row r="645" spans="1:4" x14ac:dyDescent="0.3">
      <c r="A645" t="s">
        <v>6</v>
      </c>
      <c r="B645" s="1">
        <v>45318.791666666664</v>
      </c>
      <c r="C645">
        <v>0</v>
      </c>
      <c r="D645">
        <v>0</v>
      </c>
    </row>
    <row r="646" spans="1:4" x14ac:dyDescent="0.3">
      <c r="A646" t="s">
        <v>6</v>
      </c>
      <c r="B646" s="1">
        <v>45318.833333333336</v>
      </c>
      <c r="C646">
        <v>0</v>
      </c>
      <c r="D646">
        <v>0</v>
      </c>
    </row>
    <row r="647" spans="1:4" x14ac:dyDescent="0.3">
      <c r="A647" t="s">
        <v>6</v>
      </c>
      <c r="B647" s="1">
        <v>45318.875</v>
      </c>
      <c r="C647">
        <v>0</v>
      </c>
      <c r="D647">
        <v>0</v>
      </c>
    </row>
    <row r="648" spans="1:4" x14ac:dyDescent="0.3">
      <c r="A648" t="s">
        <v>6</v>
      </c>
      <c r="B648" s="1">
        <v>45318.916666666664</v>
      </c>
      <c r="C648">
        <v>0</v>
      </c>
      <c r="D648">
        <v>0</v>
      </c>
    </row>
    <row r="649" spans="1:4" x14ac:dyDescent="0.3">
      <c r="A649" t="s">
        <v>6</v>
      </c>
      <c r="B649" s="1">
        <v>45318.958333333336</v>
      </c>
      <c r="C649">
        <v>0</v>
      </c>
      <c r="D649">
        <v>0</v>
      </c>
    </row>
    <row r="650" spans="1:4" x14ac:dyDescent="0.3">
      <c r="A650" t="s">
        <v>6</v>
      </c>
      <c r="B650" s="1">
        <v>45319</v>
      </c>
      <c r="C650">
        <v>0</v>
      </c>
      <c r="D650">
        <v>0</v>
      </c>
    </row>
    <row r="651" spans="1:4" x14ac:dyDescent="0.3">
      <c r="A651" t="s">
        <v>6</v>
      </c>
      <c r="B651" s="1">
        <v>45319.041666666664</v>
      </c>
      <c r="C651">
        <v>0</v>
      </c>
      <c r="D651">
        <v>0</v>
      </c>
    </row>
    <row r="652" spans="1:4" x14ac:dyDescent="0.3">
      <c r="A652" t="s">
        <v>6</v>
      </c>
      <c r="B652" s="1">
        <v>45319.083333333336</v>
      </c>
      <c r="C652">
        <v>0</v>
      </c>
      <c r="D652">
        <v>0</v>
      </c>
    </row>
    <row r="653" spans="1:4" x14ac:dyDescent="0.3">
      <c r="A653" t="s">
        <v>6</v>
      </c>
      <c r="B653" s="1">
        <v>45319.125</v>
      </c>
      <c r="C653">
        <v>0</v>
      </c>
      <c r="D653">
        <v>0</v>
      </c>
    </row>
    <row r="654" spans="1:4" x14ac:dyDescent="0.3">
      <c r="A654" t="s">
        <v>6</v>
      </c>
      <c r="B654" s="1">
        <v>45319.166666666664</v>
      </c>
      <c r="C654">
        <v>0</v>
      </c>
      <c r="D654">
        <v>0</v>
      </c>
    </row>
    <row r="655" spans="1:4" x14ac:dyDescent="0.3">
      <c r="A655" t="s">
        <v>6</v>
      </c>
      <c r="B655" s="1">
        <v>45319.208333333336</v>
      </c>
      <c r="C655">
        <v>0</v>
      </c>
      <c r="D655">
        <v>0</v>
      </c>
    </row>
    <row r="656" spans="1:4" x14ac:dyDescent="0.3">
      <c r="A656" t="s">
        <v>6</v>
      </c>
      <c r="B656" s="1">
        <v>45319.25</v>
      </c>
      <c r="C656">
        <v>0</v>
      </c>
      <c r="D656">
        <v>0</v>
      </c>
    </row>
    <row r="657" spans="1:4" x14ac:dyDescent="0.3">
      <c r="A657" t="s">
        <v>6</v>
      </c>
      <c r="B657" s="1">
        <v>45319.291666666664</v>
      </c>
      <c r="C657">
        <v>103.527618041008</v>
      </c>
      <c r="D657">
        <v>207.05523608201599</v>
      </c>
    </row>
    <row r="658" spans="1:4" x14ac:dyDescent="0.3">
      <c r="A658" t="s">
        <v>6</v>
      </c>
      <c r="B658" s="1">
        <v>45319.333333333336</v>
      </c>
      <c r="C658">
        <v>199.99999999999901</v>
      </c>
      <c r="D658">
        <v>399.99999999999898</v>
      </c>
    </row>
    <row r="659" spans="1:4" x14ac:dyDescent="0.3">
      <c r="A659" t="s">
        <v>6</v>
      </c>
      <c r="B659" s="1">
        <v>45319.375</v>
      </c>
      <c r="C659">
        <v>282.84271247461902</v>
      </c>
      <c r="D659">
        <v>565.68542494923804</v>
      </c>
    </row>
    <row r="660" spans="1:4" x14ac:dyDescent="0.3">
      <c r="A660" t="s">
        <v>6</v>
      </c>
      <c r="B660" s="1">
        <v>45319.416666666664</v>
      </c>
      <c r="C660">
        <v>346.41016151377499</v>
      </c>
      <c r="D660">
        <v>692.82032302754999</v>
      </c>
    </row>
    <row r="661" spans="1:4" x14ac:dyDescent="0.3">
      <c r="A661" t="s">
        <v>6</v>
      </c>
      <c r="B661" s="1">
        <v>45319.458333333336</v>
      </c>
      <c r="C661">
        <v>386.37033051562702</v>
      </c>
      <c r="D661">
        <v>772.74066103125404</v>
      </c>
    </row>
    <row r="662" spans="1:4" x14ac:dyDescent="0.3">
      <c r="A662" t="s">
        <v>6</v>
      </c>
      <c r="B662" s="1">
        <v>45319.5</v>
      </c>
      <c r="C662">
        <v>400</v>
      </c>
      <c r="D662">
        <v>800</v>
      </c>
    </row>
    <row r="663" spans="1:4" x14ac:dyDescent="0.3">
      <c r="A663" t="s">
        <v>6</v>
      </c>
      <c r="B663" s="1">
        <v>45319.541666666664</v>
      </c>
      <c r="C663">
        <v>386.37033051562702</v>
      </c>
      <c r="D663">
        <v>772.74066103125404</v>
      </c>
    </row>
    <row r="664" spans="1:4" x14ac:dyDescent="0.3">
      <c r="A664" t="s">
        <v>6</v>
      </c>
      <c r="B664" s="1">
        <v>45319.583333333336</v>
      </c>
      <c r="C664">
        <v>346.41016151377499</v>
      </c>
      <c r="D664">
        <v>692.82032302755101</v>
      </c>
    </row>
    <row r="665" spans="1:4" x14ac:dyDescent="0.3">
      <c r="A665" t="s">
        <v>6</v>
      </c>
      <c r="B665" s="1">
        <v>45319.625</v>
      </c>
      <c r="C665">
        <v>282.84271247461902</v>
      </c>
      <c r="D665">
        <v>565.68542494923804</v>
      </c>
    </row>
    <row r="666" spans="1:4" x14ac:dyDescent="0.3">
      <c r="A666" t="s">
        <v>6</v>
      </c>
      <c r="B666" s="1">
        <v>45319.666666666664</v>
      </c>
      <c r="C666">
        <v>199.99999999999901</v>
      </c>
      <c r="D666">
        <v>399.99999999999898</v>
      </c>
    </row>
    <row r="667" spans="1:4" x14ac:dyDescent="0.3">
      <c r="A667" t="s">
        <v>6</v>
      </c>
      <c r="B667" s="1">
        <v>45319.708333333336</v>
      </c>
      <c r="C667">
        <v>103.527618041008</v>
      </c>
      <c r="D667">
        <v>207.05523608201599</v>
      </c>
    </row>
    <row r="668" spans="1:4" x14ac:dyDescent="0.3">
      <c r="A668" t="s">
        <v>6</v>
      </c>
      <c r="B668" s="1">
        <v>45319.75</v>
      </c>
      <c r="C668" s="2">
        <v>4.8985871965894097E-14</v>
      </c>
      <c r="D668" s="2">
        <v>9.7971743931788194E-14</v>
      </c>
    </row>
    <row r="669" spans="1:4" x14ac:dyDescent="0.3">
      <c r="A669" t="s">
        <v>6</v>
      </c>
      <c r="B669" s="1">
        <v>45319.791666666664</v>
      </c>
      <c r="C669">
        <v>0</v>
      </c>
      <c r="D669">
        <v>0</v>
      </c>
    </row>
    <row r="670" spans="1:4" x14ac:dyDescent="0.3">
      <c r="A670" t="s">
        <v>6</v>
      </c>
      <c r="B670" s="1">
        <v>45319.833333333336</v>
      </c>
      <c r="C670">
        <v>0</v>
      </c>
      <c r="D670">
        <v>0</v>
      </c>
    </row>
    <row r="671" spans="1:4" x14ac:dyDescent="0.3">
      <c r="A671" t="s">
        <v>6</v>
      </c>
      <c r="B671" s="1">
        <v>45319.875</v>
      </c>
      <c r="C671">
        <v>0</v>
      </c>
      <c r="D671">
        <v>0</v>
      </c>
    </row>
    <row r="672" spans="1:4" x14ac:dyDescent="0.3">
      <c r="A672" t="s">
        <v>6</v>
      </c>
      <c r="B672" s="1">
        <v>45319.916666666664</v>
      </c>
      <c r="C672">
        <v>0</v>
      </c>
      <c r="D672">
        <v>0</v>
      </c>
    </row>
    <row r="673" spans="1:4" x14ac:dyDescent="0.3">
      <c r="A673" t="s">
        <v>6</v>
      </c>
      <c r="B673" s="1">
        <v>45319.958333333336</v>
      </c>
      <c r="C673">
        <v>0</v>
      </c>
      <c r="D673">
        <v>0</v>
      </c>
    </row>
    <row r="674" spans="1:4" x14ac:dyDescent="0.3">
      <c r="A674" t="s">
        <v>6</v>
      </c>
      <c r="B674" s="1">
        <v>45320</v>
      </c>
      <c r="C674">
        <v>0</v>
      </c>
      <c r="D674">
        <v>0</v>
      </c>
    </row>
    <row r="675" spans="1:4" x14ac:dyDescent="0.3">
      <c r="A675" t="s">
        <v>6</v>
      </c>
      <c r="B675" s="1">
        <v>45320.041666666664</v>
      </c>
      <c r="C675">
        <v>0</v>
      </c>
      <c r="D675">
        <v>0</v>
      </c>
    </row>
    <row r="676" spans="1:4" x14ac:dyDescent="0.3">
      <c r="A676" t="s">
        <v>6</v>
      </c>
      <c r="B676" s="1">
        <v>45320.083333333336</v>
      </c>
      <c r="C676">
        <v>0</v>
      </c>
      <c r="D676">
        <v>0</v>
      </c>
    </row>
    <row r="677" spans="1:4" x14ac:dyDescent="0.3">
      <c r="A677" t="s">
        <v>6</v>
      </c>
      <c r="B677" s="1">
        <v>45320.125</v>
      </c>
      <c r="C677">
        <v>0</v>
      </c>
      <c r="D677">
        <v>0</v>
      </c>
    </row>
    <row r="678" spans="1:4" x14ac:dyDescent="0.3">
      <c r="A678" t="s">
        <v>6</v>
      </c>
      <c r="B678" s="1">
        <v>45320.166666666664</v>
      </c>
      <c r="C678">
        <v>0</v>
      </c>
      <c r="D678">
        <v>0</v>
      </c>
    </row>
    <row r="679" spans="1:4" x14ac:dyDescent="0.3">
      <c r="A679" t="s">
        <v>6</v>
      </c>
      <c r="B679" s="1">
        <v>45320.208333333336</v>
      </c>
      <c r="C679">
        <v>0</v>
      </c>
      <c r="D679">
        <v>0</v>
      </c>
    </row>
    <row r="680" spans="1:4" x14ac:dyDescent="0.3">
      <c r="A680" t="s">
        <v>6</v>
      </c>
      <c r="B680" s="1">
        <v>45320.25</v>
      </c>
      <c r="C680">
        <v>0</v>
      </c>
      <c r="D680">
        <v>0</v>
      </c>
    </row>
    <row r="681" spans="1:4" x14ac:dyDescent="0.3">
      <c r="A681" t="s">
        <v>6</v>
      </c>
      <c r="B681" s="1">
        <v>45320.291666666664</v>
      </c>
      <c r="C681">
        <v>103.527618041008</v>
      </c>
      <c r="D681">
        <v>207.05523608201599</v>
      </c>
    </row>
    <row r="682" spans="1:4" x14ac:dyDescent="0.3">
      <c r="A682" t="s">
        <v>6</v>
      </c>
      <c r="B682" s="1">
        <v>45320.333333333336</v>
      </c>
      <c r="C682">
        <v>199.99999999999901</v>
      </c>
      <c r="D682">
        <v>399.99999999999898</v>
      </c>
    </row>
    <row r="683" spans="1:4" x14ac:dyDescent="0.3">
      <c r="A683" t="s">
        <v>6</v>
      </c>
      <c r="B683" s="1">
        <v>45320.375</v>
      </c>
      <c r="C683">
        <v>282.84271247461902</v>
      </c>
      <c r="D683">
        <v>565.68542494923804</v>
      </c>
    </row>
    <row r="684" spans="1:4" x14ac:dyDescent="0.3">
      <c r="A684" t="s">
        <v>6</v>
      </c>
      <c r="B684" s="1">
        <v>45320.416666666664</v>
      </c>
      <c r="C684">
        <v>346.41016151377499</v>
      </c>
      <c r="D684">
        <v>692.82032302754999</v>
      </c>
    </row>
    <row r="685" spans="1:4" x14ac:dyDescent="0.3">
      <c r="A685" t="s">
        <v>6</v>
      </c>
      <c r="B685" s="1">
        <v>45320.458333333336</v>
      </c>
      <c r="C685">
        <v>386.37033051562702</v>
      </c>
      <c r="D685">
        <v>772.74066103125404</v>
      </c>
    </row>
    <row r="686" spans="1:4" x14ac:dyDescent="0.3">
      <c r="A686" t="s">
        <v>6</v>
      </c>
      <c r="B686" s="1">
        <v>45320.5</v>
      </c>
      <c r="C686">
        <v>400</v>
      </c>
      <c r="D686">
        <v>800</v>
      </c>
    </row>
    <row r="687" spans="1:4" x14ac:dyDescent="0.3">
      <c r="A687" t="s">
        <v>6</v>
      </c>
      <c r="B687" s="1">
        <v>45320.541666666664</v>
      </c>
      <c r="C687">
        <v>386.37033051562702</v>
      </c>
      <c r="D687">
        <v>772.74066103125404</v>
      </c>
    </row>
    <row r="688" spans="1:4" x14ac:dyDescent="0.3">
      <c r="A688" t="s">
        <v>6</v>
      </c>
      <c r="B688" s="1">
        <v>45320.583333333336</v>
      </c>
      <c r="C688">
        <v>346.41016151377499</v>
      </c>
      <c r="D688">
        <v>692.82032302755101</v>
      </c>
    </row>
    <row r="689" spans="1:4" x14ac:dyDescent="0.3">
      <c r="A689" t="s">
        <v>6</v>
      </c>
      <c r="B689" s="1">
        <v>45320.625</v>
      </c>
      <c r="C689">
        <v>282.84271247461902</v>
      </c>
      <c r="D689">
        <v>565.68542494923804</v>
      </c>
    </row>
    <row r="690" spans="1:4" x14ac:dyDescent="0.3">
      <c r="A690" t="s">
        <v>6</v>
      </c>
      <c r="B690" s="1">
        <v>45320.666666666664</v>
      </c>
      <c r="C690">
        <v>199.99999999999901</v>
      </c>
      <c r="D690">
        <v>399.99999999999898</v>
      </c>
    </row>
    <row r="691" spans="1:4" x14ac:dyDescent="0.3">
      <c r="A691" t="s">
        <v>6</v>
      </c>
      <c r="B691" s="1">
        <v>45320.708333333336</v>
      </c>
      <c r="C691">
        <v>103.527618041008</v>
      </c>
      <c r="D691">
        <v>207.05523608201599</v>
      </c>
    </row>
    <row r="692" spans="1:4" x14ac:dyDescent="0.3">
      <c r="A692" t="s">
        <v>6</v>
      </c>
      <c r="B692" s="1">
        <v>45320.75</v>
      </c>
      <c r="C692" s="2">
        <v>4.8985871965894097E-14</v>
      </c>
      <c r="D692" s="2">
        <v>9.7971743931788194E-14</v>
      </c>
    </row>
    <row r="693" spans="1:4" x14ac:dyDescent="0.3">
      <c r="A693" t="s">
        <v>6</v>
      </c>
      <c r="B693" s="1">
        <v>45320.791666666664</v>
      </c>
      <c r="C693">
        <v>0</v>
      </c>
      <c r="D693">
        <v>0</v>
      </c>
    </row>
    <row r="694" spans="1:4" x14ac:dyDescent="0.3">
      <c r="A694" t="s">
        <v>6</v>
      </c>
      <c r="B694" s="1">
        <v>45320.833333333336</v>
      </c>
      <c r="C694">
        <v>0</v>
      </c>
      <c r="D694">
        <v>0</v>
      </c>
    </row>
    <row r="695" spans="1:4" x14ac:dyDescent="0.3">
      <c r="A695" t="s">
        <v>6</v>
      </c>
      <c r="B695" s="1">
        <v>45320.875</v>
      </c>
      <c r="C695">
        <v>0</v>
      </c>
      <c r="D695">
        <v>0</v>
      </c>
    </row>
    <row r="696" spans="1:4" x14ac:dyDescent="0.3">
      <c r="A696" t="s">
        <v>6</v>
      </c>
      <c r="B696" s="1">
        <v>45320.916666666664</v>
      </c>
      <c r="C696">
        <v>0</v>
      </c>
      <c r="D696">
        <v>0</v>
      </c>
    </row>
    <row r="697" spans="1:4" x14ac:dyDescent="0.3">
      <c r="A697" t="s">
        <v>6</v>
      </c>
      <c r="B697" s="1">
        <v>45320.958333333336</v>
      </c>
      <c r="C697">
        <v>0</v>
      </c>
      <c r="D697">
        <v>0</v>
      </c>
    </row>
    <row r="698" spans="1:4" x14ac:dyDescent="0.3">
      <c r="A698" t="s">
        <v>6</v>
      </c>
      <c r="B698" s="1">
        <v>45321</v>
      </c>
      <c r="C698">
        <v>0</v>
      </c>
      <c r="D698">
        <v>0</v>
      </c>
    </row>
    <row r="699" spans="1:4" x14ac:dyDescent="0.3">
      <c r="A699" t="s">
        <v>6</v>
      </c>
      <c r="B699" s="1">
        <v>45321.041666666664</v>
      </c>
      <c r="C699">
        <v>0</v>
      </c>
      <c r="D699">
        <v>0</v>
      </c>
    </row>
    <row r="700" spans="1:4" x14ac:dyDescent="0.3">
      <c r="A700" t="s">
        <v>6</v>
      </c>
      <c r="B700" s="1">
        <v>45321.083333333336</v>
      </c>
      <c r="C700">
        <v>0</v>
      </c>
      <c r="D700">
        <v>0</v>
      </c>
    </row>
    <row r="701" spans="1:4" x14ac:dyDescent="0.3">
      <c r="A701" t="s">
        <v>6</v>
      </c>
      <c r="B701" s="1">
        <v>45321.125</v>
      </c>
      <c r="C701">
        <v>0</v>
      </c>
      <c r="D701">
        <v>0</v>
      </c>
    </row>
    <row r="702" spans="1:4" x14ac:dyDescent="0.3">
      <c r="A702" t="s">
        <v>6</v>
      </c>
      <c r="B702" s="1">
        <v>45321.166666666664</v>
      </c>
      <c r="C702">
        <v>0</v>
      </c>
      <c r="D702">
        <v>0</v>
      </c>
    </row>
    <row r="703" spans="1:4" x14ac:dyDescent="0.3">
      <c r="A703" t="s">
        <v>6</v>
      </c>
      <c r="B703" s="1">
        <v>45321.208333333336</v>
      </c>
      <c r="C703">
        <v>0</v>
      </c>
      <c r="D703">
        <v>0</v>
      </c>
    </row>
    <row r="704" spans="1:4" x14ac:dyDescent="0.3">
      <c r="A704" t="s">
        <v>6</v>
      </c>
      <c r="B704" s="1">
        <v>45321.25</v>
      </c>
      <c r="C704">
        <v>0</v>
      </c>
      <c r="D704">
        <v>0</v>
      </c>
    </row>
    <row r="705" spans="1:4" x14ac:dyDescent="0.3">
      <c r="A705" t="s">
        <v>6</v>
      </c>
      <c r="B705" s="1">
        <v>45321.291666666664</v>
      </c>
      <c r="C705">
        <v>103.527618041008</v>
      </c>
      <c r="D705">
        <v>207.05523608201599</v>
      </c>
    </row>
    <row r="706" spans="1:4" x14ac:dyDescent="0.3">
      <c r="A706" t="s">
        <v>6</v>
      </c>
      <c r="B706" s="1">
        <v>45321.333333333336</v>
      </c>
      <c r="C706">
        <v>199.99999999999901</v>
      </c>
      <c r="D706">
        <v>399.99999999999898</v>
      </c>
    </row>
    <row r="707" spans="1:4" x14ac:dyDescent="0.3">
      <c r="A707" t="s">
        <v>6</v>
      </c>
      <c r="B707" s="1">
        <v>45321.375</v>
      </c>
      <c r="C707">
        <v>282.84271247461902</v>
      </c>
      <c r="D707">
        <v>565.68542494923804</v>
      </c>
    </row>
    <row r="708" spans="1:4" x14ac:dyDescent="0.3">
      <c r="A708" t="s">
        <v>6</v>
      </c>
      <c r="B708" s="1">
        <v>45321.416666666664</v>
      </c>
      <c r="C708">
        <v>346.41016151377499</v>
      </c>
      <c r="D708">
        <v>692.82032302754999</v>
      </c>
    </row>
    <row r="709" spans="1:4" x14ac:dyDescent="0.3">
      <c r="A709" t="s">
        <v>6</v>
      </c>
      <c r="B709" s="1">
        <v>45321.458333333336</v>
      </c>
      <c r="C709">
        <v>386.37033051562702</v>
      </c>
      <c r="D709">
        <v>772.74066103125404</v>
      </c>
    </row>
    <row r="710" spans="1:4" x14ac:dyDescent="0.3">
      <c r="A710" t="s">
        <v>6</v>
      </c>
      <c r="B710" s="1">
        <v>45321.5</v>
      </c>
      <c r="C710">
        <v>400</v>
      </c>
      <c r="D710">
        <v>800</v>
      </c>
    </row>
    <row r="711" spans="1:4" x14ac:dyDescent="0.3">
      <c r="A711" t="s">
        <v>6</v>
      </c>
      <c r="B711" s="1">
        <v>45321.541666666664</v>
      </c>
      <c r="C711">
        <v>386.37033051562702</v>
      </c>
      <c r="D711">
        <v>772.74066103125404</v>
      </c>
    </row>
    <row r="712" spans="1:4" x14ac:dyDescent="0.3">
      <c r="A712" t="s">
        <v>6</v>
      </c>
      <c r="B712" s="1">
        <v>45321.583333333336</v>
      </c>
      <c r="C712">
        <v>346.41016151377499</v>
      </c>
      <c r="D712">
        <v>692.82032302755101</v>
      </c>
    </row>
    <row r="713" spans="1:4" x14ac:dyDescent="0.3">
      <c r="A713" t="s">
        <v>6</v>
      </c>
      <c r="B713" s="1">
        <v>45321.625</v>
      </c>
      <c r="C713">
        <v>282.84271247461902</v>
      </c>
      <c r="D713">
        <v>565.68542494923804</v>
      </c>
    </row>
    <row r="714" spans="1:4" x14ac:dyDescent="0.3">
      <c r="A714" t="s">
        <v>6</v>
      </c>
      <c r="B714" s="1">
        <v>45321.666666666664</v>
      </c>
      <c r="C714">
        <v>199.99999999999901</v>
      </c>
      <c r="D714">
        <v>399.99999999999898</v>
      </c>
    </row>
    <row r="715" spans="1:4" x14ac:dyDescent="0.3">
      <c r="A715" t="s">
        <v>6</v>
      </c>
      <c r="B715" s="1">
        <v>45321.708333333336</v>
      </c>
      <c r="C715">
        <v>103.527618041008</v>
      </c>
      <c r="D715">
        <v>207.05523608201599</v>
      </c>
    </row>
    <row r="716" spans="1:4" x14ac:dyDescent="0.3">
      <c r="A716" t="s">
        <v>6</v>
      </c>
      <c r="B716" s="1">
        <v>45321.75</v>
      </c>
      <c r="C716" s="2">
        <v>4.8985871965894097E-14</v>
      </c>
      <c r="D716" s="2">
        <v>9.7971743931788194E-14</v>
      </c>
    </row>
    <row r="717" spans="1:4" x14ac:dyDescent="0.3">
      <c r="A717" t="s">
        <v>6</v>
      </c>
      <c r="B717" s="1">
        <v>45321.791666666664</v>
      </c>
      <c r="C717">
        <v>0</v>
      </c>
      <c r="D717">
        <v>0</v>
      </c>
    </row>
    <row r="718" spans="1:4" x14ac:dyDescent="0.3">
      <c r="A718" t="s">
        <v>6</v>
      </c>
      <c r="B718" s="1">
        <v>45321.833333333336</v>
      </c>
      <c r="C718">
        <v>0</v>
      </c>
      <c r="D718">
        <v>0</v>
      </c>
    </row>
    <row r="719" spans="1:4" x14ac:dyDescent="0.3">
      <c r="A719" t="s">
        <v>6</v>
      </c>
      <c r="B719" s="1">
        <v>45321.875</v>
      </c>
      <c r="C719">
        <v>0</v>
      </c>
      <c r="D719">
        <v>0</v>
      </c>
    </row>
    <row r="720" spans="1:4" x14ac:dyDescent="0.3">
      <c r="A720" t="s">
        <v>6</v>
      </c>
      <c r="B720" s="1">
        <v>45321.916666666664</v>
      </c>
      <c r="C720">
        <v>0</v>
      </c>
      <c r="D720">
        <v>0</v>
      </c>
    </row>
    <row r="721" spans="1:4" x14ac:dyDescent="0.3">
      <c r="A721" t="s">
        <v>6</v>
      </c>
      <c r="B721" s="1">
        <v>45321.958333333336</v>
      </c>
      <c r="C721">
        <v>0</v>
      </c>
      <c r="D721">
        <v>0</v>
      </c>
    </row>
    <row r="722" spans="1:4" x14ac:dyDescent="0.3">
      <c r="A722" t="s">
        <v>6</v>
      </c>
      <c r="B722" s="1">
        <v>45322</v>
      </c>
      <c r="C722">
        <v>0</v>
      </c>
      <c r="D722">
        <v>0</v>
      </c>
    </row>
    <row r="723" spans="1:4" x14ac:dyDescent="0.3">
      <c r="A723" t="s">
        <v>6</v>
      </c>
      <c r="B723" s="1">
        <v>45322.041666666664</v>
      </c>
      <c r="C723">
        <v>0</v>
      </c>
      <c r="D723">
        <v>0</v>
      </c>
    </row>
    <row r="724" spans="1:4" x14ac:dyDescent="0.3">
      <c r="A724" t="s">
        <v>6</v>
      </c>
      <c r="B724" s="1">
        <v>45322.083333333336</v>
      </c>
      <c r="C724">
        <v>0</v>
      </c>
      <c r="D724">
        <v>0</v>
      </c>
    </row>
    <row r="725" spans="1:4" x14ac:dyDescent="0.3">
      <c r="A725" t="s">
        <v>6</v>
      </c>
      <c r="B725" s="1">
        <v>45322.125</v>
      </c>
      <c r="C725">
        <v>0</v>
      </c>
      <c r="D725">
        <v>0</v>
      </c>
    </row>
    <row r="726" spans="1:4" x14ac:dyDescent="0.3">
      <c r="A726" t="s">
        <v>6</v>
      </c>
      <c r="B726" s="1">
        <v>45322.166666666664</v>
      </c>
      <c r="C726">
        <v>0</v>
      </c>
      <c r="D726">
        <v>0</v>
      </c>
    </row>
    <row r="727" spans="1:4" x14ac:dyDescent="0.3">
      <c r="A727" t="s">
        <v>6</v>
      </c>
      <c r="B727" s="1">
        <v>45322.208333333336</v>
      </c>
      <c r="C727">
        <v>0</v>
      </c>
      <c r="D727">
        <v>0</v>
      </c>
    </row>
    <row r="728" spans="1:4" x14ac:dyDescent="0.3">
      <c r="A728" t="s">
        <v>6</v>
      </c>
      <c r="B728" s="1">
        <v>45322.25</v>
      </c>
      <c r="C728">
        <v>0</v>
      </c>
      <c r="D728">
        <v>0</v>
      </c>
    </row>
    <row r="729" spans="1:4" x14ac:dyDescent="0.3">
      <c r="A729" t="s">
        <v>6</v>
      </c>
      <c r="B729" s="1">
        <v>45322.291666666664</v>
      </c>
      <c r="C729">
        <v>103.527618041008</v>
      </c>
      <c r="D729">
        <v>207.05523608201599</v>
      </c>
    </row>
    <row r="730" spans="1:4" x14ac:dyDescent="0.3">
      <c r="A730" t="s">
        <v>6</v>
      </c>
      <c r="B730" s="1">
        <v>45322.333333333336</v>
      </c>
      <c r="C730">
        <v>199.99999999999901</v>
      </c>
      <c r="D730">
        <v>399.99999999999898</v>
      </c>
    </row>
    <row r="731" spans="1:4" x14ac:dyDescent="0.3">
      <c r="A731" t="s">
        <v>6</v>
      </c>
      <c r="B731" s="1">
        <v>45322.375</v>
      </c>
      <c r="C731">
        <v>282.84271247461902</v>
      </c>
      <c r="D731">
        <v>565.68542494923804</v>
      </c>
    </row>
    <row r="732" spans="1:4" x14ac:dyDescent="0.3">
      <c r="A732" t="s">
        <v>6</v>
      </c>
      <c r="B732" s="1">
        <v>45322.416666666664</v>
      </c>
      <c r="C732">
        <v>346.41016151377499</v>
      </c>
      <c r="D732">
        <v>692.82032302754999</v>
      </c>
    </row>
    <row r="733" spans="1:4" x14ac:dyDescent="0.3">
      <c r="A733" t="s">
        <v>6</v>
      </c>
      <c r="B733" s="1">
        <v>45322.458333333336</v>
      </c>
      <c r="C733">
        <v>386.37033051562702</v>
      </c>
      <c r="D733">
        <v>772.74066103125404</v>
      </c>
    </row>
    <row r="734" spans="1:4" x14ac:dyDescent="0.3">
      <c r="A734" t="s">
        <v>6</v>
      </c>
      <c r="B734" s="1">
        <v>45322.5</v>
      </c>
      <c r="C734">
        <v>400</v>
      </c>
      <c r="D734">
        <v>800</v>
      </c>
    </row>
    <row r="735" spans="1:4" x14ac:dyDescent="0.3">
      <c r="A735" t="s">
        <v>6</v>
      </c>
      <c r="B735" s="1">
        <v>45322.541666666664</v>
      </c>
      <c r="C735">
        <v>386.37033051562702</v>
      </c>
      <c r="D735">
        <v>772.74066103125404</v>
      </c>
    </row>
    <row r="736" spans="1:4" x14ac:dyDescent="0.3">
      <c r="A736" t="s">
        <v>6</v>
      </c>
      <c r="B736" s="1">
        <v>45322.583333333336</v>
      </c>
      <c r="C736">
        <v>346.41016151377499</v>
      </c>
      <c r="D736">
        <v>692.82032302755101</v>
      </c>
    </row>
    <row r="737" spans="1:4" x14ac:dyDescent="0.3">
      <c r="A737" t="s">
        <v>6</v>
      </c>
      <c r="B737" s="1">
        <v>45322.625</v>
      </c>
      <c r="C737">
        <v>282.84271247461902</v>
      </c>
      <c r="D737">
        <v>565.68542494923804</v>
      </c>
    </row>
    <row r="738" spans="1:4" x14ac:dyDescent="0.3">
      <c r="A738" t="s">
        <v>6</v>
      </c>
      <c r="B738" s="1">
        <v>45322.666666666664</v>
      </c>
      <c r="C738">
        <v>199.99999999999901</v>
      </c>
      <c r="D738">
        <v>399.99999999999898</v>
      </c>
    </row>
    <row r="739" spans="1:4" x14ac:dyDescent="0.3">
      <c r="A739" t="s">
        <v>6</v>
      </c>
      <c r="B739" s="1">
        <v>45322.708333333336</v>
      </c>
      <c r="C739">
        <v>103.527618041008</v>
      </c>
      <c r="D739">
        <v>207.05523608201599</v>
      </c>
    </row>
    <row r="740" spans="1:4" x14ac:dyDescent="0.3">
      <c r="A740" t="s">
        <v>6</v>
      </c>
      <c r="B740" s="1">
        <v>45322.75</v>
      </c>
      <c r="C740" s="2">
        <v>4.8985871965894097E-14</v>
      </c>
      <c r="D740" s="2">
        <v>9.7971743931788194E-14</v>
      </c>
    </row>
    <row r="741" spans="1:4" x14ac:dyDescent="0.3">
      <c r="A741" t="s">
        <v>6</v>
      </c>
      <c r="B741" s="1">
        <v>45322.791666666664</v>
      </c>
      <c r="C741">
        <v>0</v>
      </c>
      <c r="D741">
        <v>0</v>
      </c>
    </row>
    <row r="742" spans="1:4" x14ac:dyDescent="0.3">
      <c r="A742" t="s">
        <v>6</v>
      </c>
      <c r="B742" s="1">
        <v>45322.833333333336</v>
      </c>
      <c r="C742">
        <v>0</v>
      </c>
      <c r="D742">
        <v>0</v>
      </c>
    </row>
    <row r="743" spans="1:4" x14ac:dyDescent="0.3">
      <c r="A743" t="s">
        <v>6</v>
      </c>
      <c r="B743" s="1">
        <v>45322.875</v>
      </c>
      <c r="C743">
        <v>0</v>
      </c>
      <c r="D743">
        <v>0</v>
      </c>
    </row>
    <row r="744" spans="1:4" x14ac:dyDescent="0.3">
      <c r="A744" t="s">
        <v>6</v>
      </c>
      <c r="B744" s="1">
        <v>45322.916666666664</v>
      </c>
      <c r="C744">
        <v>0</v>
      </c>
      <c r="D744">
        <v>0</v>
      </c>
    </row>
    <row r="745" spans="1:4" x14ac:dyDescent="0.3">
      <c r="A745" t="s">
        <v>6</v>
      </c>
      <c r="B745" s="1">
        <v>45322.958333333336</v>
      </c>
      <c r="C745">
        <v>0</v>
      </c>
      <c r="D745">
        <v>0</v>
      </c>
    </row>
    <row r="746" spans="1:4" x14ac:dyDescent="0.3">
      <c r="A746" t="s">
        <v>7</v>
      </c>
      <c r="B746" s="1">
        <v>45292</v>
      </c>
      <c r="C746">
        <v>0</v>
      </c>
      <c r="D746">
        <v>0</v>
      </c>
    </row>
    <row r="747" spans="1:4" x14ac:dyDescent="0.3">
      <c r="A747" t="s">
        <v>7</v>
      </c>
      <c r="B747" s="1">
        <v>45292.041666666664</v>
      </c>
      <c r="C747">
        <v>0</v>
      </c>
      <c r="D747">
        <v>0</v>
      </c>
    </row>
    <row r="748" spans="1:4" x14ac:dyDescent="0.3">
      <c r="A748" t="s">
        <v>7</v>
      </c>
      <c r="B748" s="1">
        <v>45292.083333333336</v>
      </c>
      <c r="C748">
        <v>0</v>
      </c>
      <c r="D748">
        <v>0</v>
      </c>
    </row>
    <row r="749" spans="1:4" x14ac:dyDescent="0.3">
      <c r="A749" t="s">
        <v>7</v>
      </c>
      <c r="B749" s="1">
        <v>45292.125</v>
      </c>
      <c r="C749">
        <v>0</v>
      </c>
      <c r="D749">
        <v>0</v>
      </c>
    </row>
    <row r="750" spans="1:4" x14ac:dyDescent="0.3">
      <c r="A750" t="s">
        <v>7</v>
      </c>
      <c r="B750" s="1">
        <v>45292.166666666664</v>
      </c>
      <c r="C750">
        <v>0</v>
      </c>
      <c r="D750">
        <v>0</v>
      </c>
    </row>
    <row r="751" spans="1:4" x14ac:dyDescent="0.3">
      <c r="A751" t="s">
        <v>7</v>
      </c>
      <c r="B751" s="1">
        <v>45292.208333333336</v>
      </c>
      <c r="C751">
        <v>0</v>
      </c>
      <c r="D751">
        <v>0</v>
      </c>
    </row>
    <row r="752" spans="1:4" x14ac:dyDescent="0.3">
      <c r="A752" t="s">
        <v>7</v>
      </c>
      <c r="B752" s="1">
        <v>45292.25</v>
      </c>
      <c r="C752">
        <v>0</v>
      </c>
      <c r="D752">
        <v>0</v>
      </c>
    </row>
    <row r="753" spans="1:4" x14ac:dyDescent="0.3">
      <c r="A753" t="s">
        <v>7</v>
      </c>
      <c r="B753" s="1">
        <v>45292.291666666664</v>
      </c>
      <c r="C753">
        <v>155.291427061512</v>
      </c>
      <c r="D753">
        <v>207.05523608201599</v>
      </c>
    </row>
    <row r="754" spans="1:4" x14ac:dyDescent="0.3">
      <c r="A754" t="s">
        <v>7</v>
      </c>
      <c r="B754" s="1">
        <v>45292.333333333336</v>
      </c>
      <c r="C754">
        <v>300</v>
      </c>
      <c r="D754">
        <v>399.99999999999898</v>
      </c>
    </row>
    <row r="755" spans="1:4" x14ac:dyDescent="0.3">
      <c r="A755" t="s">
        <v>7</v>
      </c>
      <c r="B755" s="1">
        <v>45292.375</v>
      </c>
      <c r="C755">
        <v>424.26406871192802</v>
      </c>
      <c r="D755">
        <v>565.68542494923804</v>
      </c>
    </row>
    <row r="756" spans="1:4" x14ac:dyDescent="0.3">
      <c r="A756" t="s">
        <v>7</v>
      </c>
      <c r="B756" s="1">
        <v>45292.416666666664</v>
      </c>
      <c r="C756">
        <v>519.61524227066297</v>
      </c>
      <c r="D756">
        <v>692.82032302754999</v>
      </c>
    </row>
    <row r="757" spans="1:4" x14ac:dyDescent="0.3">
      <c r="A757" t="s">
        <v>7</v>
      </c>
      <c r="B757" s="1">
        <v>45292.458333333336</v>
      </c>
      <c r="C757">
        <v>579.55549577344095</v>
      </c>
      <c r="D757">
        <v>772.74066103125404</v>
      </c>
    </row>
    <row r="758" spans="1:4" x14ac:dyDescent="0.3">
      <c r="A758" t="s">
        <v>7</v>
      </c>
      <c r="B758" s="1">
        <v>45292.5</v>
      </c>
      <c r="C758">
        <v>600</v>
      </c>
      <c r="D758">
        <v>800</v>
      </c>
    </row>
    <row r="759" spans="1:4" x14ac:dyDescent="0.3">
      <c r="A759" t="s">
        <v>7</v>
      </c>
      <c r="B759" s="1">
        <v>45292.541666666664</v>
      </c>
      <c r="C759">
        <v>579.55549577344095</v>
      </c>
      <c r="D759">
        <v>772.74066103125404</v>
      </c>
    </row>
    <row r="760" spans="1:4" x14ac:dyDescent="0.3">
      <c r="A760" t="s">
        <v>7</v>
      </c>
      <c r="B760" s="1">
        <v>45292.583333333336</v>
      </c>
      <c r="C760">
        <v>519.61524227066297</v>
      </c>
      <c r="D760">
        <v>692.82032302755101</v>
      </c>
    </row>
    <row r="761" spans="1:4" x14ac:dyDescent="0.3">
      <c r="A761" t="s">
        <v>7</v>
      </c>
      <c r="B761" s="1">
        <v>45292.625</v>
      </c>
      <c r="C761">
        <v>424.26406871192802</v>
      </c>
      <c r="D761">
        <v>565.68542494923804</v>
      </c>
    </row>
    <row r="762" spans="1:4" x14ac:dyDescent="0.3">
      <c r="A762" t="s">
        <v>7</v>
      </c>
      <c r="B762" s="1">
        <v>45292.666666666664</v>
      </c>
      <c r="C762">
        <v>300</v>
      </c>
      <c r="D762">
        <v>399.99999999999898</v>
      </c>
    </row>
    <row r="763" spans="1:4" x14ac:dyDescent="0.3">
      <c r="A763" t="s">
        <v>7</v>
      </c>
      <c r="B763" s="1">
        <v>45292.708333333336</v>
      </c>
      <c r="C763">
        <v>155.291427061512</v>
      </c>
      <c r="D763">
        <v>207.05523608201599</v>
      </c>
    </row>
    <row r="764" spans="1:4" x14ac:dyDescent="0.3">
      <c r="A764" t="s">
        <v>7</v>
      </c>
      <c r="B764" s="1">
        <v>45292.75</v>
      </c>
      <c r="C764" s="2">
        <v>7.3478807948841102E-14</v>
      </c>
      <c r="D764" s="2">
        <v>9.7971743931788194E-14</v>
      </c>
    </row>
    <row r="765" spans="1:4" x14ac:dyDescent="0.3">
      <c r="A765" t="s">
        <v>7</v>
      </c>
      <c r="B765" s="1">
        <v>45292.791666666664</v>
      </c>
      <c r="C765">
        <v>0</v>
      </c>
      <c r="D765">
        <v>0</v>
      </c>
    </row>
    <row r="766" spans="1:4" x14ac:dyDescent="0.3">
      <c r="A766" t="s">
        <v>7</v>
      </c>
      <c r="B766" s="1">
        <v>45292.833333333336</v>
      </c>
      <c r="C766">
        <v>0</v>
      </c>
      <c r="D766">
        <v>0</v>
      </c>
    </row>
    <row r="767" spans="1:4" x14ac:dyDescent="0.3">
      <c r="A767" t="s">
        <v>7</v>
      </c>
      <c r="B767" s="1">
        <v>45292.875</v>
      </c>
      <c r="C767">
        <v>0</v>
      </c>
      <c r="D767">
        <v>0</v>
      </c>
    </row>
    <row r="768" spans="1:4" x14ac:dyDescent="0.3">
      <c r="A768" t="s">
        <v>7</v>
      </c>
      <c r="B768" s="1">
        <v>45292.916666666664</v>
      </c>
      <c r="C768">
        <v>0</v>
      </c>
      <c r="D768">
        <v>0</v>
      </c>
    </row>
    <row r="769" spans="1:4" x14ac:dyDescent="0.3">
      <c r="A769" t="s">
        <v>7</v>
      </c>
      <c r="B769" s="1">
        <v>45292.958333333336</v>
      </c>
      <c r="C769">
        <v>0</v>
      </c>
      <c r="D769">
        <v>0</v>
      </c>
    </row>
    <row r="770" spans="1:4" x14ac:dyDescent="0.3">
      <c r="A770" t="s">
        <v>7</v>
      </c>
      <c r="B770" s="1">
        <v>45293</v>
      </c>
      <c r="C770">
        <v>0</v>
      </c>
      <c r="D770">
        <v>0</v>
      </c>
    </row>
    <row r="771" spans="1:4" x14ac:dyDescent="0.3">
      <c r="A771" t="s">
        <v>7</v>
      </c>
      <c r="B771" s="1">
        <v>45293.041666666664</v>
      </c>
      <c r="C771">
        <v>0</v>
      </c>
      <c r="D771">
        <v>0</v>
      </c>
    </row>
    <row r="772" spans="1:4" x14ac:dyDescent="0.3">
      <c r="A772" t="s">
        <v>7</v>
      </c>
      <c r="B772" s="1">
        <v>45293.083333333336</v>
      </c>
      <c r="C772">
        <v>0</v>
      </c>
      <c r="D772">
        <v>0</v>
      </c>
    </row>
    <row r="773" spans="1:4" x14ac:dyDescent="0.3">
      <c r="A773" t="s">
        <v>7</v>
      </c>
      <c r="B773" s="1">
        <v>45293.125</v>
      </c>
      <c r="C773">
        <v>0</v>
      </c>
      <c r="D773">
        <v>0</v>
      </c>
    </row>
    <row r="774" spans="1:4" x14ac:dyDescent="0.3">
      <c r="A774" t="s">
        <v>7</v>
      </c>
      <c r="B774" s="1">
        <v>45293.166666666664</v>
      </c>
      <c r="C774">
        <v>0</v>
      </c>
      <c r="D774">
        <v>0</v>
      </c>
    </row>
    <row r="775" spans="1:4" x14ac:dyDescent="0.3">
      <c r="A775" t="s">
        <v>7</v>
      </c>
      <c r="B775" s="1">
        <v>45293.208333333336</v>
      </c>
      <c r="C775">
        <v>0</v>
      </c>
      <c r="D775">
        <v>0</v>
      </c>
    </row>
    <row r="776" spans="1:4" x14ac:dyDescent="0.3">
      <c r="A776" t="s">
        <v>7</v>
      </c>
      <c r="B776" s="1">
        <v>45293.25</v>
      </c>
      <c r="C776">
        <v>0</v>
      </c>
      <c r="D776">
        <v>0</v>
      </c>
    </row>
    <row r="777" spans="1:4" x14ac:dyDescent="0.3">
      <c r="A777" t="s">
        <v>7</v>
      </c>
      <c r="B777" s="1">
        <v>45293.291666666664</v>
      </c>
      <c r="C777">
        <v>155.291427061512</v>
      </c>
      <c r="D777">
        <v>207.05523608201599</v>
      </c>
    </row>
    <row r="778" spans="1:4" x14ac:dyDescent="0.3">
      <c r="A778" t="s">
        <v>7</v>
      </c>
      <c r="B778" s="1">
        <v>45293.333333333336</v>
      </c>
      <c r="C778">
        <v>300</v>
      </c>
      <c r="D778">
        <v>399.99999999999898</v>
      </c>
    </row>
    <row r="779" spans="1:4" x14ac:dyDescent="0.3">
      <c r="A779" t="s">
        <v>7</v>
      </c>
      <c r="B779" s="1">
        <v>45293.375</v>
      </c>
      <c r="C779">
        <v>424.26406871192802</v>
      </c>
      <c r="D779">
        <v>565.68542494923804</v>
      </c>
    </row>
    <row r="780" spans="1:4" x14ac:dyDescent="0.3">
      <c r="A780" t="s">
        <v>7</v>
      </c>
      <c r="B780" s="1">
        <v>45293.416666666664</v>
      </c>
      <c r="C780">
        <v>519.61524227066297</v>
      </c>
      <c r="D780">
        <v>692.82032302754999</v>
      </c>
    </row>
    <row r="781" spans="1:4" x14ac:dyDescent="0.3">
      <c r="A781" t="s">
        <v>7</v>
      </c>
      <c r="B781" s="1">
        <v>45293.458333333336</v>
      </c>
      <c r="C781">
        <v>579.55549577344095</v>
      </c>
      <c r="D781">
        <v>772.74066103125404</v>
      </c>
    </row>
    <row r="782" spans="1:4" x14ac:dyDescent="0.3">
      <c r="A782" t="s">
        <v>7</v>
      </c>
      <c r="B782" s="1">
        <v>45293.5</v>
      </c>
      <c r="C782">
        <v>600</v>
      </c>
      <c r="D782">
        <v>800</v>
      </c>
    </row>
    <row r="783" spans="1:4" x14ac:dyDescent="0.3">
      <c r="A783" t="s">
        <v>7</v>
      </c>
      <c r="B783" s="1">
        <v>45293.541666666664</v>
      </c>
      <c r="C783">
        <v>579.55549577344095</v>
      </c>
      <c r="D783">
        <v>772.74066103125404</v>
      </c>
    </row>
    <row r="784" spans="1:4" x14ac:dyDescent="0.3">
      <c r="A784" t="s">
        <v>7</v>
      </c>
      <c r="B784" s="1">
        <v>45293.583333333336</v>
      </c>
      <c r="C784">
        <v>519.61524227066297</v>
      </c>
      <c r="D784">
        <v>692.82032302755101</v>
      </c>
    </row>
    <row r="785" spans="1:4" x14ac:dyDescent="0.3">
      <c r="A785" t="s">
        <v>7</v>
      </c>
      <c r="B785" s="1">
        <v>45293.625</v>
      </c>
      <c r="C785">
        <v>424.26406871192802</v>
      </c>
      <c r="D785">
        <v>565.68542494923804</v>
      </c>
    </row>
    <row r="786" spans="1:4" x14ac:dyDescent="0.3">
      <c r="A786" t="s">
        <v>7</v>
      </c>
      <c r="B786" s="1">
        <v>45293.666666666664</v>
      </c>
      <c r="C786">
        <v>300</v>
      </c>
      <c r="D786">
        <v>399.99999999999898</v>
      </c>
    </row>
    <row r="787" spans="1:4" x14ac:dyDescent="0.3">
      <c r="A787" t="s">
        <v>7</v>
      </c>
      <c r="B787" s="1">
        <v>45293.708333333336</v>
      </c>
      <c r="C787">
        <v>155.291427061512</v>
      </c>
      <c r="D787">
        <v>207.05523608201599</v>
      </c>
    </row>
    <row r="788" spans="1:4" x14ac:dyDescent="0.3">
      <c r="A788" t="s">
        <v>7</v>
      </c>
      <c r="B788" s="1">
        <v>45293.75</v>
      </c>
      <c r="C788" s="2">
        <v>7.3478807948841102E-14</v>
      </c>
      <c r="D788" s="2">
        <v>9.7971743931788194E-14</v>
      </c>
    </row>
    <row r="789" spans="1:4" x14ac:dyDescent="0.3">
      <c r="A789" t="s">
        <v>7</v>
      </c>
      <c r="B789" s="1">
        <v>45293.791666666664</v>
      </c>
      <c r="C789">
        <v>0</v>
      </c>
      <c r="D789">
        <v>0</v>
      </c>
    </row>
    <row r="790" spans="1:4" x14ac:dyDescent="0.3">
      <c r="A790" t="s">
        <v>7</v>
      </c>
      <c r="B790" s="1">
        <v>45293.833333333336</v>
      </c>
      <c r="C790">
        <v>0</v>
      </c>
      <c r="D790">
        <v>0</v>
      </c>
    </row>
    <row r="791" spans="1:4" x14ac:dyDescent="0.3">
      <c r="A791" t="s">
        <v>7</v>
      </c>
      <c r="B791" s="1">
        <v>45293.875</v>
      </c>
      <c r="C791">
        <v>0</v>
      </c>
      <c r="D791">
        <v>0</v>
      </c>
    </row>
    <row r="792" spans="1:4" x14ac:dyDescent="0.3">
      <c r="A792" t="s">
        <v>7</v>
      </c>
      <c r="B792" s="1">
        <v>45293.916666666664</v>
      </c>
      <c r="C792">
        <v>0</v>
      </c>
      <c r="D792">
        <v>0</v>
      </c>
    </row>
    <row r="793" spans="1:4" x14ac:dyDescent="0.3">
      <c r="A793" t="s">
        <v>7</v>
      </c>
      <c r="B793" s="1">
        <v>45293.958333333336</v>
      </c>
      <c r="C793">
        <v>0</v>
      </c>
      <c r="D793">
        <v>0</v>
      </c>
    </row>
    <row r="794" spans="1:4" x14ac:dyDescent="0.3">
      <c r="A794" t="s">
        <v>7</v>
      </c>
      <c r="B794" s="1">
        <v>45294</v>
      </c>
      <c r="C794">
        <v>0</v>
      </c>
      <c r="D794">
        <v>0</v>
      </c>
    </row>
    <row r="795" spans="1:4" x14ac:dyDescent="0.3">
      <c r="A795" t="s">
        <v>7</v>
      </c>
      <c r="B795" s="1">
        <v>45294.041666666664</v>
      </c>
      <c r="C795">
        <v>0</v>
      </c>
      <c r="D795">
        <v>0</v>
      </c>
    </row>
    <row r="796" spans="1:4" x14ac:dyDescent="0.3">
      <c r="A796" t="s">
        <v>7</v>
      </c>
      <c r="B796" s="1">
        <v>45294.083333333336</v>
      </c>
      <c r="C796">
        <v>0</v>
      </c>
      <c r="D796">
        <v>0</v>
      </c>
    </row>
    <row r="797" spans="1:4" x14ac:dyDescent="0.3">
      <c r="A797" t="s">
        <v>7</v>
      </c>
      <c r="B797" s="1">
        <v>45294.125</v>
      </c>
      <c r="C797">
        <v>0</v>
      </c>
      <c r="D797">
        <v>0</v>
      </c>
    </row>
    <row r="798" spans="1:4" x14ac:dyDescent="0.3">
      <c r="A798" t="s">
        <v>7</v>
      </c>
      <c r="B798" s="1">
        <v>45294.166666666664</v>
      </c>
      <c r="C798">
        <v>0</v>
      </c>
      <c r="D798">
        <v>0</v>
      </c>
    </row>
    <row r="799" spans="1:4" x14ac:dyDescent="0.3">
      <c r="A799" t="s">
        <v>7</v>
      </c>
      <c r="B799" s="1">
        <v>45294.208333333336</v>
      </c>
      <c r="C799">
        <v>0</v>
      </c>
      <c r="D799">
        <v>0</v>
      </c>
    </row>
    <row r="800" spans="1:4" x14ac:dyDescent="0.3">
      <c r="A800" t="s">
        <v>7</v>
      </c>
      <c r="B800" s="1">
        <v>45294.25</v>
      </c>
      <c r="C800">
        <v>0</v>
      </c>
      <c r="D800">
        <v>0</v>
      </c>
    </row>
    <row r="801" spans="1:4" x14ac:dyDescent="0.3">
      <c r="A801" t="s">
        <v>7</v>
      </c>
      <c r="B801" s="1">
        <v>45294.291666666664</v>
      </c>
      <c r="C801">
        <v>155.291427061512</v>
      </c>
      <c r="D801">
        <v>207.05523608201599</v>
      </c>
    </row>
    <row r="802" spans="1:4" x14ac:dyDescent="0.3">
      <c r="A802" t="s">
        <v>7</v>
      </c>
      <c r="B802" s="1">
        <v>45294.333333333336</v>
      </c>
      <c r="C802">
        <v>300</v>
      </c>
      <c r="D802">
        <v>399.99999999999898</v>
      </c>
    </row>
    <row r="803" spans="1:4" x14ac:dyDescent="0.3">
      <c r="A803" t="s">
        <v>7</v>
      </c>
      <c r="B803" s="1">
        <v>45294.375</v>
      </c>
      <c r="C803">
        <v>424.26406871192802</v>
      </c>
      <c r="D803">
        <v>565.68542494923804</v>
      </c>
    </row>
    <row r="804" spans="1:4" x14ac:dyDescent="0.3">
      <c r="A804" t="s">
        <v>7</v>
      </c>
      <c r="B804" s="1">
        <v>45294.416666666664</v>
      </c>
      <c r="C804">
        <v>519.61524227066297</v>
      </c>
      <c r="D804">
        <v>692.82032302754999</v>
      </c>
    </row>
    <row r="805" spans="1:4" x14ac:dyDescent="0.3">
      <c r="A805" t="s">
        <v>7</v>
      </c>
      <c r="B805" s="1">
        <v>45294.458333333336</v>
      </c>
      <c r="C805">
        <v>579.55549577344095</v>
      </c>
      <c r="D805">
        <v>772.74066103125404</v>
      </c>
    </row>
    <row r="806" spans="1:4" x14ac:dyDescent="0.3">
      <c r="A806" t="s">
        <v>7</v>
      </c>
      <c r="B806" s="1">
        <v>45294.5</v>
      </c>
      <c r="C806">
        <v>600</v>
      </c>
      <c r="D806">
        <v>800</v>
      </c>
    </row>
    <row r="807" spans="1:4" x14ac:dyDescent="0.3">
      <c r="A807" t="s">
        <v>7</v>
      </c>
      <c r="B807" s="1">
        <v>45294.541666666664</v>
      </c>
      <c r="C807">
        <v>579.55549577344095</v>
      </c>
      <c r="D807">
        <v>772.74066103125404</v>
      </c>
    </row>
    <row r="808" spans="1:4" x14ac:dyDescent="0.3">
      <c r="A808" t="s">
        <v>7</v>
      </c>
      <c r="B808" s="1">
        <v>45294.583333333336</v>
      </c>
      <c r="C808">
        <v>519.61524227066297</v>
      </c>
      <c r="D808">
        <v>692.82032302755101</v>
      </c>
    </row>
    <row r="809" spans="1:4" x14ac:dyDescent="0.3">
      <c r="A809" t="s">
        <v>7</v>
      </c>
      <c r="B809" s="1">
        <v>45294.625</v>
      </c>
      <c r="C809">
        <v>424.26406871192802</v>
      </c>
      <c r="D809">
        <v>565.68542494923804</v>
      </c>
    </row>
    <row r="810" spans="1:4" x14ac:dyDescent="0.3">
      <c r="A810" t="s">
        <v>7</v>
      </c>
      <c r="B810" s="1">
        <v>45294.666666666664</v>
      </c>
      <c r="C810">
        <v>300</v>
      </c>
      <c r="D810">
        <v>399.99999999999898</v>
      </c>
    </row>
    <row r="811" spans="1:4" x14ac:dyDescent="0.3">
      <c r="A811" t="s">
        <v>7</v>
      </c>
      <c r="B811" s="1">
        <v>45294.708333333336</v>
      </c>
      <c r="C811">
        <v>155.291427061512</v>
      </c>
      <c r="D811">
        <v>207.05523608201599</v>
      </c>
    </row>
    <row r="812" spans="1:4" x14ac:dyDescent="0.3">
      <c r="A812" t="s">
        <v>7</v>
      </c>
      <c r="B812" s="1">
        <v>45294.75</v>
      </c>
      <c r="C812" s="2">
        <v>7.3478807948841102E-14</v>
      </c>
      <c r="D812" s="2">
        <v>9.7971743931788194E-14</v>
      </c>
    </row>
    <row r="813" spans="1:4" x14ac:dyDescent="0.3">
      <c r="A813" t="s">
        <v>7</v>
      </c>
      <c r="B813" s="1">
        <v>45294.791666666664</v>
      </c>
      <c r="C813">
        <v>0</v>
      </c>
      <c r="D813">
        <v>0</v>
      </c>
    </row>
    <row r="814" spans="1:4" x14ac:dyDescent="0.3">
      <c r="A814" t="s">
        <v>7</v>
      </c>
      <c r="B814" s="1">
        <v>45294.833333333336</v>
      </c>
      <c r="C814">
        <v>0</v>
      </c>
      <c r="D814">
        <v>0</v>
      </c>
    </row>
    <row r="815" spans="1:4" x14ac:dyDescent="0.3">
      <c r="A815" t="s">
        <v>7</v>
      </c>
      <c r="B815" s="1">
        <v>45294.875</v>
      </c>
      <c r="C815">
        <v>0</v>
      </c>
      <c r="D815">
        <v>0</v>
      </c>
    </row>
    <row r="816" spans="1:4" x14ac:dyDescent="0.3">
      <c r="A816" t="s">
        <v>7</v>
      </c>
      <c r="B816" s="1">
        <v>45294.916666666664</v>
      </c>
      <c r="C816">
        <v>0</v>
      </c>
      <c r="D816">
        <v>0</v>
      </c>
    </row>
    <row r="817" spans="1:4" x14ac:dyDescent="0.3">
      <c r="A817" t="s">
        <v>7</v>
      </c>
      <c r="B817" s="1">
        <v>45294.958333333336</v>
      </c>
      <c r="C817">
        <v>0</v>
      </c>
      <c r="D817">
        <v>0</v>
      </c>
    </row>
    <row r="818" spans="1:4" x14ac:dyDescent="0.3">
      <c r="A818" t="s">
        <v>7</v>
      </c>
      <c r="B818" s="1">
        <v>45295</v>
      </c>
      <c r="C818">
        <v>0</v>
      </c>
      <c r="D818">
        <v>0</v>
      </c>
    </row>
    <row r="819" spans="1:4" x14ac:dyDescent="0.3">
      <c r="A819" t="s">
        <v>7</v>
      </c>
      <c r="B819" s="1">
        <v>45295.041666666664</v>
      </c>
      <c r="C819">
        <v>0</v>
      </c>
      <c r="D819">
        <v>0</v>
      </c>
    </row>
    <row r="820" spans="1:4" x14ac:dyDescent="0.3">
      <c r="A820" t="s">
        <v>7</v>
      </c>
      <c r="B820" s="1">
        <v>45295.083333333336</v>
      </c>
      <c r="C820">
        <v>0</v>
      </c>
      <c r="D820">
        <v>0</v>
      </c>
    </row>
    <row r="821" spans="1:4" x14ac:dyDescent="0.3">
      <c r="A821" t="s">
        <v>7</v>
      </c>
      <c r="B821" s="1">
        <v>45295.125</v>
      </c>
      <c r="C821">
        <v>0</v>
      </c>
      <c r="D821">
        <v>0</v>
      </c>
    </row>
    <row r="822" spans="1:4" x14ac:dyDescent="0.3">
      <c r="A822" t="s">
        <v>7</v>
      </c>
      <c r="B822" s="1">
        <v>45295.166666666664</v>
      </c>
      <c r="C822">
        <v>0</v>
      </c>
      <c r="D822">
        <v>0</v>
      </c>
    </row>
    <row r="823" spans="1:4" x14ac:dyDescent="0.3">
      <c r="A823" t="s">
        <v>7</v>
      </c>
      <c r="B823" s="1">
        <v>45295.208333333336</v>
      </c>
      <c r="C823">
        <v>0</v>
      </c>
      <c r="D823">
        <v>0</v>
      </c>
    </row>
    <row r="824" spans="1:4" x14ac:dyDescent="0.3">
      <c r="A824" t="s">
        <v>7</v>
      </c>
      <c r="B824" s="1">
        <v>45295.25</v>
      </c>
      <c r="C824">
        <v>0</v>
      </c>
      <c r="D824">
        <v>0</v>
      </c>
    </row>
    <row r="825" spans="1:4" x14ac:dyDescent="0.3">
      <c r="A825" t="s">
        <v>7</v>
      </c>
      <c r="B825" s="1">
        <v>45295.291666666664</v>
      </c>
      <c r="C825">
        <v>155.291427061512</v>
      </c>
      <c r="D825">
        <v>207.05523608201599</v>
      </c>
    </row>
    <row r="826" spans="1:4" x14ac:dyDescent="0.3">
      <c r="A826" t="s">
        <v>7</v>
      </c>
      <c r="B826" s="1">
        <v>45295.333333333336</v>
      </c>
      <c r="C826">
        <v>300</v>
      </c>
      <c r="D826">
        <v>399.99999999999898</v>
      </c>
    </row>
    <row r="827" spans="1:4" x14ac:dyDescent="0.3">
      <c r="A827" t="s">
        <v>7</v>
      </c>
      <c r="B827" s="1">
        <v>45295.375</v>
      </c>
      <c r="C827">
        <v>424.26406871192802</v>
      </c>
      <c r="D827">
        <v>565.68542494923804</v>
      </c>
    </row>
    <row r="828" spans="1:4" x14ac:dyDescent="0.3">
      <c r="A828" t="s">
        <v>7</v>
      </c>
      <c r="B828" s="1">
        <v>45295.416666666664</v>
      </c>
      <c r="C828">
        <v>519.61524227066297</v>
      </c>
      <c r="D828">
        <v>692.82032302754999</v>
      </c>
    </row>
    <row r="829" spans="1:4" x14ac:dyDescent="0.3">
      <c r="A829" t="s">
        <v>7</v>
      </c>
      <c r="B829" s="1">
        <v>45295.458333333336</v>
      </c>
      <c r="C829">
        <v>579.55549577344095</v>
      </c>
      <c r="D829">
        <v>772.74066103125404</v>
      </c>
    </row>
    <row r="830" spans="1:4" x14ac:dyDescent="0.3">
      <c r="A830" t="s">
        <v>7</v>
      </c>
      <c r="B830" s="1">
        <v>45295.5</v>
      </c>
      <c r="C830">
        <v>600</v>
      </c>
      <c r="D830">
        <v>800</v>
      </c>
    </row>
    <row r="831" spans="1:4" x14ac:dyDescent="0.3">
      <c r="A831" t="s">
        <v>7</v>
      </c>
      <c r="B831" s="1">
        <v>45295.541666666664</v>
      </c>
      <c r="C831">
        <v>579.55549577344095</v>
      </c>
      <c r="D831">
        <v>772.74066103125404</v>
      </c>
    </row>
    <row r="832" spans="1:4" x14ac:dyDescent="0.3">
      <c r="A832" t="s">
        <v>7</v>
      </c>
      <c r="B832" s="1">
        <v>45295.583333333336</v>
      </c>
      <c r="C832">
        <v>519.61524227066297</v>
      </c>
      <c r="D832">
        <v>692.82032302755101</v>
      </c>
    </row>
    <row r="833" spans="1:4" x14ac:dyDescent="0.3">
      <c r="A833" t="s">
        <v>7</v>
      </c>
      <c r="B833" s="1">
        <v>45295.625</v>
      </c>
      <c r="C833">
        <v>424.26406871192802</v>
      </c>
      <c r="D833">
        <v>565.68542494923804</v>
      </c>
    </row>
    <row r="834" spans="1:4" x14ac:dyDescent="0.3">
      <c r="A834" t="s">
        <v>7</v>
      </c>
      <c r="B834" s="1">
        <v>45295.666666666664</v>
      </c>
      <c r="C834">
        <v>300</v>
      </c>
      <c r="D834">
        <v>399.99999999999898</v>
      </c>
    </row>
    <row r="835" spans="1:4" x14ac:dyDescent="0.3">
      <c r="A835" t="s">
        <v>7</v>
      </c>
      <c r="B835" s="1">
        <v>45295.708333333336</v>
      </c>
      <c r="C835">
        <v>155.291427061512</v>
      </c>
      <c r="D835">
        <v>207.05523608201599</v>
      </c>
    </row>
    <row r="836" spans="1:4" x14ac:dyDescent="0.3">
      <c r="A836" t="s">
        <v>7</v>
      </c>
      <c r="B836" s="1">
        <v>45295.75</v>
      </c>
      <c r="C836" s="2">
        <v>7.3478807948841102E-14</v>
      </c>
      <c r="D836" s="2">
        <v>9.7971743931788194E-14</v>
      </c>
    </row>
    <row r="837" spans="1:4" x14ac:dyDescent="0.3">
      <c r="A837" t="s">
        <v>7</v>
      </c>
      <c r="B837" s="1">
        <v>45295.791666666664</v>
      </c>
      <c r="C837">
        <v>0</v>
      </c>
      <c r="D837">
        <v>0</v>
      </c>
    </row>
    <row r="838" spans="1:4" x14ac:dyDescent="0.3">
      <c r="A838" t="s">
        <v>7</v>
      </c>
      <c r="B838" s="1">
        <v>45295.833333333336</v>
      </c>
      <c r="C838">
        <v>0</v>
      </c>
      <c r="D838">
        <v>0</v>
      </c>
    </row>
    <row r="839" spans="1:4" x14ac:dyDescent="0.3">
      <c r="A839" t="s">
        <v>7</v>
      </c>
      <c r="B839" s="1">
        <v>45295.875</v>
      </c>
      <c r="C839">
        <v>0</v>
      </c>
      <c r="D839">
        <v>0</v>
      </c>
    </row>
    <row r="840" spans="1:4" x14ac:dyDescent="0.3">
      <c r="A840" t="s">
        <v>7</v>
      </c>
      <c r="B840" s="1">
        <v>45295.916666666664</v>
      </c>
      <c r="C840">
        <v>0</v>
      </c>
      <c r="D840">
        <v>0</v>
      </c>
    </row>
    <row r="841" spans="1:4" x14ac:dyDescent="0.3">
      <c r="A841" t="s">
        <v>7</v>
      </c>
      <c r="B841" s="1">
        <v>45295.958333333336</v>
      </c>
      <c r="C841">
        <v>0</v>
      </c>
      <c r="D841">
        <v>0</v>
      </c>
    </row>
    <row r="842" spans="1:4" x14ac:dyDescent="0.3">
      <c r="A842" t="s">
        <v>7</v>
      </c>
      <c r="B842" s="1">
        <v>45296</v>
      </c>
      <c r="C842">
        <v>0</v>
      </c>
      <c r="D842">
        <v>0</v>
      </c>
    </row>
    <row r="843" spans="1:4" x14ac:dyDescent="0.3">
      <c r="A843" t="s">
        <v>7</v>
      </c>
      <c r="B843" s="1">
        <v>45296.041666666664</v>
      </c>
      <c r="C843">
        <v>0</v>
      </c>
      <c r="D843">
        <v>0</v>
      </c>
    </row>
    <row r="844" spans="1:4" x14ac:dyDescent="0.3">
      <c r="A844" t="s">
        <v>7</v>
      </c>
      <c r="B844" s="1">
        <v>45296.083333333336</v>
      </c>
      <c r="C844">
        <v>0</v>
      </c>
      <c r="D844">
        <v>0</v>
      </c>
    </row>
    <row r="845" spans="1:4" x14ac:dyDescent="0.3">
      <c r="A845" t="s">
        <v>7</v>
      </c>
      <c r="B845" s="1">
        <v>45296.125</v>
      </c>
      <c r="C845">
        <v>0</v>
      </c>
      <c r="D845">
        <v>0</v>
      </c>
    </row>
    <row r="846" spans="1:4" x14ac:dyDescent="0.3">
      <c r="A846" t="s">
        <v>7</v>
      </c>
      <c r="B846" s="1">
        <v>45296.166666666664</v>
      </c>
      <c r="C846">
        <v>0</v>
      </c>
      <c r="D846">
        <v>0</v>
      </c>
    </row>
    <row r="847" spans="1:4" x14ac:dyDescent="0.3">
      <c r="A847" t="s">
        <v>7</v>
      </c>
      <c r="B847" s="1">
        <v>45296.208333333336</v>
      </c>
      <c r="C847">
        <v>0</v>
      </c>
      <c r="D847">
        <v>0</v>
      </c>
    </row>
    <row r="848" spans="1:4" x14ac:dyDescent="0.3">
      <c r="A848" t="s">
        <v>7</v>
      </c>
      <c r="B848" s="1">
        <v>45296.25</v>
      </c>
      <c r="C848">
        <v>0</v>
      </c>
      <c r="D848">
        <v>0</v>
      </c>
    </row>
    <row r="849" spans="1:4" x14ac:dyDescent="0.3">
      <c r="A849" t="s">
        <v>7</v>
      </c>
      <c r="B849" s="1">
        <v>45296.291666666664</v>
      </c>
      <c r="C849">
        <v>155.291427061512</v>
      </c>
      <c r="D849">
        <v>207.05523608201599</v>
      </c>
    </row>
    <row r="850" spans="1:4" x14ac:dyDescent="0.3">
      <c r="A850" t="s">
        <v>7</v>
      </c>
      <c r="B850" s="1">
        <v>45296.333333333336</v>
      </c>
      <c r="C850">
        <v>300</v>
      </c>
      <c r="D850">
        <v>399.99999999999898</v>
      </c>
    </row>
    <row r="851" spans="1:4" x14ac:dyDescent="0.3">
      <c r="A851" t="s">
        <v>7</v>
      </c>
      <c r="B851" s="1">
        <v>45296.375</v>
      </c>
      <c r="C851">
        <v>424.26406871192802</v>
      </c>
      <c r="D851">
        <v>565.68542494923804</v>
      </c>
    </row>
    <row r="852" spans="1:4" x14ac:dyDescent="0.3">
      <c r="A852" t="s">
        <v>7</v>
      </c>
      <c r="B852" s="1">
        <v>45296.416666666664</v>
      </c>
      <c r="C852">
        <v>519.61524227066297</v>
      </c>
      <c r="D852">
        <v>692.82032302754999</v>
      </c>
    </row>
    <row r="853" spans="1:4" x14ac:dyDescent="0.3">
      <c r="A853" t="s">
        <v>7</v>
      </c>
      <c r="B853" s="1">
        <v>45296.458333333336</v>
      </c>
      <c r="C853">
        <v>579.55549577344095</v>
      </c>
      <c r="D853">
        <v>772.74066103125404</v>
      </c>
    </row>
    <row r="854" spans="1:4" x14ac:dyDescent="0.3">
      <c r="A854" t="s">
        <v>7</v>
      </c>
      <c r="B854" s="1">
        <v>45296.5</v>
      </c>
      <c r="C854">
        <v>600</v>
      </c>
      <c r="D854">
        <v>800</v>
      </c>
    </row>
    <row r="855" spans="1:4" x14ac:dyDescent="0.3">
      <c r="A855" t="s">
        <v>7</v>
      </c>
      <c r="B855" s="1">
        <v>45296.541666666664</v>
      </c>
      <c r="C855">
        <v>579.55549577344095</v>
      </c>
      <c r="D855">
        <v>772.74066103125404</v>
      </c>
    </row>
    <row r="856" spans="1:4" x14ac:dyDescent="0.3">
      <c r="A856" t="s">
        <v>7</v>
      </c>
      <c r="B856" s="1">
        <v>45296.583333333336</v>
      </c>
      <c r="C856">
        <v>519.61524227066297</v>
      </c>
      <c r="D856">
        <v>692.82032302755101</v>
      </c>
    </row>
    <row r="857" spans="1:4" x14ac:dyDescent="0.3">
      <c r="A857" t="s">
        <v>7</v>
      </c>
      <c r="B857" s="1">
        <v>45296.625</v>
      </c>
      <c r="C857">
        <v>424.26406871192802</v>
      </c>
      <c r="D857">
        <v>565.68542494923804</v>
      </c>
    </row>
    <row r="858" spans="1:4" x14ac:dyDescent="0.3">
      <c r="A858" t="s">
        <v>7</v>
      </c>
      <c r="B858" s="1">
        <v>45296.666666666664</v>
      </c>
      <c r="C858">
        <v>300</v>
      </c>
      <c r="D858">
        <v>399.99999999999898</v>
      </c>
    </row>
    <row r="859" spans="1:4" x14ac:dyDescent="0.3">
      <c r="A859" t="s">
        <v>7</v>
      </c>
      <c r="B859" s="1">
        <v>45296.708333333336</v>
      </c>
      <c r="C859">
        <v>155.291427061512</v>
      </c>
      <c r="D859">
        <v>207.05523608201599</v>
      </c>
    </row>
    <row r="860" spans="1:4" x14ac:dyDescent="0.3">
      <c r="A860" t="s">
        <v>7</v>
      </c>
      <c r="B860" s="1">
        <v>45296.75</v>
      </c>
      <c r="C860" s="2">
        <v>7.3478807948841102E-14</v>
      </c>
      <c r="D860" s="2">
        <v>9.7971743931788194E-14</v>
      </c>
    </row>
    <row r="861" spans="1:4" x14ac:dyDescent="0.3">
      <c r="A861" t="s">
        <v>7</v>
      </c>
      <c r="B861" s="1">
        <v>45296.791666666664</v>
      </c>
      <c r="C861">
        <v>0</v>
      </c>
      <c r="D861">
        <v>0</v>
      </c>
    </row>
    <row r="862" spans="1:4" x14ac:dyDescent="0.3">
      <c r="A862" t="s">
        <v>7</v>
      </c>
      <c r="B862" s="1">
        <v>45296.833333333336</v>
      </c>
      <c r="C862">
        <v>0</v>
      </c>
      <c r="D862">
        <v>0</v>
      </c>
    </row>
    <row r="863" spans="1:4" x14ac:dyDescent="0.3">
      <c r="A863" t="s">
        <v>7</v>
      </c>
      <c r="B863" s="1">
        <v>45296.875</v>
      </c>
      <c r="C863">
        <v>0</v>
      </c>
      <c r="D863">
        <v>0</v>
      </c>
    </row>
    <row r="864" spans="1:4" x14ac:dyDescent="0.3">
      <c r="A864" t="s">
        <v>7</v>
      </c>
      <c r="B864" s="1">
        <v>45296.916666666664</v>
      </c>
      <c r="C864">
        <v>0</v>
      </c>
      <c r="D864">
        <v>0</v>
      </c>
    </row>
    <row r="865" spans="1:4" x14ac:dyDescent="0.3">
      <c r="A865" t="s">
        <v>7</v>
      </c>
      <c r="B865" s="1">
        <v>45296.958333333336</v>
      </c>
      <c r="C865">
        <v>0</v>
      </c>
      <c r="D865">
        <v>0</v>
      </c>
    </row>
    <row r="866" spans="1:4" x14ac:dyDescent="0.3">
      <c r="A866" t="s">
        <v>7</v>
      </c>
      <c r="B866" s="1">
        <v>45297</v>
      </c>
      <c r="C866">
        <v>0</v>
      </c>
      <c r="D866">
        <v>0</v>
      </c>
    </row>
    <row r="867" spans="1:4" x14ac:dyDescent="0.3">
      <c r="A867" t="s">
        <v>7</v>
      </c>
      <c r="B867" s="1">
        <v>45297.041666666664</v>
      </c>
      <c r="C867">
        <v>0</v>
      </c>
      <c r="D867">
        <v>0</v>
      </c>
    </row>
    <row r="868" spans="1:4" x14ac:dyDescent="0.3">
      <c r="A868" t="s">
        <v>7</v>
      </c>
      <c r="B868" s="1">
        <v>45297.083333333336</v>
      </c>
      <c r="C868">
        <v>0</v>
      </c>
      <c r="D868">
        <v>0</v>
      </c>
    </row>
    <row r="869" spans="1:4" x14ac:dyDescent="0.3">
      <c r="A869" t="s">
        <v>7</v>
      </c>
      <c r="B869" s="1">
        <v>45297.125</v>
      </c>
      <c r="C869">
        <v>0</v>
      </c>
      <c r="D869">
        <v>0</v>
      </c>
    </row>
    <row r="870" spans="1:4" x14ac:dyDescent="0.3">
      <c r="A870" t="s">
        <v>7</v>
      </c>
      <c r="B870" s="1">
        <v>45297.166666666664</v>
      </c>
      <c r="C870">
        <v>0</v>
      </c>
      <c r="D870">
        <v>0</v>
      </c>
    </row>
    <row r="871" spans="1:4" x14ac:dyDescent="0.3">
      <c r="A871" t="s">
        <v>7</v>
      </c>
      <c r="B871" s="1">
        <v>45297.208333333336</v>
      </c>
      <c r="C871">
        <v>0</v>
      </c>
      <c r="D871">
        <v>0</v>
      </c>
    </row>
    <row r="872" spans="1:4" x14ac:dyDescent="0.3">
      <c r="A872" t="s">
        <v>7</v>
      </c>
      <c r="B872" s="1">
        <v>45297.25</v>
      </c>
      <c r="C872">
        <v>0</v>
      </c>
      <c r="D872">
        <v>0</v>
      </c>
    </row>
    <row r="873" spans="1:4" x14ac:dyDescent="0.3">
      <c r="A873" t="s">
        <v>7</v>
      </c>
      <c r="B873" s="1">
        <v>45297.291666666664</v>
      </c>
      <c r="C873">
        <v>155.291427061512</v>
      </c>
      <c r="D873">
        <v>207.05523608201599</v>
      </c>
    </row>
    <row r="874" spans="1:4" x14ac:dyDescent="0.3">
      <c r="A874" t="s">
        <v>7</v>
      </c>
      <c r="B874" s="1">
        <v>45297.333333333336</v>
      </c>
      <c r="C874">
        <v>300</v>
      </c>
      <c r="D874">
        <v>399.99999999999898</v>
      </c>
    </row>
    <row r="875" spans="1:4" x14ac:dyDescent="0.3">
      <c r="A875" t="s">
        <v>7</v>
      </c>
      <c r="B875" s="1">
        <v>45297.375</v>
      </c>
      <c r="C875">
        <v>424.26406871192802</v>
      </c>
      <c r="D875">
        <v>565.68542494923804</v>
      </c>
    </row>
    <row r="876" spans="1:4" x14ac:dyDescent="0.3">
      <c r="A876" t="s">
        <v>7</v>
      </c>
      <c r="B876" s="1">
        <v>45297.416666666664</v>
      </c>
      <c r="C876">
        <v>519.61524227066297</v>
      </c>
      <c r="D876">
        <v>692.82032302754999</v>
      </c>
    </row>
    <row r="877" spans="1:4" x14ac:dyDescent="0.3">
      <c r="A877" t="s">
        <v>7</v>
      </c>
      <c r="B877" s="1">
        <v>45297.458333333336</v>
      </c>
      <c r="C877">
        <v>579.55549577344095</v>
      </c>
      <c r="D877">
        <v>772.74066103125404</v>
      </c>
    </row>
    <row r="878" spans="1:4" x14ac:dyDescent="0.3">
      <c r="A878" t="s">
        <v>7</v>
      </c>
      <c r="B878" s="1">
        <v>45297.5</v>
      </c>
      <c r="C878">
        <v>600</v>
      </c>
      <c r="D878">
        <v>800</v>
      </c>
    </row>
    <row r="879" spans="1:4" x14ac:dyDescent="0.3">
      <c r="A879" t="s">
        <v>7</v>
      </c>
      <c r="B879" s="1">
        <v>45297.541666666664</v>
      </c>
      <c r="C879">
        <v>579.55549577344095</v>
      </c>
      <c r="D879">
        <v>772.74066103125404</v>
      </c>
    </row>
    <row r="880" spans="1:4" x14ac:dyDescent="0.3">
      <c r="A880" t="s">
        <v>7</v>
      </c>
      <c r="B880" s="1">
        <v>45297.583333333336</v>
      </c>
      <c r="C880">
        <v>519.61524227066297</v>
      </c>
      <c r="D880">
        <v>692.82032302755101</v>
      </c>
    </row>
    <row r="881" spans="1:4" x14ac:dyDescent="0.3">
      <c r="A881" t="s">
        <v>7</v>
      </c>
      <c r="B881" s="1">
        <v>45297.625</v>
      </c>
      <c r="C881">
        <v>424.26406871192802</v>
      </c>
      <c r="D881">
        <v>565.68542494923804</v>
      </c>
    </row>
    <row r="882" spans="1:4" x14ac:dyDescent="0.3">
      <c r="A882" t="s">
        <v>7</v>
      </c>
      <c r="B882" s="1">
        <v>45297.666666666664</v>
      </c>
      <c r="C882">
        <v>300</v>
      </c>
      <c r="D882">
        <v>399.99999999999898</v>
      </c>
    </row>
    <row r="883" spans="1:4" x14ac:dyDescent="0.3">
      <c r="A883" t="s">
        <v>7</v>
      </c>
      <c r="B883" s="1">
        <v>45297.708333333336</v>
      </c>
      <c r="C883">
        <v>155.291427061512</v>
      </c>
      <c r="D883">
        <v>207.05523608201599</v>
      </c>
    </row>
    <row r="884" spans="1:4" x14ac:dyDescent="0.3">
      <c r="A884" t="s">
        <v>7</v>
      </c>
      <c r="B884" s="1">
        <v>45297.75</v>
      </c>
      <c r="C884" s="2">
        <v>7.3478807948841102E-14</v>
      </c>
      <c r="D884" s="2">
        <v>9.7971743931788194E-14</v>
      </c>
    </row>
    <row r="885" spans="1:4" x14ac:dyDescent="0.3">
      <c r="A885" t="s">
        <v>7</v>
      </c>
      <c r="B885" s="1">
        <v>45297.791666666664</v>
      </c>
      <c r="C885">
        <v>0</v>
      </c>
      <c r="D885">
        <v>0</v>
      </c>
    </row>
    <row r="886" spans="1:4" x14ac:dyDescent="0.3">
      <c r="A886" t="s">
        <v>7</v>
      </c>
      <c r="B886" s="1">
        <v>45297.833333333336</v>
      </c>
      <c r="C886">
        <v>0</v>
      </c>
      <c r="D886">
        <v>0</v>
      </c>
    </row>
    <row r="887" spans="1:4" x14ac:dyDescent="0.3">
      <c r="A887" t="s">
        <v>7</v>
      </c>
      <c r="B887" s="1">
        <v>45297.875</v>
      </c>
      <c r="C887">
        <v>0</v>
      </c>
      <c r="D887">
        <v>0</v>
      </c>
    </row>
    <row r="888" spans="1:4" x14ac:dyDescent="0.3">
      <c r="A888" t="s">
        <v>7</v>
      </c>
      <c r="B888" s="1">
        <v>45297.916666666664</v>
      </c>
      <c r="C888">
        <v>0</v>
      </c>
      <c r="D888">
        <v>0</v>
      </c>
    </row>
    <row r="889" spans="1:4" x14ac:dyDescent="0.3">
      <c r="A889" t="s">
        <v>7</v>
      </c>
      <c r="B889" s="1">
        <v>45297.958333333336</v>
      </c>
      <c r="C889">
        <v>0</v>
      </c>
      <c r="D889">
        <v>0</v>
      </c>
    </row>
    <row r="890" spans="1:4" x14ac:dyDescent="0.3">
      <c r="A890" t="s">
        <v>7</v>
      </c>
      <c r="B890" s="1">
        <v>45298</v>
      </c>
      <c r="C890">
        <v>0</v>
      </c>
      <c r="D890">
        <v>0</v>
      </c>
    </row>
    <row r="891" spans="1:4" x14ac:dyDescent="0.3">
      <c r="A891" t="s">
        <v>7</v>
      </c>
      <c r="B891" s="1">
        <v>45298.041666666664</v>
      </c>
      <c r="C891">
        <v>0</v>
      </c>
      <c r="D891">
        <v>0</v>
      </c>
    </row>
    <row r="892" spans="1:4" x14ac:dyDescent="0.3">
      <c r="A892" t="s">
        <v>7</v>
      </c>
      <c r="B892" s="1">
        <v>45298.083333333336</v>
      </c>
      <c r="C892">
        <v>0</v>
      </c>
      <c r="D892">
        <v>0</v>
      </c>
    </row>
    <row r="893" spans="1:4" x14ac:dyDescent="0.3">
      <c r="A893" t="s">
        <v>7</v>
      </c>
      <c r="B893" s="1">
        <v>45298.125</v>
      </c>
      <c r="C893">
        <v>0</v>
      </c>
      <c r="D893">
        <v>0</v>
      </c>
    </row>
    <row r="894" spans="1:4" x14ac:dyDescent="0.3">
      <c r="A894" t="s">
        <v>7</v>
      </c>
      <c r="B894" s="1">
        <v>45298.166666666664</v>
      </c>
      <c r="C894">
        <v>0</v>
      </c>
      <c r="D894">
        <v>0</v>
      </c>
    </row>
    <row r="895" spans="1:4" x14ac:dyDescent="0.3">
      <c r="A895" t="s">
        <v>7</v>
      </c>
      <c r="B895" s="1">
        <v>45298.208333333336</v>
      </c>
      <c r="C895">
        <v>0</v>
      </c>
      <c r="D895">
        <v>0</v>
      </c>
    </row>
    <row r="896" spans="1:4" x14ac:dyDescent="0.3">
      <c r="A896" t="s">
        <v>7</v>
      </c>
      <c r="B896" s="1">
        <v>45298.25</v>
      </c>
      <c r="C896">
        <v>0</v>
      </c>
      <c r="D896">
        <v>0</v>
      </c>
    </row>
    <row r="897" spans="1:4" x14ac:dyDescent="0.3">
      <c r="A897" t="s">
        <v>7</v>
      </c>
      <c r="B897" s="1">
        <v>45298.291666666664</v>
      </c>
      <c r="C897">
        <v>155.291427061512</v>
      </c>
      <c r="D897">
        <v>207.05523608201599</v>
      </c>
    </row>
    <row r="898" spans="1:4" x14ac:dyDescent="0.3">
      <c r="A898" t="s">
        <v>7</v>
      </c>
      <c r="B898" s="1">
        <v>45298.333333333336</v>
      </c>
      <c r="C898">
        <v>300</v>
      </c>
      <c r="D898">
        <v>399.99999999999898</v>
      </c>
    </row>
    <row r="899" spans="1:4" x14ac:dyDescent="0.3">
      <c r="A899" t="s">
        <v>7</v>
      </c>
      <c r="B899" s="1">
        <v>45298.375</v>
      </c>
      <c r="C899">
        <v>424.26406871192802</v>
      </c>
      <c r="D899">
        <v>565.68542494923804</v>
      </c>
    </row>
    <row r="900" spans="1:4" x14ac:dyDescent="0.3">
      <c r="A900" t="s">
        <v>7</v>
      </c>
      <c r="B900" s="1">
        <v>45298.416666666664</v>
      </c>
      <c r="C900">
        <v>519.61524227066297</v>
      </c>
      <c r="D900">
        <v>692.82032302754999</v>
      </c>
    </row>
    <row r="901" spans="1:4" x14ac:dyDescent="0.3">
      <c r="A901" t="s">
        <v>7</v>
      </c>
      <c r="B901" s="1">
        <v>45298.458333333336</v>
      </c>
      <c r="C901">
        <v>579.55549577344095</v>
      </c>
      <c r="D901">
        <v>772.74066103125404</v>
      </c>
    </row>
    <row r="902" spans="1:4" x14ac:dyDescent="0.3">
      <c r="A902" t="s">
        <v>7</v>
      </c>
      <c r="B902" s="1">
        <v>45298.5</v>
      </c>
      <c r="C902">
        <v>600</v>
      </c>
      <c r="D902">
        <v>800</v>
      </c>
    </row>
    <row r="903" spans="1:4" x14ac:dyDescent="0.3">
      <c r="A903" t="s">
        <v>7</v>
      </c>
      <c r="B903" s="1">
        <v>45298.541666666664</v>
      </c>
      <c r="C903">
        <v>579.55549577344095</v>
      </c>
      <c r="D903">
        <v>772.74066103125404</v>
      </c>
    </row>
    <row r="904" spans="1:4" x14ac:dyDescent="0.3">
      <c r="A904" t="s">
        <v>7</v>
      </c>
      <c r="B904" s="1">
        <v>45298.583333333336</v>
      </c>
      <c r="C904">
        <v>519.61524227066297</v>
      </c>
      <c r="D904">
        <v>692.82032302755101</v>
      </c>
    </row>
    <row r="905" spans="1:4" x14ac:dyDescent="0.3">
      <c r="A905" t="s">
        <v>7</v>
      </c>
      <c r="B905" s="1">
        <v>45298.625</v>
      </c>
      <c r="C905">
        <v>424.26406871192802</v>
      </c>
      <c r="D905">
        <v>565.68542494923804</v>
      </c>
    </row>
    <row r="906" spans="1:4" x14ac:dyDescent="0.3">
      <c r="A906" t="s">
        <v>7</v>
      </c>
      <c r="B906" s="1">
        <v>45298.666666666664</v>
      </c>
      <c r="C906">
        <v>300</v>
      </c>
      <c r="D906">
        <v>399.99999999999898</v>
      </c>
    </row>
    <row r="907" spans="1:4" x14ac:dyDescent="0.3">
      <c r="A907" t="s">
        <v>7</v>
      </c>
      <c r="B907" s="1">
        <v>45298.708333333336</v>
      </c>
      <c r="C907">
        <v>155.291427061512</v>
      </c>
      <c r="D907">
        <v>207.05523608201599</v>
      </c>
    </row>
    <row r="908" spans="1:4" x14ac:dyDescent="0.3">
      <c r="A908" t="s">
        <v>7</v>
      </c>
      <c r="B908" s="1">
        <v>45298.75</v>
      </c>
      <c r="C908" s="2">
        <v>7.3478807948841102E-14</v>
      </c>
      <c r="D908" s="2">
        <v>9.7971743931788194E-14</v>
      </c>
    </row>
    <row r="909" spans="1:4" x14ac:dyDescent="0.3">
      <c r="A909" t="s">
        <v>7</v>
      </c>
      <c r="B909" s="1">
        <v>45298.791666666664</v>
      </c>
      <c r="C909">
        <v>0</v>
      </c>
      <c r="D909">
        <v>0</v>
      </c>
    </row>
    <row r="910" spans="1:4" x14ac:dyDescent="0.3">
      <c r="A910" t="s">
        <v>7</v>
      </c>
      <c r="B910" s="1">
        <v>45298.833333333336</v>
      </c>
      <c r="C910">
        <v>0</v>
      </c>
      <c r="D910">
        <v>0</v>
      </c>
    </row>
    <row r="911" spans="1:4" x14ac:dyDescent="0.3">
      <c r="A911" t="s">
        <v>7</v>
      </c>
      <c r="B911" s="1">
        <v>45298.875</v>
      </c>
      <c r="C911">
        <v>0</v>
      </c>
      <c r="D911">
        <v>0</v>
      </c>
    </row>
    <row r="912" spans="1:4" x14ac:dyDescent="0.3">
      <c r="A912" t="s">
        <v>7</v>
      </c>
      <c r="B912" s="1">
        <v>45298.916666666664</v>
      </c>
      <c r="C912">
        <v>0</v>
      </c>
      <c r="D912">
        <v>0</v>
      </c>
    </row>
    <row r="913" spans="1:4" x14ac:dyDescent="0.3">
      <c r="A913" t="s">
        <v>7</v>
      </c>
      <c r="B913" s="1">
        <v>45298.958333333336</v>
      </c>
      <c r="C913">
        <v>0</v>
      </c>
      <c r="D913">
        <v>0</v>
      </c>
    </row>
    <row r="914" spans="1:4" x14ac:dyDescent="0.3">
      <c r="A914" t="s">
        <v>7</v>
      </c>
      <c r="B914" s="1">
        <v>45299</v>
      </c>
      <c r="C914">
        <v>0</v>
      </c>
      <c r="D914">
        <v>0</v>
      </c>
    </row>
    <row r="915" spans="1:4" x14ac:dyDescent="0.3">
      <c r="A915" t="s">
        <v>7</v>
      </c>
      <c r="B915" s="1">
        <v>45299.041666666664</v>
      </c>
      <c r="C915">
        <v>0</v>
      </c>
      <c r="D915">
        <v>0</v>
      </c>
    </row>
    <row r="916" spans="1:4" x14ac:dyDescent="0.3">
      <c r="A916" t="s">
        <v>7</v>
      </c>
      <c r="B916" s="1">
        <v>45299.083333333336</v>
      </c>
      <c r="C916">
        <v>0</v>
      </c>
      <c r="D916">
        <v>0</v>
      </c>
    </row>
    <row r="917" spans="1:4" x14ac:dyDescent="0.3">
      <c r="A917" t="s">
        <v>7</v>
      </c>
      <c r="B917" s="1">
        <v>45299.125</v>
      </c>
      <c r="C917">
        <v>0</v>
      </c>
      <c r="D917">
        <v>0</v>
      </c>
    </row>
    <row r="918" spans="1:4" x14ac:dyDescent="0.3">
      <c r="A918" t="s">
        <v>7</v>
      </c>
      <c r="B918" s="1">
        <v>45299.166666666664</v>
      </c>
      <c r="C918">
        <v>0</v>
      </c>
      <c r="D918">
        <v>0</v>
      </c>
    </row>
    <row r="919" spans="1:4" x14ac:dyDescent="0.3">
      <c r="A919" t="s">
        <v>7</v>
      </c>
      <c r="B919" s="1">
        <v>45299.208333333336</v>
      </c>
      <c r="C919">
        <v>0</v>
      </c>
      <c r="D919">
        <v>0</v>
      </c>
    </row>
    <row r="920" spans="1:4" x14ac:dyDescent="0.3">
      <c r="A920" t="s">
        <v>7</v>
      </c>
      <c r="B920" s="1">
        <v>45299.25</v>
      </c>
      <c r="C920">
        <v>0</v>
      </c>
      <c r="D920">
        <v>0</v>
      </c>
    </row>
    <row r="921" spans="1:4" x14ac:dyDescent="0.3">
      <c r="A921" t="s">
        <v>7</v>
      </c>
      <c r="B921" s="1">
        <v>45299.291666666664</v>
      </c>
      <c r="C921">
        <v>155.291427061512</v>
      </c>
      <c r="D921">
        <v>207.05523608201599</v>
      </c>
    </row>
    <row r="922" spans="1:4" x14ac:dyDescent="0.3">
      <c r="A922" t="s">
        <v>7</v>
      </c>
      <c r="B922" s="1">
        <v>45299.333333333336</v>
      </c>
      <c r="C922">
        <v>300</v>
      </c>
      <c r="D922">
        <v>399.99999999999898</v>
      </c>
    </row>
    <row r="923" spans="1:4" x14ac:dyDescent="0.3">
      <c r="A923" t="s">
        <v>7</v>
      </c>
      <c r="B923" s="1">
        <v>45299.375</v>
      </c>
      <c r="C923">
        <v>424.26406871192802</v>
      </c>
      <c r="D923">
        <v>565.68542494923804</v>
      </c>
    </row>
    <row r="924" spans="1:4" x14ac:dyDescent="0.3">
      <c r="A924" t="s">
        <v>7</v>
      </c>
      <c r="B924" s="1">
        <v>45299.416666666664</v>
      </c>
      <c r="C924">
        <v>519.61524227066297</v>
      </c>
      <c r="D924">
        <v>692.82032302754999</v>
      </c>
    </row>
    <row r="925" spans="1:4" x14ac:dyDescent="0.3">
      <c r="A925" t="s">
        <v>7</v>
      </c>
      <c r="B925" s="1">
        <v>45299.458333333336</v>
      </c>
      <c r="C925">
        <v>579.55549577344095</v>
      </c>
      <c r="D925">
        <v>772.74066103125404</v>
      </c>
    </row>
    <row r="926" spans="1:4" x14ac:dyDescent="0.3">
      <c r="A926" t="s">
        <v>7</v>
      </c>
      <c r="B926" s="1">
        <v>45299.5</v>
      </c>
      <c r="C926">
        <v>600</v>
      </c>
      <c r="D926">
        <v>800</v>
      </c>
    </row>
    <row r="927" spans="1:4" x14ac:dyDescent="0.3">
      <c r="A927" t="s">
        <v>7</v>
      </c>
      <c r="B927" s="1">
        <v>45299.541666666664</v>
      </c>
      <c r="C927">
        <v>579.55549577344095</v>
      </c>
      <c r="D927">
        <v>772.74066103125404</v>
      </c>
    </row>
    <row r="928" spans="1:4" x14ac:dyDescent="0.3">
      <c r="A928" t="s">
        <v>7</v>
      </c>
      <c r="B928" s="1">
        <v>45299.583333333336</v>
      </c>
      <c r="C928">
        <v>519.61524227066297</v>
      </c>
      <c r="D928">
        <v>692.82032302755101</v>
      </c>
    </row>
    <row r="929" spans="1:4" x14ac:dyDescent="0.3">
      <c r="A929" t="s">
        <v>7</v>
      </c>
      <c r="B929" s="1">
        <v>45299.625</v>
      </c>
      <c r="C929">
        <v>424.26406871192802</v>
      </c>
      <c r="D929">
        <v>565.68542494923804</v>
      </c>
    </row>
    <row r="930" spans="1:4" x14ac:dyDescent="0.3">
      <c r="A930" t="s">
        <v>7</v>
      </c>
      <c r="B930" s="1">
        <v>45299.666666666664</v>
      </c>
      <c r="C930">
        <v>300</v>
      </c>
      <c r="D930">
        <v>399.99999999999898</v>
      </c>
    </row>
    <row r="931" spans="1:4" x14ac:dyDescent="0.3">
      <c r="A931" t="s">
        <v>7</v>
      </c>
      <c r="B931" s="1">
        <v>45299.708333333336</v>
      </c>
      <c r="C931">
        <v>155.291427061512</v>
      </c>
      <c r="D931">
        <v>207.05523608201599</v>
      </c>
    </row>
    <row r="932" spans="1:4" x14ac:dyDescent="0.3">
      <c r="A932" t="s">
        <v>7</v>
      </c>
      <c r="B932" s="1">
        <v>45299.75</v>
      </c>
      <c r="C932" s="2">
        <v>7.3478807948841102E-14</v>
      </c>
      <c r="D932" s="2">
        <v>9.7971743931788194E-14</v>
      </c>
    </row>
    <row r="933" spans="1:4" x14ac:dyDescent="0.3">
      <c r="A933" t="s">
        <v>7</v>
      </c>
      <c r="B933" s="1">
        <v>45299.791666666664</v>
      </c>
      <c r="C933">
        <v>0</v>
      </c>
      <c r="D933">
        <v>0</v>
      </c>
    </row>
    <row r="934" spans="1:4" x14ac:dyDescent="0.3">
      <c r="A934" t="s">
        <v>7</v>
      </c>
      <c r="B934" s="1">
        <v>45299.833333333336</v>
      </c>
      <c r="C934">
        <v>0</v>
      </c>
      <c r="D934">
        <v>0</v>
      </c>
    </row>
    <row r="935" spans="1:4" x14ac:dyDescent="0.3">
      <c r="A935" t="s">
        <v>7</v>
      </c>
      <c r="B935" s="1">
        <v>45299.875</v>
      </c>
      <c r="C935">
        <v>0</v>
      </c>
      <c r="D935">
        <v>0</v>
      </c>
    </row>
    <row r="936" spans="1:4" x14ac:dyDescent="0.3">
      <c r="A936" t="s">
        <v>7</v>
      </c>
      <c r="B936" s="1">
        <v>45299.916666666664</v>
      </c>
      <c r="C936">
        <v>0</v>
      </c>
      <c r="D936">
        <v>0</v>
      </c>
    </row>
    <row r="937" spans="1:4" x14ac:dyDescent="0.3">
      <c r="A937" t="s">
        <v>7</v>
      </c>
      <c r="B937" s="1">
        <v>45299.958333333336</v>
      </c>
      <c r="C937">
        <v>0</v>
      </c>
      <c r="D937">
        <v>0</v>
      </c>
    </row>
    <row r="938" spans="1:4" x14ac:dyDescent="0.3">
      <c r="A938" t="s">
        <v>7</v>
      </c>
      <c r="B938" s="1">
        <v>45300</v>
      </c>
      <c r="C938">
        <v>0</v>
      </c>
      <c r="D938">
        <v>0</v>
      </c>
    </row>
    <row r="939" spans="1:4" x14ac:dyDescent="0.3">
      <c r="A939" t="s">
        <v>7</v>
      </c>
      <c r="B939" s="1">
        <v>45300.041666666664</v>
      </c>
      <c r="C939">
        <v>0</v>
      </c>
      <c r="D939">
        <v>0</v>
      </c>
    </row>
    <row r="940" spans="1:4" x14ac:dyDescent="0.3">
      <c r="A940" t="s">
        <v>7</v>
      </c>
      <c r="B940" s="1">
        <v>45300.083333333336</v>
      </c>
      <c r="C940">
        <v>0</v>
      </c>
      <c r="D940">
        <v>0</v>
      </c>
    </row>
    <row r="941" spans="1:4" x14ac:dyDescent="0.3">
      <c r="A941" t="s">
        <v>7</v>
      </c>
      <c r="B941" s="1">
        <v>45300.125</v>
      </c>
      <c r="C941">
        <v>0</v>
      </c>
      <c r="D941">
        <v>0</v>
      </c>
    </row>
    <row r="942" spans="1:4" x14ac:dyDescent="0.3">
      <c r="A942" t="s">
        <v>7</v>
      </c>
      <c r="B942" s="1">
        <v>45300.166666666664</v>
      </c>
      <c r="C942">
        <v>0</v>
      </c>
      <c r="D942">
        <v>0</v>
      </c>
    </row>
    <row r="943" spans="1:4" x14ac:dyDescent="0.3">
      <c r="A943" t="s">
        <v>7</v>
      </c>
      <c r="B943" s="1">
        <v>45300.208333333336</v>
      </c>
      <c r="C943">
        <v>0</v>
      </c>
      <c r="D943">
        <v>0</v>
      </c>
    </row>
    <row r="944" spans="1:4" x14ac:dyDescent="0.3">
      <c r="A944" t="s">
        <v>7</v>
      </c>
      <c r="B944" s="1">
        <v>45300.25</v>
      </c>
      <c r="C944">
        <v>0</v>
      </c>
      <c r="D944">
        <v>0</v>
      </c>
    </row>
    <row r="945" spans="1:4" x14ac:dyDescent="0.3">
      <c r="A945" t="s">
        <v>7</v>
      </c>
      <c r="B945" s="1">
        <v>45300.291666666664</v>
      </c>
      <c r="C945">
        <v>155.291427061512</v>
      </c>
      <c r="D945">
        <v>207.05523608201599</v>
      </c>
    </row>
    <row r="946" spans="1:4" x14ac:dyDescent="0.3">
      <c r="A946" t="s">
        <v>7</v>
      </c>
      <c r="B946" s="1">
        <v>45300.333333333336</v>
      </c>
      <c r="C946">
        <v>300</v>
      </c>
      <c r="D946">
        <v>399.99999999999898</v>
      </c>
    </row>
    <row r="947" spans="1:4" x14ac:dyDescent="0.3">
      <c r="A947" t="s">
        <v>7</v>
      </c>
      <c r="B947" s="1">
        <v>45300.375</v>
      </c>
      <c r="C947">
        <v>424.26406871192802</v>
      </c>
      <c r="D947">
        <v>565.68542494923804</v>
      </c>
    </row>
    <row r="948" spans="1:4" x14ac:dyDescent="0.3">
      <c r="A948" t="s">
        <v>7</v>
      </c>
      <c r="B948" s="1">
        <v>45300.416666666664</v>
      </c>
      <c r="C948">
        <v>519.61524227066297</v>
      </c>
      <c r="D948">
        <v>692.82032302754999</v>
      </c>
    </row>
    <row r="949" spans="1:4" x14ac:dyDescent="0.3">
      <c r="A949" t="s">
        <v>7</v>
      </c>
      <c r="B949" s="1">
        <v>45300.458333333336</v>
      </c>
      <c r="C949">
        <v>579.55549577344095</v>
      </c>
      <c r="D949">
        <v>772.74066103125404</v>
      </c>
    </row>
    <row r="950" spans="1:4" x14ac:dyDescent="0.3">
      <c r="A950" t="s">
        <v>7</v>
      </c>
      <c r="B950" s="1">
        <v>45300.5</v>
      </c>
      <c r="C950">
        <v>600</v>
      </c>
      <c r="D950">
        <v>800</v>
      </c>
    </row>
    <row r="951" spans="1:4" x14ac:dyDescent="0.3">
      <c r="A951" t="s">
        <v>7</v>
      </c>
      <c r="B951" s="1">
        <v>45300.541666666664</v>
      </c>
      <c r="C951">
        <v>579.55549577344095</v>
      </c>
      <c r="D951">
        <v>772.74066103125404</v>
      </c>
    </row>
    <row r="952" spans="1:4" x14ac:dyDescent="0.3">
      <c r="A952" t="s">
        <v>7</v>
      </c>
      <c r="B952" s="1">
        <v>45300.583333333336</v>
      </c>
      <c r="C952">
        <v>519.61524227066297</v>
      </c>
      <c r="D952">
        <v>692.82032302755101</v>
      </c>
    </row>
    <row r="953" spans="1:4" x14ac:dyDescent="0.3">
      <c r="A953" t="s">
        <v>7</v>
      </c>
      <c r="B953" s="1">
        <v>45300.625</v>
      </c>
      <c r="C953">
        <v>424.26406871192802</v>
      </c>
      <c r="D953">
        <v>565.68542494923804</v>
      </c>
    </row>
    <row r="954" spans="1:4" x14ac:dyDescent="0.3">
      <c r="A954" t="s">
        <v>7</v>
      </c>
      <c r="B954" s="1">
        <v>45300.666666666664</v>
      </c>
      <c r="C954">
        <v>300</v>
      </c>
      <c r="D954">
        <v>399.99999999999898</v>
      </c>
    </row>
    <row r="955" spans="1:4" x14ac:dyDescent="0.3">
      <c r="A955" t="s">
        <v>7</v>
      </c>
      <c r="B955" s="1">
        <v>45300.708333333336</v>
      </c>
      <c r="C955">
        <v>155.291427061512</v>
      </c>
      <c r="D955">
        <v>207.05523608201599</v>
      </c>
    </row>
    <row r="956" spans="1:4" x14ac:dyDescent="0.3">
      <c r="A956" t="s">
        <v>7</v>
      </c>
      <c r="B956" s="1">
        <v>45300.75</v>
      </c>
      <c r="C956" s="2">
        <v>7.3478807948841102E-14</v>
      </c>
      <c r="D956" s="2">
        <v>9.7971743931788194E-14</v>
      </c>
    </row>
    <row r="957" spans="1:4" x14ac:dyDescent="0.3">
      <c r="A957" t="s">
        <v>7</v>
      </c>
      <c r="B957" s="1">
        <v>45300.791666666664</v>
      </c>
      <c r="C957">
        <v>0</v>
      </c>
      <c r="D957">
        <v>0</v>
      </c>
    </row>
    <row r="958" spans="1:4" x14ac:dyDescent="0.3">
      <c r="A958" t="s">
        <v>7</v>
      </c>
      <c r="B958" s="1">
        <v>45300.833333333336</v>
      </c>
      <c r="C958">
        <v>0</v>
      </c>
      <c r="D958">
        <v>0</v>
      </c>
    </row>
    <row r="959" spans="1:4" x14ac:dyDescent="0.3">
      <c r="A959" t="s">
        <v>7</v>
      </c>
      <c r="B959" s="1">
        <v>45300.875</v>
      </c>
      <c r="C959">
        <v>0</v>
      </c>
      <c r="D959">
        <v>0</v>
      </c>
    </row>
    <row r="960" spans="1:4" x14ac:dyDescent="0.3">
      <c r="A960" t="s">
        <v>7</v>
      </c>
      <c r="B960" s="1">
        <v>45300.916666666664</v>
      </c>
      <c r="C960">
        <v>0</v>
      </c>
      <c r="D960">
        <v>0</v>
      </c>
    </row>
    <row r="961" spans="1:4" x14ac:dyDescent="0.3">
      <c r="A961" t="s">
        <v>7</v>
      </c>
      <c r="B961" s="1">
        <v>45300.958333333336</v>
      </c>
      <c r="C961">
        <v>0</v>
      </c>
      <c r="D961">
        <v>0</v>
      </c>
    </row>
    <row r="962" spans="1:4" x14ac:dyDescent="0.3">
      <c r="A962" t="s">
        <v>7</v>
      </c>
      <c r="B962" s="1">
        <v>45301</v>
      </c>
      <c r="C962">
        <v>0</v>
      </c>
      <c r="D962">
        <v>0</v>
      </c>
    </row>
    <row r="963" spans="1:4" x14ac:dyDescent="0.3">
      <c r="A963" t="s">
        <v>7</v>
      </c>
      <c r="B963" s="1">
        <v>45301.041666666664</v>
      </c>
      <c r="C963">
        <v>0</v>
      </c>
      <c r="D963">
        <v>0</v>
      </c>
    </row>
    <row r="964" spans="1:4" x14ac:dyDescent="0.3">
      <c r="A964" t="s">
        <v>7</v>
      </c>
      <c r="B964" s="1">
        <v>45301.083333333336</v>
      </c>
      <c r="C964">
        <v>0</v>
      </c>
      <c r="D964">
        <v>0</v>
      </c>
    </row>
    <row r="965" spans="1:4" x14ac:dyDescent="0.3">
      <c r="A965" t="s">
        <v>7</v>
      </c>
      <c r="B965" s="1">
        <v>45301.125</v>
      </c>
      <c r="C965">
        <v>0</v>
      </c>
      <c r="D965">
        <v>0</v>
      </c>
    </row>
    <row r="966" spans="1:4" x14ac:dyDescent="0.3">
      <c r="A966" t="s">
        <v>7</v>
      </c>
      <c r="B966" s="1">
        <v>45301.166666666664</v>
      </c>
      <c r="C966">
        <v>0</v>
      </c>
      <c r="D966">
        <v>0</v>
      </c>
    </row>
    <row r="967" spans="1:4" x14ac:dyDescent="0.3">
      <c r="A967" t="s">
        <v>7</v>
      </c>
      <c r="B967" s="1">
        <v>45301.208333333336</v>
      </c>
      <c r="C967">
        <v>0</v>
      </c>
      <c r="D967">
        <v>0</v>
      </c>
    </row>
    <row r="968" spans="1:4" x14ac:dyDescent="0.3">
      <c r="A968" t="s">
        <v>7</v>
      </c>
      <c r="B968" s="1">
        <v>45301.25</v>
      </c>
      <c r="C968">
        <v>0</v>
      </c>
      <c r="D968">
        <v>0</v>
      </c>
    </row>
    <row r="969" spans="1:4" x14ac:dyDescent="0.3">
      <c r="A969" t="s">
        <v>7</v>
      </c>
      <c r="B969" s="1">
        <v>45301.291666666664</v>
      </c>
      <c r="C969">
        <v>155.291427061512</v>
      </c>
      <c r="D969">
        <v>207.05523608201599</v>
      </c>
    </row>
    <row r="970" spans="1:4" x14ac:dyDescent="0.3">
      <c r="A970" t="s">
        <v>7</v>
      </c>
      <c r="B970" s="1">
        <v>45301.333333333336</v>
      </c>
      <c r="C970">
        <v>300</v>
      </c>
      <c r="D970">
        <v>399.99999999999898</v>
      </c>
    </row>
    <row r="971" spans="1:4" x14ac:dyDescent="0.3">
      <c r="A971" t="s">
        <v>7</v>
      </c>
      <c r="B971" s="1">
        <v>45301.375</v>
      </c>
      <c r="C971">
        <v>424.26406871192802</v>
      </c>
      <c r="D971">
        <v>565.68542494923804</v>
      </c>
    </row>
    <row r="972" spans="1:4" x14ac:dyDescent="0.3">
      <c r="A972" t="s">
        <v>7</v>
      </c>
      <c r="B972" s="1">
        <v>45301.416666666664</v>
      </c>
      <c r="C972">
        <v>519.61524227066297</v>
      </c>
      <c r="D972">
        <v>692.82032302754999</v>
      </c>
    </row>
    <row r="973" spans="1:4" x14ac:dyDescent="0.3">
      <c r="A973" t="s">
        <v>7</v>
      </c>
      <c r="B973" s="1">
        <v>45301.458333333336</v>
      </c>
      <c r="C973">
        <v>579.55549577344095</v>
      </c>
      <c r="D973">
        <v>772.74066103125404</v>
      </c>
    </row>
    <row r="974" spans="1:4" x14ac:dyDescent="0.3">
      <c r="A974" t="s">
        <v>7</v>
      </c>
      <c r="B974" s="1">
        <v>45301.5</v>
      </c>
      <c r="C974">
        <v>600</v>
      </c>
      <c r="D974">
        <v>800</v>
      </c>
    </row>
    <row r="975" spans="1:4" x14ac:dyDescent="0.3">
      <c r="A975" t="s">
        <v>7</v>
      </c>
      <c r="B975" s="1">
        <v>45301.541666666664</v>
      </c>
      <c r="C975">
        <v>579.55549577344095</v>
      </c>
      <c r="D975">
        <v>772.74066103125404</v>
      </c>
    </row>
    <row r="976" spans="1:4" x14ac:dyDescent="0.3">
      <c r="A976" t="s">
        <v>7</v>
      </c>
      <c r="B976" s="1">
        <v>45301.583333333336</v>
      </c>
      <c r="C976">
        <v>519.61524227066297</v>
      </c>
      <c r="D976">
        <v>692.82032302755101</v>
      </c>
    </row>
    <row r="977" spans="1:4" x14ac:dyDescent="0.3">
      <c r="A977" t="s">
        <v>7</v>
      </c>
      <c r="B977" s="1">
        <v>45301.625</v>
      </c>
      <c r="C977">
        <v>424.26406871192802</v>
      </c>
      <c r="D977">
        <v>565.68542494923804</v>
      </c>
    </row>
    <row r="978" spans="1:4" x14ac:dyDescent="0.3">
      <c r="A978" t="s">
        <v>7</v>
      </c>
      <c r="B978" s="1">
        <v>45301.666666666664</v>
      </c>
      <c r="C978">
        <v>300</v>
      </c>
      <c r="D978">
        <v>399.99999999999898</v>
      </c>
    </row>
    <row r="979" spans="1:4" x14ac:dyDescent="0.3">
      <c r="A979" t="s">
        <v>7</v>
      </c>
      <c r="B979" s="1">
        <v>45301.708333333336</v>
      </c>
      <c r="C979">
        <v>155.291427061512</v>
      </c>
      <c r="D979">
        <v>207.05523608201599</v>
      </c>
    </row>
    <row r="980" spans="1:4" x14ac:dyDescent="0.3">
      <c r="A980" t="s">
        <v>7</v>
      </c>
      <c r="B980" s="1">
        <v>45301.75</v>
      </c>
      <c r="C980" s="2">
        <v>7.3478807948841102E-14</v>
      </c>
      <c r="D980" s="2">
        <v>9.7971743931788194E-14</v>
      </c>
    </row>
    <row r="981" spans="1:4" x14ac:dyDescent="0.3">
      <c r="A981" t="s">
        <v>7</v>
      </c>
      <c r="B981" s="1">
        <v>45301.791666666664</v>
      </c>
      <c r="C981">
        <v>0</v>
      </c>
      <c r="D981">
        <v>0</v>
      </c>
    </row>
    <row r="982" spans="1:4" x14ac:dyDescent="0.3">
      <c r="A982" t="s">
        <v>7</v>
      </c>
      <c r="B982" s="1">
        <v>45301.833333333336</v>
      </c>
      <c r="C982">
        <v>0</v>
      </c>
      <c r="D982">
        <v>0</v>
      </c>
    </row>
    <row r="983" spans="1:4" x14ac:dyDescent="0.3">
      <c r="A983" t="s">
        <v>7</v>
      </c>
      <c r="B983" s="1">
        <v>45301.875</v>
      </c>
      <c r="C983">
        <v>0</v>
      </c>
      <c r="D983">
        <v>0</v>
      </c>
    </row>
    <row r="984" spans="1:4" x14ac:dyDescent="0.3">
      <c r="A984" t="s">
        <v>7</v>
      </c>
      <c r="B984" s="1">
        <v>45301.916666666664</v>
      </c>
      <c r="C984">
        <v>0</v>
      </c>
      <c r="D984">
        <v>0</v>
      </c>
    </row>
    <row r="985" spans="1:4" x14ac:dyDescent="0.3">
      <c r="A985" t="s">
        <v>7</v>
      </c>
      <c r="B985" s="1">
        <v>45301.958333333336</v>
      </c>
      <c r="C985">
        <v>0</v>
      </c>
      <c r="D985">
        <v>0</v>
      </c>
    </row>
    <row r="986" spans="1:4" x14ac:dyDescent="0.3">
      <c r="A986" t="s">
        <v>7</v>
      </c>
      <c r="B986" s="1">
        <v>45302</v>
      </c>
      <c r="C986">
        <v>0</v>
      </c>
      <c r="D986">
        <v>0</v>
      </c>
    </row>
    <row r="987" spans="1:4" x14ac:dyDescent="0.3">
      <c r="A987" t="s">
        <v>7</v>
      </c>
      <c r="B987" s="1">
        <v>45302.041666666664</v>
      </c>
      <c r="C987">
        <v>0</v>
      </c>
      <c r="D987">
        <v>0</v>
      </c>
    </row>
    <row r="988" spans="1:4" x14ac:dyDescent="0.3">
      <c r="A988" t="s">
        <v>7</v>
      </c>
      <c r="B988" s="1">
        <v>45302.083333333336</v>
      </c>
      <c r="C988">
        <v>0</v>
      </c>
      <c r="D988">
        <v>0</v>
      </c>
    </row>
    <row r="989" spans="1:4" x14ac:dyDescent="0.3">
      <c r="A989" t="s">
        <v>7</v>
      </c>
      <c r="B989" s="1">
        <v>45302.125</v>
      </c>
      <c r="C989">
        <v>0</v>
      </c>
      <c r="D989">
        <v>0</v>
      </c>
    </row>
    <row r="990" spans="1:4" x14ac:dyDescent="0.3">
      <c r="A990" t="s">
        <v>7</v>
      </c>
      <c r="B990" s="1">
        <v>45302.166666666664</v>
      </c>
      <c r="C990">
        <v>0</v>
      </c>
      <c r="D990">
        <v>0</v>
      </c>
    </row>
    <row r="991" spans="1:4" x14ac:dyDescent="0.3">
      <c r="A991" t="s">
        <v>7</v>
      </c>
      <c r="B991" s="1">
        <v>45302.208333333336</v>
      </c>
      <c r="C991">
        <v>0</v>
      </c>
      <c r="D991">
        <v>0</v>
      </c>
    </row>
    <row r="992" spans="1:4" x14ac:dyDescent="0.3">
      <c r="A992" t="s">
        <v>7</v>
      </c>
      <c r="B992" s="1">
        <v>45302.25</v>
      </c>
      <c r="C992">
        <v>0</v>
      </c>
      <c r="D992">
        <v>0</v>
      </c>
    </row>
    <row r="993" spans="1:4" x14ac:dyDescent="0.3">
      <c r="A993" t="s">
        <v>7</v>
      </c>
      <c r="B993" s="1">
        <v>45302.291666666664</v>
      </c>
      <c r="C993">
        <v>155.291427061512</v>
      </c>
      <c r="D993">
        <v>207.05523608201599</v>
      </c>
    </row>
    <row r="994" spans="1:4" x14ac:dyDescent="0.3">
      <c r="A994" t="s">
        <v>7</v>
      </c>
      <c r="B994" s="1">
        <v>45302.333333333336</v>
      </c>
      <c r="C994">
        <v>300</v>
      </c>
      <c r="D994">
        <v>399.99999999999898</v>
      </c>
    </row>
    <row r="995" spans="1:4" x14ac:dyDescent="0.3">
      <c r="A995" t="s">
        <v>7</v>
      </c>
      <c r="B995" s="1">
        <v>45302.375</v>
      </c>
      <c r="C995">
        <v>424.26406871192802</v>
      </c>
      <c r="D995">
        <v>565.68542494923804</v>
      </c>
    </row>
    <row r="996" spans="1:4" x14ac:dyDescent="0.3">
      <c r="A996" t="s">
        <v>7</v>
      </c>
      <c r="B996" s="1">
        <v>45302.416666666664</v>
      </c>
      <c r="C996">
        <v>519.61524227066297</v>
      </c>
      <c r="D996">
        <v>692.82032302754999</v>
      </c>
    </row>
    <row r="997" spans="1:4" x14ac:dyDescent="0.3">
      <c r="A997" t="s">
        <v>7</v>
      </c>
      <c r="B997" s="1">
        <v>45302.458333333336</v>
      </c>
      <c r="C997">
        <v>579.55549577344095</v>
      </c>
      <c r="D997">
        <v>772.74066103125404</v>
      </c>
    </row>
    <row r="998" spans="1:4" x14ac:dyDescent="0.3">
      <c r="A998" t="s">
        <v>7</v>
      </c>
      <c r="B998" s="1">
        <v>45302.5</v>
      </c>
      <c r="C998">
        <v>600</v>
      </c>
      <c r="D998">
        <v>800</v>
      </c>
    </row>
    <row r="999" spans="1:4" x14ac:dyDescent="0.3">
      <c r="A999" t="s">
        <v>7</v>
      </c>
      <c r="B999" s="1">
        <v>45302.541666666664</v>
      </c>
      <c r="C999">
        <v>579.55549577344095</v>
      </c>
      <c r="D999">
        <v>772.74066103125404</v>
      </c>
    </row>
    <row r="1000" spans="1:4" x14ac:dyDescent="0.3">
      <c r="A1000" t="s">
        <v>7</v>
      </c>
      <c r="B1000" s="1">
        <v>45302.583333333336</v>
      </c>
      <c r="C1000">
        <v>519.61524227066297</v>
      </c>
      <c r="D1000">
        <v>692.82032302755101</v>
      </c>
    </row>
    <row r="1001" spans="1:4" x14ac:dyDescent="0.3">
      <c r="A1001" t="s">
        <v>7</v>
      </c>
      <c r="B1001" s="1">
        <v>45302.625</v>
      </c>
      <c r="C1001">
        <v>424.26406871192802</v>
      </c>
      <c r="D1001">
        <v>565.68542494923804</v>
      </c>
    </row>
    <row r="1002" spans="1:4" x14ac:dyDescent="0.3">
      <c r="A1002" t="s">
        <v>7</v>
      </c>
      <c r="B1002" s="1">
        <v>45302.666666666664</v>
      </c>
      <c r="C1002">
        <v>300</v>
      </c>
      <c r="D1002">
        <v>399.99999999999898</v>
      </c>
    </row>
    <row r="1003" spans="1:4" x14ac:dyDescent="0.3">
      <c r="A1003" t="s">
        <v>7</v>
      </c>
      <c r="B1003" s="1">
        <v>45302.708333333336</v>
      </c>
      <c r="C1003">
        <v>155.291427061512</v>
      </c>
      <c r="D1003">
        <v>207.05523608201599</v>
      </c>
    </row>
    <row r="1004" spans="1:4" x14ac:dyDescent="0.3">
      <c r="A1004" t="s">
        <v>7</v>
      </c>
      <c r="B1004" s="1">
        <v>45302.75</v>
      </c>
      <c r="C1004" s="2">
        <v>7.3478807948841102E-14</v>
      </c>
      <c r="D1004" s="2">
        <v>9.7971743931788194E-14</v>
      </c>
    </row>
    <row r="1005" spans="1:4" x14ac:dyDescent="0.3">
      <c r="A1005" t="s">
        <v>7</v>
      </c>
      <c r="B1005" s="1">
        <v>45302.791666666664</v>
      </c>
      <c r="C1005">
        <v>0</v>
      </c>
      <c r="D1005">
        <v>0</v>
      </c>
    </row>
    <row r="1006" spans="1:4" x14ac:dyDescent="0.3">
      <c r="A1006" t="s">
        <v>7</v>
      </c>
      <c r="B1006" s="1">
        <v>45302.833333333336</v>
      </c>
      <c r="C1006">
        <v>0</v>
      </c>
      <c r="D1006">
        <v>0</v>
      </c>
    </row>
    <row r="1007" spans="1:4" x14ac:dyDescent="0.3">
      <c r="A1007" t="s">
        <v>7</v>
      </c>
      <c r="B1007" s="1">
        <v>45302.875</v>
      </c>
      <c r="C1007">
        <v>0</v>
      </c>
      <c r="D1007">
        <v>0</v>
      </c>
    </row>
    <row r="1008" spans="1:4" x14ac:dyDescent="0.3">
      <c r="A1008" t="s">
        <v>7</v>
      </c>
      <c r="B1008" s="1">
        <v>45302.916666666664</v>
      </c>
      <c r="C1008">
        <v>0</v>
      </c>
      <c r="D1008">
        <v>0</v>
      </c>
    </row>
    <row r="1009" spans="1:4" x14ac:dyDescent="0.3">
      <c r="A1009" t="s">
        <v>7</v>
      </c>
      <c r="B1009" s="1">
        <v>45302.958333333336</v>
      </c>
      <c r="C1009">
        <v>0</v>
      </c>
      <c r="D1009">
        <v>0</v>
      </c>
    </row>
    <row r="1010" spans="1:4" x14ac:dyDescent="0.3">
      <c r="A1010" t="s">
        <v>7</v>
      </c>
      <c r="B1010" s="1">
        <v>45303</v>
      </c>
      <c r="C1010">
        <v>0</v>
      </c>
      <c r="D1010">
        <v>0</v>
      </c>
    </row>
    <row r="1011" spans="1:4" x14ac:dyDescent="0.3">
      <c r="A1011" t="s">
        <v>7</v>
      </c>
      <c r="B1011" s="1">
        <v>45303.041666666664</v>
      </c>
      <c r="C1011">
        <v>0</v>
      </c>
      <c r="D1011">
        <v>0</v>
      </c>
    </row>
    <row r="1012" spans="1:4" x14ac:dyDescent="0.3">
      <c r="A1012" t="s">
        <v>7</v>
      </c>
      <c r="B1012" s="1">
        <v>45303.083333333336</v>
      </c>
      <c r="C1012">
        <v>0</v>
      </c>
      <c r="D1012">
        <v>0</v>
      </c>
    </row>
    <row r="1013" spans="1:4" x14ac:dyDescent="0.3">
      <c r="A1013" t="s">
        <v>7</v>
      </c>
      <c r="B1013" s="1">
        <v>45303.125</v>
      </c>
      <c r="C1013">
        <v>0</v>
      </c>
      <c r="D1013">
        <v>0</v>
      </c>
    </row>
    <row r="1014" spans="1:4" x14ac:dyDescent="0.3">
      <c r="A1014" t="s">
        <v>7</v>
      </c>
      <c r="B1014" s="1">
        <v>45303.166666666664</v>
      </c>
      <c r="C1014">
        <v>0</v>
      </c>
      <c r="D1014">
        <v>0</v>
      </c>
    </row>
    <row r="1015" spans="1:4" x14ac:dyDescent="0.3">
      <c r="A1015" t="s">
        <v>7</v>
      </c>
      <c r="B1015" s="1">
        <v>45303.208333333336</v>
      </c>
      <c r="C1015">
        <v>0</v>
      </c>
      <c r="D1015">
        <v>0</v>
      </c>
    </row>
    <row r="1016" spans="1:4" x14ac:dyDescent="0.3">
      <c r="A1016" t="s">
        <v>7</v>
      </c>
      <c r="B1016" s="1">
        <v>45303.25</v>
      </c>
      <c r="C1016">
        <v>0</v>
      </c>
      <c r="D1016">
        <v>0</v>
      </c>
    </row>
    <row r="1017" spans="1:4" x14ac:dyDescent="0.3">
      <c r="A1017" t="s">
        <v>7</v>
      </c>
      <c r="B1017" s="1">
        <v>45303.291666666664</v>
      </c>
      <c r="C1017">
        <v>155.291427061512</v>
      </c>
      <c r="D1017">
        <v>207.05523608201599</v>
      </c>
    </row>
    <row r="1018" spans="1:4" x14ac:dyDescent="0.3">
      <c r="A1018" t="s">
        <v>7</v>
      </c>
      <c r="B1018" s="1">
        <v>45303.333333333336</v>
      </c>
      <c r="C1018">
        <v>300</v>
      </c>
      <c r="D1018">
        <v>399.99999999999898</v>
      </c>
    </row>
    <row r="1019" spans="1:4" x14ac:dyDescent="0.3">
      <c r="A1019" t="s">
        <v>7</v>
      </c>
      <c r="B1019" s="1">
        <v>45303.375</v>
      </c>
      <c r="C1019">
        <v>424.26406871192802</v>
      </c>
      <c r="D1019">
        <v>565.68542494923804</v>
      </c>
    </row>
    <row r="1020" spans="1:4" x14ac:dyDescent="0.3">
      <c r="A1020" t="s">
        <v>7</v>
      </c>
      <c r="B1020" s="1">
        <v>45303.416666666664</v>
      </c>
      <c r="C1020">
        <v>519.61524227066297</v>
      </c>
      <c r="D1020">
        <v>692.82032302754999</v>
      </c>
    </row>
    <row r="1021" spans="1:4" x14ac:dyDescent="0.3">
      <c r="A1021" t="s">
        <v>7</v>
      </c>
      <c r="B1021" s="1">
        <v>45303.458333333336</v>
      </c>
      <c r="C1021">
        <v>579.55549577344095</v>
      </c>
      <c r="D1021">
        <v>772.74066103125404</v>
      </c>
    </row>
    <row r="1022" spans="1:4" x14ac:dyDescent="0.3">
      <c r="A1022" t="s">
        <v>7</v>
      </c>
      <c r="B1022" s="1">
        <v>45303.5</v>
      </c>
      <c r="C1022">
        <v>600</v>
      </c>
      <c r="D1022">
        <v>800</v>
      </c>
    </row>
    <row r="1023" spans="1:4" x14ac:dyDescent="0.3">
      <c r="A1023" t="s">
        <v>7</v>
      </c>
      <c r="B1023" s="1">
        <v>45303.541666666664</v>
      </c>
      <c r="C1023">
        <v>579.55549577344095</v>
      </c>
      <c r="D1023">
        <v>772.74066103125404</v>
      </c>
    </row>
    <row r="1024" spans="1:4" x14ac:dyDescent="0.3">
      <c r="A1024" t="s">
        <v>7</v>
      </c>
      <c r="B1024" s="1">
        <v>45303.583333333336</v>
      </c>
      <c r="C1024">
        <v>519.61524227066297</v>
      </c>
      <c r="D1024">
        <v>692.82032302755101</v>
      </c>
    </row>
    <row r="1025" spans="1:4" x14ac:dyDescent="0.3">
      <c r="A1025" t="s">
        <v>7</v>
      </c>
      <c r="B1025" s="1">
        <v>45303.625</v>
      </c>
      <c r="C1025">
        <v>424.26406871192802</v>
      </c>
      <c r="D1025">
        <v>565.68542494923804</v>
      </c>
    </row>
    <row r="1026" spans="1:4" x14ac:dyDescent="0.3">
      <c r="A1026" t="s">
        <v>7</v>
      </c>
      <c r="B1026" s="1">
        <v>45303.666666666664</v>
      </c>
      <c r="C1026">
        <v>300</v>
      </c>
      <c r="D1026">
        <v>399.99999999999898</v>
      </c>
    </row>
    <row r="1027" spans="1:4" x14ac:dyDescent="0.3">
      <c r="A1027" t="s">
        <v>7</v>
      </c>
      <c r="B1027" s="1">
        <v>45303.708333333336</v>
      </c>
      <c r="C1027">
        <v>155.291427061512</v>
      </c>
      <c r="D1027">
        <v>207.05523608201599</v>
      </c>
    </row>
    <row r="1028" spans="1:4" x14ac:dyDescent="0.3">
      <c r="A1028" t="s">
        <v>7</v>
      </c>
      <c r="B1028" s="1">
        <v>45303.75</v>
      </c>
      <c r="C1028" s="2">
        <v>7.3478807948841102E-14</v>
      </c>
      <c r="D1028" s="2">
        <v>9.7971743931788194E-14</v>
      </c>
    </row>
    <row r="1029" spans="1:4" x14ac:dyDescent="0.3">
      <c r="A1029" t="s">
        <v>7</v>
      </c>
      <c r="B1029" s="1">
        <v>45303.791666666664</v>
      </c>
      <c r="C1029">
        <v>0</v>
      </c>
      <c r="D1029">
        <v>0</v>
      </c>
    </row>
    <row r="1030" spans="1:4" x14ac:dyDescent="0.3">
      <c r="A1030" t="s">
        <v>7</v>
      </c>
      <c r="B1030" s="1">
        <v>45303.833333333336</v>
      </c>
      <c r="C1030">
        <v>0</v>
      </c>
      <c r="D1030">
        <v>0</v>
      </c>
    </row>
    <row r="1031" spans="1:4" x14ac:dyDescent="0.3">
      <c r="A1031" t="s">
        <v>7</v>
      </c>
      <c r="B1031" s="1">
        <v>45303.875</v>
      </c>
      <c r="C1031">
        <v>0</v>
      </c>
      <c r="D1031">
        <v>0</v>
      </c>
    </row>
    <row r="1032" spans="1:4" x14ac:dyDescent="0.3">
      <c r="A1032" t="s">
        <v>7</v>
      </c>
      <c r="B1032" s="1">
        <v>45303.916666666664</v>
      </c>
      <c r="C1032">
        <v>0</v>
      </c>
      <c r="D1032">
        <v>0</v>
      </c>
    </row>
    <row r="1033" spans="1:4" x14ac:dyDescent="0.3">
      <c r="A1033" t="s">
        <v>7</v>
      </c>
      <c r="B1033" s="1">
        <v>45303.958333333336</v>
      </c>
      <c r="C1033">
        <v>0</v>
      </c>
      <c r="D1033">
        <v>0</v>
      </c>
    </row>
    <row r="1034" spans="1:4" x14ac:dyDescent="0.3">
      <c r="A1034" t="s">
        <v>7</v>
      </c>
      <c r="B1034" s="1">
        <v>45304</v>
      </c>
      <c r="C1034">
        <v>0</v>
      </c>
      <c r="D1034">
        <v>0</v>
      </c>
    </row>
    <row r="1035" spans="1:4" x14ac:dyDescent="0.3">
      <c r="A1035" t="s">
        <v>7</v>
      </c>
      <c r="B1035" s="1">
        <v>45304.041666666664</v>
      </c>
      <c r="C1035">
        <v>0</v>
      </c>
      <c r="D1035">
        <v>0</v>
      </c>
    </row>
    <row r="1036" spans="1:4" x14ac:dyDescent="0.3">
      <c r="A1036" t="s">
        <v>7</v>
      </c>
      <c r="B1036" s="1">
        <v>45304.083333333336</v>
      </c>
      <c r="C1036">
        <v>0</v>
      </c>
      <c r="D1036">
        <v>0</v>
      </c>
    </row>
    <row r="1037" spans="1:4" x14ac:dyDescent="0.3">
      <c r="A1037" t="s">
        <v>7</v>
      </c>
      <c r="B1037" s="1">
        <v>45304.125</v>
      </c>
      <c r="C1037">
        <v>0</v>
      </c>
      <c r="D1037">
        <v>0</v>
      </c>
    </row>
    <row r="1038" spans="1:4" x14ac:dyDescent="0.3">
      <c r="A1038" t="s">
        <v>7</v>
      </c>
      <c r="B1038" s="1">
        <v>45304.166666666664</v>
      </c>
      <c r="C1038">
        <v>0</v>
      </c>
      <c r="D1038">
        <v>0</v>
      </c>
    </row>
    <row r="1039" spans="1:4" x14ac:dyDescent="0.3">
      <c r="A1039" t="s">
        <v>7</v>
      </c>
      <c r="B1039" s="1">
        <v>45304.208333333336</v>
      </c>
      <c r="C1039">
        <v>0</v>
      </c>
      <c r="D1039">
        <v>0</v>
      </c>
    </row>
    <row r="1040" spans="1:4" x14ac:dyDescent="0.3">
      <c r="A1040" t="s">
        <v>7</v>
      </c>
      <c r="B1040" s="1">
        <v>45304.25</v>
      </c>
      <c r="C1040">
        <v>0</v>
      </c>
      <c r="D1040">
        <v>0</v>
      </c>
    </row>
    <row r="1041" spans="1:4" x14ac:dyDescent="0.3">
      <c r="A1041" t="s">
        <v>7</v>
      </c>
      <c r="B1041" s="1">
        <v>45304.291666666664</v>
      </c>
      <c r="C1041">
        <v>155.291427061512</v>
      </c>
      <c r="D1041">
        <v>207.05523608201599</v>
      </c>
    </row>
    <row r="1042" spans="1:4" x14ac:dyDescent="0.3">
      <c r="A1042" t="s">
        <v>7</v>
      </c>
      <c r="B1042" s="1">
        <v>45304.333333333336</v>
      </c>
      <c r="C1042">
        <v>300</v>
      </c>
      <c r="D1042">
        <v>399.99999999999898</v>
      </c>
    </row>
    <row r="1043" spans="1:4" x14ac:dyDescent="0.3">
      <c r="A1043" t="s">
        <v>7</v>
      </c>
      <c r="B1043" s="1">
        <v>45304.375</v>
      </c>
      <c r="C1043">
        <v>424.26406871192802</v>
      </c>
      <c r="D1043">
        <v>565.68542494923804</v>
      </c>
    </row>
    <row r="1044" spans="1:4" x14ac:dyDescent="0.3">
      <c r="A1044" t="s">
        <v>7</v>
      </c>
      <c r="B1044" s="1">
        <v>45304.416666666664</v>
      </c>
      <c r="C1044">
        <v>519.61524227066297</v>
      </c>
      <c r="D1044">
        <v>692.82032302754999</v>
      </c>
    </row>
    <row r="1045" spans="1:4" x14ac:dyDescent="0.3">
      <c r="A1045" t="s">
        <v>7</v>
      </c>
      <c r="B1045" s="1">
        <v>45304.458333333336</v>
      </c>
      <c r="C1045">
        <v>579.55549577344095</v>
      </c>
      <c r="D1045">
        <v>772.74066103125404</v>
      </c>
    </row>
    <row r="1046" spans="1:4" x14ac:dyDescent="0.3">
      <c r="A1046" t="s">
        <v>7</v>
      </c>
      <c r="B1046" s="1">
        <v>45304.5</v>
      </c>
      <c r="C1046">
        <v>600</v>
      </c>
      <c r="D1046">
        <v>800</v>
      </c>
    </row>
    <row r="1047" spans="1:4" x14ac:dyDescent="0.3">
      <c r="A1047" t="s">
        <v>7</v>
      </c>
      <c r="B1047" s="1">
        <v>45304.541666666664</v>
      </c>
      <c r="C1047">
        <v>579.55549577344095</v>
      </c>
      <c r="D1047">
        <v>772.74066103125404</v>
      </c>
    </row>
    <row r="1048" spans="1:4" x14ac:dyDescent="0.3">
      <c r="A1048" t="s">
        <v>7</v>
      </c>
      <c r="B1048" s="1">
        <v>45304.583333333336</v>
      </c>
      <c r="C1048">
        <v>519.61524227066297</v>
      </c>
      <c r="D1048">
        <v>692.82032302755101</v>
      </c>
    </row>
    <row r="1049" spans="1:4" x14ac:dyDescent="0.3">
      <c r="A1049" t="s">
        <v>7</v>
      </c>
      <c r="B1049" s="1">
        <v>45304.625</v>
      </c>
      <c r="C1049">
        <v>424.26406871192802</v>
      </c>
      <c r="D1049">
        <v>565.68542494923804</v>
      </c>
    </row>
    <row r="1050" spans="1:4" x14ac:dyDescent="0.3">
      <c r="A1050" t="s">
        <v>7</v>
      </c>
      <c r="B1050" s="1">
        <v>45304.666666666664</v>
      </c>
      <c r="C1050">
        <v>300</v>
      </c>
      <c r="D1050">
        <v>399.99999999999898</v>
      </c>
    </row>
    <row r="1051" spans="1:4" x14ac:dyDescent="0.3">
      <c r="A1051" t="s">
        <v>7</v>
      </c>
      <c r="B1051" s="1">
        <v>45304.708333333336</v>
      </c>
      <c r="C1051">
        <v>155.291427061512</v>
      </c>
      <c r="D1051">
        <v>207.05523608201599</v>
      </c>
    </row>
    <row r="1052" spans="1:4" x14ac:dyDescent="0.3">
      <c r="A1052" t="s">
        <v>7</v>
      </c>
      <c r="B1052" s="1">
        <v>45304.75</v>
      </c>
      <c r="C1052" s="2">
        <v>7.3478807948841102E-14</v>
      </c>
      <c r="D1052" s="2">
        <v>9.7971743931788194E-14</v>
      </c>
    </row>
    <row r="1053" spans="1:4" x14ac:dyDescent="0.3">
      <c r="A1053" t="s">
        <v>7</v>
      </c>
      <c r="B1053" s="1">
        <v>45304.791666666664</v>
      </c>
      <c r="C1053">
        <v>0</v>
      </c>
      <c r="D1053">
        <v>0</v>
      </c>
    </row>
    <row r="1054" spans="1:4" x14ac:dyDescent="0.3">
      <c r="A1054" t="s">
        <v>7</v>
      </c>
      <c r="B1054" s="1">
        <v>45304.833333333336</v>
      </c>
      <c r="C1054">
        <v>0</v>
      </c>
      <c r="D1054">
        <v>0</v>
      </c>
    </row>
    <row r="1055" spans="1:4" x14ac:dyDescent="0.3">
      <c r="A1055" t="s">
        <v>7</v>
      </c>
      <c r="B1055" s="1">
        <v>45304.875</v>
      </c>
      <c r="C1055">
        <v>0</v>
      </c>
      <c r="D1055">
        <v>0</v>
      </c>
    </row>
    <row r="1056" spans="1:4" x14ac:dyDescent="0.3">
      <c r="A1056" t="s">
        <v>7</v>
      </c>
      <c r="B1056" s="1">
        <v>45304.916666666664</v>
      </c>
      <c r="C1056">
        <v>0</v>
      </c>
      <c r="D1056">
        <v>0</v>
      </c>
    </row>
    <row r="1057" spans="1:4" x14ac:dyDescent="0.3">
      <c r="A1057" t="s">
        <v>7</v>
      </c>
      <c r="B1057" s="1">
        <v>45304.958333333336</v>
      </c>
      <c r="C1057">
        <v>0</v>
      </c>
      <c r="D1057">
        <v>0</v>
      </c>
    </row>
    <row r="1058" spans="1:4" x14ac:dyDescent="0.3">
      <c r="A1058" t="s">
        <v>7</v>
      </c>
      <c r="B1058" s="1">
        <v>45305</v>
      </c>
      <c r="C1058">
        <v>0</v>
      </c>
      <c r="D1058">
        <v>0</v>
      </c>
    </row>
    <row r="1059" spans="1:4" x14ac:dyDescent="0.3">
      <c r="A1059" t="s">
        <v>7</v>
      </c>
      <c r="B1059" s="1">
        <v>45305.041666666664</v>
      </c>
      <c r="C1059">
        <v>0</v>
      </c>
      <c r="D1059">
        <v>0</v>
      </c>
    </row>
    <row r="1060" spans="1:4" x14ac:dyDescent="0.3">
      <c r="A1060" t="s">
        <v>7</v>
      </c>
      <c r="B1060" s="1">
        <v>45305.083333333336</v>
      </c>
      <c r="C1060">
        <v>0</v>
      </c>
      <c r="D1060">
        <v>0</v>
      </c>
    </row>
    <row r="1061" spans="1:4" x14ac:dyDescent="0.3">
      <c r="A1061" t="s">
        <v>7</v>
      </c>
      <c r="B1061" s="1">
        <v>45305.125</v>
      </c>
      <c r="C1061">
        <v>0</v>
      </c>
      <c r="D1061">
        <v>0</v>
      </c>
    </row>
    <row r="1062" spans="1:4" x14ac:dyDescent="0.3">
      <c r="A1062" t="s">
        <v>7</v>
      </c>
      <c r="B1062" s="1">
        <v>45305.166666666664</v>
      </c>
      <c r="C1062">
        <v>0</v>
      </c>
      <c r="D1062">
        <v>0</v>
      </c>
    </row>
    <row r="1063" spans="1:4" x14ac:dyDescent="0.3">
      <c r="A1063" t="s">
        <v>7</v>
      </c>
      <c r="B1063" s="1">
        <v>45305.208333333336</v>
      </c>
      <c r="C1063">
        <v>0</v>
      </c>
      <c r="D1063">
        <v>0</v>
      </c>
    </row>
    <row r="1064" spans="1:4" x14ac:dyDescent="0.3">
      <c r="A1064" t="s">
        <v>7</v>
      </c>
      <c r="B1064" s="1">
        <v>45305.25</v>
      </c>
      <c r="C1064">
        <v>0</v>
      </c>
      <c r="D1064">
        <v>0</v>
      </c>
    </row>
    <row r="1065" spans="1:4" x14ac:dyDescent="0.3">
      <c r="A1065" t="s">
        <v>7</v>
      </c>
      <c r="B1065" s="1">
        <v>45305.291666666664</v>
      </c>
      <c r="C1065">
        <v>155.291427061512</v>
      </c>
      <c r="D1065">
        <v>207.05523608201599</v>
      </c>
    </row>
    <row r="1066" spans="1:4" x14ac:dyDescent="0.3">
      <c r="A1066" t="s">
        <v>7</v>
      </c>
      <c r="B1066" s="1">
        <v>45305.333333333336</v>
      </c>
      <c r="C1066">
        <v>300</v>
      </c>
      <c r="D1066">
        <v>399.99999999999898</v>
      </c>
    </row>
    <row r="1067" spans="1:4" x14ac:dyDescent="0.3">
      <c r="A1067" t="s">
        <v>7</v>
      </c>
      <c r="B1067" s="1">
        <v>45305.375</v>
      </c>
      <c r="C1067">
        <v>424.26406871192802</v>
      </c>
      <c r="D1067">
        <v>565.68542494923804</v>
      </c>
    </row>
    <row r="1068" spans="1:4" x14ac:dyDescent="0.3">
      <c r="A1068" t="s">
        <v>7</v>
      </c>
      <c r="B1068" s="1">
        <v>45305.416666666664</v>
      </c>
      <c r="C1068">
        <v>519.61524227066297</v>
      </c>
      <c r="D1068">
        <v>692.82032302754999</v>
      </c>
    </row>
    <row r="1069" spans="1:4" x14ac:dyDescent="0.3">
      <c r="A1069" t="s">
        <v>7</v>
      </c>
      <c r="B1069" s="1">
        <v>45305.458333333336</v>
      </c>
      <c r="C1069">
        <v>579.55549577344095</v>
      </c>
      <c r="D1069">
        <v>772.74066103125404</v>
      </c>
    </row>
    <row r="1070" spans="1:4" x14ac:dyDescent="0.3">
      <c r="A1070" t="s">
        <v>7</v>
      </c>
      <c r="B1070" s="1">
        <v>45305.5</v>
      </c>
      <c r="C1070">
        <v>600</v>
      </c>
      <c r="D1070">
        <v>800</v>
      </c>
    </row>
    <row r="1071" spans="1:4" x14ac:dyDescent="0.3">
      <c r="A1071" t="s">
        <v>7</v>
      </c>
      <c r="B1071" s="1">
        <v>45305.541666666664</v>
      </c>
      <c r="C1071">
        <v>579.55549577344095</v>
      </c>
      <c r="D1071">
        <v>772.74066103125404</v>
      </c>
    </row>
    <row r="1072" spans="1:4" x14ac:dyDescent="0.3">
      <c r="A1072" t="s">
        <v>7</v>
      </c>
      <c r="B1072" s="1">
        <v>45305.583333333336</v>
      </c>
      <c r="C1072">
        <v>519.61524227066297</v>
      </c>
      <c r="D1072">
        <v>692.82032302755101</v>
      </c>
    </row>
    <row r="1073" spans="1:4" x14ac:dyDescent="0.3">
      <c r="A1073" t="s">
        <v>7</v>
      </c>
      <c r="B1073" s="1">
        <v>45305.625</v>
      </c>
      <c r="C1073">
        <v>424.26406871192802</v>
      </c>
      <c r="D1073">
        <v>565.68542494923804</v>
      </c>
    </row>
    <row r="1074" spans="1:4" x14ac:dyDescent="0.3">
      <c r="A1074" t="s">
        <v>7</v>
      </c>
      <c r="B1074" s="1">
        <v>45305.666666666664</v>
      </c>
      <c r="C1074">
        <v>300</v>
      </c>
      <c r="D1074">
        <v>399.99999999999898</v>
      </c>
    </row>
    <row r="1075" spans="1:4" x14ac:dyDescent="0.3">
      <c r="A1075" t="s">
        <v>7</v>
      </c>
      <c r="B1075" s="1">
        <v>45305.708333333336</v>
      </c>
      <c r="C1075">
        <v>155.291427061512</v>
      </c>
      <c r="D1075">
        <v>207.05523608201599</v>
      </c>
    </row>
    <row r="1076" spans="1:4" x14ac:dyDescent="0.3">
      <c r="A1076" t="s">
        <v>7</v>
      </c>
      <c r="B1076" s="1">
        <v>45305.75</v>
      </c>
      <c r="C1076" s="2">
        <v>7.3478807948841102E-14</v>
      </c>
      <c r="D1076" s="2">
        <v>9.7971743931788194E-14</v>
      </c>
    </row>
    <row r="1077" spans="1:4" x14ac:dyDescent="0.3">
      <c r="A1077" t="s">
        <v>7</v>
      </c>
      <c r="B1077" s="1">
        <v>45305.791666666664</v>
      </c>
      <c r="C1077">
        <v>0</v>
      </c>
      <c r="D1077">
        <v>0</v>
      </c>
    </row>
    <row r="1078" spans="1:4" x14ac:dyDescent="0.3">
      <c r="A1078" t="s">
        <v>7</v>
      </c>
      <c r="B1078" s="1">
        <v>45305.833333333336</v>
      </c>
      <c r="C1078">
        <v>0</v>
      </c>
      <c r="D1078">
        <v>0</v>
      </c>
    </row>
    <row r="1079" spans="1:4" x14ac:dyDescent="0.3">
      <c r="A1079" t="s">
        <v>7</v>
      </c>
      <c r="B1079" s="1">
        <v>45305.875</v>
      </c>
      <c r="C1079">
        <v>0</v>
      </c>
      <c r="D1079">
        <v>0</v>
      </c>
    </row>
    <row r="1080" spans="1:4" x14ac:dyDescent="0.3">
      <c r="A1080" t="s">
        <v>7</v>
      </c>
      <c r="B1080" s="1">
        <v>45305.916666666664</v>
      </c>
      <c r="C1080">
        <v>0</v>
      </c>
      <c r="D1080">
        <v>0</v>
      </c>
    </row>
    <row r="1081" spans="1:4" x14ac:dyDescent="0.3">
      <c r="A1081" t="s">
        <v>7</v>
      </c>
      <c r="B1081" s="1">
        <v>45305.958333333336</v>
      </c>
      <c r="C1081">
        <v>0</v>
      </c>
      <c r="D1081">
        <v>0</v>
      </c>
    </row>
    <row r="1082" spans="1:4" x14ac:dyDescent="0.3">
      <c r="A1082" t="s">
        <v>7</v>
      </c>
      <c r="B1082" s="1">
        <v>45306</v>
      </c>
      <c r="C1082">
        <v>0</v>
      </c>
      <c r="D1082">
        <v>0</v>
      </c>
    </row>
    <row r="1083" spans="1:4" x14ac:dyDescent="0.3">
      <c r="A1083" t="s">
        <v>7</v>
      </c>
      <c r="B1083" s="1">
        <v>45306.041666666664</v>
      </c>
      <c r="C1083">
        <v>0</v>
      </c>
      <c r="D1083">
        <v>0</v>
      </c>
    </row>
    <row r="1084" spans="1:4" x14ac:dyDescent="0.3">
      <c r="A1084" t="s">
        <v>7</v>
      </c>
      <c r="B1084" s="1">
        <v>45306.083333333336</v>
      </c>
      <c r="C1084">
        <v>0</v>
      </c>
      <c r="D1084">
        <v>0</v>
      </c>
    </row>
    <row r="1085" spans="1:4" x14ac:dyDescent="0.3">
      <c r="A1085" t="s">
        <v>7</v>
      </c>
      <c r="B1085" s="1">
        <v>45306.125</v>
      </c>
      <c r="C1085">
        <v>0</v>
      </c>
      <c r="D1085">
        <v>0</v>
      </c>
    </row>
    <row r="1086" spans="1:4" x14ac:dyDescent="0.3">
      <c r="A1086" t="s">
        <v>7</v>
      </c>
      <c r="B1086" s="1">
        <v>45306.166666666664</v>
      </c>
      <c r="C1086">
        <v>0</v>
      </c>
      <c r="D1086">
        <v>0</v>
      </c>
    </row>
    <row r="1087" spans="1:4" x14ac:dyDescent="0.3">
      <c r="A1087" t="s">
        <v>7</v>
      </c>
      <c r="B1087" s="1">
        <v>45306.208333333336</v>
      </c>
      <c r="C1087">
        <v>0</v>
      </c>
      <c r="D1087">
        <v>0</v>
      </c>
    </row>
    <row r="1088" spans="1:4" x14ac:dyDescent="0.3">
      <c r="A1088" t="s">
        <v>7</v>
      </c>
      <c r="B1088" s="1">
        <v>45306.25</v>
      </c>
      <c r="C1088">
        <v>0</v>
      </c>
      <c r="D1088">
        <v>0</v>
      </c>
    </row>
    <row r="1089" spans="1:4" x14ac:dyDescent="0.3">
      <c r="A1089" t="s">
        <v>7</v>
      </c>
      <c r="B1089" s="1">
        <v>45306.291666666664</v>
      </c>
      <c r="C1089">
        <v>155.291427061512</v>
      </c>
      <c r="D1089">
        <v>207.05523608201599</v>
      </c>
    </row>
    <row r="1090" spans="1:4" x14ac:dyDescent="0.3">
      <c r="A1090" t="s">
        <v>7</v>
      </c>
      <c r="B1090" s="1">
        <v>45306.333333333336</v>
      </c>
      <c r="C1090">
        <v>300</v>
      </c>
      <c r="D1090">
        <v>399.99999999999898</v>
      </c>
    </row>
    <row r="1091" spans="1:4" x14ac:dyDescent="0.3">
      <c r="A1091" t="s">
        <v>7</v>
      </c>
      <c r="B1091" s="1">
        <v>45306.375</v>
      </c>
      <c r="C1091">
        <v>424.26406871192802</v>
      </c>
      <c r="D1091">
        <v>565.68542494923804</v>
      </c>
    </row>
    <row r="1092" spans="1:4" x14ac:dyDescent="0.3">
      <c r="A1092" t="s">
        <v>7</v>
      </c>
      <c r="B1092" s="1">
        <v>45306.416666666664</v>
      </c>
      <c r="C1092">
        <v>519.61524227066297</v>
      </c>
      <c r="D1092">
        <v>692.82032302754999</v>
      </c>
    </row>
    <row r="1093" spans="1:4" x14ac:dyDescent="0.3">
      <c r="A1093" t="s">
        <v>7</v>
      </c>
      <c r="B1093" s="1">
        <v>45306.458333333336</v>
      </c>
      <c r="C1093">
        <v>579.55549577344095</v>
      </c>
      <c r="D1093">
        <v>772.74066103125404</v>
      </c>
    </row>
    <row r="1094" spans="1:4" x14ac:dyDescent="0.3">
      <c r="A1094" t="s">
        <v>7</v>
      </c>
      <c r="B1094" s="1">
        <v>45306.5</v>
      </c>
      <c r="C1094">
        <v>600</v>
      </c>
      <c r="D1094">
        <v>800</v>
      </c>
    </row>
    <row r="1095" spans="1:4" x14ac:dyDescent="0.3">
      <c r="A1095" t="s">
        <v>7</v>
      </c>
      <c r="B1095" s="1">
        <v>45306.541666666664</v>
      </c>
      <c r="C1095">
        <v>579.55549577344095</v>
      </c>
      <c r="D1095">
        <v>772.74066103125404</v>
      </c>
    </row>
    <row r="1096" spans="1:4" x14ac:dyDescent="0.3">
      <c r="A1096" t="s">
        <v>7</v>
      </c>
      <c r="B1096" s="1">
        <v>45306.583333333336</v>
      </c>
      <c r="C1096">
        <v>519.61524227066297</v>
      </c>
      <c r="D1096">
        <v>692.82032302755101</v>
      </c>
    </row>
    <row r="1097" spans="1:4" x14ac:dyDescent="0.3">
      <c r="A1097" t="s">
        <v>7</v>
      </c>
      <c r="B1097" s="1">
        <v>45306.625</v>
      </c>
      <c r="C1097">
        <v>424.26406871192802</v>
      </c>
      <c r="D1097">
        <v>565.68542494923804</v>
      </c>
    </row>
    <row r="1098" spans="1:4" x14ac:dyDescent="0.3">
      <c r="A1098" t="s">
        <v>7</v>
      </c>
      <c r="B1098" s="1">
        <v>45306.666666666664</v>
      </c>
      <c r="C1098">
        <v>300</v>
      </c>
      <c r="D1098">
        <v>399.99999999999898</v>
      </c>
    </row>
    <row r="1099" spans="1:4" x14ac:dyDescent="0.3">
      <c r="A1099" t="s">
        <v>7</v>
      </c>
      <c r="B1099" s="1">
        <v>45306.708333333336</v>
      </c>
      <c r="C1099">
        <v>155.291427061512</v>
      </c>
      <c r="D1099">
        <v>207.05523608201599</v>
      </c>
    </row>
    <row r="1100" spans="1:4" x14ac:dyDescent="0.3">
      <c r="A1100" t="s">
        <v>7</v>
      </c>
      <c r="B1100" s="1">
        <v>45306.75</v>
      </c>
      <c r="C1100" s="2">
        <v>7.3478807948841102E-14</v>
      </c>
      <c r="D1100" s="2">
        <v>9.7971743931788194E-14</v>
      </c>
    </row>
    <row r="1101" spans="1:4" x14ac:dyDescent="0.3">
      <c r="A1101" t="s">
        <v>7</v>
      </c>
      <c r="B1101" s="1">
        <v>45306.791666666664</v>
      </c>
      <c r="C1101">
        <v>0</v>
      </c>
      <c r="D1101">
        <v>0</v>
      </c>
    </row>
    <row r="1102" spans="1:4" x14ac:dyDescent="0.3">
      <c r="A1102" t="s">
        <v>7</v>
      </c>
      <c r="B1102" s="1">
        <v>45306.833333333336</v>
      </c>
      <c r="C1102">
        <v>0</v>
      </c>
      <c r="D1102">
        <v>0</v>
      </c>
    </row>
    <row r="1103" spans="1:4" x14ac:dyDescent="0.3">
      <c r="A1103" t="s">
        <v>7</v>
      </c>
      <c r="B1103" s="1">
        <v>45306.875</v>
      </c>
      <c r="C1103">
        <v>0</v>
      </c>
      <c r="D1103">
        <v>0</v>
      </c>
    </row>
    <row r="1104" spans="1:4" x14ac:dyDescent="0.3">
      <c r="A1104" t="s">
        <v>7</v>
      </c>
      <c r="B1104" s="1">
        <v>45306.916666666664</v>
      </c>
      <c r="C1104">
        <v>0</v>
      </c>
      <c r="D1104">
        <v>0</v>
      </c>
    </row>
    <row r="1105" spans="1:4" x14ac:dyDescent="0.3">
      <c r="A1105" t="s">
        <v>7</v>
      </c>
      <c r="B1105" s="1">
        <v>45306.958333333336</v>
      </c>
      <c r="C1105">
        <v>0</v>
      </c>
      <c r="D1105">
        <v>0</v>
      </c>
    </row>
    <row r="1106" spans="1:4" x14ac:dyDescent="0.3">
      <c r="A1106" t="s">
        <v>7</v>
      </c>
      <c r="B1106" s="1">
        <v>45307</v>
      </c>
      <c r="C1106">
        <v>0</v>
      </c>
      <c r="D1106">
        <v>0</v>
      </c>
    </row>
    <row r="1107" spans="1:4" x14ac:dyDescent="0.3">
      <c r="A1107" t="s">
        <v>7</v>
      </c>
      <c r="B1107" s="1">
        <v>45307.041666666664</v>
      </c>
      <c r="C1107">
        <v>0</v>
      </c>
      <c r="D1107">
        <v>0</v>
      </c>
    </row>
    <row r="1108" spans="1:4" x14ac:dyDescent="0.3">
      <c r="A1108" t="s">
        <v>7</v>
      </c>
      <c r="B1108" s="1">
        <v>45307.083333333336</v>
      </c>
      <c r="C1108">
        <v>0</v>
      </c>
      <c r="D1108">
        <v>0</v>
      </c>
    </row>
    <row r="1109" spans="1:4" x14ac:dyDescent="0.3">
      <c r="A1109" t="s">
        <v>7</v>
      </c>
      <c r="B1109" s="1">
        <v>45307.125</v>
      </c>
      <c r="C1109">
        <v>0</v>
      </c>
      <c r="D1109">
        <v>0</v>
      </c>
    </row>
    <row r="1110" spans="1:4" x14ac:dyDescent="0.3">
      <c r="A1110" t="s">
        <v>7</v>
      </c>
      <c r="B1110" s="1">
        <v>45307.166666666664</v>
      </c>
      <c r="C1110">
        <v>0</v>
      </c>
      <c r="D1110">
        <v>0</v>
      </c>
    </row>
    <row r="1111" spans="1:4" x14ac:dyDescent="0.3">
      <c r="A1111" t="s">
        <v>7</v>
      </c>
      <c r="B1111" s="1">
        <v>45307.208333333336</v>
      </c>
      <c r="C1111">
        <v>0</v>
      </c>
      <c r="D1111">
        <v>0</v>
      </c>
    </row>
    <row r="1112" spans="1:4" x14ac:dyDescent="0.3">
      <c r="A1112" t="s">
        <v>7</v>
      </c>
      <c r="B1112" s="1">
        <v>45307.25</v>
      </c>
      <c r="C1112">
        <v>0</v>
      </c>
      <c r="D1112">
        <v>0</v>
      </c>
    </row>
    <row r="1113" spans="1:4" x14ac:dyDescent="0.3">
      <c r="A1113" t="s">
        <v>7</v>
      </c>
      <c r="B1113" s="1">
        <v>45307.291666666664</v>
      </c>
      <c r="C1113">
        <v>155.291427061512</v>
      </c>
      <c r="D1113">
        <v>207.05523608201599</v>
      </c>
    </row>
    <row r="1114" spans="1:4" x14ac:dyDescent="0.3">
      <c r="A1114" t="s">
        <v>7</v>
      </c>
      <c r="B1114" s="1">
        <v>45307.333333333336</v>
      </c>
      <c r="C1114">
        <v>300</v>
      </c>
      <c r="D1114">
        <v>399.99999999999898</v>
      </c>
    </row>
    <row r="1115" spans="1:4" x14ac:dyDescent="0.3">
      <c r="A1115" t="s">
        <v>7</v>
      </c>
      <c r="B1115" s="1">
        <v>45307.375</v>
      </c>
      <c r="C1115">
        <v>424.26406871192802</v>
      </c>
      <c r="D1115">
        <v>565.68542494923804</v>
      </c>
    </row>
    <row r="1116" spans="1:4" x14ac:dyDescent="0.3">
      <c r="A1116" t="s">
        <v>7</v>
      </c>
      <c r="B1116" s="1">
        <v>45307.416666666664</v>
      </c>
      <c r="C1116">
        <v>519.61524227066297</v>
      </c>
      <c r="D1116">
        <v>692.82032302754999</v>
      </c>
    </row>
    <row r="1117" spans="1:4" x14ac:dyDescent="0.3">
      <c r="A1117" t="s">
        <v>7</v>
      </c>
      <c r="B1117" s="1">
        <v>45307.458333333336</v>
      </c>
      <c r="C1117">
        <v>579.55549577344095</v>
      </c>
      <c r="D1117">
        <v>772.74066103125404</v>
      </c>
    </row>
    <row r="1118" spans="1:4" x14ac:dyDescent="0.3">
      <c r="A1118" t="s">
        <v>7</v>
      </c>
      <c r="B1118" s="1">
        <v>45307.5</v>
      </c>
      <c r="C1118">
        <v>600</v>
      </c>
      <c r="D1118">
        <v>800</v>
      </c>
    </row>
    <row r="1119" spans="1:4" x14ac:dyDescent="0.3">
      <c r="A1119" t="s">
        <v>7</v>
      </c>
      <c r="B1119" s="1">
        <v>45307.541666666664</v>
      </c>
      <c r="C1119">
        <v>579.55549577344095</v>
      </c>
      <c r="D1119">
        <v>772.74066103125404</v>
      </c>
    </row>
    <row r="1120" spans="1:4" x14ac:dyDescent="0.3">
      <c r="A1120" t="s">
        <v>7</v>
      </c>
      <c r="B1120" s="1">
        <v>45307.583333333336</v>
      </c>
      <c r="C1120">
        <v>519.61524227066297</v>
      </c>
      <c r="D1120">
        <v>692.82032302755101</v>
      </c>
    </row>
    <row r="1121" spans="1:4" x14ac:dyDescent="0.3">
      <c r="A1121" t="s">
        <v>7</v>
      </c>
      <c r="B1121" s="1">
        <v>45307.625</v>
      </c>
      <c r="C1121">
        <v>424.26406871192802</v>
      </c>
      <c r="D1121">
        <v>565.68542494923804</v>
      </c>
    </row>
    <row r="1122" spans="1:4" x14ac:dyDescent="0.3">
      <c r="A1122" t="s">
        <v>7</v>
      </c>
      <c r="B1122" s="1">
        <v>45307.666666666664</v>
      </c>
      <c r="C1122">
        <v>300</v>
      </c>
      <c r="D1122">
        <v>399.99999999999898</v>
      </c>
    </row>
    <row r="1123" spans="1:4" x14ac:dyDescent="0.3">
      <c r="A1123" t="s">
        <v>7</v>
      </c>
      <c r="B1123" s="1">
        <v>45307.708333333336</v>
      </c>
      <c r="C1123">
        <v>155.291427061512</v>
      </c>
      <c r="D1123">
        <v>207.05523608201599</v>
      </c>
    </row>
    <row r="1124" spans="1:4" x14ac:dyDescent="0.3">
      <c r="A1124" t="s">
        <v>7</v>
      </c>
      <c r="B1124" s="1">
        <v>45307.75</v>
      </c>
      <c r="C1124" s="2">
        <v>7.3478807948841102E-14</v>
      </c>
      <c r="D1124" s="2">
        <v>9.7971743931788194E-14</v>
      </c>
    </row>
    <row r="1125" spans="1:4" x14ac:dyDescent="0.3">
      <c r="A1125" t="s">
        <v>7</v>
      </c>
      <c r="B1125" s="1">
        <v>45307.791666666664</v>
      </c>
      <c r="C1125">
        <v>0</v>
      </c>
      <c r="D1125">
        <v>0</v>
      </c>
    </row>
    <row r="1126" spans="1:4" x14ac:dyDescent="0.3">
      <c r="A1126" t="s">
        <v>7</v>
      </c>
      <c r="B1126" s="1">
        <v>45307.833333333336</v>
      </c>
      <c r="C1126">
        <v>0</v>
      </c>
      <c r="D1126">
        <v>0</v>
      </c>
    </row>
    <row r="1127" spans="1:4" x14ac:dyDescent="0.3">
      <c r="A1127" t="s">
        <v>7</v>
      </c>
      <c r="B1127" s="1">
        <v>45307.875</v>
      </c>
      <c r="C1127">
        <v>0</v>
      </c>
      <c r="D1127">
        <v>0</v>
      </c>
    </row>
    <row r="1128" spans="1:4" x14ac:dyDescent="0.3">
      <c r="A1128" t="s">
        <v>7</v>
      </c>
      <c r="B1128" s="1">
        <v>45307.916666666664</v>
      </c>
      <c r="C1128">
        <v>0</v>
      </c>
      <c r="D1128">
        <v>0</v>
      </c>
    </row>
    <row r="1129" spans="1:4" x14ac:dyDescent="0.3">
      <c r="A1129" t="s">
        <v>7</v>
      </c>
      <c r="B1129" s="1">
        <v>45307.958333333336</v>
      </c>
      <c r="C1129">
        <v>0</v>
      </c>
      <c r="D1129">
        <v>0</v>
      </c>
    </row>
    <row r="1130" spans="1:4" x14ac:dyDescent="0.3">
      <c r="A1130" t="s">
        <v>7</v>
      </c>
      <c r="B1130" s="1">
        <v>45308</v>
      </c>
      <c r="C1130">
        <v>0</v>
      </c>
      <c r="D1130">
        <v>0</v>
      </c>
    </row>
    <row r="1131" spans="1:4" x14ac:dyDescent="0.3">
      <c r="A1131" t="s">
        <v>7</v>
      </c>
      <c r="B1131" s="1">
        <v>45308.041666666664</v>
      </c>
      <c r="C1131">
        <v>0</v>
      </c>
      <c r="D1131">
        <v>0</v>
      </c>
    </row>
    <row r="1132" spans="1:4" x14ac:dyDescent="0.3">
      <c r="A1132" t="s">
        <v>7</v>
      </c>
      <c r="B1132" s="1">
        <v>45308.083333333336</v>
      </c>
      <c r="C1132">
        <v>0</v>
      </c>
      <c r="D1132">
        <v>0</v>
      </c>
    </row>
    <row r="1133" spans="1:4" x14ac:dyDescent="0.3">
      <c r="A1133" t="s">
        <v>7</v>
      </c>
      <c r="B1133" s="1">
        <v>45308.125</v>
      </c>
      <c r="C1133">
        <v>0</v>
      </c>
      <c r="D1133">
        <v>0</v>
      </c>
    </row>
    <row r="1134" spans="1:4" x14ac:dyDescent="0.3">
      <c r="A1134" t="s">
        <v>7</v>
      </c>
      <c r="B1134" s="1">
        <v>45308.166666666664</v>
      </c>
      <c r="C1134">
        <v>0</v>
      </c>
      <c r="D1134">
        <v>0</v>
      </c>
    </row>
    <row r="1135" spans="1:4" x14ac:dyDescent="0.3">
      <c r="A1135" t="s">
        <v>7</v>
      </c>
      <c r="B1135" s="1">
        <v>45308.208333333336</v>
      </c>
      <c r="C1135">
        <v>0</v>
      </c>
      <c r="D1135">
        <v>0</v>
      </c>
    </row>
    <row r="1136" spans="1:4" x14ac:dyDescent="0.3">
      <c r="A1136" t="s">
        <v>7</v>
      </c>
      <c r="B1136" s="1">
        <v>45308.25</v>
      </c>
      <c r="C1136">
        <v>0</v>
      </c>
      <c r="D1136">
        <v>0</v>
      </c>
    </row>
    <row r="1137" spans="1:4" x14ac:dyDescent="0.3">
      <c r="A1137" t="s">
        <v>7</v>
      </c>
      <c r="B1137" s="1">
        <v>45308.291666666664</v>
      </c>
      <c r="C1137">
        <v>155.291427061512</v>
      </c>
      <c r="D1137">
        <v>207.05523608201599</v>
      </c>
    </row>
    <row r="1138" spans="1:4" x14ac:dyDescent="0.3">
      <c r="A1138" t="s">
        <v>7</v>
      </c>
      <c r="B1138" s="1">
        <v>45308.333333333336</v>
      </c>
      <c r="C1138">
        <v>300</v>
      </c>
      <c r="D1138">
        <v>399.99999999999898</v>
      </c>
    </row>
    <row r="1139" spans="1:4" x14ac:dyDescent="0.3">
      <c r="A1139" t="s">
        <v>7</v>
      </c>
      <c r="B1139" s="1">
        <v>45308.375</v>
      </c>
      <c r="C1139">
        <v>424.26406871192802</v>
      </c>
      <c r="D1139">
        <v>565.68542494923804</v>
      </c>
    </row>
    <row r="1140" spans="1:4" x14ac:dyDescent="0.3">
      <c r="A1140" t="s">
        <v>7</v>
      </c>
      <c r="B1140" s="1">
        <v>45308.416666666664</v>
      </c>
      <c r="C1140">
        <v>519.61524227066297</v>
      </c>
      <c r="D1140">
        <v>692.82032302754999</v>
      </c>
    </row>
    <row r="1141" spans="1:4" x14ac:dyDescent="0.3">
      <c r="A1141" t="s">
        <v>7</v>
      </c>
      <c r="B1141" s="1">
        <v>45308.458333333336</v>
      </c>
      <c r="C1141">
        <v>579.55549577344095</v>
      </c>
      <c r="D1141">
        <v>772.74066103125404</v>
      </c>
    </row>
    <row r="1142" spans="1:4" x14ac:dyDescent="0.3">
      <c r="A1142" t="s">
        <v>7</v>
      </c>
      <c r="B1142" s="1">
        <v>45308.5</v>
      </c>
      <c r="C1142">
        <v>600</v>
      </c>
      <c r="D1142">
        <v>800</v>
      </c>
    </row>
    <row r="1143" spans="1:4" x14ac:dyDescent="0.3">
      <c r="A1143" t="s">
        <v>7</v>
      </c>
      <c r="B1143" s="1">
        <v>45308.541666666664</v>
      </c>
      <c r="C1143">
        <v>579.55549577344095</v>
      </c>
      <c r="D1143">
        <v>772.74066103125404</v>
      </c>
    </row>
    <row r="1144" spans="1:4" x14ac:dyDescent="0.3">
      <c r="A1144" t="s">
        <v>7</v>
      </c>
      <c r="B1144" s="1">
        <v>45308.583333333336</v>
      </c>
      <c r="C1144">
        <v>519.61524227066297</v>
      </c>
      <c r="D1144">
        <v>692.82032302755101</v>
      </c>
    </row>
    <row r="1145" spans="1:4" x14ac:dyDescent="0.3">
      <c r="A1145" t="s">
        <v>7</v>
      </c>
      <c r="B1145" s="1">
        <v>45308.625</v>
      </c>
      <c r="C1145">
        <v>424.26406871192802</v>
      </c>
      <c r="D1145">
        <v>565.68542494923804</v>
      </c>
    </row>
    <row r="1146" spans="1:4" x14ac:dyDescent="0.3">
      <c r="A1146" t="s">
        <v>7</v>
      </c>
      <c r="B1146" s="1">
        <v>45308.666666666664</v>
      </c>
      <c r="C1146">
        <v>300</v>
      </c>
      <c r="D1146">
        <v>399.99999999999898</v>
      </c>
    </row>
    <row r="1147" spans="1:4" x14ac:dyDescent="0.3">
      <c r="A1147" t="s">
        <v>7</v>
      </c>
      <c r="B1147" s="1">
        <v>45308.708333333336</v>
      </c>
      <c r="C1147">
        <v>155.291427061512</v>
      </c>
      <c r="D1147">
        <v>207.05523608201599</v>
      </c>
    </row>
    <row r="1148" spans="1:4" x14ac:dyDescent="0.3">
      <c r="A1148" t="s">
        <v>7</v>
      </c>
      <c r="B1148" s="1">
        <v>45308.75</v>
      </c>
      <c r="C1148" s="2">
        <v>7.3478807948841102E-14</v>
      </c>
      <c r="D1148" s="2">
        <v>9.7971743931788194E-14</v>
      </c>
    </row>
    <row r="1149" spans="1:4" x14ac:dyDescent="0.3">
      <c r="A1149" t="s">
        <v>7</v>
      </c>
      <c r="B1149" s="1">
        <v>45308.791666666664</v>
      </c>
      <c r="C1149">
        <v>0</v>
      </c>
      <c r="D1149">
        <v>0</v>
      </c>
    </row>
    <row r="1150" spans="1:4" x14ac:dyDescent="0.3">
      <c r="A1150" t="s">
        <v>7</v>
      </c>
      <c r="B1150" s="1">
        <v>45308.833333333336</v>
      </c>
      <c r="C1150">
        <v>0</v>
      </c>
      <c r="D1150">
        <v>0</v>
      </c>
    </row>
    <row r="1151" spans="1:4" x14ac:dyDescent="0.3">
      <c r="A1151" t="s">
        <v>7</v>
      </c>
      <c r="B1151" s="1">
        <v>45308.875</v>
      </c>
      <c r="C1151">
        <v>0</v>
      </c>
      <c r="D1151">
        <v>0</v>
      </c>
    </row>
    <row r="1152" spans="1:4" x14ac:dyDescent="0.3">
      <c r="A1152" t="s">
        <v>7</v>
      </c>
      <c r="B1152" s="1">
        <v>45308.916666666664</v>
      </c>
      <c r="C1152">
        <v>0</v>
      </c>
      <c r="D1152">
        <v>0</v>
      </c>
    </row>
    <row r="1153" spans="1:4" x14ac:dyDescent="0.3">
      <c r="A1153" t="s">
        <v>7</v>
      </c>
      <c r="B1153" s="1">
        <v>45308.958333333336</v>
      </c>
      <c r="C1153">
        <v>0</v>
      </c>
      <c r="D1153">
        <v>0</v>
      </c>
    </row>
    <row r="1154" spans="1:4" x14ac:dyDescent="0.3">
      <c r="A1154" t="s">
        <v>7</v>
      </c>
      <c r="B1154" s="1">
        <v>45309</v>
      </c>
      <c r="C1154">
        <v>0</v>
      </c>
      <c r="D1154">
        <v>0</v>
      </c>
    </row>
    <row r="1155" spans="1:4" x14ac:dyDescent="0.3">
      <c r="A1155" t="s">
        <v>7</v>
      </c>
      <c r="B1155" s="1">
        <v>45309.041666666664</v>
      </c>
      <c r="C1155">
        <v>0</v>
      </c>
      <c r="D1155">
        <v>0</v>
      </c>
    </row>
    <row r="1156" spans="1:4" x14ac:dyDescent="0.3">
      <c r="A1156" t="s">
        <v>7</v>
      </c>
      <c r="B1156" s="1">
        <v>45309.083333333336</v>
      </c>
      <c r="C1156">
        <v>0</v>
      </c>
      <c r="D1156">
        <v>0</v>
      </c>
    </row>
    <row r="1157" spans="1:4" x14ac:dyDescent="0.3">
      <c r="A1157" t="s">
        <v>7</v>
      </c>
      <c r="B1157" s="1">
        <v>45309.125</v>
      </c>
      <c r="C1157">
        <v>0</v>
      </c>
      <c r="D1157">
        <v>0</v>
      </c>
    </row>
    <row r="1158" spans="1:4" x14ac:dyDescent="0.3">
      <c r="A1158" t="s">
        <v>7</v>
      </c>
      <c r="B1158" s="1">
        <v>45309.166666666664</v>
      </c>
      <c r="C1158">
        <v>0</v>
      </c>
      <c r="D1158">
        <v>0</v>
      </c>
    </row>
    <row r="1159" spans="1:4" x14ac:dyDescent="0.3">
      <c r="A1159" t="s">
        <v>7</v>
      </c>
      <c r="B1159" s="1">
        <v>45309.208333333336</v>
      </c>
      <c r="C1159">
        <v>0</v>
      </c>
      <c r="D1159">
        <v>0</v>
      </c>
    </row>
    <row r="1160" spans="1:4" x14ac:dyDescent="0.3">
      <c r="A1160" t="s">
        <v>7</v>
      </c>
      <c r="B1160" s="1">
        <v>45309.25</v>
      </c>
      <c r="C1160">
        <v>0</v>
      </c>
      <c r="D1160">
        <v>0</v>
      </c>
    </row>
    <row r="1161" spans="1:4" x14ac:dyDescent="0.3">
      <c r="A1161" t="s">
        <v>7</v>
      </c>
      <c r="B1161" s="1">
        <v>45309.291666666664</v>
      </c>
      <c r="C1161">
        <v>155.291427061512</v>
      </c>
      <c r="D1161">
        <v>207.05523608201599</v>
      </c>
    </row>
    <row r="1162" spans="1:4" x14ac:dyDescent="0.3">
      <c r="A1162" t="s">
        <v>7</v>
      </c>
      <c r="B1162" s="1">
        <v>45309.333333333336</v>
      </c>
      <c r="C1162">
        <v>300</v>
      </c>
      <c r="D1162">
        <v>399.99999999999898</v>
      </c>
    </row>
    <row r="1163" spans="1:4" x14ac:dyDescent="0.3">
      <c r="A1163" t="s">
        <v>7</v>
      </c>
      <c r="B1163" s="1">
        <v>45309.375</v>
      </c>
      <c r="C1163">
        <v>424.26406871192802</v>
      </c>
      <c r="D1163">
        <v>565.68542494923804</v>
      </c>
    </row>
    <row r="1164" spans="1:4" x14ac:dyDescent="0.3">
      <c r="A1164" t="s">
        <v>7</v>
      </c>
      <c r="B1164" s="1">
        <v>45309.416666666664</v>
      </c>
      <c r="C1164">
        <v>519.61524227066297</v>
      </c>
      <c r="D1164">
        <v>692.82032302754999</v>
      </c>
    </row>
    <row r="1165" spans="1:4" x14ac:dyDescent="0.3">
      <c r="A1165" t="s">
        <v>7</v>
      </c>
      <c r="B1165" s="1">
        <v>45309.458333333336</v>
      </c>
      <c r="C1165">
        <v>579.55549577344095</v>
      </c>
      <c r="D1165">
        <v>772.74066103125404</v>
      </c>
    </row>
    <row r="1166" spans="1:4" x14ac:dyDescent="0.3">
      <c r="A1166" t="s">
        <v>7</v>
      </c>
      <c r="B1166" s="1">
        <v>45309.5</v>
      </c>
      <c r="C1166">
        <v>600</v>
      </c>
      <c r="D1166">
        <v>800</v>
      </c>
    </row>
    <row r="1167" spans="1:4" x14ac:dyDescent="0.3">
      <c r="A1167" t="s">
        <v>7</v>
      </c>
      <c r="B1167" s="1">
        <v>45309.541666666664</v>
      </c>
      <c r="C1167">
        <v>579.55549577344095</v>
      </c>
      <c r="D1167">
        <v>772.74066103125404</v>
      </c>
    </row>
    <row r="1168" spans="1:4" x14ac:dyDescent="0.3">
      <c r="A1168" t="s">
        <v>7</v>
      </c>
      <c r="B1168" s="1">
        <v>45309.583333333336</v>
      </c>
      <c r="C1168">
        <v>519.61524227066297</v>
      </c>
      <c r="D1168">
        <v>692.82032302755101</v>
      </c>
    </row>
    <row r="1169" spans="1:4" x14ac:dyDescent="0.3">
      <c r="A1169" t="s">
        <v>7</v>
      </c>
      <c r="B1169" s="1">
        <v>45309.625</v>
      </c>
      <c r="C1169">
        <v>424.26406871192802</v>
      </c>
      <c r="D1169">
        <v>565.68542494923804</v>
      </c>
    </row>
    <row r="1170" spans="1:4" x14ac:dyDescent="0.3">
      <c r="A1170" t="s">
        <v>7</v>
      </c>
      <c r="B1170" s="1">
        <v>45309.666666666664</v>
      </c>
      <c r="C1170">
        <v>300</v>
      </c>
      <c r="D1170">
        <v>399.99999999999898</v>
      </c>
    </row>
    <row r="1171" spans="1:4" x14ac:dyDescent="0.3">
      <c r="A1171" t="s">
        <v>7</v>
      </c>
      <c r="B1171" s="1">
        <v>45309.708333333336</v>
      </c>
      <c r="C1171">
        <v>155.291427061512</v>
      </c>
      <c r="D1171">
        <v>207.05523608201599</v>
      </c>
    </row>
    <row r="1172" spans="1:4" x14ac:dyDescent="0.3">
      <c r="A1172" t="s">
        <v>7</v>
      </c>
      <c r="B1172" s="1">
        <v>45309.75</v>
      </c>
      <c r="C1172" s="2">
        <v>7.3478807948841102E-14</v>
      </c>
      <c r="D1172" s="2">
        <v>9.7971743931788194E-14</v>
      </c>
    </row>
    <row r="1173" spans="1:4" x14ac:dyDescent="0.3">
      <c r="A1173" t="s">
        <v>7</v>
      </c>
      <c r="B1173" s="1">
        <v>45309.791666666664</v>
      </c>
      <c r="C1173">
        <v>0</v>
      </c>
      <c r="D1173">
        <v>0</v>
      </c>
    </row>
    <row r="1174" spans="1:4" x14ac:dyDescent="0.3">
      <c r="A1174" t="s">
        <v>7</v>
      </c>
      <c r="B1174" s="1">
        <v>45309.833333333336</v>
      </c>
      <c r="C1174">
        <v>0</v>
      </c>
      <c r="D1174">
        <v>0</v>
      </c>
    </row>
    <row r="1175" spans="1:4" x14ac:dyDescent="0.3">
      <c r="A1175" t="s">
        <v>7</v>
      </c>
      <c r="B1175" s="1">
        <v>45309.875</v>
      </c>
      <c r="C1175">
        <v>0</v>
      </c>
      <c r="D1175">
        <v>0</v>
      </c>
    </row>
    <row r="1176" spans="1:4" x14ac:dyDescent="0.3">
      <c r="A1176" t="s">
        <v>7</v>
      </c>
      <c r="B1176" s="1">
        <v>45309.916666666664</v>
      </c>
      <c r="C1176">
        <v>0</v>
      </c>
      <c r="D1176">
        <v>0</v>
      </c>
    </row>
    <row r="1177" spans="1:4" x14ac:dyDescent="0.3">
      <c r="A1177" t="s">
        <v>7</v>
      </c>
      <c r="B1177" s="1">
        <v>45309.958333333336</v>
      </c>
      <c r="C1177">
        <v>0</v>
      </c>
      <c r="D1177">
        <v>0</v>
      </c>
    </row>
    <row r="1178" spans="1:4" x14ac:dyDescent="0.3">
      <c r="A1178" t="s">
        <v>7</v>
      </c>
      <c r="B1178" s="1">
        <v>45310</v>
      </c>
      <c r="C1178">
        <v>0</v>
      </c>
      <c r="D1178">
        <v>0</v>
      </c>
    </row>
    <row r="1179" spans="1:4" x14ac:dyDescent="0.3">
      <c r="A1179" t="s">
        <v>7</v>
      </c>
      <c r="B1179" s="1">
        <v>45310.041666666664</v>
      </c>
      <c r="C1179">
        <v>0</v>
      </c>
      <c r="D1179">
        <v>0</v>
      </c>
    </row>
    <row r="1180" spans="1:4" x14ac:dyDescent="0.3">
      <c r="A1180" t="s">
        <v>7</v>
      </c>
      <c r="B1180" s="1">
        <v>45310.083333333336</v>
      </c>
      <c r="C1180">
        <v>0</v>
      </c>
      <c r="D1180">
        <v>0</v>
      </c>
    </row>
    <row r="1181" spans="1:4" x14ac:dyDescent="0.3">
      <c r="A1181" t="s">
        <v>7</v>
      </c>
      <c r="B1181" s="1">
        <v>45310.125</v>
      </c>
      <c r="C1181">
        <v>0</v>
      </c>
      <c r="D1181">
        <v>0</v>
      </c>
    </row>
    <row r="1182" spans="1:4" x14ac:dyDescent="0.3">
      <c r="A1182" t="s">
        <v>7</v>
      </c>
      <c r="B1182" s="1">
        <v>45310.166666666664</v>
      </c>
      <c r="C1182">
        <v>0</v>
      </c>
      <c r="D1182">
        <v>0</v>
      </c>
    </row>
    <row r="1183" spans="1:4" x14ac:dyDescent="0.3">
      <c r="A1183" t="s">
        <v>7</v>
      </c>
      <c r="B1183" s="1">
        <v>45310.208333333336</v>
      </c>
      <c r="C1183">
        <v>0</v>
      </c>
      <c r="D1183">
        <v>0</v>
      </c>
    </row>
    <row r="1184" spans="1:4" x14ac:dyDescent="0.3">
      <c r="A1184" t="s">
        <v>7</v>
      </c>
      <c r="B1184" s="1">
        <v>45310.25</v>
      </c>
      <c r="C1184">
        <v>0</v>
      </c>
      <c r="D1184">
        <v>0</v>
      </c>
    </row>
    <row r="1185" spans="1:4" x14ac:dyDescent="0.3">
      <c r="A1185" t="s">
        <v>7</v>
      </c>
      <c r="B1185" s="1">
        <v>45310.291666666664</v>
      </c>
      <c r="C1185">
        <v>155.291427061512</v>
      </c>
      <c r="D1185">
        <v>207.05523608201599</v>
      </c>
    </row>
    <row r="1186" spans="1:4" x14ac:dyDescent="0.3">
      <c r="A1186" t="s">
        <v>7</v>
      </c>
      <c r="B1186" s="1">
        <v>45310.333333333336</v>
      </c>
      <c r="C1186">
        <v>300</v>
      </c>
      <c r="D1186">
        <v>399.99999999999898</v>
      </c>
    </row>
    <row r="1187" spans="1:4" x14ac:dyDescent="0.3">
      <c r="A1187" t="s">
        <v>7</v>
      </c>
      <c r="B1187" s="1">
        <v>45310.375</v>
      </c>
      <c r="C1187">
        <v>424.26406871192802</v>
      </c>
      <c r="D1187">
        <v>565.68542494923804</v>
      </c>
    </row>
    <row r="1188" spans="1:4" x14ac:dyDescent="0.3">
      <c r="A1188" t="s">
        <v>7</v>
      </c>
      <c r="B1188" s="1">
        <v>45310.416666666664</v>
      </c>
      <c r="C1188">
        <v>519.61524227066297</v>
      </c>
      <c r="D1188">
        <v>692.82032302754999</v>
      </c>
    </row>
    <row r="1189" spans="1:4" x14ac:dyDescent="0.3">
      <c r="A1189" t="s">
        <v>7</v>
      </c>
      <c r="B1189" s="1">
        <v>45310.458333333336</v>
      </c>
      <c r="C1189">
        <v>579.55549577344095</v>
      </c>
      <c r="D1189">
        <v>772.74066103125404</v>
      </c>
    </row>
    <row r="1190" spans="1:4" x14ac:dyDescent="0.3">
      <c r="A1190" t="s">
        <v>7</v>
      </c>
      <c r="B1190" s="1">
        <v>45310.5</v>
      </c>
      <c r="C1190">
        <v>600</v>
      </c>
      <c r="D1190">
        <v>800</v>
      </c>
    </row>
    <row r="1191" spans="1:4" x14ac:dyDescent="0.3">
      <c r="A1191" t="s">
        <v>7</v>
      </c>
      <c r="B1191" s="1">
        <v>45310.541666666664</v>
      </c>
      <c r="C1191">
        <v>579.55549577344095</v>
      </c>
      <c r="D1191">
        <v>772.74066103125404</v>
      </c>
    </row>
    <row r="1192" spans="1:4" x14ac:dyDescent="0.3">
      <c r="A1192" t="s">
        <v>7</v>
      </c>
      <c r="B1192" s="1">
        <v>45310.583333333336</v>
      </c>
      <c r="C1192">
        <v>519.61524227066297</v>
      </c>
      <c r="D1192">
        <v>692.82032302755101</v>
      </c>
    </row>
    <row r="1193" spans="1:4" x14ac:dyDescent="0.3">
      <c r="A1193" t="s">
        <v>7</v>
      </c>
      <c r="B1193" s="1">
        <v>45310.625</v>
      </c>
      <c r="C1193">
        <v>424.26406871192802</v>
      </c>
      <c r="D1193">
        <v>565.68542494923804</v>
      </c>
    </row>
    <row r="1194" spans="1:4" x14ac:dyDescent="0.3">
      <c r="A1194" t="s">
        <v>7</v>
      </c>
      <c r="B1194" s="1">
        <v>45310.666666666664</v>
      </c>
      <c r="C1194">
        <v>300</v>
      </c>
      <c r="D1194">
        <v>399.99999999999898</v>
      </c>
    </row>
    <row r="1195" spans="1:4" x14ac:dyDescent="0.3">
      <c r="A1195" t="s">
        <v>7</v>
      </c>
      <c r="B1195" s="1">
        <v>45310.708333333336</v>
      </c>
      <c r="C1195">
        <v>155.291427061512</v>
      </c>
      <c r="D1195">
        <v>207.05523608201599</v>
      </c>
    </row>
    <row r="1196" spans="1:4" x14ac:dyDescent="0.3">
      <c r="A1196" t="s">
        <v>7</v>
      </c>
      <c r="B1196" s="1">
        <v>45310.75</v>
      </c>
      <c r="C1196" s="2">
        <v>7.3478807948841102E-14</v>
      </c>
      <c r="D1196" s="2">
        <v>9.7971743931788194E-14</v>
      </c>
    </row>
    <row r="1197" spans="1:4" x14ac:dyDescent="0.3">
      <c r="A1197" t="s">
        <v>7</v>
      </c>
      <c r="B1197" s="1">
        <v>45310.791666666664</v>
      </c>
      <c r="C1197">
        <v>0</v>
      </c>
      <c r="D1197">
        <v>0</v>
      </c>
    </row>
    <row r="1198" spans="1:4" x14ac:dyDescent="0.3">
      <c r="A1198" t="s">
        <v>7</v>
      </c>
      <c r="B1198" s="1">
        <v>45310.833333333336</v>
      </c>
      <c r="C1198">
        <v>0</v>
      </c>
      <c r="D1198">
        <v>0</v>
      </c>
    </row>
    <row r="1199" spans="1:4" x14ac:dyDescent="0.3">
      <c r="A1199" t="s">
        <v>7</v>
      </c>
      <c r="B1199" s="1">
        <v>45310.875</v>
      </c>
      <c r="C1199">
        <v>0</v>
      </c>
      <c r="D1199">
        <v>0</v>
      </c>
    </row>
    <row r="1200" spans="1:4" x14ac:dyDescent="0.3">
      <c r="A1200" t="s">
        <v>7</v>
      </c>
      <c r="B1200" s="1">
        <v>45310.916666666664</v>
      </c>
      <c r="C1200">
        <v>0</v>
      </c>
      <c r="D1200">
        <v>0</v>
      </c>
    </row>
    <row r="1201" spans="1:4" x14ac:dyDescent="0.3">
      <c r="A1201" t="s">
        <v>7</v>
      </c>
      <c r="B1201" s="1">
        <v>45310.958333333336</v>
      </c>
      <c r="C1201">
        <v>0</v>
      </c>
      <c r="D1201">
        <v>0</v>
      </c>
    </row>
    <row r="1202" spans="1:4" x14ac:dyDescent="0.3">
      <c r="A1202" t="s">
        <v>7</v>
      </c>
      <c r="B1202" s="1">
        <v>45311</v>
      </c>
      <c r="C1202">
        <v>0</v>
      </c>
      <c r="D1202">
        <v>0</v>
      </c>
    </row>
    <row r="1203" spans="1:4" x14ac:dyDescent="0.3">
      <c r="A1203" t="s">
        <v>7</v>
      </c>
      <c r="B1203" s="1">
        <v>45311.041666666664</v>
      </c>
      <c r="C1203">
        <v>0</v>
      </c>
      <c r="D1203">
        <v>0</v>
      </c>
    </row>
    <row r="1204" spans="1:4" x14ac:dyDescent="0.3">
      <c r="A1204" t="s">
        <v>7</v>
      </c>
      <c r="B1204" s="1">
        <v>45311.083333333336</v>
      </c>
      <c r="C1204">
        <v>0</v>
      </c>
      <c r="D1204">
        <v>0</v>
      </c>
    </row>
    <row r="1205" spans="1:4" x14ac:dyDescent="0.3">
      <c r="A1205" t="s">
        <v>7</v>
      </c>
      <c r="B1205" s="1">
        <v>45311.125</v>
      </c>
      <c r="C1205">
        <v>0</v>
      </c>
      <c r="D1205">
        <v>0</v>
      </c>
    </row>
    <row r="1206" spans="1:4" x14ac:dyDescent="0.3">
      <c r="A1206" t="s">
        <v>7</v>
      </c>
      <c r="B1206" s="1">
        <v>45311.166666666664</v>
      </c>
      <c r="C1206">
        <v>0</v>
      </c>
      <c r="D1206">
        <v>0</v>
      </c>
    </row>
    <row r="1207" spans="1:4" x14ac:dyDescent="0.3">
      <c r="A1207" t="s">
        <v>7</v>
      </c>
      <c r="B1207" s="1">
        <v>45311.208333333336</v>
      </c>
      <c r="C1207">
        <v>0</v>
      </c>
      <c r="D1207">
        <v>0</v>
      </c>
    </row>
    <row r="1208" spans="1:4" x14ac:dyDescent="0.3">
      <c r="A1208" t="s">
        <v>7</v>
      </c>
      <c r="B1208" s="1">
        <v>45311.25</v>
      </c>
      <c r="C1208">
        <v>0</v>
      </c>
      <c r="D1208">
        <v>0</v>
      </c>
    </row>
    <row r="1209" spans="1:4" x14ac:dyDescent="0.3">
      <c r="A1209" t="s">
        <v>7</v>
      </c>
      <c r="B1209" s="1">
        <v>45311.291666666664</v>
      </c>
      <c r="C1209">
        <v>155.291427061512</v>
      </c>
      <c r="D1209">
        <v>207.05523608201599</v>
      </c>
    </row>
    <row r="1210" spans="1:4" x14ac:dyDescent="0.3">
      <c r="A1210" t="s">
        <v>7</v>
      </c>
      <c r="B1210" s="1">
        <v>45311.333333333336</v>
      </c>
      <c r="C1210">
        <v>300</v>
      </c>
      <c r="D1210">
        <v>399.99999999999898</v>
      </c>
    </row>
    <row r="1211" spans="1:4" x14ac:dyDescent="0.3">
      <c r="A1211" t="s">
        <v>7</v>
      </c>
      <c r="B1211" s="1">
        <v>45311.375</v>
      </c>
      <c r="C1211">
        <v>424.26406871192802</v>
      </c>
      <c r="D1211">
        <v>565.68542494923804</v>
      </c>
    </row>
    <row r="1212" spans="1:4" x14ac:dyDescent="0.3">
      <c r="A1212" t="s">
        <v>7</v>
      </c>
      <c r="B1212" s="1">
        <v>45311.416666666664</v>
      </c>
      <c r="C1212">
        <v>519.61524227066297</v>
      </c>
      <c r="D1212">
        <v>692.82032302754999</v>
      </c>
    </row>
    <row r="1213" spans="1:4" x14ac:dyDescent="0.3">
      <c r="A1213" t="s">
        <v>7</v>
      </c>
      <c r="B1213" s="1">
        <v>45311.458333333336</v>
      </c>
      <c r="C1213">
        <v>579.55549577344095</v>
      </c>
      <c r="D1213">
        <v>772.74066103125404</v>
      </c>
    </row>
    <row r="1214" spans="1:4" x14ac:dyDescent="0.3">
      <c r="A1214" t="s">
        <v>7</v>
      </c>
      <c r="B1214" s="1">
        <v>45311.5</v>
      </c>
      <c r="C1214">
        <v>600</v>
      </c>
      <c r="D1214">
        <v>800</v>
      </c>
    </row>
    <row r="1215" spans="1:4" x14ac:dyDescent="0.3">
      <c r="A1215" t="s">
        <v>7</v>
      </c>
      <c r="B1215" s="1">
        <v>45311.541666666664</v>
      </c>
      <c r="C1215">
        <v>579.55549577344095</v>
      </c>
      <c r="D1215">
        <v>772.74066103125404</v>
      </c>
    </row>
    <row r="1216" spans="1:4" x14ac:dyDescent="0.3">
      <c r="A1216" t="s">
        <v>7</v>
      </c>
      <c r="B1216" s="1">
        <v>45311.583333333336</v>
      </c>
      <c r="C1216">
        <v>519.61524227066297</v>
      </c>
      <c r="D1216">
        <v>692.82032302755101</v>
      </c>
    </row>
    <row r="1217" spans="1:4" x14ac:dyDescent="0.3">
      <c r="A1217" t="s">
        <v>7</v>
      </c>
      <c r="B1217" s="1">
        <v>45311.625</v>
      </c>
      <c r="C1217">
        <v>424.26406871192802</v>
      </c>
      <c r="D1217">
        <v>565.68542494923804</v>
      </c>
    </row>
    <row r="1218" spans="1:4" x14ac:dyDescent="0.3">
      <c r="A1218" t="s">
        <v>7</v>
      </c>
      <c r="B1218" s="1">
        <v>45311.666666666664</v>
      </c>
      <c r="C1218">
        <v>300</v>
      </c>
      <c r="D1218">
        <v>399.99999999999898</v>
      </c>
    </row>
    <row r="1219" spans="1:4" x14ac:dyDescent="0.3">
      <c r="A1219" t="s">
        <v>7</v>
      </c>
      <c r="B1219" s="1">
        <v>45311.708333333336</v>
      </c>
      <c r="C1219">
        <v>155.291427061512</v>
      </c>
      <c r="D1219">
        <v>207.05523608201599</v>
      </c>
    </row>
    <row r="1220" spans="1:4" x14ac:dyDescent="0.3">
      <c r="A1220" t="s">
        <v>7</v>
      </c>
      <c r="B1220" s="1">
        <v>45311.75</v>
      </c>
      <c r="C1220" s="2">
        <v>7.3478807948841102E-14</v>
      </c>
      <c r="D1220" s="2">
        <v>9.7971743931788194E-14</v>
      </c>
    </row>
    <row r="1221" spans="1:4" x14ac:dyDescent="0.3">
      <c r="A1221" t="s">
        <v>7</v>
      </c>
      <c r="B1221" s="1">
        <v>45311.791666666664</v>
      </c>
      <c r="C1221">
        <v>0</v>
      </c>
      <c r="D1221">
        <v>0</v>
      </c>
    </row>
    <row r="1222" spans="1:4" x14ac:dyDescent="0.3">
      <c r="A1222" t="s">
        <v>7</v>
      </c>
      <c r="B1222" s="1">
        <v>45311.833333333336</v>
      </c>
      <c r="C1222">
        <v>0</v>
      </c>
      <c r="D1222">
        <v>0</v>
      </c>
    </row>
    <row r="1223" spans="1:4" x14ac:dyDescent="0.3">
      <c r="A1223" t="s">
        <v>7</v>
      </c>
      <c r="B1223" s="1">
        <v>45311.875</v>
      </c>
      <c r="C1223">
        <v>0</v>
      </c>
      <c r="D1223">
        <v>0</v>
      </c>
    </row>
    <row r="1224" spans="1:4" x14ac:dyDescent="0.3">
      <c r="A1224" t="s">
        <v>7</v>
      </c>
      <c r="B1224" s="1">
        <v>45311.916666666664</v>
      </c>
      <c r="C1224">
        <v>0</v>
      </c>
      <c r="D1224">
        <v>0</v>
      </c>
    </row>
    <row r="1225" spans="1:4" x14ac:dyDescent="0.3">
      <c r="A1225" t="s">
        <v>7</v>
      </c>
      <c r="B1225" s="1">
        <v>45311.958333333336</v>
      </c>
      <c r="C1225">
        <v>0</v>
      </c>
      <c r="D1225">
        <v>0</v>
      </c>
    </row>
    <row r="1226" spans="1:4" x14ac:dyDescent="0.3">
      <c r="A1226" t="s">
        <v>7</v>
      </c>
      <c r="B1226" s="1">
        <v>45312</v>
      </c>
      <c r="C1226">
        <v>0</v>
      </c>
      <c r="D1226">
        <v>0</v>
      </c>
    </row>
    <row r="1227" spans="1:4" x14ac:dyDescent="0.3">
      <c r="A1227" t="s">
        <v>7</v>
      </c>
      <c r="B1227" s="1">
        <v>45312.041666666664</v>
      </c>
      <c r="C1227">
        <v>0</v>
      </c>
      <c r="D1227">
        <v>0</v>
      </c>
    </row>
    <row r="1228" spans="1:4" x14ac:dyDescent="0.3">
      <c r="A1228" t="s">
        <v>7</v>
      </c>
      <c r="B1228" s="1">
        <v>45312.083333333336</v>
      </c>
      <c r="C1228">
        <v>0</v>
      </c>
      <c r="D1228">
        <v>0</v>
      </c>
    </row>
    <row r="1229" spans="1:4" x14ac:dyDescent="0.3">
      <c r="A1229" t="s">
        <v>7</v>
      </c>
      <c r="B1229" s="1">
        <v>45312.125</v>
      </c>
      <c r="C1229">
        <v>0</v>
      </c>
      <c r="D1229">
        <v>0</v>
      </c>
    </row>
    <row r="1230" spans="1:4" x14ac:dyDescent="0.3">
      <c r="A1230" t="s">
        <v>7</v>
      </c>
      <c r="B1230" s="1">
        <v>45312.166666666664</v>
      </c>
      <c r="C1230">
        <v>0</v>
      </c>
      <c r="D1230">
        <v>0</v>
      </c>
    </row>
    <row r="1231" spans="1:4" x14ac:dyDescent="0.3">
      <c r="A1231" t="s">
        <v>7</v>
      </c>
      <c r="B1231" s="1">
        <v>45312.208333333336</v>
      </c>
      <c r="C1231">
        <v>0</v>
      </c>
      <c r="D1231">
        <v>0</v>
      </c>
    </row>
    <row r="1232" spans="1:4" x14ac:dyDescent="0.3">
      <c r="A1232" t="s">
        <v>7</v>
      </c>
      <c r="B1232" s="1">
        <v>45312.25</v>
      </c>
      <c r="C1232">
        <v>0</v>
      </c>
      <c r="D1232">
        <v>0</v>
      </c>
    </row>
    <row r="1233" spans="1:4" x14ac:dyDescent="0.3">
      <c r="A1233" t="s">
        <v>7</v>
      </c>
      <c r="B1233" s="1">
        <v>45312.291666666664</v>
      </c>
      <c r="C1233">
        <v>155.291427061512</v>
      </c>
      <c r="D1233">
        <v>207.05523608201599</v>
      </c>
    </row>
    <row r="1234" spans="1:4" x14ac:dyDescent="0.3">
      <c r="A1234" t="s">
        <v>7</v>
      </c>
      <c r="B1234" s="1">
        <v>45312.333333333336</v>
      </c>
      <c r="C1234">
        <v>300</v>
      </c>
      <c r="D1234">
        <v>399.99999999999898</v>
      </c>
    </row>
    <row r="1235" spans="1:4" x14ac:dyDescent="0.3">
      <c r="A1235" t="s">
        <v>7</v>
      </c>
      <c r="B1235" s="1">
        <v>45312.375</v>
      </c>
      <c r="C1235">
        <v>424.26406871192802</v>
      </c>
      <c r="D1235">
        <v>565.68542494923804</v>
      </c>
    </row>
    <row r="1236" spans="1:4" x14ac:dyDescent="0.3">
      <c r="A1236" t="s">
        <v>7</v>
      </c>
      <c r="B1236" s="1">
        <v>45312.416666666664</v>
      </c>
      <c r="C1236">
        <v>519.61524227066297</v>
      </c>
      <c r="D1236">
        <v>692.82032302754999</v>
      </c>
    </row>
    <row r="1237" spans="1:4" x14ac:dyDescent="0.3">
      <c r="A1237" t="s">
        <v>7</v>
      </c>
      <c r="B1237" s="1">
        <v>45312.458333333336</v>
      </c>
      <c r="C1237">
        <v>579.55549577344095</v>
      </c>
      <c r="D1237">
        <v>772.74066103125404</v>
      </c>
    </row>
    <row r="1238" spans="1:4" x14ac:dyDescent="0.3">
      <c r="A1238" t="s">
        <v>7</v>
      </c>
      <c r="B1238" s="1">
        <v>45312.5</v>
      </c>
      <c r="C1238">
        <v>600</v>
      </c>
      <c r="D1238">
        <v>800</v>
      </c>
    </row>
    <row r="1239" spans="1:4" x14ac:dyDescent="0.3">
      <c r="A1239" t="s">
        <v>7</v>
      </c>
      <c r="B1239" s="1">
        <v>45312.541666666664</v>
      </c>
      <c r="C1239">
        <v>579.55549577344095</v>
      </c>
      <c r="D1239">
        <v>772.74066103125404</v>
      </c>
    </row>
    <row r="1240" spans="1:4" x14ac:dyDescent="0.3">
      <c r="A1240" t="s">
        <v>7</v>
      </c>
      <c r="B1240" s="1">
        <v>45312.583333333336</v>
      </c>
      <c r="C1240">
        <v>519.61524227066297</v>
      </c>
      <c r="D1240">
        <v>692.82032302755101</v>
      </c>
    </row>
    <row r="1241" spans="1:4" x14ac:dyDescent="0.3">
      <c r="A1241" t="s">
        <v>7</v>
      </c>
      <c r="B1241" s="1">
        <v>45312.625</v>
      </c>
      <c r="C1241">
        <v>424.26406871192802</v>
      </c>
      <c r="D1241">
        <v>565.68542494923804</v>
      </c>
    </row>
    <row r="1242" spans="1:4" x14ac:dyDescent="0.3">
      <c r="A1242" t="s">
        <v>7</v>
      </c>
      <c r="B1242" s="1">
        <v>45312.666666666664</v>
      </c>
      <c r="C1242">
        <v>300</v>
      </c>
      <c r="D1242">
        <v>399.99999999999898</v>
      </c>
    </row>
    <row r="1243" spans="1:4" x14ac:dyDescent="0.3">
      <c r="A1243" t="s">
        <v>7</v>
      </c>
      <c r="B1243" s="1">
        <v>45312.708333333336</v>
      </c>
      <c r="C1243">
        <v>155.291427061512</v>
      </c>
      <c r="D1243">
        <v>207.05523608201599</v>
      </c>
    </row>
    <row r="1244" spans="1:4" x14ac:dyDescent="0.3">
      <c r="A1244" t="s">
        <v>7</v>
      </c>
      <c r="B1244" s="1">
        <v>45312.75</v>
      </c>
      <c r="C1244" s="2">
        <v>7.3478807948841102E-14</v>
      </c>
      <c r="D1244" s="2">
        <v>9.7971743931788194E-14</v>
      </c>
    </row>
    <row r="1245" spans="1:4" x14ac:dyDescent="0.3">
      <c r="A1245" t="s">
        <v>7</v>
      </c>
      <c r="B1245" s="1">
        <v>45312.791666666664</v>
      </c>
      <c r="C1245">
        <v>0</v>
      </c>
      <c r="D1245">
        <v>0</v>
      </c>
    </row>
    <row r="1246" spans="1:4" x14ac:dyDescent="0.3">
      <c r="A1246" t="s">
        <v>7</v>
      </c>
      <c r="B1246" s="1">
        <v>45312.833333333336</v>
      </c>
      <c r="C1246">
        <v>0</v>
      </c>
      <c r="D1246">
        <v>0</v>
      </c>
    </row>
    <row r="1247" spans="1:4" x14ac:dyDescent="0.3">
      <c r="A1247" t="s">
        <v>7</v>
      </c>
      <c r="B1247" s="1">
        <v>45312.875</v>
      </c>
      <c r="C1247">
        <v>0</v>
      </c>
      <c r="D1247">
        <v>0</v>
      </c>
    </row>
    <row r="1248" spans="1:4" x14ac:dyDescent="0.3">
      <c r="A1248" t="s">
        <v>7</v>
      </c>
      <c r="B1248" s="1">
        <v>45312.916666666664</v>
      </c>
      <c r="C1248">
        <v>0</v>
      </c>
      <c r="D1248">
        <v>0</v>
      </c>
    </row>
    <row r="1249" spans="1:4" x14ac:dyDescent="0.3">
      <c r="A1249" t="s">
        <v>7</v>
      </c>
      <c r="B1249" s="1">
        <v>45312.958333333336</v>
      </c>
      <c r="C1249">
        <v>0</v>
      </c>
      <c r="D1249">
        <v>0</v>
      </c>
    </row>
    <row r="1250" spans="1:4" x14ac:dyDescent="0.3">
      <c r="A1250" t="s">
        <v>7</v>
      </c>
      <c r="B1250" s="1">
        <v>45313</v>
      </c>
      <c r="C1250">
        <v>0</v>
      </c>
      <c r="D1250">
        <v>0</v>
      </c>
    </row>
    <row r="1251" spans="1:4" x14ac:dyDescent="0.3">
      <c r="A1251" t="s">
        <v>7</v>
      </c>
      <c r="B1251" s="1">
        <v>45313.041666666664</v>
      </c>
      <c r="C1251">
        <v>0</v>
      </c>
      <c r="D1251">
        <v>0</v>
      </c>
    </row>
    <row r="1252" spans="1:4" x14ac:dyDescent="0.3">
      <c r="A1252" t="s">
        <v>7</v>
      </c>
      <c r="B1252" s="1">
        <v>45313.083333333336</v>
      </c>
      <c r="C1252">
        <v>0</v>
      </c>
      <c r="D1252">
        <v>0</v>
      </c>
    </row>
    <row r="1253" spans="1:4" x14ac:dyDescent="0.3">
      <c r="A1253" t="s">
        <v>7</v>
      </c>
      <c r="B1253" s="1">
        <v>45313.125</v>
      </c>
      <c r="C1253">
        <v>0</v>
      </c>
      <c r="D1253">
        <v>0</v>
      </c>
    </row>
    <row r="1254" spans="1:4" x14ac:dyDescent="0.3">
      <c r="A1254" t="s">
        <v>7</v>
      </c>
      <c r="B1254" s="1">
        <v>45313.166666666664</v>
      </c>
      <c r="C1254">
        <v>0</v>
      </c>
      <c r="D1254">
        <v>0</v>
      </c>
    </row>
    <row r="1255" spans="1:4" x14ac:dyDescent="0.3">
      <c r="A1255" t="s">
        <v>7</v>
      </c>
      <c r="B1255" s="1">
        <v>45313.208333333336</v>
      </c>
      <c r="C1255">
        <v>0</v>
      </c>
      <c r="D1255">
        <v>0</v>
      </c>
    </row>
    <row r="1256" spans="1:4" x14ac:dyDescent="0.3">
      <c r="A1256" t="s">
        <v>7</v>
      </c>
      <c r="B1256" s="1">
        <v>45313.25</v>
      </c>
      <c r="C1256">
        <v>0</v>
      </c>
      <c r="D1256">
        <v>0</v>
      </c>
    </row>
    <row r="1257" spans="1:4" x14ac:dyDescent="0.3">
      <c r="A1257" t="s">
        <v>7</v>
      </c>
      <c r="B1257" s="1">
        <v>45313.291666666664</v>
      </c>
      <c r="C1257">
        <v>155.291427061512</v>
      </c>
      <c r="D1257">
        <v>207.05523608201599</v>
      </c>
    </row>
    <row r="1258" spans="1:4" x14ac:dyDescent="0.3">
      <c r="A1258" t="s">
        <v>7</v>
      </c>
      <c r="B1258" s="1">
        <v>45313.333333333336</v>
      </c>
      <c r="C1258">
        <v>300</v>
      </c>
      <c r="D1258">
        <v>399.99999999999898</v>
      </c>
    </row>
    <row r="1259" spans="1:4" x14ac:dyDescent="0.3">
      <c r="A1259" t="s">
        <v>7</v>
      </c>
      <c r="B1259" s="1">
        <v>45313.375</v>
      </c>
      <c r="C1259">
        <v>424.26406871192802</v>
      </c>
      <c r="D1259">
        <v>565.68542494923804</v>
      </c>
    </row>
    <row r="1260" spans="1:4" x14ac:dyDescent="0.3">
      <c r="A1260" t="s">
        <v>7</v>
      </c>
      <c r="B1260" s="1">
        <v>45313.416666666664</v>
      </c>
      <c r="C1260">
        <v>519.61524227066297</v>
      </c>
      <c r="D1260">
        <v>692.82032302754999</v>
      </c>
    </row>
    <row r="1261" spans="1:4" x14ac:dyDescent="0.3">
      <c r="A1261" t="s">
        <v>7</v>
      </c>
      <c r="B1261" s="1">
        <v>45313.458333333336</v>
      </c>
      <c r="C1261">
        <v>579.55549577344095</v>
      </c>
      <c r="D1261">
        <v>772.74066103125404</v>
      </c>
    </row>
    <row r="1262" spans="1:4" x14ac:dyDescent="0.3">
      <c r="A1262" t="s">
        <v>7</v>
      </c>
      <c r="B1262" s="1">
        <v>45313.5</v>
      </c>
      <c r="C1262">
        <v>600</v>
      </c>
      <c r="D1262">
        <v>800</v>
      </c>
    </row>
    <row r="1263" spans="1:4" x14ac:dyDescent="0.3">
      <c r="A1263" t="s">
        <v>7</v>
      </c>
      <c r="B1263" s="1">
        <v>45313.541666666664</v>
      </c>
      <c r="C1263">
        <v>579.55549577344095</v>
      </c>
      <c r="D1263">
        <v>772.74066103125404</v>
      </c>
    </row>
    <row r="1264" spans="1:4" x14ac:dyDescent="0.3">
      <c r="A1264" t="s">
        <v>7</v>
      </c>
      <c r="B1264" s="1">
        <v>45313.583333333336</v>
      </c>
      <c r="C1264">
        <v>519.61524227066297</v>
      </c>
      <c r="D1264">
        <v>692.82032302755101</v>
      </c>
    </row>
    <row r="1265" spans="1:4" x14ac:dyDescent="0.3">
      <c r="A1265" t="s">
        <v>7</v>
      </c>
      <c r="B1265" s="1">
        <v>45313.625</v>
      </c>
      <c r="C1265">
        <v>424.26406871192802</v>
      </c>
      <c r="D1265">
        <v>565.68542494923804</v>
      </c>
    </row>
    <row r="1266" spans="1:4" x14ac:dyDescent="0.3">
      <c r="A1266" t="s">
        <v>7</v>
      </c>
      <c r="B1266" s="1">
        <v>45313.666666666664</v>
      </c>
      <c r="C1266">
        <v>300</v>
      </c>
      <c r="D1266">
        <v>399.99999999999898</v>
      </c>
    </row>
    <row r="1267" spans="1:4" x14ac:dyDescent="0.3">
      <c r="A1267" t="s">
        <v>7</v>
      </c>
      <c r="B1267" s="1">
        <v>45313.708333333336</v>
      </c>
      <c r="C1267">
        <v>155.291427061512</v>
      </c>
      <c r="D1267">
        <v>207.05523608201599</v>
      </c>
    </row>
    <row r="1268" spans="1:4" x14ac:dyDescent="0.3">
      <c r="A1268" t="s">
        <v>7</v>
      </c>
      <c r="B1268" s="1">
        <v>45313.75</v>
      </c>
      <c r="C1268" s="2">
        <v>7.3478807948841102E-14</v>
      </c>
      <c r="D1268" s="2">
        <v>9.7971743931788194E-14</v>
      </c>
    </row>
    <row r="1269" spans="1:4" x14ac:dyDescent="0.3">
      <c r="A1269" t="s">
        <v>7</v>
      </c>
      <c r="B1269" s="1">
        <v>45313.791666666664</v>
      </c>
      <c r="C1269">
        <v>0</v>
      </c>
      <c r="D1269">
        <v>0</v>
      </c>
    </row>
    <row r="1270" spans="1:4" x14ac:dyDescent="0.3">
      <c r="A1270" t="s">
        <v>7</v>
      </c>
      <c r="B1270" s="1">
        <v>45313.833333333336</v>
      </c>
      <c r="C1270">
        <v>0</v>
      </c>
      <c r="D1270">
        <v>0</v>
      </c>
    </row>
    <row r="1271" spans="1:4" x14ac:dyDescent="0.3">
      <c r="A1271" t="s">
        <v>7</v>
      </c>
      <c r="B1271" s="1">
        <v>45313.875</v>
      </c>
      <c r="C1271">
        <v>0</v>
      </c>
      <c r="D1271">
        <v>0</v>
      </c>
    </row>
    <row r="1272" spans="1:4" x14ac:dyDescent="0.3">
      <c r="A1272" t="s">
        <v>7</v>
      </c>
      <c r="B1272" s="1">
        <v>45313.916666666664</v>
      </c>
      <c r="C1272">
        <v>0</v>
      </c>
      <c r="D1272">
        <v>0</v>
      </c>
    </row>
    <row r="1273" spans="1:4" x14ac:dyDescent="0.3">
      <c r="A1273" t="s">
        <v>7</v>
      </c>
      <c r="B1273" s="1">
        <v>45313.958333333336</v>
      </c>
      <c r="C1273">
        <v>0</v>
      </c>
      <c r="D1273">
        <v>0</v>
      </c>
    </row>
    <row r="1274" spans="1:4" x14ac:dyDescent="0.3">
      <c r="A1274" t="s">
        <v>7</v>
      </c>
      <c r="B1274" s="1">
        <v>45314</v>
      </c>
      <c r="C1274">
        <v>0</v>
      </c>
      <c r="D1274">
        <v>0</v>
      </c>
    </row>
    <row r="1275" spans="1:4" x14ac:dyDescent="0.3">
      <c r="A1275" t="s">
        <v>7</v>
      </c>
      <c r="B1275" s="1">
        <v>45314.041666666664</v>
      </c>
      <c r="C1275">
        <v>0</v>
      </c>
      <c r="D1275">
        <v>0</v>
      </c>
    </row>
    <row r="1276" spans="1:4" x14ac:dyDescent="0.3">
      <c r="A1276" t="s">
        <v>7</v>
      </c>
      <c r="B1276" s="1">
        <v>45314.083333333336</v>
      </c>
      <c r="C1276">
        <v>0</v>
      </c>
      <c r="D1276">
        <v>0</v>
      </c>
    </row>
    <row r="1277" spans="1:4" x14ac:dyDescent="0.3">
      <c r="A1277" t="s">
        <v>7</v>
      </c>
      <c r="B1277" s="1">
        <v>45314.125</v>
      </c>
      <c r="C1277">
        <v>0</v>
      </c>
      <c r="D1277">
        <v>0</v>
      </c>
    </row>
    <row r="1278" spans="1:4" x14ac:dyDescent="0.3">
      <c r="A1278" t="s">
        <v>7</v>
      </c>
      <c r="B1278" s="1">
        <v>45314.166666666664</v>
      </c>
      <c r="C1278">
        <v>0</v>
      </c>
      <c r="D1278">
        <v>0</v>
      </c>
    </row>
    <row r="1279" spans="1:4" x14ac:dyDescent="0.3">
      <c r="A1279" t="s">
        <v>7</v>
      </c>
      <c r="B1279" s="1">
        <v>45314.208333333336</v>
      </c>
      <c r="C1279">
        <v>0</v>
      </c>
      <c r="D1279">
        <v>0</v>
      </c>
    </row>
    <row r="1280" spans="1:4" x14ac:dyDescent="0.3">
      <c r="A1280" t="s">
        <v>7</v>
      </c>
      <c r="B1280" s="1">
        <v>45314.25</v>
      </c>
      <c r="C1280">
        <v>0</v>
      </c>
      <c r="D1280">
        <v>0</v>
      </c>
    </row>
    <row r="1281" spans="1:4" x14ac:dyDescent="0.3">
      <c r="A1281" t="s">
        <v>7</v>
      </c>
      <c r="B1281" s="1">
        <v>45314.291666666664</v>
      </c>
      <c r="C1281">
        <v>155.291427061512</v>
      </c>
      <c r="D1281">
        <v>207.05523608201599</v>
      </c>
    </row>
    <row r="1282" spans="1:4" x14ac:dyDescent="0.3">
      <c r="A1282" t="s">
        <v>7</v>
      </c>
      <c r="B1282" s="1">
        <v>45314.333333333336</v>
      </c>
      <c r="C1282">
        <v>300</v>
      </c>
      <c r="D1282">
        <v>399.99999999999898</v>
      </c>
    </row>
    <row r="1283" spans="1:4" x14ac:dyDescent="0.3">
      <c r="A1283" t="s">
        <v>7</v>
      </c>
      <c r="B1283" s="1">
        <v>45314.375</v>
      </c>
      <c r="C1283">
        <v>424.26406871192802</v>
      </c>
      <c r="D1283">
        <v>565.68542494923804</v>
      </c>
    </row>
    <row r="1284" spans="1:4" x14ac:dyDescent="0.3">
      <c r="A1284" t="s">
        <v>7</v>
      </c>
      <c r="B1284" s="1">
        <v>45314.416666666664</v>
      </c>
      <c r="C1284">
        <v>519.61524227066297</v>
      </c>
      <c r="D1284">
        <v>692.82032302754999</v>
      </c>
    </row>
    <row r="1285" spans="1:4" x14ac:dyDescent="0.3">
      <c r="A1285" t="s">
        <v>7</v>
      </c>
      <c r="B1285" s="1">
        <v>45314.458333333336</v>
      </c>
      <c r="C1285">
        <v>579.55549577344095</v>
      </c>
      <c r="D1285">
        <v>772.74066103125404</v>
      </c>
    </row>
    <row r="1286" spans="1:4" x14ac:dyDescent="0.3">
      <c r="A1286" t="s">
        <v>7</v>
      </c>
      <c r="B1286" s="1">
        <v>45314.5</v>
      </c>
      <c r="C1286">
        <v>600</v>
      </c>
      <c r="D1286">
        <v>800</v>
      </c>
    </row>
    <row r="1287" spans="1:4" x14ac:dyDescent="0.3">
      <c r="A1287" t="s">
        <v>7</v>
      </c>
      <c r="B1287" s="1">
        <v>45314.541666666664</v>
      </c>
      <c r="C1287">
        <v>579.55549577344095</v>
      </c>
      <c r="D1287">
        <v>772.74066103125404</v>
      </c>
    </row>
    <row r="1288" spans="1:4" x14ac:dyDescent="0.3">
      <c r="A1288" t="s">
        <v>7</v>
      </c>
      <c r="B1288" s="1">
        <v>45314.583333333336</v>
      </c>
      <c r="C1288">
        <v>519.61524227066297</v>
      </c>
      <c r="D1288">
        <v>692.82032302755101</v>
      </c>
    </row>
    <row r="1289" spans="1:4" x14ac:dyDescent="0.3">
      <c r="A1289" t="s">
        <v>7</v>
      </c>
      <c r="B1289" s="1">
        <v>45314.625</v>
      </c>
      <c r="C1289">
        <v>424.26406871192802</v>
      </c>
      <c r="D1289">
        <v>565.68542494923804</v>
      </c>
    </row>
    <row r="1290" spans="1:4" x14ac:dyDescent="0.3">
      <c r="A1290" t="s">
        <v>7</v>
      </c>
      <c r="B1290" s="1">
        <v>45314.666666666664</v>
      </c>
      <c r="C1290">
        <v>300</v>
      </c>
      <c r="D1290">
        <v>399.99999999999898</v>
      </c>
    </row>
    <row r="1291" spans="1:4" x14ac:dyDescent="0.3">
      <c r="A1291" t="s">
        <v>7</v>
      </c>
      <c r="B1291" s="1">
        <v>45314.708333333336</v>
      </c>
      <c r="C1291">
        <v>155.291427061512</v>
      </c>
      <c r="D1291">
        <v>207.05523608201599</v>
      </c>
    </row>
    <row r="1292" spans="1:4" x14ac:dyDescent="0.3">
      <c r="A1292" t="s">
        <v>7</v>
      </c>
      <c r="B1292" s="1">
        <v>45314.75</v>
      </c>
      <c r="C1292" s="2">
        <v>7.3478807948841102E-14</v>
      </c>
      <c r="D1292" s="2">
        <v>9.7971743931788194E-14</v>
      </c>
    </row>
    <row r="1293" spans="1:4" x14ac:dyDescent="0.3">
      <c r="A1293" t="s">
        <v>7</v>
      </c>
      <c r="B1293" s="1">
        <v>45314.791666666664</v>
      </c>
      <c r="C1293">
        <v>0</v>
      </c>
      <c r="D1293">
        <v>0</v>
      </c>
    </row>
    <row r="1294" spans="1:4" x14ac:dyDescent="0.3">
      <c r="A1294" t="s">
        <v>7</v>
      </c>
      <c r="B1294" s="1">
        <v>45314.833333333336</v>
      </c>
      <c r="C1294">
        <v>0</v>
      </c>
      <c r="D1294">
        <v>0</v>
      </c>
    </row>
    <row r="1295" spans="1:4" x14ac:dyDescent="0.3">
      <c r="A1295" t="s">
        <v>7</v>
      </c>
      <c r="B1295" s="1">
        <v>45314.875</v>
      </c>
      <c r="C1295">
        <v>0</v>
      </c>
      <c r="D1295">
        <v>0</v>
      </c>
    </row>
    <row r="1296" spans="1:4" x14ac:dyDescent="0.3">
      <c r="A1296" t="s">
        <v>7</v>
      </c>
      <c r="B1296" s="1">
        <v>45314.916666666664</v>
      </c>
      <c r="C1296">
        <v>0</v>
      </c>
      <c r="D1296">
        <v>0</v>
      </c>
    </row>
    <row r="1297" spans="1:4" x14ac:dyDescent="0.3">
      <c r="A1297" t="s">
        <v>7</v>
      </c>
      <c r="B1297" s="1">
        <v>45314.958333333336</v>
      </c>
      <c r="C1297">
        <v>0</v>
      </c>
      <c r="D1297">
        <v>0</v>
      </c>
    </row>
    <row r="1298" spans="1:4" x14ac:dyDescent="0.3">
      <c r="A1298" t="s">
        <v>7</v>
      </c>
      <c r="B1298" s="1">
        <v>45315</v>
      </c>
      <c r="C1298">
        <v>0</v>
      </c>
      <c r="D1298">
        <v>0</v>
      </c>
    </row>
    <row r="1299" spans="1:4" x14ac:dyDescent="0.3">
      <c r="A1299" t="s">
        <v>7</v>
      </c>
      <c r="B1299" s="1">
        <v>45315.041666666664</v>
      </c>
      <c r="C1299">
        <v>0</v>
      </c>
      <c r="D1299">
        <v>0</v>
      </c>
    </row>
    <row r="1300" spans="1:4" x14ac:dyDescent="0.3">
      <c r="A1300" t="s">
        <v>7</v>
      </c>
      <c r="B1300" s="1">
        <v>45315.083333333336</v>
      </c>
      <c r="C1300">
        <v>0</v>
      </c>
      <c r="D1300">
        <v>0</v>
      </c>
    </row>
    <row r="1301" spans="1:4" x14ac:dyDescent="0.3">
      <c r="A1301" t="s">
        <v>7</v>
      </c>
      <c r="B1301" s="1">
        <v>45315.125</v>
      </c>
      <c r="C1301">
        <v>0</v>
      </c>
      <c r="D1301">
        <v>0</v>
      </c>
    </row>
    <row r="1302" spans="1:4" x14ac:dyDescent="0.3">
      <c r="A1302" t="s">
        <v>7</v>
      </c>
      <c r="B1302" s="1">
        <v>45315.166666666664</v>
      </c>
      <c r="C1302">
        <v>0</v>
      </c>
      <c r="D1302">
        <v>0</v>
      </c>
    </row>
    <row r="1303" spans="1:4" x14ac:dyDescent="0.3">
      <c r="A1303" t="s">
        <v>7</v>
      </c>
      <c r="B1303" s="1">
        <v>45315.208333333336</v>
      </c>
      <c r="C1303">
        <v>0</v>
      </c>
      <c r="D1303">
        <v>0</v>
      </c>
    </row>
    <row r="1304" spans="1:4" x14ac:dyDescent="0.3">
      <c r="A1304" t="s">
        <v>7</v>
      </c>
      <c r="B1304" s="1">
        <v>45315.25</v>
      </c>
      <c r="C1304">
        <v>0</v>
      </c>
      <c r="D1304">
        <v>0</v>
      </c>
    </row>
    <row r="1305" spans="1:4" x14ac:dyDescent="0.3">
      <c r="A1305" t="s">
        <v>7</v>
      </c>
      <c r="B1305" s="1">
        <v>45315.291666666664</v>
      </c>
      <c r="C1305">
        <v>155.291427061512</v>
      </c>
      <c r="D1305">
        <v>207.05523608201599</v>
      </c>
    </row>
    <row r="1306" spans="1:4" x14ac:dyDescent="0.3">
      <c r="A1306" t="s">
        <v>7</v>
      </c>
      <c r="B1306" s="1">
        <v>45315.333333333336</v>
      </c>
      <c r="C1306">
        <v>300</v>
      </c>
      <c r="D1306">
        <v>399.99999999999898</v>
      </c>
    </row>
    <row r="1307" spans="1:4" x14ac:dyDescent="0.3">
      <c r="A1307" t="s">
        <v>7</v>
      </c>
      <c r="B1307" s="1">
        <v>45315.375</v>
      </c>
      <c r="C1307">
        <v>424.26406871192802</v>
      </c>
      <c r="D1307">
        <v>565.68542494923804</v>
      </c>
    </row>
    <row r="1308" spans="1:4" x14ac:dyDescent="0.3">
      <c r="A1308" t="s">
        <v>7</v>
      </c>
      <c r="B1308" s="1">
        <v>45315.416666666664</v>
      </c>
      <c r="C1308">
        <v>519.61524227066297</v>
      </c>
      <c r="D1308">
        <v>692.82032302754999</v>
      </c>
    </row>
    <row r="1309" spans="1:4" x14ac:dyDescent="0.3">
      <c r="A1309" t="s">
        <v>7</v>
      </c>
      <c r="B1309" s="1">
        <v>45315.458333333336</v>
      </c>
      <c r="C1309">
        <v>579.55549577344095</v>
      </c>
      <c r="D1309">
        <v>772.74066103125404</v>
      </c>
    </row>
    <row r="1310" spans="1:4" x14ac:dyDescent="0.3">
      <c r="A1310" t="s">
        <v>7</v>
      </c>
      <c r="B1310" s="1">
        <v>45315.5</v>
      </c>
      <c r="C1310">
        <v>600</v>
      </c>
      <c r="D1310">
        <v>800</v>
      </c>
    </row>
    <row r="1311" spans="1:4" x14ac:dyDescent="0.3">
      <c r="A1311" t="s">
        <v>7</v>
      </c>
      <c r="B1311" s="1">
        <v>45315.541666666664</v>
      </c>
      <c r="C1311">
        <v>579.55549577344095</v>
      </c>
      <c r="D1311">
        <v>772.74066103125404</v>
      </c>
    </row>
    <row r="1312" spans="1:4" x14ac:dyDescent="0.3">
      <c r="A1312" t="s">
        <v>7</v>
      </c>
      <c r="B1312" s="1">
        <v>45315.583333333336</v>
      </c>
      <c r="C1312">
        <v>519.61524227066297</v>
      </c>
      <c r="D1312">
        <v>692.82032302755101</v>
      </c>
    </row>
    <row r="1313" spans="1:4" x14ac:dyDescent="0.3">
      <c r="A1313" t="s">
        <v>7</v>
      </c>
      <c r="B1313" s="1">
        <v>45315.625</v>
      </c>
      <c r="C1313">
        <v>424.26406871192802</v>
      </c>
      <c r="D1313">
        <v>565.68542494923804</v>
      </c>
    </row>
    <row r="1314" spans="1:4" x14ac:dyDescent="0.3">
      <c r="A1314" t="s">
        <v>7</v>
      </c>
      <c r="B1314" s="1">
        <v>45315.666666666664</v>
      </c>
      <c r="C1314">
        <v>300</v>
      </c>
      <c r="D1314">
        <v>399.99999999999898</v>
      </c>
    </row>
    <row r="1315" spans="1:4" x14ac:dyDescent="0.3">
      <c r="A1315" t="s">
        <v>7</v>
      </c>
      <c r="B1315" s="1">
        <v>45315.708333333336</v>
      </c>
      <c r="C1315">
        <v>155.291427061512</v>
      </c>
      <c r="D1315">
        <v>207.05523608201599</v>
      </c>
    </row>
    <row r="1316" spans="1:4" x14ac:dyDescent="0.3">
      <c r="A1316" t="s">
        <v>7</v>
      </c>
      <c r="B1316" s="1">
        <v>45315.75</v>
      </c>
      <c r="C1316" s="2">
        <v>7.3478807948841102E-14</v>
      </c>
      <c r="D1316" s="2">
        <v>9.7971743931788194E-14</v>
      </c>
    </row>
    <row r="1317" spans="1:4" x14ac:dyDescent="0.3">
      <c r="A1317" t="s">
        <v>7</v>
      </c>
      <c r="B1317" s="1">
        <v>45315.791666666664</v>
      </c>
      <c r="C1317">
        <v>0</v>
      </c>
      <c r="D1317">
        <v>0</v>
      </c>
    </row>
    <row r="1318" spans="1:4" x14ac:dyDescent="0.3">
      <c r="A1318" t="s">
        <v>7</v>
      </c>
      <c r="B1318" s="1">
        <v>45315.833333333336</v>
      </c>
      <c r="C1318">
        <v>0</v>
      </c>
      <c r="D1318">
        <v>0</v>
      </c>
    </row>
    <row r="1319" spans="1:4" x14ac:dyDescent="0.3">
      <c r="A1319" t="s">
        <v>7</v>
      </c>
      <c r="B1319" s="1">
        <v>45315.875</v>
      </c>
      <c r="C1319">
        <v>0</v>
      </c>
      <c r="D1319">
        <v>0</v>
      </c>
    </row>
    <row r="1320" spans="1:4" x14ac:dyDescent="0.3">
      <c r="A1320" t="s">
        <v>7</v>
      </c>
      <c r="B1320" s="1">
        <v>45315.916666666664</v>
      </c>
      <c r="C1320">
        <v>0</v>
      </c>
      <c r="D1320">
        <v>0</v>
      </c>
    </row>
    <row r="1321" spans="1:4" x14ac:dyDescent="0.3">
      <c r="A1321" t="s">
        <v>7</v>
      </c>
      <c r="B1321" s="1">
        <v>45315.958333333336</v>
      </c>
      <c r="C1321">
        <v>0</v>
      </c>
      <c r="D1321">
        <v>0</v>
      </c>
    </row>
    <row r="1322" spans="1:4" x14ac:dyDescent="0.3">
      <c r="A1322" t="s">
        <v>7</v>
      </c>
      <c r="B1322" s="1">
        <v>45316</v>
      </c>
      <c r="C1322">
        <v>0</v>
      </c>
      <c r="D1322">
        <v>0</v>
      </c>
    </row>
    <row r="1323" spans="1:4" x14ac:dyDescent="0.3">
      <c r="A1323" t="s">
        <v>7</v>
      </c>
      <c r="B1323" s="1">
        <v>45316.041666666664</v>
      </c>
      <c r="C1323">
        <v>0</v>
      </c>
      <c r="D1323">
        <v>0</v>
      </c>
    </row>
    <row r="1324" spans="1:4" x14ac:dyDescent="0.3">
      <c r="A1324" t="s">
        <v>7</v>
      </c>
      <c r="B1324" s="1">
        <v>45316.083333333336</v>
      </c>
      <c r="C1324">
        <v>0</v>
      </c>
      <c r="D1324">
        <v>0</v>
      </c>
    </row>
    <row r="1325" spans="1:4" x14ac:dyDescent="0.3">
      <c r="A1325" t="s">
        <v>7</v>
      </c>
      <c r="B1325" s="1">
        <v>45316.125</v>
      </c>
      <c r="C1325">
        <v>0</v>
      </c>
      <c r="D1325">
        <v>0</v>
      </c>
    </row>
    <row r="1326" spans="1:4" x14ac:dyDescent="0.3">
      <c r="A1326" t="s">
        <v>7</v>
      </c>
      <c r="B1326" s="1">
        <v>45316.166666666664</v>
      </c>
      <c r="C1326">
        <v>0</v>
      </c>
      <c r="D1326">
        <v>0</v>
      </c>
    </row>
    <row r="1327" spans="1:4" x14ac:dyDescent="0.3">
      <c r="A1327" t="s">
        <v>7</v>
      </c>
      <c r="B1327" s="1">
        <v>45316.208333333336</v>
      </c>
      <c r="C1327">
        <v>0</v>
      </c>
      <c r="D1327">
        <v>0</v>
      </c>
    </row>
    <row r="1328" spans="1:4" x14ac:dyDescent="0.3">
      <c r="A1328" t="s">
        <v>7</v>
      </c>
      <c r="B1328" s="1">
        <v>45316.25</v>
      </c>
      <c r="C1328">
        <v>0</v>
      </c>
      <c r="D1328">
        <v>0</v>
      </c>
    </row>
    <row r="1329" spans="1:4" x14ac:dyDescent="0.3">
      <c r="A1329" t="s">
        <v>7</v>
      </c>
      <c r="B1329" s="1">
        <v>45316.291666666664</v>
      </c>
      <c r="C1329">
        <v>155.291427061512</v>
      </c>
      <c r="D1329">
        <v>207.05523608201599</v>
      </c>
    </row>
    <row r="1330" spans="1:4" x14ac:dyDescent="0.3">
      <c r="A1330" t="s">
        <v>7</v>
      </c>
      <c r="B1330" s="1">
        <v>45316.333333333336</v>
      </c>
      <c r="C1330">
        <v>300</v>
      </c>
      <c r="D1330">
        <v>399.99999999999898</v>
      </c>
    </row>
    <row r="1331" spans="1:4" x14ac:dyDescent="0.3">
      <c r="A1331" t="s">
        <v>7</v>
      </c>
      <c r="B1331" s="1">
        <v>45316.375</v>
      </c>
      <c r="C1331">
        <v>424.26406871192802</v>
      </c>
      <c r="D1331">
        <v>565.68542494923804</v>
      </c>
    </row>
    <row r="1332" spans="1:4" x14ac:dyDescent="0.3">
      <c r="A1332" t="s">
        <v>7</v>
      </c>
      <c r="B1332" s="1">
        <v>45316.416666666664</v>
      </c>
      <c r="C1332">
        <v>519.61524227066297</v>
      </c>
      <c r="D1332">
        <v>692.82032302754999</v>
      </c>
    </row>
    <row r="1333" spans="1:4" x14ac:dyDescent="0.3">
      <c r="A1333" t="s">
        <v>7</v>
      </c>
      <c r="B1333" s="1">
        <v>45316.458333333336</v>
      </c>
      <c r="C1333">
        <v>579.55549577344095</v>
      </c>
      <c r="D1333">
        <v>772.74066103125404</v>
      </c>
    </row>
    <row r="1334" spans="1:4" x14ac:dyDescent="0.3">
      <c r="A1334" t="s">
        <v>7</v>
      </c>
      <c r="B1334" s="1">
        <v>45316.5</v>
      </c>
      <c r="C1334">
        <v>600</v>
      </c>
      <c r="D1334">
        <v>800</v>
      </c>
    </row>
    <row r="1335" spans="1:4" x14ac:dyDescent="0.3">
      <c r="A1335" t="s">
        <v>7</v>
      </c>
      <c r="B1335" s="1">
        <v>45316.541666666664</v>
      </c>
      <c r="C1335">
        <v>579.55549577344095</v>
      </c>
      <c r="D1335">
        <v>772.74066103125404</v>
      </c>
    </row>
    <row r="1336" spans="1:4" x14ac:dyDescent="0.3">
      <c r="A1336" t="s">
        <v>7</v>
      </c>
      <c r="B1336" s="1">
        <v>45316.583333333336</v>
      </c>
      <c r="C1336">
        <v>519.61524227066297</v>
      </c>
      <c r="D1336">
        <v>692.82032302755101</v>
      </c>
    </row>
    <row r="1337" spans="1:4" x14ac:dyDescent="0.3">
      <c r="A1337" t="s">
        <v>7</v>
      </c>
      <c r="B1337" s="1">
        <v>45316.625</v>
      </c>
      <c r="C1337">
        <v>424.26406871192802</v>
      </c>
      <c r="D1337">
        <v>565.68542494923804</v>
      </c>
    </row>
    <row r="1338" spans="1:4" x14ac:dyDescent="0.3">
      <c r="A1338" t="s">
        <v>7</v>
      </c>
      <c r="B1338" s="1">
        <v>45316.666666666664</v>
      </c>
      <c r="C1338">
        <v>300</v>
      </c>
      <c r="D1338">
        <v>399.99999999999898</v>
      </c>
    </row>
    <row r="1339" spans="1:4" x14ac:dyDescent="0.3">
      <c r="A1339" t="s">
        <v>7</v>
      </c>
      <c r="B1339" s="1">
        <v>45316.708333333336</v>
      </c>
      <c r="C1339">
        <v>155.291427061512</v>
      </c>
      <c r="D1339">
        <v>207.05523608201599</v>
      </c>
    </row>
    <row r="1340" spans="1:4" x14ac:dyDescent="0.3">
      <c r="A1340" t="s">
        <v>7</v>
      </c>
      <c r="B1340" s="1">
        <v>45316.75</v>
      </c>
      <c r="C1340" s="2">
        <v>7.3478807948841102E-14</v>
      </c>
      <c r="D1340" s="2">
        <v>9.7971743931788194E-14</v>
      </c>
    </row>
    <row r="1341" spans="1:4" x14ac:dyDescent="0.3">
      <c r="A1341" t="s">
        <v>7</v>
      </c>
      <c r="B1341" s="1">
        <v>45316.791666666664</v>
      </c>
      <c r="C1341">
        <v>0</v>
      </c>
      <c r="D1341">
        <v>0</v>
      </c>
    </row>
    <row r="1342" spans="1:4" x14ac:dyDescent="0.3">
      <c r="A1342" t="s">
        <v>7</v>
      </c>
      <c r="B1342" s="1">
        <v>45316.833333333336</v>
      </c>
      <c r="C1342">
        <v>0</v>
      </c>
      <c r="D1342">
        <v>0</v>
      </c>
    </row>
    <row r="1343" spans="1:4" x14ac:dyDescent="0.3">
      <c r="A1343" t="s">
        <v>7</v>
      </c>
      <c r="B1343" s="1">
        <v>45316.875</v>
      </c>
      <c r="C1343">
        <v>0</v>
      </c>
      <c r="D1343">
        <v>0</v>
      </c>
    </row>
    <row r="1344" spans="1:4" x14ac:dyDescent="0.3">
      <c r="A1344" t="s">
        <v>7</v>
      </c>
      <c r="B1344" s="1">
        <v>45316.916666666664</v>
      </c>
      <c r="C1344">
        <v>0</v>
      </c>
      <c r="D1344">
        <v>0</v>
      </c>
    </row>
    <row r="1345" spans="1:4" x14ac:dyDescent="0.3">
      <c r="A1345" t="s">
        <v>7</v>
      </c>
      <c r="B1345" s="1">
        <v>45316.958333333336</v>
      </c>
      <c r="C1345">
        <v>0</v>
      </c>
      <c r="D1345">
        <v>0</v>
      </c>
    </row>
    <row r="1346" spans="1:4" x14ac:dyDescent="0.3">
      <c r="A1346" t="s">
        <v>7</v>
      </c>
      <c r="B1346" s="1">
        <v>45317</v>
      </c>
      <c r="C1346">
        <v>0</v>
      </c>
      <c r="D1346">
        <v>0</v>
      </c>
    </row>
    <row r="1347" spans="1:4" x14ac:dyDescent="0.3">
      <c r="A1347" t="s">
        <v>7</v>
      </c>
      <c r="B1347" s="1">
        <v>45317.041666666664</v>
      </c>
      <c r="C1347">
        <v>0</v>
      </c>
      <c r="D1347">
        <v>0</v>
      </c>
    </row>
    <row r="1348" spans="1:4" x14ac:dyDescent="0.3">
      <c r="A1348" t="s">
        <v>7</v>
      </c>
      <c r="B1348" s="1">
        <v>45317.083333333336</v>
      </c>
      <c r="C1348">
        <v>0</v>
      </c>
      <c r="D1348">
        <v>0</v>
      </c>
    </row>
    <row r="1349" spans="1:4" x14ac:dyDescent="0.3">
      <c r="A1349" t="s">
        <v>7</v>
      </c>
      <c r="B1349" s="1">
        <v>45317.125</v>
      </c>
      <c r="C1349">
        <v>0</v>
      </c>
      <c r="D1349">
        <v>0</v>
      </c>
    </row>
    <row r="1350" spans="1:4" x14ac:dyDescent="0.3">
      <c r="A1350" t="s">
        <v>7</v>
      </c>
      <c r="B1350" s="1">
        <v>45317.166666666664</v>
      </c>
      <c r="C1350">
        <v>0</v>
      </c>
      <c r="D1350">
        <v>0</v>
      </c>
    </row>
    <row r="1351" spans="1:4" x14ac:dyDescent="0.3">
      <c r="A1351" t="s">
        <v>7</v>
      </c>
      <c r="B1351" s="1">
        <v>45317.208333333336</v>
      </c>
      <c r="C1351">
        <v>0</v>
      </c>
      <c r="D1351">
        <v>0</v>
      </c>
    </row>
    <row r="1352" spans="1:4" x14ac:dyDescent="0.3">
      <c r="A1352" t="s">
        <v>7</v>
      </c>
      <c r="B1352" s="1">
        <v>45317.25</v>
      </c>
      <c r="C1352">
        <v>0</v>
      </c>
      <c r="D1352">
        <v>0</v>
      </c>
    </row>
    <row r="1353" spans="1:4" x14ac:dyDescent="0.3">
      <c r="A1353" t="s">
        <v>7</v>
      </c>
      <c r="B1353" s="1">
        <v>45317.291666666664</v>
      </c>
      <c r="C1353">
        <v>155.291427061512</v>
      </c>
      <c r="D1353">
        <v>207.05523608201599</v>
      </c>
    </row>
    <row r="1354" spans="1:4" x14ac:dyDescent="0.3">
      <c r="A1354" t="s">
        <v>7</v>
      </c>
      <c r="B1354" s="1">
        <v>45317.333333333336</v>
      </c>
      <c r="C1354">
        <v>300</v>
      </c>
      <c r="D1354">
        <v>399.99999999999898</v>
      </c>
    </row>
    <row r="1355" spans="1:4" x14ac:dyDescent="0.3">
      <c r="A1355" t="s">
        <v>7</v>
      </c>
      <c r="B1355" s="1">
        <v>45317.375</v>
      </c>
      <c r="C1355">
        <v>424.26406871192802</v>
      </c>
      <c r="D1355">
        <v>565.68542494923804</v>
      </c>
    </row>
    <row r="1356" spans="1:4" x14ac:dyDescent="0.3">
      <c r="A1356" t="s">
        <v>7</v>
      </c>
      <c r="B1356" s="1">
        <v>45317.416666666664</v>
      </c>
      <c r="C1356">
        <v>519.61524227066297</v>
      </c>
      <c r="D1356">
        <v>692.82032302754999</v>
      </c>
    </row>
    <row r="1357" spans="1:4" x14ac:dyDescent="0.3">
      <c r="A1357" t="s">
        <v>7</v>
      </c>
      <c r="B1357" s="1">
        <v>45317.458333333336</v>
      </c>
      <c r="C1357">
        <v>579.55549577344095</v>
      </c>
      <c r="D1357">
        <v>772.74066103125404</v>
      </c>
    </row>
    <row r="1358" spans="1:4" x14ac:dyDescent="0.3">
      <c r="A1358" t="s">
        <v>7</v>
      </c>
      <c r="B1358" s="1">
        <v>45317.5</v>
      </c>
      <c r="C1358">
        <v>600</v>
      </c>
      <c r="D1358">
        <v>800</v>
      </c>
    </row>
    <row r="1359" spans="1:4" x14ac:dyDescent="0.3">
      <c r="A1359" t="s">
        <v>7</v>
      </c>
      <c r="B1359" s="1">
        <v>45317.541666666664</v>
      </c>
      <c r="C1359">
        <v>579.55549577344095</v>
      </c>
      <c r="D1359">
        <v>772.74066103125404</v>
      </c>
    </row>
    <row r="1360" spans="1:4" x14ac:dyDescent="0.3">
      <c r="A1360" t="s">
        <v>7</v>
      </c>
      <c r="B1360" s="1">
        <v>45317.583333333336</v>
      </c>
      <c r="C1360">
        <v>519.61524227066297</v>
      </c>
      <c r="D1360">
        <v>692.82032302755101</v>
      </c>
    </row>
    <row r="1361" spans="1:4" x14ac:dyDescent="0.3">
      <c r="A1361" t="s">
        <v>7</v>
      </c>
      <c r="B1361" s="1">
        <v>45317.625</v>
      </c>
      <c r="C1361">
        <v>424.26406871192802</v>
      </c>
      <c r="D1361">
        <v>565.68542494923804</v>
      </c>
    </row>
    <row r="1362" spans="1:4" x14ac:dyDescent="0.3">
      <c r="A1362" t="s">
        <v>7</v>
      </c>
      <c r="B1362" s="1">
        <v>45317.666666666664</v>
      </c>
      <c r="C1362">
        <v>300</v>
      </c>
      <c r="D1362">
        <v>399.99999999999898</v>
      </c>
    </row>
    <row r="1363" spans="1:4" x14ac:dyDescent="0.3">
      <c r="A1363" t="s">
        <v>7</v>
      </c>
      <c r="B1363" s="1">
        <v>45317.708333333336</v>
      </c>
      <c r="C1363">
        <v>155.291427061512</v>
      </c>
      <c r="D1363">
        <v>207.05523608201599</v>
      </c>
    </row>
    <row r="1364" spans="1:4" x14ac:dyDescent="0.3">
      <c r="A1364" t="s">
        <v>7</v>
      </c>
      <c r="B1364" s="1">
        <v>45317.75</v>
      </c>
      <c r="C1364" s="2">
        <v>7.3478807948841102E-14</v>
      </c>
      <c r="D1364" s="2">
        <v>9.7971743931788194E-14</v>
      </c>
    </row>
    <row r="1365" spans="1:4" x14ac:dyDescent="0.3">
      <c r="A1365" t="s">
        <v>7</v>
      </c>
      <c r="B1365" s="1">
        <v>45317.791666666664</v>
      </c>
      <c r="C1365">
        <v>0</v>
      </c>
      <c r="D1365">
        <v>0</v>
      </c>
    </row>
    <row r="1366" spans="1:4" x14ac:dyDescent="0.3">
      <c r="A1366" t="s">
        <v>7</v>
      </c>
      <c r="B1366" s="1">
        <v>45317.833333333336</v>
      </c>
      <c r="C1366">
        <v>0</v>
      </c>
      <c r="D1366">
        <v>0</v>
      </c>
    </row>
    <row r="1367" spans="1:4" x14ac:dyDescent="0.3">
      <c r="A1367" t="s">
        <v>7</v>
      </c>
      <c r="B1367" s="1">
        <v>45317.875</v>
      </c>
      <c r="C1367">
        <v>0</v>
      </c>
      <c r="D1367">
        <v>0</v>
      </c>
    </row>
    <row r="1368" spans="1:4" x14ac:dyDescent="0.3">
      <c r="A1368" t="s">
        <v>7</v>
      </c>
      <c r="B1368" s="1">
        <v>45317.916666666664</v>
      </c>
      <c r="C1368">
        <v>0</v>
      </c>
      <c r="D1368">
        <v>0</v>
      </c>
    </row>
    <row r="1369" spans="1:4" x14ac:dyDescent="0.3">
      <c r="A1369" t="s">
        <v>7</v>
      </c>
      <c r="B1369" s="1">
        <v>45317.958333333336</v>
      </c>
      <c r="C1369">
        <v>0</v>
      </c>
      <c r="D1369">
        <v>0</v>
      </c>
    </row>
    <row r="1370" spans="1:4" x14ac:dyDescent="0.3">
      <c r="A1370" t="s">
        <v>7</v>
      </c>
      <c r="B1370" s="1">
        <v>45318</v>
      </c>
      <c r="C1370">
        <v>0</v>
      </c>
      <c r="D1370">
        <v>0</v>
      </c>
    </row>
    <row r="1371" spans="1:4" x14ac:dyDescent="0.3">
      <c r="A1371" t="s">
        <v>7</v>
      </c>
      <c r="B1371" s="1">
        <v>45318.041666666664</v>
      </c>
      <c r="C1371">
        <v>0</v>
      </c>
      <c r="D1371">
        <v>0</v>
      </c>
    </row>
    <row r="1372" spans="1:4" x14ac:dyDescent="0.3">
      <c r="A1372" t="s">
        <v>7</v>
      </c>
      <c r="B1372" s="1">
        <v>45318.083333333336</v>
      </c>
      <c r="C1372">
        <v>0</v>
      </c>
      <c r="D1372">
        <v>0</v>
      </c>
    </row>
    <row r="1373" spans="1:4" x14ac:dyDescent="0.3">
      <c r="A1373" t="s">
        <v>7</v>
      </c>
      <c r="B1373" s="1">
        <v>45318.125</v>
      </c>
      <c r="C1373">
        <v>0</v>
      </c>
      <c r="D1373">
        <v>0</v>
      </c>
    </row>
    <row r="1374" spans="1:4" x14ac:dyDescent="0.3">
      <c r="A1374" t="s">
        <v>7</v>
      </c>
      <c r="B1374" s="1">
        <v>45318.166666666664</v>
      </c>
      <c r="C1374">
        <v>0</v>
      </c>
      <c r="D1374">
        <v>0</v>
      </c>
    </row>
    <row r="1375" spans="1:4" x14ac:dyDescent="0.3">
      <c r="A1375" t="s">
        <v>7</v>
      </c>
      <c r="B1375" s="1">
        <v>45318.208333333336</v>
      </c>
      <c r="C1375">
        <v>0</v>
      </c>
      <c r="D1375">
        <v>0</v>
      </c>
    </row>
    <row r="1376" spans="1:4" x14ac:dyDescent="0.3">
      <c r="A1376" t="s">
        <v>7</v>
      </c>
      <c r="B1376" s="1">
        <v>45318.25</v>
      </c>
      <c r="C1376">
        <v>0</v>
      </c>
      <c r="D1376">
        <v>0</v>
      </c>
    </row>
    <row r="1377" spans="1:4" x14ac:dyDescent="0.3">
      <c r="A1377" t="s">
        <v>7</v>
      </c>
      <c r="B1377" s="1">
        <v>45318.291666666664</v>
      </c>
      <c r="C1377">
        <v>155.291427061512</v>
      </c>
      <c r="D1377">
        <v>207.05523608201599</v>
      </c>
    </row>
    <row r="1378" spans="1:4" x14ac:dyDescent="0.3">
      <c r="A1378" t="s">
        <v>7</v>
      </c>
      <c r="B1378" s="1">
        <v>45318.333333333336</v>
      </c>
      <c r="C1378">
        <v>300</v>
      </c>
      <c r="D1378">
        <v>399.99999999999898</v>
      </c>
    </row>
    <row r="1379" spans="1:4" x14ac:dyDescent="0.3">
      <c r="A1379" t="s">
        <v>7</v>
      </c>
      <c r="B1379" s="1">
        <v>45318.375</v>
      </c>
      <c r="C1379">
        <v>424.26406871192802</v>
      </c>
      <c r="D1379">
        <v>565.68542494923804</v>
      </c>
    </row>
    <row r="1380" spans="1:4" x14ac:dyDescent="0.3">
      <c r="A1380" t="s">
        <v>7</v>
      </c>
      <c r="B1380" s="1">
        <v>45318.416666666664</v>
      </c>
      <c r="C1380">
        <v>519.61524227066297</v>
      </c>
      <c r="D1380">
        <v>692.82032302754999</v>
      </c>
    </row>
    <row r="1381" spans="1:4" x14ac:dyDescent="0.3">
      <c r="A1381" t="s">
        <v>7</v>
      </c>
      <c r="B1381" s="1">
        <v>45318.458333333336</v>
      </c>
      <c r="C1381">
        <v>579.55549577344095</v>
      </c>
      <c r="D1381">
        <v>772.74066103125404</v>
      </c>
    </row>
    <row r="1382" spans="1:4" x14ac:dyDescent="0.3">
      <c r="A1382" t="s">
        <v>7</v>
      </c>
      <c r="B1382" s="1">
        <v>45318.5</v>
      </c>
      <c r="C1382">
        <v>600</v>
      </c>
      <c r="D1382">
        <v>800</v>
      </c>
    </row>
    <row r="1383" spans="1:4" x14ac:dyDescent="0.3">
      <c r="A1383" t="s">
        <v>7</v>
      </c>
      <c r="B1383" s="1">
        <v>45318.541666666664</v>
      </c>
      <c r="C1383">
        <v>579.55549577344095</v>
      </c>
      <c r="D1383">
        <v>772.74066103125404</v>
      </c>
    </row>
    <row r="1384" spans="1:4" x14ac:dyDescent="0.3">
      <c r="A1384" t="s">
        <v>7</v>
      </c>
      <c r="B1384" s="1">
        <v>45318.583333333336</v>
      </c>
      <c r="C1384">
        <v>519.61524227066297</v>
      </c>
      <c r="D1384">
        <v>692.82032302755101</v>
      </c>
    </row>
    <row r="1385" spans="1:4" x14ac:dyDescent="0.3">
      <c r="A1385" t="s">
        <v>7</v>
      </c>
      <c r="B1385" s="1">
        <v>45318.625</v>
      </c>
      <c r="C1385">
        <v>424.26406871192802</v>
      </c>
      <c r="D1385">
        <v>565.68542494923804</v>
      </c>
    </row>
    <row r="1386" spans="1:4" x14ac:dyDescent="0.3">
      <c r="A1386" t="s">
        <v>7</v>
      </c>
      <c r="B1386" s="1">
        <v>45318.666666666664</v>
      </c>
      <c r="C1386">
        <v>300</v>
      </c>
      <c r="D1386">
        <v>399.99999999999898</v>
      </c>
    </row>
    <row r="1387" spans="1:4" x14ac:dyDescent="0.3">
      <c r="A1387" t="s">
        <v>7</v>
      </c>
      <c r="B1387" s="1">
        <v>45318.708333333336</v>
      </c>
      <c r="C1387">
        <v>155.291427061512</v>
      </c>
      <c r="D1387">
        <v>207.05523608201599</v>
      </c>
    </row>
    <row r="1388" spans="1:4" x14ac:dyDescent="0.3">
      <c r="A1388" t="s">
        <v>7</v>
      </c>
      <c r="B1388" s="1">
        <v>45318.75</v>
      </c>
      <c r="C1388" s="2">
        <v>7.3478807948841102E-14</v>
      </c>
      <c r="D1388" s="2">
        <v>9.7971743931788194E-14</v>
      </c>
    </row>
    <row r="1389" spans="1:4" x14ac:dyDescent="0.3">
      <c r="A1389" t="s">
        <v>7</v>
      </c>
      <c r="B1389" s="1">
        <v>45318.791666666664</v>
      </c>
      <c r="C1389">
        <v>0</v>
      </c>
      <c r="D1389">
        <v>0</v>
      </c>
    </row>
    <row r="1390" spans="1:4" x14ac:dyDescent="0.3">
      <c r="A1390" t="s">
        <v>7</v>
      </c>
      <c r="B1390" s="1">
        <v>45318.833333333336</v>
      </c>
      <c r="C1390">
        <v>0</v>
      </c>
      <c r="D1390">
        <v>0</v>
      </c>
    </row>
    <row r="1391" spans="1:4" x14ac:dyDescent="0.3">
      <c r="A1391" t="s">
        <v>7</v>
      </c>
      <c r="B1391" s="1">
        <v>45318.875</v>
      </c>
      <c r="C1391">
        <v>0</v>
      </c>
      <c r="D1391">
        <v>0</v>
      </c>
    </row>
    <row r="1392" spans="1:4" x14ac:dyDescent="0.3">
      <c r="A1392" t="s">
        <v>7</v>
      </c>
      <c r="B1392" s="1">
        <v>45318.916666666664</v>
      </c>
      <c r="C1392">
        <v>0</v>
      </c>
      <c r="D1392">
        <v>0</v>
      </c>
    </row>
    <row r="1393" spans="1:4" x14ac:dyDescent="0.3">
      <c r="A1393" t="s">
        <v>7</v>
      </c>
      <c r="B1393" s="1">
        <v>45318.958333333336</v>
      </c>
      <c r="C1393">
        <v>0</v>
      </c>
      <c r="D1393">
        <v>0</v>
      </c>
    </row>
    <row r="1394" spans="1:4" x14ac:dyDescent="0.3">
      <c r="A1394" t="s">
        <v>7</v>
      </c>
      <c r="B1394" s="1">
        <v>45319</v>
      </c>
      <c r="C1394">
        <v>0</v>
      </c>
      <c r="D1394">
        <v>0</v>
      </c>
    </row>
    <row r="1395" spans="1:4" x14ac:dyDescent="0.3">
      <c r="A1395" t="s">
        <v>7</v>
      </c>
      <c r="B1395" s="1">
        <v>45319.041666666664</v>
      </c>
      <c r="C1395">
        <v>0</v>
      </c>
      <c r="D1395">
        <v>0</v>
      </c>
    </row>
    <row r="1396" spans="1:4" x14ac:dyDescent="0.3">
      <c r="A1396" t="s">
        <v>7</v>
      </c>
      <c r="B1396" s="1">
        <v>45319.083333333336</v>
      </c>
      <c r="C1396">
        <v>0</v>
      </c>
      <c r="D1396">
        <v>0</v>
      </c>
    </row>
    <row r="1397" spans="1:4" x14ac:dyDescent="0.3">
      <c r="A1397" t="s">
        <v>7</v>
      </c>
      <c r="B1397" s="1">
        <v>45319.125</v>
      </c>
      <c r="C1397">
        <v>0</v>
      </c>
      <c r="D1397">
        <v>0</v>
      </c>
    </row>
    <row r="1398" spans="1:4" x14ac:dyDescent="0.3">
      <c r="A1398" t="s">
        <v>7</v>
      </c>
      <c r="B1398" s="1">
        <v>45319.166666666664</v>
      </c>
      <c r="C1398">
        <v>0</v>
      </c>
      <c r="D1398">
        <v>0</v>
      </c>
    </row>
    <row r="1399" spans="1:4" x14ac:dyDescent="0.3">
      <c r="A1399" t="s">
        <v>7</v>
      </c>
      <c r="B1399" s="1">
        <v>45319.208333333336</v>
      </c>
      <c r="C1399">
        <v>0</v>
      </c>
      <c r="D1399">
        <v>0</v>
      </c>
    </row>
    <row r="1400" spans="1:4" x14ac:dyDescent="0.3">
      <c r="A1400" t="s">
        <v>7</v>
      </c>
      <c r="B1400" s="1">
        <v>45319.25</v>
      </c>
      <c r="C1400">
        <v>0</v>
      </c>
      <c r="D1400">
        <v>0</v>
      </c>
    </row>
    <row r="1401" spans="1:4" x14ac:dyDescent="0.3">
      <c r="A1401" t="s">
        <v>7</v>
      </c>
      <c r="B1401" s="1">
        <v>45319.291666666664</v>
      </c>
      <c r="C1401">
        <v>155.291427061512</v>
      </c>
      <c r="D1401">
        <v>207.05523608201599</v>
      </c>
    </row>
    <row r="1402" spans="1:4" x14ac:dyDescent="0.3">
      <c r="A1402" t="s">
        <v>7</v>
      </c>
      <c r="B1402" s="1">
        <v>45319.333333333336</v>
      </c>
      <c r="C1402">
        <v>300</v>
      </c>
      <c r="D1402">
        <v>399.99999999999898</v>
      </c>
    </row>
    <row r="1403" spans="1:4" x14ac:dyDescent="0.3">
      <c r="A1403" t="s">
        <v>7</v>
      </c>
      <c r="B1403" s="1">
        <v>45319.375</v>
      </c>
      <c r="C1403">
        <v>424.26406871192802</v>
      </c>
      <c r="D1403">
        <v>565.68542494923804</v>
      </c>
    </row>
    <row r="1404" spans="1:4" x14ac:dyDescent="0.3">
      <c r="A1404" t="s">
        <v>7</v>
      </c>
      <c r="B1404" s="1">
        <v>45319.416666666664</v>
      </c>
      <c r="C1404">
        <v>519.61524227066297</v>
      </c>
      <c r="D1404">
        <v>692.82032302754999</v>
      </c>
    </row>
    <row r="1405" spans="1:4" x14ac:dyDescent="0.3">
      <c r="A1405" t="s">
        <v>7</v>
      </c>
      <c r="B1405" s="1">
        <v>45319.458333333336</v>
      </c>
      <c r="C1405">
        <v>579.55549577344095</v>
      </c>
      <c r="D1405">
        <v>772.74066103125404</v>
      </c>
    </row>
    <row r="1406" spans="1:4" x14ac:dyDescent="0.3">
      <c r="A1406" t="s">
        <v>7</v>
      </c>
      <c r="B1406" s="1">
        <v>45319.5</v>
      </c>
      <c r="C1406">
        <v>600</v>
      </c>
      <c r="D1406">
        <v>800</v>
      </c>
    </row>
    <row r="1407" spans="1:4" x14ac:dyDescent="0.3">
      <c r="A1407" t="s">
        <v>7</v>
      </c>
      <c r="B1407" s="1">
        <v>45319.541666666664</v>
      </c>
      <c r="C1407">
        <v>579.55549577344095</v>
      </c>
      <c r="D1407">
        <v>772.74066103125404</v>
      </c>
    </row>
    <row r="1408" spans="1:4" x14ac:dyDescent="0.3">
      <c r="A1408" t="s">
        <v>7</v>
      </c>
      <c r="B1408" s="1">
        <v>45319.583333333336</v>
      </c>
      <c r="C1408">
        <v>519.61524227066297</v>
      </c>
      <c r="D1408">
        <v>692.82032302755101</v>
      </c>
    </row>
    <row r="1409" spans="1:4" x14ac:dyDescent="0.3">
      <c r="A1409" t="s">
        <v>7</v>
      </c>
      <c r="B1409" s="1">
        <v>45319.625</v>
      </c>
      <c r="C1409">
        <v>424.26406871192802</v>
      </c>
      <c r="D1409">
        <v>565.68542494923804</v>
      </c>
    </row>
    <row r="1410" spans="1:4" x14ac:dyDescent="0.3">
      <c r="A1410" t="s">
        <v>7</v>
      </c>
      <c r="B1410" s="1">
        <v>45319.666666666664</v>
      </c>
      <c r="C1410">
        <v>300</v>
      </c>
      <c r="D1410">
        <v>399.99999999999898</v>
      </c>
    </row>
    <row r="1411" spans="1:4" x14ac:dyDescent="0.3">
      <c r="A1411" t="s">
        <v>7</v>
      </c>
      <c r="B1411" s="1">
        <v>45319.708333333336</v>
      </c>
      <c r="C1411">
        <v>155.291427061512</v>
      </c>
      <c r="D1411">
        <v>207.05523608201599</v>
      </c>
    </row>
    <row r="1412" spans="1:4" x14ac:dyDescent="0.3">
      <c r="A1412" t="s">
        <v>7</v>
      </c>
      <c r="B1412" s="1">
        <v>45319.75</v>
      </c>
      <c r="C1412" s="2">
        <v>7.3478807948841102E-14</v>
      </c>
      <c r="D1412" s="2">
        <v>9.7971743931788194E-14</v>
      </c>
    </row>
    <row r="1413" spans="1:4" x14ac:dyDescent="0.3">
      <c r="A1413" t="s">
        <v>7</v>
      </c>
      <c r="B1413" s="1">
        <v>45319.791666666664</v>
      </c>
      <c r="C1413">
        <v>0</v>
      </c>
      <c r="D1413">
        <v>0</v>
      </c>
    </row>
    <row r="1414" spans="1:4" x14ac:dyDescent="0.3">
      <c r="A1414" t="s">
        <v>7</v>
      </c>
      <c r="B1414" s="1">
        <v>45319.833333333336</v>
      </c>
      <c r="C1414">
        <v>0</v>
      </c>
      <c r="D1414">
        <v>0</v>
      </c>
    </row>
    <row r="1415" spans="1:4" x14ac:dyDescent="0.3">
      <c r="A1415" t="s">
        <v>7</v>
      </c>
      <c r="B1415" s="1">
        <v>45319.875</v>
      </c>
      <c r="C1415">
        <v>0</v>
      </c>
      <c r="D1415">
        <v>0</v>
      </c>
    </row>
    <row r="1416" spans="1:4" x14ac:dyDescent="0.3">
      <c r="A1416" t="s">
        <v>7</v>
      </c>
      <c r="B1416" s="1">
        <v>45319.916666666664</v>
      </c>
      <c r="C1416">
        <v>0</v>
      </c>
      <c r="D1416">
        <v>0</v>
      </c>
    </row>
    <row r="1417" spans="1:4" x14ac:dyDescent="0.3">
      <c r="A1417" t="s">
        <v>7</v>
      </c>
      <c r="B1417" s="1">
        <v>45319.958333333336</v>
      </c>
      <c r="C1417">
        <v>0</v>
      </c>
      <c r="D1417">
        <v>0</v>
      </c>
    </row>
    <row r="1418" spans="1:4" x14ac:dyDescent="0.3">
      <c r="A1418" t="s">
        <v>7</v>
      </c>
      <c r="B1418" s="1">
        <v>45320</v>
      </c>
      <c r="C1418">
        <v>0</v>
      </c>
      <c r="D1418">
        <v>0</v>
      </c>
    </row>
    <row r="1419" spans="1:4" x14ac:dyDescent="0.3">
      <c r="A1419" t="s">
        <v>7</v>
      </c>
      <c r="B1419" s="1">
        <v>45320.041666666664</v>
      </c>
      <c r="C1419">
        <v>0</v>
      </c>
      <c r="D1419">
        <v>0</v>
      </c>
    </row>
    <row r="1420" spans="1:4" x14ac:dyDescent="0.3">
      <c r="A1420" t="s">
        <v>7</v>
      </c>
      <c r="B1420" s="1">
        <v>45320.083333333336</v>
      </c>
      <c r="C1420">
        <v>0</v>
      </c>
      <c r="D1420">
        <v>0</v>
      </c>
    </row>
    <row r="1421" spans="1:4" x14ac:dyDescent="0.3">
      <c r="A1421" t="s">
        <v>7</v>
      </c>
      <c r="B1421" s="1">
        <v>45320.125</v>
      </c>
      <c r="C1421">
        <v>0</v>
      </c>
      <c r="D1421">
        <v>0</v>
      </c>
    </row>
    <row r="1422" spans="1:4" x14ac:dyDescent="0.3">
      <c r="A1422" t="s">
        <v>7</v>
      </c>
      <c r="B1422" s="1">
        <v>45320.166666666664</v>
      </c>
      <c r="C1422">
        <v>0</v>
      </c>
      <c r="D1422">
        <v>0</v>
      </c>
    </row>
    <row r="1423" spans="1:4" x14ac:dyDescent="0.3">
      <c r="A1423" t="s">
        <v>7</v>
      </c>
      <c r="B1423" s="1">
        <v>45320.208333333336</v>
      </c>
      <c r="C1423">
        <v>0</v>
      </c>
      <c r="D1423">
        <v>0</v>
      </c>
    </row>
    <row r="1424" spans="1:4" x14ac:dyDescent="0.3">
      <c r="A1424" t="s">
        <v>7</v>
      </c>
      <c r="B1424" s="1">
        <v>45320.25</v>
      </c>
      <c r="C1424">
        <v>0</v>
      </c>
      <c r="D1424">
        <v>0</v>
      </c>
    </row>
    <row r="1425" spans="1:4" x14ac:dyDescent="0.3">
      <c r="A1425" t="s">
        <v>7</v>
      </c>
      <c r="B1425" s="1">
        <v>45320.291666666664</v>
      </c>
      <c r="C1425">
        <v>155.291427061512</v>
      </c>
      <c r="D1425">
        <v>207.05523608201599</v>
      </c>
    </row>
    <row r="1426" spans="1:4" x14ac:dyDescent="0.3">
      <c r="A1426" t="s">
        <v>7</v>
      </c>
      <c r="B1426" s="1">
        <v>45320.333333333336</v>
      </c>
      <c r="C1426">
        <v>300</v>
      </c>
      <c r="D1426">
        <v>399.99999999999898</v>
      </c>
    </row>
    <row r="1427" spans="1:4" x14ac:dyDescent="0.3">
      <c r="A1427" t="s">
        <v>7</v>
      </c>
      <c r="B1427" s="1">
        <v>45320.375</v>
      </c>
      <c r="C1427">
        <v>424.26406871192802</v>
      </c>
      <c r="D1427">
        <v>565.68542494923804</v>
      </c>
    </row>
    <row r="1428" spans="1:4" x14ac:dyDescent="0.3">
      <c r="A1428" t="s">
        <v>7</v>
      </c>
      <c r="B1428" s="1">
        <v>45320.416666666664</v>
      </c>
      <c r="C1428">
        <v>519.61524227066297</v>
      </c>
      <c r="D1428">
        <v>692.82032302754999</v>
      </c>
    </row>
    <row r="1429" spans="1:4" x14ac:dyDescent="0.3">
      <c r="A1429" t="s">
        <v>7</v>
      </c>
      <c r="B1429" s="1">
        <v>45320.458333333336</v>
      </c>
      <c r="C1429">
        <v>579.55549577344095</v>
      </c>
      <c r="D1429">
        <v>772.74066103125404</v>
      </c>
    </row>
    <row r="1430" spans="1:4" x14ac:dyDescent="0.3">
      <c r="A1430" t="s">
        <v>7</v>
      </c>
      <c r="B1430" s="1">
        <v>45320.5</v>
      </c>
      <c r="C1430">
        <v>600</v>
      </c>
      <c r="D1430">
        <v>800</v>
      </c>
    </row>
    <row r="1431" spans="1:4" x14ac:dyDescent="0.3">
      <c r="A1431" t="s">
        <v>7</v>
      </c>
      <c r="B1431" s="1">
        <v>45320.541666666664</v>
      </c>
      <c r="C1431">
        <v>579.55549577344095</v>
      </c>
      <c r="D1431">
        <v>772.74066103125404</v>
      </c>
    </row>
    <row r="1432" spans="1:4" x14ac:dyDescent="0.3">
      <c r="A1432" t="s">
        <v>7</v>
      </c>
      <c r="B1432" s="1">
        <v>45320.583333333336</v>
      </c>
      <c r="C1432">
        <v>519.61524227066297</v>
      </c>
      <c r="D1432">
        <v>692.82032302755101</v>
      </c>
    </row>
    <row r="1433" spans="1:4" x14ac:dyDescent="0.3">
      <c r="A1433" t="s">
        <v>7</v>
      </c>
      <c r="B1433" s="1">
        <v>45320.625</v>
      </c>
      <c r="C1433">
        <v>424.26406871192802</v>
      </c>
      <c r="D1433">
        <v>565.68542494923804</v>
      </c>
    </row>
    <row r="1434" spans="1:4" x14ac:dyDescent="0.3">
      <c r="A1434" t="s">
        <v>7</v>
      </c>
      <c r="B1434" s="1">
        <v>45320.666666666664</v>
      </c>
      <c r="C1434">
        <v>300</v>
      </c>
      <c r="D1434">
        <v>399.99999999999898</v>
      </c>
    </row>
    <row r="1435" spans="1:4" x14ac:dyDescent="0.3">
      <c r="A1435" t="s">
        <v>7</v>
      </c>
      <c r="B1435" s="1">
        <v>45320.708333333336</v>
      </c>
      <c r="C1435">
        <v>155.291427061512</v>
      </c>
      <c r="D1435">
        <v>207.05523608201599</v>
      </c>
    </row>
    <row r="1436" spans="1:4" x14ac:dyDescent="0.3">
      <c r="A1436" t="s">
        <v>7</v>
      </c>
      <c r="B1436" s="1">
        <v>45320.75</v>
      </c>
      <c r="C1436" s="2">
        <v>7.3478807948841102E-14</v>
      </c>
      <c r="D1436" s="2">
        <v>9.7971743931788194E-14</v>
      </c>
    </row>
    <row r="1437" spans="1:4" x14ac:dyDescent="0.3">
      <c r="A1437" t="s">
        <v>7</v>
      </c>
      <c r="B1437" s="1">
        <v>45320.791666666664</v>
      </c>
      <c r="C1437">
        <v>0</v>
      </c>
      <c r="D1437">
        <v>0</v>
      </c>
    </row>
    <row r="1438" spans="1:4" x14ac:dyDescent="0.3">
      <c r="A1438" t="s">
        <v>7</v>
      </c>
      <c r="B1438" s="1">
        <v>45320.833333333336</v>
      </c>
      <c r="C1438">
        <v>0</v>
      </c>
      <c r="D1438">
        <v>0</v>
      </c>
    </row>
    <row r="1439" spans="1:4" x14ac:dyDescent="0.3">
      <c r="A1439" t="s">
        <v>7</v>
      </c>
      <c r="B1439" s="1">
        <v>45320.875</v>
      </c>
      <c r="C1439">
        <v>0</v>
      </c>
      <c r="D1439">
        <v>0</v>
      </c>
    </row>
    <row r="1440" spans="1:4" x14ac:dyDescent="0.3">
      <c r="A1440" t="s">
        <v>7</v>
      </c>
      <c r="B1440" s="1">
        <v>45320.916666666664</v>
      </c>
      <c r="C1440">
        <v>0</v>
      </c>
      <c r="D1440">
        <v>0</v>
      </c>
    </row>
    <row r="1441" spans="1:4" x14ac:dyDescent="0.3">
      <c r="A1441" t="s">
        <v>7</v>
      </c>
      <c r="B1441" s="1">
        <v>45320.958333333336</v>
      </c>
      <c r="C1441">
        <v>0</v>
      </c>
      <c r="D1441">
        <v>0</v>
      </c>
    </row>
    <row r="1442" spans="1:4" x14ac:dyDescent="0.3">
      <c r="A1442" t="s">
        <v>7</v>
      </c>
      <c r="B1442" s="1">
        <v>45321</v>
      </c>
      <c r="C1442">
        <v>0</v>
      </c>
      <c r="D1442">
        <v>0</v>
      </c>
    </row>
    <row r="1443" spans="1:4" x14ac:dyDescent="0.3">
      <c r="A1443" t="s">
        <v>7</v>
      </c>
      <c r="B1443" s="1">
        <v>45321.041666666664</v>
      </c>
      <c r="C1443">
        <v>0</v>
      </c>
      <c r="D1443">
        <v>0</v>
      </c>
    </row>
    <row r="1444" spans="1:4" x14ac:dyDescent="0.3">
      <c r="A1444" t="s">
        <v>7</v>
      </c>
      <c r="B1444" s="1">
        <v>45321.083333333336</v>
      </c>
      <c r="C1444">
        <v>0</v>
      </c>
      <c r="D1444">
        <v>0</v>
      </c>
    </row>
    <row r="1445" spans="1:4" x14ac:dyDescent="0.3">
      <c r="A1445" t="s">
        <v>7</v>
      </c>
      <c r="B1445" s="1">
        <v>45321.125</v>
      </c>
      <c r="C1445">
        <v>0</v>
      </c>
      <c r="D1445">
        <v>0</v>
      </c>
    </row>
    <row r="1446" spans="1:4" x14ac:dyDescent="0.3">
      <c r="A1446" t="s">
        <v>7</v>
      </c>
      <c r="B1446" s="1">
        <v>45321.166666666664</v>
      </c>
      <c r="C1446">
        <v>0</v>
      </c>
      <c r="D1446">
        <v>0</v>
      </c>
    </row>
    <row r="1447" spans="1:4" x14ac:dyDescent="0.3">
      <c r="A1447" t="s">
        <v>7</v>
      </c>
      <c r="B1447" s="1">
        <v>45321.208333333336</v>
      </c>
      <c r="C1447">
        <v>0</v>
      </c>
      <c r="D1447">
        <v>0</v>
      </c>
    </row>
    <row r="1448" spans="1:4" x14ac:dyDescent="0.3">
      <c r="A1448" t="s">
        <v>7</v>
      </c>
      <c r="B1448" s="1">
        <v>45321.25</v>
      </c>
      <c r="C1448">
        <v>0</v>
      </c>
      <c r="D1448">
        <v>0</v>
      </c>
    </row>
    <row r="1449" spans="1:4" x14ac:dyDescent="0.3">
      <c r="A1449" t="s">
        <v>7</v>
      </c>
      <c r="B1449" s="1">
        <v>45321.291666666664</v>
      </c>
      <c r="C1449">
        <v>155.291427061512</v>
      </c>
      <c r="D1449">
        <v>207.05523608201599</v>
      </c>
    </row>
    <row r="1450" spans="1:4" x14ac:dyDescent="0.3">
      <c r="A1450" t="s">
        <v>7</v>
      </c>
      <c r="B1450" s="1">
        <v>45321.333333333336</v>
      </c>
      <c r="C1450">
        <v>300</v>
      </c>
      <c r="D1450">
        <v>399.99999999999898</v>
      </c>
    </row>
    <row r="1451" spans="1:4" x14ac:dyDescent="0.3">
      <c r="A1451" t="s">
        <v>7</v>
      </c>
      <c r="B1451" s="1">
        <v>45321.375</v>
      </c>
      <c r="C1451">
        <v>424.26406871192802</v>
      </c>
      <c r="D1451">
        <v>565.68542494923804</v>
      </c>
    </row>
    <row r="1452" spans="1:4" x14ac:dyDescent="0.3">
      <c r="A1452" t="s">
        <v>7</v>
      </c>
      <c r="B1452" s="1">
        <v>45321.416666666664</v>
      </c>
      <c r="C1452">
        <v>519.61524227066297</v>
      </c>
      <c r="D1452">
        <v>692.82032302754999</v>
      </c>
    </row>
    <row r="1453" spans="1:4" x14ac:dyDescent="0.3">
      <c r="A1453" t="s">
        <v>7</v>
      </c>
      <c r="B1453" s="1">
        <v>45321.458333333336</v>
      </c>
      <c r="C1453">
        <v>579.55549577344095</v>
      </c>
      <c r="D1453">
        <v>772.74066103125404</v>
      </c>
    </row>
    <row r="1454" spans="1:4" x14ac:dyDescent="0.3">
      <c r="A1454" t="s">
        <v>7</v>
      </c>
      <c r="B1454" s="1">
        <v>45321.5</v>
      </c>
      <c r="C1454">
        <v>600</v>
      </c>
      <c r="D1454">
        <v>800</v>
      </c>
    </row>
    <row r="1455" spans="1:4" x14ac:dyDescent="0.3">
      <c r="A1455" t="s">
        <v>7</v>
      </c>
      <c r="B1455" s="1">
        <v>45321.541666666664</v>
      </c>
      <c r="C1455">
        <v>579.55549577344095</v>
      </c>
      <c r="D1455">
        <v>772.74066103125404</v>
      </c>
    </row>
    <row r="1456" spans="1:4" x14ac:dyDescent="0.3">
      <c r="A1456" t="s">
        <v>7</v>
      </c>
      <c r="B1456" s="1">
        <v>45321.583333333336</v>
      </c>
      <c r="C1456">
        <v>519.61524227066297</v>
      </c>
      <c r="D1456">
        <v>692.82032302755101</v>
      </c>
    </row>
    <row r="1457" spans="1:4" x14ac:dyDescent="0.3">
      <c r="A1457" t="s">
        <v>7</v>
      </c>
      <c r="B1457" s="1">
        <v>45321.625</v>
      </c>
      <c r="C1457">
        <v>424.26406871192802</v>
      </c>
      <c r="D1457">
        <v>565.68542494923804</v>
      </c>
    </row>
    <row r="1458" spans="1:4" x14ac:dyDescent="0.3">
      <c r="A1458" t="s">
        <v>7</v>
      </c>
      <c r="B1458" s="1">
        <v>45321.666666666664</v>
      </c>
      <c r="C1458">
        <v>300</v>
      </c>
      <c r="D1458">
        <v>399.99999999999898</v>
      </c>
    </row>
    <row r="1459" spans="1:4" x14ac:dyDescent="0.3">
      <c r="A1459" t="s">
        <v>7</v>
      </c>
      <c r="B1459" s="1">
        <v>45321.708333333336</v>
      </c>
      <c r="C1459">
        <v>155.291427061512</v>
      </c>
      <c r="D1459">
        <v>207.05523608201599</v>
      </c>
    </row>
    <row r="1460" spans="1:4" x14ac:dyDescent="0.3">
      <c r="A1460" t="s">
        <v>7</v>
      </c>
      <c r="B1460" s="1">
        <v>45321.75</v>
      </c>
      <c r="C1460" s="2">
        <v>7.3478807948841102E-14</v>
      </c>
      <c r="D1460" s="2">
        <v>9.7971743931788194E-14</v>
      </c>
    </row>
    <row r="1461" spans="1:4" x14ac:dyDescent="0.3">
      <c r="A1461" t="s">
        <v>7</v>
      </c>
      <c r="B1461" s="1">
        <v>45321.791666666664</v>
      </c>
      <c r="C1461">
        <v>0</v>
      </c>
      <c r="D1461">
        <v>0</v>
      </c>
    </row>
    <row r="1462" spans="1:4" x14ac:dyDescent="0.3">
      <c r="A1462" t="s">
        <v>7</v>
      </c>
      <c r="B1462" s="1">
        <v>45321.833333333336</v>
      </c>
      <c r="C1462">
        <v>0</v>
      </c>
      <c r="D1462">
        <v>0</v>
      </c>
    </row>
    <row r="1463" spans="1:4" x14ac:dyDescent="0.3">
      <c r="A1463" t="s">
        <v>7</v>
      </c>
      <c r="B1463" s="1">
        <v>45321.875</v>
      </c>
      <c r="C1463">
        <v>0</v>
      </c>
      <c r="D1463">
        <v>0</v>
      </c>
    </row>
    <row r="1464" spans="1:4" x14ac:dyDescent="0.3">
      <c r="A1464" t="s">
        <v>7</v>
      </c>
      <c r="B1464" s="1">
        <v>45321.916666666664</v>
      </c>
      <c r="C1464">
        <v>0</v>
      </c>
      <c r="D1464">
        <v>0</v>
      </c>
    </row>
    <row r="1465" spans="1:4" x14ac:dyDescent="0.3">
      <c r="A1465" t="s">
        <v>7</v>
      </c>
      <c r="B1465" s="1">
        <v>45321.958333333336</v>
      </c>
      <c r="C1465">
        <v>0</v>
      </c>
      <c r="D1465">
        <v>0</v>
      </c>
    </row>
    <row r="1466" spans="1:4" x14ac:dyDescent="0.3">
      <c r="A1466" t="s">
        <v>7</v>
      </c>
      <c r="B1466" s="1">
        <v>45322</v>
      </c>
      <c r="C1466">
        <v>0</v>
      </c>
      <c r="D1466">
        <v>0</v>
      </c>
    </row>
    <row r="1467" spans="1:4" x14ac:dyDescent="0.3">
      <c r="A1467" t="s">
        <v>7</v>
      </c>
      <c r="B1467" s="1">
        <v>45322.041666666664</v>
      </c>
      <c r="C1467">
        <v>0</v>
      </c>
      <c r="D1467">
        <v>0</v>
      </c>
    </row>
    <row r="1468" spans="1:4" x14ac:dyDescent="0.3">
      <c r="A1468" t="s">
        <v>7</v>
      </c>
      <c r="B1468" s="1">
        <v>45322.083333333336</v>
      </c>
      <c r="C1468">
        <v>0</v>
      </c>
      <c r="D1468">
        <v>0</v>
      </c>
    </row>
    <row r="1469" spans="1:4" x14ac:dyDescent="0.3">
      <c r="A1469" t="s">
        <v>7</v>
      </c>
      <c r="B1469" s="1">
        <v>45322.125</v>
      </c>
      <c r="C1469">
        <v>0</v>
      </c>
      <c r="D1469">
        <v>0</v>
      </c>
    </row>
    <row r="1470" spans="1:4" x14ac:dyDescent="0.3">
      <c r="A1470" t="s">
        <v>7</v>
      </c>
      <c r="B1470" s="1">
        <v>45322.166666666664</v>
      </c>
      <c r="C1470">
        <v>0</v>
      </c>
      <c r="D1470">
        <v>0</v>
      </c>
    </row>
    <row r="1471" spans="1:4" x14ac:dyDescent="0.3">
      <c r="A1471" t="s">
        <v>7</v>
      </c>
      <c r="B1471" s="1">
        <v>45322.208333333336</v>
      </c>
      <c r="C1471">
        <v>0</v>
      </c>
      <c r="D1471">
        <v>0</v>
      </c>
    </row>
    <row r="1472" spans="1:4" x14ac:dyDescent="0.3">
      <c r="A1472" t="s">
        <v>7</v>
      </c>
      <c r="B1472" s="1">
        <v>45322.25</v>
      </c>
      <c r="C1472">
        <v>0</v>
      </c>
      <c r="D1472">
        <v>0</v>
      </c>
    </row>
    <row r="1473" spans="1:4" x14ac:dyDescent="0.3">
      <c r="A1473" t="s">
        <v>7</v>
      </c>
      <c r="B1473" s="1">
        <v>45322.291666666664</v>
      </c>
      <c r="C1473">
        <v>155.291427061512</v>
      </c>
      <c r="D1473">
        <v>207.05523608201599</v>
      </c>
    </row>
    <row r="1474" spans="1:4" x14ac:dyDescent="0.3">
      <c r="A1474" t="s">
        <v>7</v>
      </c>
      <c r="B1474" s="1">
        <v>45322.333333333336</v>
      </c>
      <c r="C1474">
        <v>300</v>
      </c>
      <c r="D1474">
        <v>399.99999999999898</v>
      </c>
    </row>
    <row r="1475" spans="1:4" x14ac:dyDescent="0.3">
      <c r="A1475" t="s">
        <v>7</v>
      </c>
      <c r="B1475" s="1">
        <v>45322.375</v>
      </c>
      <c r="C1475">
        <v>424.26406871192802</v>
      </c>
      <c r="D1475">
        <v>565.68542494923804</v>
      </c>
    </row>
    <row r="1476" spans="1:4" x14ac:dyDescent="0.3">
      <c r="A1476" t="s">
        <v>7</v>
      </c>
      <c r="B1476" s="1">
        <v>45322.416666666664</v>
      </c>
      <c r="C1476">
        <v>519.61524227066297</v>
      </c>
      <c r="D1476">
        <v>692.82032302754999</v>
      </c>
    </row>
    <row r="1477" spans="1:4" x14ac:dyDescent="0.3">
      <c r="A1477" t="s">
        <v>7</v>
      </c>
      <c r="B1477" s="1">
        <v>45322.458333333336</v>
      </c>
      <c r="C1477">
        <v>579.55549577344095</v>
      </c>
      <c r="D1477">
        <v>772.74066103125404</v>
      </c>
    </row>
    <row r="1478" spans="1:4" x14ac:dyDescent="0.3">
      <c r="A1478" t="s">
        <v>7</v>
      </c>
      <c r="B1478" s="1">
        <v>45322.5</v>
      </c>
      <c r="C1478">
        <v>600</v>
      </c>
      <c r="D1478">
        <v>800</v>
      </c>
    </row>
    <row r="1479" spans="1:4" x14ac:dyDescent="0.3">
      <c r="A1479" t="s">
        <v>7</v>
      </c>
      <c r="B1479" s="1">
        <v>45322.541666666664</v>
      </c>
      <c r="C1479">
        <v>579.55549577344095</v>
      </c>
      <c r="D1479">
        <v>772.74066103125404</v>
      </c>
    </row>
    <row r="1480" spans="1:4" x14ac:dyDescent="0.3">
      <c r="A1480" t="s">
        <v>7</v>
      </c>
      <c r="B1480" s="1">
        <v>45322.583333333336</v>
      </c>
      <c r="C1480">
        <v>519.61524227066297</v>
      </c>
      <c r="D1480">
        <v>692.82032302755101</v>
      </c>
    </row>
    <row r="1481" spans="1:4" x14ac:dyDescent="0.3">
      <c r="A1481" t="s">
        <v>7</v>
      </c>
      <c r="B1481" s="1">
        <v>45322.625</v>
      </c>
      <c r="C1481">
        <v>424.26406871192802</v>
      </c>
      <c r="D1481">
        <v>565.68542494923804</v>
      </c>
    </row>
    <row r="1482" spans="1:4" x14ac:dyDescent="0.3">
      <c r="A1482" t="s">
        <v>7</v>
      </c>
      <c r="B1482" s="1">
        <v>45322.666666666664</v>
      </c>
      <c r="C1482">
        <v>300</v>
      </c>
      <c r="D1482">
        <v>399.99999999999898</v>
      </c>
    </row>
    <row r="1483" spans="1:4" x14ac:dyDescent="0.3">
      <c r="A1483" t="s">
        <v>7</v>
      </c>
      <c r="B1483" s="1">
        <v>45322.708333333336</v>
      </c>
      <c r="C1483">
        <v>155.291427061512</v>
      </c>
      <c r="D1483">
        <v>207.05523608201599</v>
      </c>
    </row>
    <row r="1484" spans="1:4" x14ac:dyDescent="0.3">
      <c r="A1484" t="s">
        <v>7</v>
      </c>
      <c r="B1484" s="1">
        <v>45322.75</v>
      </c>
      <c r="C1484" s="2">
        <v>7.3478807948841102E-14</v>
      </c>
      <c r="D1484" s="2">
        <v>9.7971743931788194E-14</v>
      </c>
    </row>
    <row r="1485" spans="1:4" x14ac:dyDescent="0.3">
      <c r="A1485" t="s">
        <v>7</v>
      </c>
      <c r="B1485" s="1">
        <v>45322.791666666664</v>
      </c>
      <c r="C1485">
        <v>0</v>
      </c>
      <c r="D1485">
        <v>0</v>
      </c>
    </row>
    <row r="1486" spans="1:4" x14ac:dyDescent="0.3">
      <c r="A1486" t="s">
        <v>7</v>
      </c>
      <c r="B1486" s="1">
        <v>45322.833333333336</v>
      </c>
      <c r="C1486">
        <v>0</v>
      </c>
      <c r="D1486">
        <v>0</v>
      </c>
    </row>
    <row r="1487" spans="1:4" x14ac:dyDescent="0.3">
      <c r="A1487" t="s">
        <v>7</v>
      </c>
      <c r="B1487" s="1">
        <v>45322.875</v>
      </c>
      <c r="C1487">
        <v>0</v>
      </c>
      <c r="D1487">
        <v>0</v>
      </c>
    </row>
    <row r="1488" spans="1:4" x14ac:dyDescent="0.3">
      <c r="A1488" t="s">
        <v>7</v>
      </c>
      <c r="B1488" s="1">
        <v>45322.916666666664</v>
      </c>
      <c r="C1488">
        <v>0</v>
      </c>
      <c r="D1488">
        <v>0</v>
      </c>
    </row>
    <row r="1489" spans="1:4" x14ac:dyDescent="0.3">
      <c r="A1489" t="s">
        <v>7</v>
      </c>
      <c r="B1489" s="1">
        <v>45322.958333333336</v>
      </c>
      <c r="C1489">
        <v>0</v>
      </c>
      <c r="D1489">
        <v>0</v>
      </c>
    </row>
    <row r="1490" spans="1:4" x14ac:dyDescent="0.3">
      <c r="A1490" t="s">
        <v>8</v>
      </c>
      <c r="B1490" s="1">
        <v>45292</v>
      </c>
      <c r="C1490">
        <v>0</v>
      </c>
      <c r="D1490">
        <v>0</v>
      </c>
    </row>
    <row r="1491" spans="1:4" x14ac:dyDescent="0.3">
      <c r="A1491" t="s">
        <v>8</v>
      </c>
      <c r="B1491" s="1">
        <v>45292.041666666664</v>
      </c>
      <c r="C1491">
        <v>0</v>
      </c>
      <c r="D1491">
        <v>0</v>
      </c>
    </row>
    <row r="1492" spans="1:4" x14ac:dyDescent="0.3">
      <c r="A1492" t="s">
        <v>8</v>
      </c>
      <c r="B1492" s="1">
        <v>45292.083333333336</v>
      </c>
      <c r="C1492">
        <v>0</v>
      </c>
      <c r="D1492">
        <v>0</v>
      </c>
    </row>
    <row r="1493" spans="1:4" x14ac:dyDescent="0.3">
      <c r="A1493" t="s">
        <v>8</v>
      </c>
      <c r="B1493" s="1">
        <v>45292.125</v>
      </c>
      <c r="C1493">
        <v>0</v>
      </c>
      <c r="D1493">
        <v>0</v>
      </c>
    </row>
    <row r="1494" spans="1:4" x14ac:dyDescent="0.3">
      <c r="A1494" t="s">
        <v>8</v>
      </c>
      <c r="B1494" s="1">
        <v>45292.166666666664</v>
      </c>
      <c r="C1494">
        <v>0</v>
      </c>
      <c r="D1494">
        <v>0</v>
      </c>
    </row>
    <row r="1495" spans="1:4" x14ac:dyDescent="0.3">
      <c r="A1495" t="s">
        <v>8</v>
      </c>
      <c r="B1495" s="1">
        <v>45292.208333333336</v>
      </c>
      <c r="C1495">
        <v>0</v>
      </c>
      <c r="D1495">
        <v>0</v>
      </c>
    </row>
    <row r="1496" spans="1:4" x14ac:dyDescent="0.3">
      <c r="A1496" t="s">
        <v>8</v>
      </c>
      <c r="B1496" s="1">
        <v>45292.25</v>
      </c>
      <c r="C1496">
        <v>0</v>
      </c>
      <c r="D1496">
        <v>0</v>
      </c>
    </row>
    <row r="1497" spans="1:4" x14ac:dyDescent="0.3">
      <c r="A1497" t="s">
        <v>8</v>
      </c>
      <c r="B1497" s="1">
        <v>45292.291666666664</v>
      </c>
      <c r="C1497">
        <v>207.05523608201599</v>
      </c>
      <c r="D1497">
        <v>207.05523608201599</v>
      </c>
    </row>
    <row r="1498" spans="1:4" x14ac:dyDescent="0.3">
      <c r="A1498" t="s">
        <v>8</v>
      </c>
      <c r="B1498" s="1">
        <v>45292.333333333336</v>
      </c>
      <c r="C1498">
        <v>399.99999999999898</v>
      </c>
      <c r="D1498">
        <v>399.99999999999898</v>
      </c>
    </row>
    <row r="1499" spans="1:4" x14ac:dyDescent="0.3">
      <c r="A1499" t="s">
        <v>8</v>
      </c>
      <c r="B1499" s="1">
        <v>45292.375</v>
      </c>
      <c r="C1499">
        <v>565.68542494923804</v>
      </c>
      <c r="D1499">
        <v>565.68542494923804</v>
      </c>
    </row>
    <row r="1500" spans="1:4" x14ac:dyDescent="0.3">
      <c r="A1500" t="s">
        <v>8</v>
      </c>
      <c r="B1500" s="1">
        <v>45292.416666666664</v>
      </c>
      <c r="C1500">
        <v>692.82032302754999</v>
      </c>
      <c r="D1500">
        <v>692.82032302754999</v>
      </c>
    </row>
    <row r="1501" spans="1:4" x14ac:dyDescent="0.3">
      <c r="A1501" t="s">
        <v>8</v>
      </c>
      <c r="B1501" s="1">
        <v>45292.458333333336</v>
      </c>
      <c r="C1501">
        <v>772.74066103125404</v>
      </c>
      <c r="D1501">
        <v>772.74066103125404</v>
      </c>
    </row>
    <row r="1502" spans="1:4" x14ac:dyDescent="0.3">
      <c r="A1502" t="s">
        <v>8</v>
      </c>
      <c r="B1502" s="1">
        <v>45292.5</v>
      </c>
      <c r="C1502">
        <v>800</v>
      </c>
      <c r="D1502">
        <v>800</v>
      </c>
    </row>
    <row r="1503" spans="1:4" x14ac:dyDescent="0.3">
      <c r="A1503" t="s">
        <v>8</v>
      </c>
      <c r="B1503" s="1">
        <v>45292.541666666664</v>
      </c>
      <c r="C1503">
        <v>772.74066103125404</v>
      </c>
      <c r="D1503">
        <v>772.74066103125404</v>
      </c>
    </row>
    <row r="1504" spans="1:4" x14ac:dyDescent="0.3">
      <c r="A1504" t="s">
        <v>8</v>
      </c>
      <c r="B1504" s="1">
        <v>45292.583333333336</v>
      </c>
      <c r="C1504">
        <v>692.82032302755101</v>
      </c>
      <c r="D1504">
        <v>692.82032302755101</v>
      </c>
    </row>
    <row r="1505" spans="1:4" x14ac:dyDescent="0.3">
      <c r="A1505" t="s">
        <v>8</v>
      </c>
      <c r="B1505" s="1">
        <v>45292.625</v>
      </c>
      <c r="C1505">
        <v>565.68542494923804</v>
      </c>
      <c r="D1505">
        <v>565.68542494923804</v>
      </c>
    </row>
    <row r="1506" spans="1:4" x14ac:dyDescent="0.3">
      <c r="A1506" t="s">
        <v>8</v>
      </c>
      <c r="B1506" s="1">
        <v>45292.666666666664</v>
      </c>
      <c r="C1506">
        <v>399.99999999999898</v>
      </c>
      <c r="D1506">
        <v>399.99999999999898</v>
      </c>
    </row>
    <row r="1507" spans="1:4" x14ac:dyDescent="0.3">
      <c r="A1507" t="s">
        <v>8</v>
      </c>
      <c r="B1507" s="1">
        <v>45292.708333333336</v>
      </c>
      <c r="C1507">
        <v>207.05523608201599</v>
      </c>
      <c r="D1507">
        <v>207.05523608201599</v>
      </c>
    </row>
    <row r="1508" spans="1:4" x14ac:dyDescent="0.3">
      <c r="A1508" t="s">
        <v>8</v>
      </c>
      <c r="B1508" s="1">
        <v>45292.75</v>
      </c>
      <c r="C1508" s="2">
        <v>9.7971743931788194E-14</v>
      </c>
      <c r="D1508" s="2">
        <v>9.7971743931788194E-14</v>
      </c>
    </row>
    <row r="1509" spans="1:4" x14ac:dyDescent="0.3">
      <c r="A1509" t="s">
        <v>8</v>
      </c>
      <c r="B1509" s="1">
        <v>45292.791666666664</v>
      </c>
      <c r="C1509">
        <v>0</v>
      </c>
      <c r="D1509">
        <v>0</v>
      </c>
    </row>
    <row r="1510" spans="1:4" x14ac:dyDescent="0.3">
      <c r="A1510" t="s">
        <v>8</v>
      </c>
      <c r="B1510" s="1">
        <v>45292.833333333336</v>
      </c>
      <c r="C1510">
        <v>0</v>
      </c>
      <c r="D1510">
        <v>0</v>
      </c>
    </row>
    <row r="1511" spans="1:4" x14ac:dyDescent="0.3">
      <c r="A1511" t="s">
        <v>8</v>
      </c>
      <c r="B1511" s="1">
        <v>45292.875</v>
      </c>
      <c r="C1511">
        <v>0</v>
      </c>
      <c r="D1511">
        <v>0</v>
      </c>
    </row>
    <row r="1512" spans="1:4" x14ac:dyDescent="0.3">
      <c r="A1512" t="s">
        <v>8</v>
      </c>
      <c r="B1512" s="1">
        <v>45292.916666666664</v>
      </c>
      <c r="C1512">
        <v>0</v>
      </c>
      <c r="D1512">
        <v>0</v>
      </c>
    </row>
    <row r="1513" spans="1:4" x14ac:dyDescent="0.3">
      <c r="A1513" t="s">
        <v>8</v>
      </c>
      <c r="B1513" s="1">
        <v>45292.958333333336</v>
      </c>
      <c r="C1513">
        <v>0</v>
      </c>
      <c r="D1513">
        <v>0</v>
      </c>
    </row>
    <row r="1514" spans="1:4" x14ac:dyDescent="0.3">
      <c r="A1514" t="s">
        <v>8</v>
      </c>
      <c r="B1514" s="1">
        <v>45293</v>
      </c>
      <c r="C1514">
        <v>0</v>
      </c>
      <c r="D1514">
        <v>0</v>
      </c>
    </row>
    <row r="1515" spans="1:4" x14ac:dyDescent="0.3">
      <c r="A1515" t="s">
        <v>8</v>
      </c>
      <c r="B1515" s="1">
        <v>45293.041666666664</v>
      </c>
      <c r="C1515">
        <v>0</v>
      </c>
      <c r="D1515">
        <v>0</v>
      </c>
    </row>
    <row r="1516" spans="1:4" x14ac:dyDescent="0.3">
      <c r="A1516" t="s">
        <v>8</v>
      </c>
      <c r="B1516" s="1">
        <v>45293.083333333336</v>
      </c>
      <c r="C1516">
        <v>0</v>
      </c>
      <c r="D1516">
        <v>0</v>
      </c>
    </row>
    <row r="1517" spans="1:4" x14ac:dyDescent="0.3">
      <c r="A1517" t="s">
        <v>8</v>
      </c>
      <c r="B1517" s="1">
        <v>45293.125</v>
      </c>
      <c r="C1517">
        <v>0</v>
      </c>
      <c r="D1517">
        <v>0</v>
      </c>
    </row>
    <row r="1518" spans="1:4" x14ac:dyDescent="0.3">
      <c r="A1518" t="s">
        <v>8</v>
      </c>
      <c r="B1518" s="1">
        <v>45293.166666666664</v>
      </c>
      <c r="C1518">
        <v>0</v>
      </c>
      <c r="D1518">
        <v>0</v>
      </c>
    </row>
    <row r="1519" spans="1:4" x14ac:dyDescent="0.3">
      <c r="A1519" t="s">
        <v>8</v>
      </c>
      <c r="B1519" s="1">
        <v>45293.208333333336</v>
      </c>
      <c r="C1519">
        <v>0</v>
      </c>
      <c r="D1519">
        <v>0</v>
      </c>
    </row>
    <row r="1520" spans="1:4" x14ac:dyDescent="0.3">
      <c r="A1520" t="s">
        <v>8</v>
      </c>
      <c r="B1520" s="1">
        <v>45293.25</v>
      </c>
      <c r="C1520">
        <v>0</v>
      </c>
      <c r="D1520">
        <v>0</v>
      </c>
    </row>
    <row r="1521" spans="1:4" x14ac:dyDescent="0.3">
      <c r="A1521" t="s">
        <v>8</v>
      </c>
      <c r="B1521" s="1">
        <v>45293.291666666664</v>
      </c>
      <c r="C1521">
        <v>207.05523608201599</v>
      </c>
      <c r="D1521">
        <v>207.05523608201599</v>
      </c>
    </row>
    <row r="1522" spans="1:4" x14ac:dyDescent="0.3">
      <c r="A1522" t="s">
        <v>8</v>
      </c>
      <c r="B1522" s="1">
        <v>45293.333333333336</v>
      </c>
      <c r="C1522">
        <v>399.99999999999898</v>
      </c>
      <c r="D1522">
        <v>399.99999999999898</v>
      </c>
    </row>
    <row r="1523" spans="1:4" x14ac:dyDescent="0.3">
      <c r="A1523" t="s">
        <v>8</v>
      </c>
      <c r="B1523" s="1">
        <v>45293.375</v>
      </c>
      <c r="C1523">
        <v>565.68542494923804</v>
      </c>
      <c r="D1523">
        <v>565.68542494923804</v>
      </c>
    </row>
    <row r="1524" spans="1:4" x14ac:dyDescent="0.3">
      <c r="A1524" t="s">
        <v>8</v>
      </c>
      <c r="B1524" s="1">
        <v>45293.416666666664</v>
      </c>
      <c r="C1524">
        <v>692.82032302754999</v>
      </c>
      <c r="D1524">
        <v>692.82032302754999</v>
      </c>
    </row>
    <row r="1525" spans="1:4" x14ac:dyDescent="0.3">
      <c r="A1525" t="s">
        <v>8</v>
      </c>
      <c r="B1525" s="1">
        <v>45293.458333333336</v>
      </c>
      <c r="C1525">
        <v>772.74066103125404</v>
      </c>
      <c r="D1525">
        <v>772.74066103125404</v>
      </c>
    </row>
    <row r="1526" spans="1:4" x14ac:dyDescent="0.3">
      <c r="A1526" t="s">
        <v>8</v>
      </c>
      <c r="B1526" s="1">
        <v>45293.5</v>
      </c>
      <c r="C1526">
        <v>800</v>
      </c>
      <c r="D1526">
        <v>800</v>
      </c>
    </row>
    <row r="1527" spans="1:4" x14ac:dyDescent="0.3">
      <c r="A1527" t="s">
        <v>8</v>
      </c>
      <c r="B1527" s="1">
        <v>45293.541666666664</v>
      </c>
      <c r="C1527">
        <v>772.74066103125404</v>
      </c>
      <c r="D1527">
        <v>772.74066103125404</v>
      </c>
    </row>
    <row r="1528" spans="1:4" x14ac:dyDescent="0.3">
      <c r="A1528" t="s">
        <v>8</v>
      </c>
      <c r="B1528" s="1">
        <v>45293.583333333336</v>
      </c>
      <c r="C1528">
        <v>692.82032302755101</v>
      </c>
      <c r="D1528">
        <v>692.82032302755101</v>
      </c>
    </row>
    <row r="1529" spans="1:4" x14ac:dyDescent="0.3">
      <c r="A1529" t="s">
        <v>8</v>
      </c>
      <c r="B1529" s="1">
        <v>45293.625</v>
      </c>
      <c r="C1529">
        <v>565.68542494923804</v>
      </c>
      <c r="D1529">
        <v>565.68542494923804</v>
      </c>
    </row>
    <row r="1530" spans="1:4" x14ac:dyDescent="0.3">
      <c r="A1530" t="s">
        <v>8</v>
      </c>
      <c r="B1530" s="1">
        <v>45293.666666666664</v>
      </c>
      <c r="C1530">
        <v>399.99999999999898</v>
      </c>
      <c r="D1530">
        <v>399.99999999999898</v>
      </c>
    </row>
    <row r="1531" spans="1:4" x14ac:dyDescent="0.3">
      <c r="A1531" t="s">
        <v>8</v>
      </c>
      <c r="B1531" s="1">
        <v>45293.708333333336</v>
      </c>
      <c r="C1531">
        <v>207.05523608201599</v>
      </c>
      <c r="D1531">
        <v>207.05523608201599</v>
      </c>
    </row>
    <row r="1532" spans="1:4" x14ac:dyDescent="0.3">
      <c r="A1532" t="s">
        <v>8</v>
      </c>
      <c r="B1532" s="1">
        <v>45293.75</v>
      </c>
      <c r="C1532" s="2">
        <v>9.7971743931788194E-14</v>
      </c>
      <c r="D1532" s="2">
        <v>9.7971743931788194E-14</v>
      </c>
    </row>
    <row r="1533" spans="1:4" x14ac:dyDescent="0.3">
      <c r="A1533" t="s">
        <v>8</v>
      </c>
      <c r="B1533" s="1">
        <v>45293.791666666664</v>
      </c>
      <c r="C1533">
        <v>0</v>
      </c>
      <c r="D1533">
        <v>0</v>
      </c>
    </row>
    <row r="1534" spans="1:4" x14ac:dyDescent="0.3">
      <c r="A1534" t="s">
        <v>8</v>
      </c>
      <c r="B1534" s="1">
        <v>45293.833333333336</v>
      </c>
      <c r="C1534">
        <v>0</v>
      </c>
      <c r="D1534">
        <v>0</v>
      </c>
    </row>
    <row r="1535" spans="1:4" x14ac:dyDescent="0.3">
      <c r="A1535" t="s">
        <v>8</v>
      </c>
      <c r="B1535" s="1">
        <v>45293.875</v>
      </c>
      <c r="C1535">
        <v>0</v>
      </c>
      <c r="D1535">
        <v>0</v>
      </c>
    </row>
    <row r="1536" spans="1:4" x14ac:dyDescent="0.3">
      <c r="A1536" t="s">
        <v>8</v>
      </c>
      <c r="B1536" s="1">
        <v>45293.916666666664</v>
      </c>
      <c r="C1536">
        <v>0</v>
      </c>
      <c r="D1536">
        <v>0</v>
      </c>
    </row>
    <row r="1537" spans="1:4" x14ac:dyDescent="0.3">
      <c r="A1537" t="s">
        <v>8</v>
      </c>
      <c r="B1537" s="1">
        <v>45293.958333333336</v>
      </c>
      <c r="C1537">
        <v>0</v>
      </c>
      <c r="D1537">
        <v>0</v>
      </c>
    </row>
    <row r="1538" spans="1:4" x14ac:dyDescent="0.3">
      <c r="A1538" t="s">
        <v>8</v>
      </c>
      <c r="B1538" s="1">
        <v>45294</v>
      </c>
      <c r="C1538">
        <v>0</v>
      </c>
      <c r="D1538">
        <v>0</v>
      </c>
    </row>
    <row r="1539" spans="1:4" x14ac:dyDescent="0.3">
      <c r="A1539" t="s">
        <v>8</v>
      </c>
      <c r="B1539" s="1">
        <v>45294.041666666664</v>
      </c>
      <c r="C1539">
        <v>0</v>
      </c>
      <c r="D1539">
        <v>0</v>
      </c>
    </row>
    <row r="1540" spans="1:4" x14ac:dyDescent="0.3">
      <c r="A1540" t="s">
        <v>8</v>
      </c>
      <c r="B1540" s="1">
        <v>45294.083333333336</v>
      </c>
      <c r="C1540">
        <v>0</v>
      </c>
      <c r="D1540">
        <v>0</v>
      </c>
    </row>
    <row r="1541" spans="1:4" x14ac:dyDescent="0.3">
      <c r="A1541" t="s">
        <v>8</v>
      </c>
      <c r="B1541" s="1">
        <v>45294.125</v>
      </c>
      <c r="C1541">
        <v>0</v>
      </c>
      <c r="D1541">
        <v>0</v>
      </c>
    </row>
    <row r="1542" spans="1:4" x14ac:dyDescent="0.3">
      <c r="A1542" t="s">
        <v>8</v>
      </c>
      <c r="B1542" s="1">
        <v>45294.166666666664</v>
      </c>
      <c r="C1542">
        <v>0</v>
      </c>
      <c r="D1542">
        <v>0</v>
      </c>
    </row>
    <row r="1543" spans="1:4" x14ac:dyDescent="0.3">
      <c r="A1543" t="s">
        <v>8</v>
      </c>
      <c r="B1543" s="1">
        <v>45294.208333333336</v>
      </c>
      <c r="C1543">
        <v>0</v>
      </c>
      <c r="D1543">
        <v>0</v>
      </c>
    </row>
    <row r="1544" spans="1:4" x14ac:dyDescent="0.3">
      <c r="A1544" t="s">
        <v>8</v>
      </c>
      <c r="B1544" s="1">
        <v>45294.25</v>
      </c>
      <c r="C1544">
        <v>0</v>
      </c>
      <c r="D1544">
        <v>0</v>
      </c>
    </row>
    <row r="1545" spans="1:4" x14ac:dyDescent="0.3">
      <c r="A1545" t="s">
        <v>8</v>
      </c>
      <c r="B1545" s="1">
        <v>45294.291666666664</v>
      </c>
      <c r="C1545">
        <v>207.05523608201599</v>
      </c>
      <c r="D1545">
        <v>207.05523608201599</v>
      </c>
    </row>
    <row r="1546" spans="1:4" x14ac:dyDescent="0.3">
      <c r="A1546" t="s">
        <v>8</v>
      </c>
      <c r="B1546" s="1">
        <v>45294.333333333336</v>
      </c>
      <c r="C1546">
        <v>399.99999999999898</v>
      </c>
      <c r="D1546">
        <v>399.99999999999898</v>
      </c>
    </row>
    <row r="1547" spans="1:4" x14ac:dyDescent="0.3">
      <c r="A1547" t="s">
        <v>8</v>
      </c>
      <c r="B1547" s="1">
        <v>45294.375</v>
      </c>
      <c r="C1547">
        <v>565.68542494923804</v>
      </c>
      <c r="D1547">
        <v>565.68542494923804</v>
      </c>
    </row>
    <row r="1548" spans="1:4" x14ac:dyDescent="0.3">
      <c r="A1548" t="s">
        <v>8</v>
      </c>
      <c r="B1548" s="1">
        <v>45294.416666666664</v>
      </c>
      <c r="C1548">
        <v>692.82032302754999</v>
      </c>
      <c r="D1548">
        <v>692.82032302754999</v>
      </c>
    </row>
    <row r="1549" spans="1:4" x14ac:dyDescent="0.3">
      <c r="A1549" t="s">
        <v>8</v>
      </c>
      <c r="B1549" s="1">
        <v>45294.458333333336</v>
      </c>
      <c r="C1549">
        <v>772.74066103125404</v>
      </c>
      <c r="D1549">
        <v>772.74066103125404</v>
      </c>
    </row>
    <row r="1550" spans="1:4" x14ac:dyDescent="0.3">
      <c r="A1550" t="s">
        <v>8</v>
      </c>
      <c r="B1550" s="1">
        <v>45294.5</v>
      </c>
      <c r="C1550">
        <v>800</v>
      </c>
      <c r="D1550">
        <v>800</v>
      </c>
    </row>
    <row r="1551" spans="1:4" x14ac:dyDescent="0.3">
      <c r="A1551" t="s">
        <v>8</v>
      </c>
      <c r="B1551" s="1">
        <v>45294.541666666664</v>
      </c>
      <c r="C1551">
        <v>772.74066103125404</v>
      </c>
      <c r="D1551">
        <v>772.74066103125404</v>
      </c>
    </row>
    <row r="1552" spans="1:4" x14ac:dyDescent="0.3">
      <c r="A1552" t="s">
        <v>8</v>
      </c>
      <c r="B1552" s="1">
        <v>45294.583333333336</v>
      </c>
      <c r="C1552">
        <v>692.82032302755101</v>
      </c>
      <c r="D1552">
        <v>692.82032302755101</v>
      </c>
    </row>
    <row r="1553" spans="1:4" x14ac:dyDescent="0.3">
      <c r="A1553" t="s">
        <v>8</v>
      </c>
      <c r="B1553" s="1">
        <v>45294.625</v>
      </c>
      <c r="C1553">
        <v>565.68542494923804</v>
      </c>
      <c r="D1553">
        <v>565.68542494923804</v>
      </c>
    </row>
    <row r="1554" spans="1:4" x14ac:dyDescent="0.3">
      <c r="A1554" t="s">
        <v>8</v>
      </c>
      <c r="B1554" s="1">
        <v>45294.666666666664</v>
      </c>
      <c r="C1554">
        <v>399.99999999999898</v>
      </c>
      <c r="D1554">
        <v>399.99999999999898</v>
      </c>
    </row>
    <row r="1555" spans="1:4" x14ac:dyDescent="0.3">
      <c r="A1555" t="s">
        <v>8</v>
      </c>
      <c r="B1555" s="1">
        <v>45294.708333333336</v>
      </c>
      <c r="C1555">
        <v>207.05523608201599</v>
      </c>
      <c r="D1555">
        <v>207.05523608201599</v>
      </c>
    </row>
    <row r="1556" spans="1:4" x14ac:dyDescent="0.3">
      <c r="A1556" t="s">
        <v>8</v>
      </c>
      <c r="B1556" s="1">
        <v>45294.75</v>
      </c>
      <c r="C1556" s="2">
        <v>9.7971743931788194E-14</v>
      </c>
      <c r="D1556" s="2">
        <v>9.7971743931788194E-14</v>
      </c>
    </row>
    <row r="1557" spans="1:4" x14ac:dyDescent="0.3">
      <c r="A1557" t="s">
        <v>8</v>
      </c>
      <c r="B1557" s="1">
        <v>45294.791666666664</v>
      </c>
      <c r="C1557">
        <v>0</v>
      </c>
      <c r="D1557">
        <v>0</v>
      </c>
    </row>
    <row r="1558" spans="1:4" x14ac:dyDescent="0.3">
      <c r="A1558" t="s">
        <v>8</v>
      </c>
      <c r="B1558" s="1">
        <v>45294.833333333336</v>
      </c>
      <c r="C1558">
        <v>0</v>
      </c>
      <c r="D1558">
        <v>0</v>
      </c>
    </row>
    <row r="1559" spans="1:4" x14ac:dyDescent="0.3">
      <c r="A1559" t="s">
        <v>8</v>
      </c>
      <c r="B1559" s="1">
        <v>45294.875</v>
      </c>
      <c r="C1559">
        <v>0</v>
      </c>
      <c r="D1559">
        <v>0</v>
      </c>
    </row>
    <row r="1560" spans="1:4" x14ac:dyDescent="0.3">
      <c r="A1560" t="s">
        <v>8</v>
      </c>
      <c r="B1560" s="1">
        <v>45294.916666666664</v>
      </c>
      <c r="C1560">
        <v>0</v>
      </c>
      <c r="D1560">
        <v>0</v>
      </c>
    </row>
    <row r="1561" spans="1:4" x14ac:dyDescent="0.3">
      <c r="A1561" t="s">
        <v>8</v>
      </c>
      <c r="B1561" s="1">
        <v>45294.958333333336</v>
      </c>
      <c r="C1561">
        <v>0</v>
      </c>
      <c r="D1561">
        <v>0</v>
      </c>
    </row>
    <row r="1562" spans="1:4" x14ac:dyDescent="0.3">
      <c r="A1562" t="s">
        <v>8</v>
      </c>
      <c r="B1562" s="1">
        <v>45295</v>
      </c>
      <c r="C1562">
        <v>0</v>
      </c>
      <c r="D1562">
        <v>0</v>
      </c>
    </row>
    <row r="1563" spans="1:4" x14ac:dyDescent="0.3">
      <c r="A1563" t="s">
        <v>8</v>
      </c>
      <c r="B1563" s="1">
        <v>45295.041666666664</v>
      </c>
      <c r="C1563">
        <v>0</v>
      </c>
      <c r="D1563">
        <v>0</v>
      </c>
    </row>
    <row r="1564" spans="1:4" x14ac:dyDescent="0.3">
      <c r="A1564" t="s">
        <v>8</v>
      </c>
      <c r="B1564" s="1">
        <v>45295.083333333336</v>
      </c>
      <c r="C1564">
        <v>0</v>
      </c>
      <c r="D1564">
        <v>0</v>
      </c>
    </row>
    <row r="1565" spans="1:4" x14ac:dyDescent="0.3">
      <c r="A1565" t="s">
        <v>8</v>
      </c>
      <c r="B1565" s="1">
        <v>45295.125</v>
      </c>
      <c r="C1565">
        <v>0</v>
      </c>
      <c r="D1565">
        <v>0</v>
      </c>
    </row>
    <row r="1566" spans="1:4" x14ac:dyDescent="0.3">
      <c r="A1566" t="s">
        <v>8</v>
      </c>
      <c r="B1566" s="1">
        <v>45295.166666666664</v>
      </c>
      <c r="C1566">
        <v>0</v>
      </c>
      <c r="D1566">
        <v>0</v>
      </c>
    </row>
    <row r="1567" spans="1:4" x14ac:dyDescent="0.3">
      <c r="A1567" t="s">
        <v>8</v>
      </c>
      <c r="B1567" s="1">
        <v>45295.208333333336</v>
      </c>
      <c r="C1567">
        <v>0</v>
      </c>
      <c r="D1567">
        <v>0</v>
      </c>
    </row>
    <row r="1568" spans="1:4" x14ac:dyDescent="0.3">
      <c r="A1568" t="s">
        <v>8</v>
      </c>
      <c r="B1568" s="1">
        <v>45295.25</v>
      </c>
      <c r="C1568">
        <v>0</v>
      </c>
      <c r="D1568">
        <v>0</v>
      </c>
    </row>
    <row r="1569" spans="1:4" x14ac:dyDescent="0.3">
      <c r="A1569" t="s">
        <v>8</v>
      </c>
      <c r="B1569" s="1">
        <v>45295.291666666664</v>
      </c>
      <c r="C1569">
        <v>207.05523608201599</v>
      </c>
      <c r="D1569">
        <v>207.05523608201599</v>
      </c>
    </row>
    <row r="1570" spans="1:4" x14ac:dyDescent="0.3">
      <c r="A1570" t="s">
        <v>8</v>
      </c>
      <c r="B1570" s="1">
        <v>45295.333333333336</v>
      </c>
      <c r="C1570">
        <v>399.99999999999898</v>
      </c>
      <c r="D1570">
        <v>399.99999999999898</v>
      </c>
    </row>
    <row r="1571" spans="1:4" x14ac:dyDescent="0.3">
      <c r="A1571" t="s">
        <v>8</v>
      </c>
      <c r="B1571" s="1">
        <v>45295.375</v>
      </c>
      <c r="C1571">
        <v>565.68542494923804</v>
      </c>
      <c r="D1571">
        <v>565.68542494923804</v>
      </c>
    </row>
    <row r="1572" spans="1:4" x14ac:dyDescent="0.3">
      <c r="A1572" t="s">
        <v>8</v>
      </c>
      <c r="B1572" s="1">
        <v>45295.416666666664</v>
      </c>
      <c r="C1572">
        <v>692.82032302754999</v>
      </c>
      <c r="D1572">
        <v>692.82032302754999</v>
      </c>
    </row>
    <row r="1573" spans="1:4" x14ac:dyDescent="0.3">
      <c r="A1573" t="s">
        <v>8</v>
      </c>
      <c r="B1573" s="1">
        <v>45295.458333333336</v>
      </c>
      <c r="C1573">
        <v>772.74066103125404</v>
      </c>
      <c r="D1573">
        <v>772.74066103125404</v>
      </c>
    </row>
    <row r="1574" spans="1:4" x14ac:dyDescent="0.3">
      <c r="A1574" t="s">
        <v>8</v>
      </c>
      <c r="B1574" s="1">
        <v>45295.5</v>
      </c>
      <c r="C1574">
        <v>800</v>
      </c>
      <c r="D1574">
        <v>800</v>
      </c>
    </row>
    <row r="1575" spans="1:4" x14ac:dyDescent="0.3">
      <c r="A1575" t="s">
        <v>8</v>
      </c>
      <c r="B1575" s="1">
        <v>45295.541666666664</v>
      </c>
      <c r="C1575">
        <v>772.74066103125404</v>
      </c>
      <c r="D1575">
        <v>772.74066103125404</v>
      </c>
    </row>
    <row r="1576" spans="1:4" x14ac:dyDescent="0.3">
      <c r="A1576" t="s">
        <v>8</v>
      </c>
      <c r="B1576" s="1">
        <v>45295.583333333336</v>
      </c>
      <c r="C1576">
        <v>692.82032302755101</v>
      </c>
      <c r="D1576">
        <v>692.82032302755101</v>
      </c>
    </row>
    <row r="1577" spans="1:4" x14ac:dyDescent="0.3">
      <c r="A1577" t="s">
        <v>8</v>
      </c>
      <c r="B1577" s="1">
        <v>45295.625</v>
      </c>
      <c r="C1577">
        <v>565.68542494923804</v>
      </c>
      <c r="D1577">
        <v>565.68542494923804</v>
      </c>
    </row>
    <row r="1578" spans="1:4" x14ac:dyDescent="0.3">
      <c r="A1578" t="s">
        <v>8</v>
      </c>
      <c r="B1578" s="1">
        <v>45295.666666666664</v>
      </c>
      <c r="C1578">
        <v>399.99999999999898</v>
      </c>
      <c r="D1578">
        <v>399.99999999999898</v>
      </c>
    </row>
    <row r="1579" spans="1:4" x14ac:dyDescent="0.3">
      <c r="A1579" t="s">
        <v>8</v>
      </c>
      <c r="B1579" s="1">
        <v>45295.708333333336</v>
      </c>
      <c r="C1579">
        <v>207.05523608201599</v>
      </c>
      <c r="D1579">
        <v>207.05523608201599</v>
      </c>
    </row>
    <row r="1580" spans="1:4" x14ac:dyDescent="0.3">
      <c r="A1580" t="s">
        <v>8</v>
      </c>
      <c r="B1580" s="1">
        <v>45295.75</v>
      </c>
      <c r="C1580" s="2">
        <v>9.7971743931788194E-14</v>
      </c>
      <c r="D1580" s="2">
        <v>9.7971743931788194E-14</v>
      </c>
    </row>
    <row r="1581" spans="1:4" x14ac:dyDescent="0.3">
      <c r="A1581" t="s">
        <v>8</v>
      </c>
      <c r="B1581" s="1">
        <v>45295.791666666664</v>
      </c>
      <c r="C1581">
        <v>0</v>
      </c>
      <c r="D1581">
        <v>0</v>
      </c>
    </row>
    <row r="1582" spans="1:4" x14ac:dyDescent="0.3">
      <c r="A1582" t="s">
        <v>8</v>
      </c>
      <c r="B1582" s="1">
        <v>45295.833333333336</v>
      </c>
      <c r="C1582">
        <v>0</v>
      </c>
      <c r="D1582">
        <v>0</v>
      </c>
    </row>
    <row r="1583" spans="1:4" x14ac:dyDescent="0.3">
      <c r="A1583" t="s">
        <v>8</v>
      </c>
      <c r="B1583" s="1">
        <v>45295.875</v>
      </c>
      <c r="C1583">
        <v>0</v>
      </c>
      <c r="D1583">
        <v>0</v>
      </c>
    </row>
    <row r="1584" spans="1:4" x14ac:dyDescent="0.3">
      <c r="A1584" t="s">
        <v>8</v>
      </c>
      <c r="B1584" s="1">
        <v>45295.916666666664</v>
      </c>
      <c r="C1584">
        <v>0</v>
      </c>
      <c r="D1584">
        <v>0</v>
      </c>
    </row>
    <row r="1585" spans="1:4" x14ac:dyDescent="0.3">
      <c r="A1585" t="s">
        <v>8</v>
      </c>
      <c r="B1585" s="1">
        <v>45295.958333333336</v>
      </c>
      <c r="C1585">
        <v>0</v>
      </c>
      <c r="D1585">
        <v>0</v>
      </c>
    </row>
    <row r="1586" spans="1:4" x14ac:dyDescent="0.3">
      <c r="A1586" t="s">
        <v>8</v>
      </c>
      <c r="B1586" s="1">
        <v>45296</v>
      </c>
      <c r="C1586">
        <v>0</v>
      </c>
      <c r="D1586">
        <v>0</v>
      </c>
    </row>
    <row r="1587" spans="1:4" x14ac:dyDescent="0.3">
      <c r="A1587" t="s">
        <v>8</v>
      </c>
      <c r="B1587" s="1">
        <v>45296.041666666664</v>
      </c>
      <c r="C1587">
        <v>0</v>
      </c>
      <c r="D1587">
        <v>0</v>
      </c>
    </row>
    <row r="1588" spans="1:4" x14ac:dyDescent="0.3">
      <c r="A1588" t="s">
        <v>8</v>
      </c>
      <c r="B1588" s="1">
        <v>45296.083333333336</v>
      </c>
      <c r="C1588">
        <v>0</v>
      </c>
      <c r="D1588">
        <v>0</v>
      </c>
    </row>
    <row r="1589" spans="1:4" x14ac:dyDescent="0.3">
      <c r="A1589" t="s">
        <v>8</v>
      </c>
      <c r="B1589" s="1">
        <v>45296.125</v>
      </c>
      <c r="C1589">
        <v>0</v>
      </c>
      <c r="D1589">
        <v>0</v>
      </c>
    </row>
    <row r="1590" spans="1:4" x14ac:dyDescent="0.3">
      <c r="A1590" t="s">
        <v>8</v>
      </c>
      <c r="B1590" s="1">
        <v>45296.166666666664</v>
      </c>
      <c r="C1590">
        <v>0</v>
      </c>
      <c r="D1590">
        <v>0</v>
      </c>
    </row>
    <row r="1591" spans="1:4" x14ac:dyDescent="0.3">
      <c r="A1591" t="s">
        <v>8</v>
      </c>
      <c r="B1591" s="1">
        <v>45296.208333333336</v>
      </c>
      <c r="C1591">
        <v>0</v>
      </c>
      <c r="D1591">
        <v>0</v>
      </c>
    </row>
    <row r="1592" spans="1:4" x14ac:dyDescent="0.3">
      <c r="A1592" t="s">
        <v>8</v>
      </c>
      <c r="B1592" s="1">
        <v>45296.25</v>
      </c>
      <c r="C1592">
        <v>0</v>
      </c>
      <c r="D1592">
        <v>0</v>
      </c>
    </row>
    <row r="1593" spans="1:4" x14ac:dyDescent="0.3">
      <c r="A1593" t="s">
        <v>8</v>
      </c>
      <c r="B1593" s="1">
        <v>45296.291666666664</v>
      </c>
      <c r="C1593">
        <v>207.05523608201599</v>
      </c>
      <c r="D1593">
        <v>207.05523608201599</v>
      </c>
    </row>
    <row r="1594" spans="1:4" x14ac:dyDescent="0.3">
      <c r="A1594" t="s">
        <v>8</v>
      </c>
      <c r="B1594" s="1">
        <v>45296.333333333336</v>
      </c>
      <c r="C1594">
        <v>399.99999999999898</v>
      </c>
      <c r="D1594">
        <v>399.99999999999898</v>
      </c>
    </row>
    <row r="1595" spans="1:4" x14ac:dyDescent="0.3">
      <c r="A1595" t="s">
        <v>8</v>
      </c>
      <c r="B1595" s="1">
        <v>45296.375</v>
      </c>
      <c r="C1595">
        <v>565.68542494923804</v>
      </c>
      <c r="D1595">
        <v>565.68542494923804</v>
      </c>
    </row>
    <row r="1596" spans="1:4" x14ac:dyDescent="0.3">
      <c r="A1596" t="s">
        <v>8</v>
      </c>
      <c r="B1596" s="1">
        <v>45296.416666666664</v>
      </c>
      <c r="C1596">
        <v>692.82032302754999</v>
      </c>
      <c r="D1596">
        <v>692.82032302754999</v>
      </c>
    </row>
    <row r="1597" spans="1:4" x14ac:dyDescent="0.3">
      <c r="A1597" t="s">
        <v>8</v>
      </c>
      <c r="B1597" s="1">
        <v>45296.458333333336</v>
      </c>
      <c r="C1597">
        <v>772.74066103125404</v>
      </c>
      <c r="D1597">
        <v>772.74066103125404</v>
      </c>
    </row>
    <row r="1598" spans="1:4" x14ac:dyDescent="0.3">
      <c r="A1598" t="s">
        <v>8</v>
      </c>
      <c r="B1598" s="1">
        <v>45296.5</v>
      </c>
      <c r="C1598">
        <v>800</v>
      </c>
      <c r="D1598">
        <v>800</v>
      </c>
    </row>
    <row r="1599" spans="1:4" x14ac:dyDescent="0.3">
      <c r="A1599" t="s">
        <v>8</v>
      </c>
      <c r="B1599" s="1">
        <v>45296.541666666664</v>
      </c>
      <c r="C1599">
        <v>772.74066103125404</v>
      </c>
      <c r="D1599">
        <v>772.74066103125404</v>
      </c>
    </row>
    <row r="1600" spans="1:4" x14ac:dyDescent="0.3">
      <c r="A1600" t="s">
        <v>8</v>
      </c>
      <c r="B1600" s="1">
        <v>45296.583333333336</v>
      </c>
      <c r="C1600">
        <v>692.82032302755101</v>
      </c>
      <c r="D1600">
        <v>692.82032302755101</v>
      </c>
    </row>
    <row r="1601" spans="1:4" x14ac:dyDescent="0.3">
      <c r="A1601" t="s">
        <v>8</v>
      </c>
      <c r="B1601" s="1">
        <v>45296.625</v>
      </c>
      <c r="C1601">
        <v>565.68542494923804</v>
      </c>
      <c r="D1601">
        <v>565.68542494923804</v>
      </c>
    </row>
    <row r="1602" spans="1:4" x14ac:dyDescent="0.3">
      <c r="A1602" t="s">
        <v>8</v>
      </c>
      <c r="B1602" s="1">
        <v>45296.666666666664</v>
      </c>
      <c r="C1602">
        <v>399.99999999999898</v>
      </c>
      <c r="D1602">
        <v>399.99999999999898</v>
      </c>
    </row>
    <row r="1603" spans="1:4" x14ac:dyDescent="0.3">
      <c r="A1603" t="s">
        <v>8</v>
      </c>
      <c r="B1603" s="1">
        <v>45296.708333333336</v>
      </c>
      <c r="C1603">
        <v>207.05523608201599</v>
      </c>
      <c r="D1603">
        <v>207.05523608201599</v>
      </c>
    </row>
    <row r="1604" spans="1:4" x14ac:dyDescent="0.3">
      <c r="A1604" t="s">
        <v>8</v>
      </c>
      <c r="B1604" s="1">
        <v>45296.75</v>
      </c>
      <c r="C1604" s="2">
        <v>9.7971743931788194E-14</v>
      </c>
      <c r="D1604" s="2">
        <v>9.7971743931788194E-14</v>
      </c>
    </row>
    <row r="1605" spans="1:4" x14ac:dyDescent="0.3">
      <c r="A1605" t="s">
        <v>8</v>
      </c>
      <c r="B1605" s="1">
        <v>45296.791666666664</v>
      </c>
      <c r="C1605">
        <v>0</v>
      </c>
      <c r="D1605">
        <v>0</v>
      </c>
    </row>
    <row r="1606" spans="1:4" x14ac:dyDescent="0.3">
      <c r="A1606" t="s">
        <v>8</v>
      </c>
      <c r="B1606" s="1">
        <v>45296.833333333336</v>
      </c>
      <c r="C1606">
        <v>0</v>
      </c>
      <c r="D1606">
        <v>0</v>
      </c>
    </row>
    <row r="1607" spans="1:4" x14ac:dyDescent="0.3">
      <c r="A1607" t="s">
        <v>8</v>
      </c>
      <c r="B1607" s="1">
        <v>45296.875</v>
      </c>
      <c r="C1607">
        <v>0</v>
      </c>
      <c r="D1607">
        <v>0</v>
      </c>
    </row>
    <row r="1608" spans="1:4" x14ac:dyDescent="0.3">
      <c r="A1608" t="s">
        <v>8</v>
      </c>
      <c r="B1608" s="1">
        <v>45296.916666666664</v>
      </c>
      <c r="C1608">
        <v>0</v>
      </c>
      <c r="D1608">
        <v>0</v>
      </c>
    </row>
    <row r="1609" spans="1:4" x14ac:dyDescent="0.3">
      <c r="A1609" t="s">
        <v>8</v>
      </c>
      <c r="B1609" s="1">
        <v>45296.958333333336</v>
      </c>
      <c r="C1609">
        <v>0</v>
      </c>
      <c r="D1609">
        <v>0</v>
      </c>
    </row>
    <row r="1610" spans="1:4" x14ac:dyDescent="0.3">
      <c r="A1610" t="s">
        <v>8</v>
      </c>
      <c r="B1610" s="1">
        <v>45297</v>
      </c>
      <c r="C1610">
        <v>0</v>
      </c>
      <c r="D1610">
        <v>0</v>
      </c>
    </row>
    <row r="1611" spans="1:4" x14ac:dyDescent="0.3">
      <c r="A1611" t="s">
        <v>8</v>
      </c>
      <c r="B1611" s="1">
        <v>45297.041666666664</v>
      </c>
      <c r="C1611">
        <v>0</v>
      </c>
      <c r="D1611">
        <v>0</v>
      </c>
    </row>
    <row r="1612" spans="1:4" x14ac:dyDescent="0.3">
      <c r="A1612" t="s">
        <v>8</v>
      </c>
      <c r="B1612" s="1">
        <v>45297.083333333336</v>
      </c>
      <c r="C1612">
        <v>0</v>
      </c>
      <c r="D1612">
        <v>0</v>
      </c>
    </row>
    <row r="1613" spans="1:4" x14ac:dyDescent="0.3">
      <c r="A1613" t="s">
        <v>8</v>
      </c>
      <c r="B1613" s="1">
        <v>45297.125</v>
      </c>
      <c r="C1613">
        <v>0</v>
      </c>
      <c r="D1613">
        <v>0</v>
      </c>
    </row>
    <row r="1614" spans="1:4" x14ac:dyDescent="0.3">
      <c r="A1614" t="s">
        <v>8</v>
      </c>
      <c r="B1614" s="1">
        <v>45297.166666666664</v>
      </c>
      <c r="C1614">
        <v>0</v>
      </c>
      <c r="D1614">
        <v>0</v>
      </c>
    </row>
    <row r="1615" spans="1:4" x14ac:dyDescent="0.3">
      <c r="A1615" t="s">
        <v>8</v>
      </c>
      <c r="B1615" s="1">
        <v>45297.208333333336</v>
      </c>
      <c r="C1615">
        <v>0</v>
      </c>
      <c r="D1615">
        <v>0</v>
      </c>
    </row>
    <row r="1616" spans="1:4" x14ac:dyDescent="0.3">
      <c r="A1616" t="s">
        <v>8</v>
      </c>
      <c r="B1616" s="1">
        <v>45297.25</v>
      </c>
      <c r="C1616">
        <v>0</v>
      </c>
      <c r="D1616">
        <v>0</v>
      </c>
    </row>
    <row r="1617" spans="1:4" x14ac:dyDescent="0.3">
      <c r="A1617" t="s">
        <v>8</v>
      </c>
      <c r="B1617" s="1">
        <v>45297.291666666664</v>
      </c>
      <c r="C1617">
        <v>207.05523608201599</v>
      </c>
      <c r="D1617">
        <v>207.05523608201599</v>
      </c>
    </row>
    <row r="1618" spans="1:4" x14ac:dyDescent="0.3">
      <c r="A1618" t="s">
        <v>8</v>
      </c>
      <c r="B1618" s="1">
        <v>45297.333333333336</v>
      </c>
      <c r="C1618">
        <v>399.99999999999898</v>
      </c>
      <c r="D1618">
        <v>399.99999999999898</v>
      </c>
    </row>
    <row r="1619" spans="1:4" x14ac:dyDescent="0.3">
      <c r="A1619" t="s">
        <v>8</v>
      </c>
      <c r="B1619" s="1">
        <v>45297.375</v>
      </c>
      <c r="C1619">
        <v>565.68542494923804</v>
      </c>
      <c r="D1619">
        <v>565.68542494923804</v>
      </c>
    </row>
    <row r="1620" spans="1:4" x14ac:dyDescent="0.3">
      <c r="A1620" t="s">
        <v>8</v>
      </c>
      <c r="B1620" s="1">
        <v>45297.416666666664</v>
      </c>
      <c r="C1620">
        <v>692.82032302754999</v>
      </c>
      <c r="D1620">
        <v>692.82032302754999</v>
      </c>
    </row>
    <row r="1621" spans="1:4" x14ac:dyDescent="0.3">
      <c r="A1621" t="s">
        <v>8</v>
      </c>
      <c r="B1621" s="1">
        <v>45297.458333333336</v>
      </c>
      <c r="C1621">
        <v>772.74066103125404</v>
      </c>
      <c r="D1621">
        <v>772.74066103125404</v>
      </c>
    </row>
    <row r="1622" spans="1:4" x14ac:dyDescent="0.3">
      <c r="A1622" t="s">
        <v>8</v>
      </c>
      <c r="B1622" s="1">
        <v>45297.5</v>
      </c>
      <c r="C1622">
        <v>800</v>
      </c>
      <c r="D1622">
        <v>800</v>
      </c>
    </row>
    <row r="1623" spans="1:4" x14ac:dyDescent="0.3">
      <c r="A1623" t="s">
        <v>8</v>
      </c>
      <c r="B1623" s="1">
        <v>45297.541666666664</v>
      </c>
      <c r="C1623">
        <v>772.74066103125404</v>
      </c>
      <c r="D1623">
        <v>772.74066103125404</v>
      </c>
    </row>
    <row r="1624" spans="1:4" x14ac:dyDescent="0.3">
      <c r="A1624" t="s">
        <v>8</v>
      </c>
      <c r="B1624" s="1">
        <v>45297.583333333336</v>
      </c>
      <c r="C1624">
        <v>692.82032302755101</v>
      </c>
      <c r="D1624">
        <v>692.82032302755101</v>
      </c>
    </row>
    <row r="1625" spans="1:4" x14ac:dyDescent="0.3">
      <c r="A1625" t="s">
        <v>8</v>
      </c>
      <c r="B1625" s="1">
        <v>45297.625</v>
      </c>
      <c r="C1625">
        <v>565.68542494923804</v>
      </c>
      <c r="D1625">
        <v>565.68542494923804</v>
      </c>
    </row>
    <row r="1626" spans="1:4" x14ac:dyDescent="0.3">
      <c r="A1626" t="s">
        <v>8</v>
      </c>
      <c r="B1626" s="1">
        <v>45297.666666666664</v>
      </c>
      <c r="C1626">
        <v>399.99999999999898</v>
      </c>
      <c r="D1626">
        <v>399.99999999999898</v>
      </c>
    </row>
    <row r="1627" spans="1:4" x14ac:dyDescent="0.3">
      <c r="A1627" t="s">
        <v>8</v>
      </c>
      <c r="B1627" s="1">
        <v>45297.708333333336</v>
      </c>
      <c r="C1627">
        <v>207.05523608201599</v>
      </c>
      <c r="D1627">
        <v>207.05523608201599</v>
      </c>
    </row>
    <row r="1628" spans="1:4" x14ac:dyDescent="0.3">
      <c r="A1628" t="s">
        <v>8</v>
      </c>
      <c r="B1628" s="1">
        <v>45297.75</v>
      </c>
      <c r="C1628" s="2">
        <v>9.7971743931788194E-14</v>
      </c>
      <c r="D1628" s="2">
        <v>9.7971743931788194E-14</v>
      </c>
    </row>
    <row r="1629" spans="1:4" x14ac:dyDescent="0.3">
      <c r="A1629" t="s">
        <v>8</v>
      </c>
      <c r="B1629" s="1">
        <v>45297.791666666664</v>
      </c>
      <c r="C1629">
        <v>0</v>
      </c>
      <c r="D1629">
        <v>0</v>
      </c>
    </row>
    <row r="1630" spans="1:4" x14ac:dyDescent="0.3">
      <c r="A1630" t="s">
        <v>8</v>
      </c>
      <c r="B1630" s="1">
        <v>45297.833333333336</v>
      </c>
      <c r="C1630">
        <v>0</v>
      </c>
      <c r="D1630">
        <v>0</v>
      </c>
    </row>
    <row r="1631" spans="1:4" x14ac:dyDescent="0.3">
      <c r="A1631" t="s">
        <v>8</v>
      </c>
      <c r="B1631" s="1">
        <v>45297.875</v>
      </c>
      <c r="C1631">
        <v>0</v>
      </c>
      <c r="D1631">
        <v>0</v>
      </c>
    </row>
    <row r="1632" spans="1:4" x14ac:dyDescent="0.3">
      <c r="A1632" t="s">
        <v>8</v>
      </c>
      <c r="B1632" s="1">
        <v>45297.916666666664</v>
      </c>
      <c r="C1632">
        <v>0</v>
      </c>
      <c r="D1632">
        <v>0</v>
      </c>
    </row>
    <row r="1633" spans="1:4" x14ac:dyDescent="0.3">
      <c r="A1633" t="s">
        <v>8</v>
      </c>
      <c r="B1633" s="1">
        <v>45297.958333333336</v>
      </c>
      <c r="C1633">
        <v>0</v>
      </c>
      <c r="D1633">
        <v>0</v>
      </c>
    </row>
    <row r="1634" spans="1:4" x14ac:dyDescent="0.3">
      <c r="A1634" t="s">
        <v>8</v>
      </c>
      <c r="B1634" s="1">
        <v>45298</v>
      </c>
      <c r="C1634">
        <v>0</v>
      </c>
      <c r="D1634">
        <v>0</v>
      </c>
    </row>
    <row r="1635" spans="1:4" x14ac:dyDescent="0.3">
      <c r="A1635" t="s">
        <v>8</v>
      </c>
      <c r="B1635" s="1">
        <v>45298.041666666664</v>
      </c>
      <c r="C1635">
        <v>0</v>
      </c>
      <c r="D1635">
        <v>0</v>
      </c>
    </row>
    <row r="1636" spans="1:4" x14ac:dyDescent="0.3">
      <c r="A1636" t="s">
        <v>8</v>
      </c>
      <c r="B1636" s="1">
        <v>45298.083333333336</v>
      </c>
      <c r="C1636">
        <v>0</v>
      </c>
      <c r="D1636">
        <v>0</v>
      </c>
    </row>
    <row r="1637" spans="1:4" x14ac:dyDescent="0.3">
      <c r="A1637" t="s">
        <v>8</v>
      </c>
      <c r="B1637" s="1">
        <v>45298.125</v>
      </c>
      <c r="C1637">
        <v>0</v>
      </c>
      <c r="D1637">
        <v>0</v>
      </c>
    </row>
    <row r="1638" spans="1:4" x14ac:dyDescent="0.3">
      <c r="A1638" t="s">
        <v>8</v>
      </c>
      <c r="B1638" s="1">
        <v>45298.166666666664</v>
      </c>
      <c r="C1638">
        <v>0</v>
      </c>
      <c r="D1638">
        <v>0</v>
      </c>
    </row>
    <row r="1639" spans="1:4" x14ac:dyDescent="0.3">
      <c r="A1639" t="s">
        <v>8</v>
      </c>
      <c r="B1639" s="1">
        <v>45298.208333333336</v>
      </c>
      <c r="C1639">
        <v>0</v>
      </c>
      <c r="D1639">
        <v>0</v>
      </c>
    </row>
    <row r="1640" spans="1:4" x14ac:dyDescent="0.3">
      <c r="A1640" t="s">
        <v>8</v>
      </c>
      <c r="B1640" s="1">
        <v>45298.25</v>
      </c>
      <c r="C1640">
        <v>0</v>
      </c>
      <c r="D1640">
        <v>0</v>
      </c>
    </row>
    <row r="1641" spans="1:4" x14ac:dyDescent="0.3">
      <c r="A1641" t="s">
        <v>8</v>
      </c>
      <c r="B1641" s="1">
        <v>45298.291666666664</v>
      </c>
      <c r="C1641">
        <v>207.05523608201599</v>
      </c>
      <c r="D1641">
        <v>207.05523608201599</v>
      </c>
    </row>
    <row r="1642" spans="1:4" x14ac:dyDescent="0.3">
      <c r="A1642" t="s">
        <v>8</v>
      </c>
      <c r="B1642" s="1">
        <v>45298.333333333336</v>
      </c>
      <c r="C1642">
        <v>399.99999999999898</v>
      </c>
      <c r="D1642">
        <v>399.99999999999898</v>
      </c>
    </row>
    <row r="1643" spans="1:4" x14ac:dyDescent="0.3">
      <c r="A1643" t="s">
        <v>8</v>
      </c>
      <c r="B1643" s="1">
        <v>45298.375</v>
      </c>
      <c r="C1643">
        <v>565.68542494923804</v>
      </c>
      <c r="D1643">
        <v>565.68542494923804</v>
      </c>
    </row>
    <row r="1644" spans="1:4" x14ac:dyDescent="0.3">
      <c r="A1644" t="s">
        <v>8</v>
      </c>
      <c r="B1644" s="1">
        <v>45298.416666666664</v>
      </c>
      <c r="C1644">
        <v>692.82032302754999</v>
      </c>
      <c r="D1644">
        <v>692.82032302754999</v>
      </c>
    </row>
    <row r="1645" spans="1:4" x14ac:dyDescent="0.3">
      <c r="A1645" t="s">
        <v>8</v>
      </c>
      <c r="B1645" s="1">
        <v>45298.458333333336</v>
      </c>
      <c r="C1645">
        <v>772.74066103125404</v>
      </c>
      <c r="D1645">
        <v>772.74066103125404</v>
      </c>
    </row>
    <row r="1646" spans="1:4" x14ac:dyDescent="0.3">
      <c r="A1646" t="s">
        <v>8</v>
      </c>
      <c r="B1646" s="1">
        <v>45298.5</v>
      </c>
      <c r="C1646">
        <v>800</v>
      </c>
      <c r="D1646">
        <v>800</v>
      </c>
    </row>
    <row r="1647" spans="1:4" x14ac:dyDescent="0.3">
      <c r="A1647" t="s">
        <v>8</v>
      </c>
      <c r="B1647" s="1">
        <v>45298.541666666664</v>
      </c>
      <c r="C1647">
        <v>772.74066103125404</v>
      </c>
      <c r="D1647">
        <v>772.74066103125404</v>
      </c>
    </row>
    <row r="1648" spans="1:4" x14ac:dyDescent="0.3">
      <c r="A1648" t="s">
        <v>8</v>
      </c>
      <c r="B1648" s="1">
        <v>45298.583333333336</v>
      </c>
      <c r="C1648">
        <v>692.82032302755101</v>
      </c>
      <c r="D1648">
        <v>692.82032302755101</v>
      </c>
    </row>
    <row r="1649" spans="1:4" x14ac:dyDescent="0.3">
      <c r="A1649" t="s">
        <v>8</v>
      </c>
      <c r="B1649" s="1">
        <v>45298.625</v>
      </c>
      <c r="C1649">
        <v>565.68542494923804</v>
      </c>
      <c r="D1649">
        <v>565.68542494923804</v>
      </c>
    </row>
    <row r="1650" spans="1:4" x14ac:dyDescent="0.3">
      <c r="A1650" t="s">
        <v>8</v>
      </c>
      <c r="B1650" s="1">
        <v>45298.666666666664</v>
      </c>
      <c r="C1650">
        <v>399.99999999999898</v>
      </c>
      <c r="D1650">
        <v>399.99999999999898</v>
      </c>
    </row>
    <row r="1651" spans="1:4" x14ac:dyDescent="0.3">
      <c r="A1651" t="s">
        <v>8</v>
      </c>
      <c r="B1651" s="1">
        <v>45298.708333333336</v>
      </c>
      <c r="C1651">
        <v>207.05523608201599</v>
      </c>
      <c r="D1651">
        <v>207.05523608201599</v>
      </c>
    </row>
    <row r="1652" spans="1:4" x14ac:dyDescent="0.3">
      <c r="A1652" t="s">
        <v>8</v>
      </c>
      <c r="B1652" s="1">
        <v>45298.75</v>
      </c>
      <c r="C1652" s="2">
        <v>9.7971743931788194E-14</v>
      </c>
      <c r="D1652" s="2">
        <v>9.7971743931788194E-14</v>
      </c>
    </row>
    <row r="1653" spans="1:4" x14ac:dyDescent="0.3">
      <c r="A1653" t="s">
        <v>8</v>
      </c>
      <c r="B1653" s="1">
        <v>45298.791666666664</v>
      </c>
      <c r="C1653">
        <v>0</v>
      </c>
      <c r="D1653">
        <v>0</v>
      </c>
    </row>
    <row r="1654" spans="1:4" x14ac:dyDescent="0.3">
      <c r="A1654" t="s">
        <v>8</v>
      </c>
      <c r="B1654" s="1">
        <v>45298.833333333336</v>
      </c>
      <c r="C1654">
        <v>0</v>
      </c>
      <c r="D1654">
        <v>0</v>
      </c>
    </row>
    <row r="1655" spans="1:4" x14ac:dyDescent="0.3">
      <c r="A1655" t="s">
        <v>8</v>
      </c>
      <c r="B1655" s="1">
        <v>45298.875</v>
      </c>
      <c r="C1655">
        <v>0</v>
      </c>
      <c r="D1655">
        <v>0</v>
      </c>
    </row>
    <row r="1656" spans="1:4" x14ac:dyDescent="0.3">
      <c r="A1656" t="s">
        <v>8</v>
      </c>
      <c r="B1656" s="1">
        <v>45298.916666666664</v>
      </c>
      <c r="C1656">
        <v>0</v>
      </c>
      <c r="D1656">
        <v>0</v>
      </c>
    </row>
    <row r="1657" spans="1:4" x14ac:dyDescent="0.3">
      <c r="A1657" t="s">
        <v>8</v>
      </c>
      <c r="B1657" s="1">
        <v>45298.958333333336</v>
      </c>
      <c r="C1657">
        <v>0</v>
      </c>
      <c r="D1657">
        <v>0</v>
      </c>
    </row>
    <row r="1658" spans="1:4" x14ac:dyDescent="0.3">
      <c r="A1658" t="s">
        <v>8</v>
      </c>
      <c r="B1658" s="1">
        <v>45299</v>
      </c>
      <c r="C1658">
        <v>0</v>
      </c>
      <c r="D1658">
        <v>0</v>
      </c>
    </row>
    <row r="1659" spans="1:4" x14ac:dyDescent="0.3">
      <c r="A1659" t="s">
        <v>8</v>
      </c>
      <c r="B1659" s="1">
        <v>45299.041666666664</v>
      </c>
      <c r="C1659">
        <v>0</v>
      </c>
      <c r="D1659">
        <v>0</v>
      </c>
    </row>
    <row r="1660" spans="1:4" x14ac:dyDescent="0.3">
      <c r="A1660" t="s">
        <v>8</v>
      </c>
      <c r="B1660" s="1">
        <v>45299.083333333336</v>
      </c>
      <c r="C1660">
        <v>0</v>
      </c>
      <c r="D1660">
        <v>0</v>
      </c>
    </row>
    <row r="1661" spans="1:4" x14ac:dyDescent="0.3">
      <c r="A1661" t="s">
        <v>8</v>
      </c>
      <c r="B1661" s="1">
        <v>45299.125</v>
      </c>
      <c r="C1661">
        <v>0</v>
      </c>
      <c r="D1661">
        <v>0</v>
      </c>
    </row>
    <row r="1662" spans="1:4" x14ac:dyDescent="0.3">
      <c r="A1662" t="s">
        <v>8</v>
      </c>
      <c r="B1662" s="1">
        <v>45299.166666666664</v>
      </c>
      <c r="C1662">
        <v>0</v>
      </c>
      <c r="D1662">
        <v>0</v>
      </c>
    </row>
    <row r="1663" spans="1:4" x14ac:dyDescent="0.3">
      <c r="A1663" t="s">
        <v>8</v>
      </c>
      <c r="B1663" s="1">
        <v>45299.208333333336</v>
      </c>
      <c r="C1663">
        <v>0</v>
      </c>
      <c r="D1663">
        <v>0</v>
      </c>
    </row>
    <row r="1664" spans="1:4" x14ac:dyDescent="0.3">
      <c r="A1664" t="s">
        <v>8</v>
      </c>
      <c r="B1664" s="1">
        <v>45299.25</v>
      </c>
      <c r="C1664">
        <v>0</v>
      </c>
      <c r="D1664">
        <v>0</v>
      </c>
    </row>
    <row r="1665" spans="1:4" x14ac:dyDescent="0.3">
      <c r="A1665" t="s">
        <v>8</v>
      </c>
      <c r="B1665" s="1">
        <v>45299.291666666664</v>
      </c>
      <c r="C1665">
        <v>207.05523608201599</v>
      </c>
      <c r="D1665">
        <v>207.05523608201599</v>
      </c>
    </row>
    <row r="1666" spans="1:4" x14ac:dyDescent="0.3">
      <c r="A1666" t="s">
        <v>8</v>
      </c>
      <c r="B1666" s="1">
        <v>45299.333333333336</v>
      </c>
      <c r="C1666">
        <v>399.99999999999898</v>
      </c>
      <c r="D1666">
        <v>399.99999999999898</v>
      </c>
    </row>
    <row r="1667" spans="1:4" x14ac:dyDescent="0.3">
      <c r="A1667" t="s">
        <v>8</v>
      </c>
      <c r="B1667" s="1">
        <v>45299.375</v>
      </c>
      <c r="C1667">
        <v>565.68542494923804</v>
      </c>
      <c r="D1667">
        <v>565.68542494923804</v>
      </c>
    </row>
    <row r="1668" spans="1:4" x14ac:dyDescent="0.3">
      <c r="A1668" t="s">
        <v>8</v>
      </c>
      <c r="B1668" s="1">
        <v>45299.416666666664</v>
      </c>
      <c r="C1668">
        <v>692.82032302754999</v>
      </c>
      <c r="D1668">
        <v>692.82032302754999</v>
      </c>
    </row>
    <row r="1669" spans="1:4" x14ac:dyDescent="0.3">
      <c r="A1669" t="s">
        <v>8</v>
      </c>
      <c r="B1669" s="1">
        <v>45299.458333333336</v>
      </c>
      <c r="C1669">
        <v>772.74066103125404</v>
      </c>
      <c r="D1669">
        <v>772.74066103125404</v>
      </c>
    </row>
    <row r="1670" spans="1:4" x14ac:dyDescent="0.3">
      <c r="A1670" t="s">
        <v>8</v>
      </c>
      <c r="B1670" s="1">
        <v>45299.5</v>
      </c>
      <c r="C1670">
        <v>800</v>
      </c>
      <c r="D1670">
        <v>800</v>
      </c>
    </row>
    <row r="1671" spans="1:4" x14ac:dyDescent="0.3">
      <c r="A1671" t="s">
        <v>8</v>
      </c>
      <c r="B1671" s="1">
        <v>45299.541666666664</v>
      </c>
      <c r="C1671">
        <v>772.74066103125404</v>
      </c>
      <c r="D1671">
        <v>772.74066103125404</v>
      </c>
    </row>
    <row r="1672" spans="1:4" x14ac:dyDescent="0.3">
      <c r="A1672" t="s">
        <v>8</v>
      </c>
      <c r="B1672" s="1">
        <v>45299.583333333336</v>
      </c>
      <c r="C1672">
        <v>692.82032302755101</v>
      </c>
      <c r="D1672">
        <v>692.82032302755101</v>
      </c>
    </row>
    <row r="1673" spans="1:4" x14ac:dyDescent="0.3">
      <c r="A1673" t="s">
        <v>8</v>
      </c>
      <c r="B1673" s="1">
        <v>45299.625</v>
      </c>
      <c r="C1673">
        <v>565.68542494923804</v>
      </c>
      <c r="D1673">
        <v>565.68542494923804</v>
      </c>
    </row>
    <row r="1674" spans="1:4" x14ac:dyDescent="0.3">
      <c r="A1674" t="s">
        <v>8</v>
      </c>
      <c r="B1674" s="1">
        <v>45299.666666666664</v>
      </c>
      <c r="C1674">
        <v>399.99999999999898</v>
      </c>
      <c r="D1674">
        <v>399.99999999999898</v>
      </c>
    </row>
    <row r="1675" spans="1:4" x14ac:dyDescent="0.3">
      <c r="A1675" t="s">
        <v>8</v>
      </c>
      <c r="B1675" s="1">
        <v>45299.708333333336</v>
      </c>
      <c r="C1675">
        <v>207.05523608201599</v>
      </c>
      <c r="D1675">
        <v>207.05523608201599</v>
      </c>
    </row>
    <row r="1676" spans="1:4" x14ac:dyDescent="0.3">
      <c r="A1676" t="s">
        <v>8</v>
      </c>
      <c r="B1676" s="1">
        <v>45299.75</v>
      </c>
      <c r="C1676" s="2">
        <v>9.7971743931788194E-14</v>
      </c>
      <c r="D1676" s="2">
        <v>9.7971743931788194E-14</v>
      </c>
    </row>
    <row r="1677" spans="1:4" x14ac:dyDescent="0.3">
      <c r="A1677" t="s">
        <v>8</v>
      </c>
      <c r="B1677" s="1">
        <v>45299.791666666664</v>
      </c>
      <c r="C1677">
        <v>0</v>
      </c>
      <c r="D1677">
        <v>0</v>
      </c>
    </row>
    <row r="1678" spans="1:4" x14ac:dyDescent="0.3">
      <c r="A1678" t="s">
        <v>8</v>
      </c>
      <c r="B1678" s="1">
        <v>45299.833333333336</v>
      </c>
      <c r="C1678">
        <v>0</v>
      </c>
      <c r="D1678">
        <v>0</v>
      </c>
    </row>
    <row r="1679" spans="1:4" x14ac:dyDescent="0.3">
      <c r="A1679" t="s">
        <v>8</v>
      </c>
      <c r="B1679" s="1">
        <v>45299.875</v>
      </c>
      <c r="C1679">
        <v>0</v>
      </c>
      <c r="D1679">
        <v>0</v>
      </c>
    </row>
    <row r="1680" spans="1:4" x14ac:dyDescent="0.3">
      <c r="A1680" t="s">
        <v>8</v>
      </c>
      <c r="B1680" s="1">
        <v>45299.916666666664</v>
      </c>
      <c r="C1680">
        <v>0</v>
      </c>
      <c r="D1680">
        <v>0</v>
      </c>
    </row>
    <row r="1681" spans="1:4" x14ac:dyDescent="0.3">
      <c r="A1681" t="s">
        <v>8</v>
      </c>
      <c r="B1681" s="1">
        <v>45299.958333333336</v>
      </c>
      <c r="C1681">
        <v>0</v>
      </c>
      <c r="D1681">
        <v>0</v>
      </c>
    </row>
    <row r="1682" spans="1:4" x14ac:dyDescent="0.3">
      <c r="A1682" t="s">
        <v>8</v>
      </c>
      <c r="B1682" s="1">
        <v>45300</v>
      </c>
      <c r="C1682">
        <v>0</v>
      </c>
      <c r="D1682">
        <v>0</v>
      </c>
    </row>
    <row r="1683" spans="1:4" x14ac:dyDescent="0.3">
      <c r="A1683" t="s">
        <v>8</v>
      </c>
      <c r="B1683" s="1">
        <v>45300.041666666664</v>
      </c>
      <c r="C1683">
        <v>0</v>
      </c>
      <c r="D1683">
        <v>0</v>
      </c>
    </row>
    <row r="1684" spans="1:4" x14ac:dyDescent="0.3">
      <c r="A1684" t="s">
        <v>8</v>
      </c>
      <c r="B1684" s="1">
        <v>45300.083333333336</v>
      </c>
      <c r="C1684">
        <v>0</v>
      </c>
      <c r="D1684">
        <v>0</v>
      </c>
    </row>
    <row r="1685" spans="1:4" x14ac:dyDescent="0.3">
      <c r="A1685" t="s">
        <v>8</v>
      </c>
      <c r="B1685" s="1">
        <v>45300.125</v>
      </c>
      <c r="C1685">
        <v>0</v>
      </c>
      <c r="D1685">
        <v>0</v>
      </c>
    </row>
    <row r="1686" spans="1:4" x14ac:dyDescent="0.3">
      <c r="A1686" t="s">
        <v>8</v>
      </c>
      <c r="B1686" s="1">
        <v>45300.166666666664</v>
      </c>
      <c r="C1686">
        <v>0</v>
      </c>
      <c r="D1686">
        <v>0</v>
      </c>
    </row>
    <row r="1687" spans="1:4" x14ac:dyDescent="0.3">
      <c r="A1687" t="s">
        <v>8</v>
      </c>
      <c r="B1687" s="1">
        <v>45300.208333333336</v>
      </c>
      <c r="C1687">
        <v>0</v>
      </c>
      <c r="D1687">
        <v>0</v>
      </c>
    </row>
    <row r="1688" spans="1:4" x14ac:dyDescent="0.3">
      <c r="A1688" t="s">
        <v>8</v>
      </c>
      <c r="B1688" s="1">
        <v>45300.25</v>
      </c>
      <c r="C1688">
        <v>0</v>
      </c>
      <c r="D1688">
        <v>0</v>
      </c>
    </row>
    <row r="1689" spans="1:4" x14ac:dyDescent="0.3">
      <c r="A1689" t="s">
        <v>8</v>
      </c>
      <c r="B1689" s="1">
        <v>45300.291666666664</v>
      </c>
      <c r="C1689">
        <v>207.05523608201599</v>
      </c>
      <c r="D1689">
        <v>207.05523608201599</v>
      </c>
    </row>
    <row r="1690" spans="1:4" x14ac:dyDescent="0.3">
      <c r="A1690" t="s">
        <v>8</v>
      </c>
      <c r="B1690" s="1">
        <v>45300.333333333336</v>
      </c>
      <c r="C1690">
        <v>399.99999999999898</v>
      </c>
      <c r="D1690">
        <v>399.99999999999898</v>
      </c>
    </row>
    <row r="1691" spans="1:4" x14ac:dyDescent="0.3">
      <c r="A1691" t="s">
        <v>8</v>
      </c>
      <c r="B1691" s="1">
        <v>45300.375</v>
      </c>
      <c r="C1691">
        <v>565.68542494923804</v>
      </c>
      <c r="D1691">
        <v>565.68542494923804</v>
      </c>
    </row>
    <row r="1692" spans="1:4" x14ac:dyDescent="0.3">
      <c r="A1692" t="s">
        <v>8</v>
      </c>
      <c r="B1692" s="1">
        <v>45300.416666666664</v>
      </c>
      <c r="C1692">
        <v>692.82032302754999</v>
      </c>
      <c r="D1692">
        <v>692.82032302754999</v>
      </c>
    </row>
    <row r="1693" spans="1:4" x14ac:dyDescent="0.3">
      <c r="A1693" t="s">
        <v>8</v>
      </c>
      <c r="B1693" s="1">
        <v>45300.458333333336</v>
      </c>
      <c r="C1693">
        <v>772.74066103125404</v>
      </c>
      <c r="D1693">
        <v>772.74066103125404</v>
      </c>
    </row>
    <row r="1694" spans="1:4" x14ac:dyDescent="0.3">
      <c r="A1694" t="s">
        <v>8</v>
      </c>
      <c r="B1694" s="1">
        <v>45300.5</v>
      </c>
      <c r="C1694">
        <v>800</v>
      </c>
      <c r="D1694">
        <v>800</v>
      </c>
    </row>
    <row r="1695" spans="1:4" x14ac:dyDescent="0.3">
      <c r="A1695" t="s">
        <v>8</v>
      </c>
      <c r="B1695" s="1">
        <v>45300.541666666664</v>
      </c>
      <c r="C1695">
        <v>772.74066103125404</v>
      </c>
      <c r="D1695">
        <v>772.74066103125404</v>
      </c>
    </row>
    <row r="1696" spans="1:4" x14ac:dyDescent="0.3">
      <c r="A1696" t="s">
        <v>8</v>
      </c>
      <c r="B1696" s="1">
        <v>45300.583333333336</v>
      </c>
      <c r="C1696">
        <v>692.82032302755101</v>
      </c>
      <c r="D1696">
        <v>692.82032302755101</v>
      </c>
    </row>
    <row r="1697" spans="1:4" x14ac:dyDescent="0.3">
      <c r="A1697" t="s">
        <v>8</v>
      </c>
      <c r="B1697" s="1">
        <v>45300.625</v>
      </c>
      <c r="C1697">
        <v>565.68542494923804</v>
      </c>
      <c r="D1697">
        <v>565.68542494923804</v>
      </c>
    </row>
    <row r="1698" spans="1:4" x14ac:dyDescent="0.3">
      <c r="A1698" t="s">
        <v>8</v>
      </c>
      <c r="B1698" s="1">
        <v>45300.666666666664</v>
      </c>
      <c r="C1698">
        <v>399.99999999999898</v>
      </c>
      <c r="D1698">
        <v>399.99999999999898</v>
      </c>
    </row>
    <row r="1699" spans="1:4" x14ac:dyDescent="0.3">
      <c r="A1699" t="s">
        <v>8</v>
      </c>
      <c r="B1699" s="1">
        <v>45300.708333333336</v>
      </c>
      <c r="C1699">
        <v>207.05523608201599</v>
      </c>
      <c r="D1699">
        <v>207.05523608201599</v>
      </c>
    </row>
    <row r="1700" spans="1:4" x14ac:dyDescent="0.3">
      <c r="A1700" t="s">
        <v>8</v>
      </c>
      <c r="B1700" s="1">
        <v>45300.75</v>
      </c>
      <c r="C1700" s="2">
        <v>9.7971743931788194E-14</v>
      </c>
      <c r="D1700" s="2">
        <v>9.7971743931788194E-14</v>
      </c>
    </row>
    <row r="1701" spans="1:4" x14ac:dyDescent="0.3">
      <c r="A1701" t="s">
        <v>8</v>
      </c>
      <c r="B1701" s="1">
        <v>45300.791666666664</v>
      </c>
      <c r="C1701">
        <v>0</v>
      </c>
      <c r="D1701">
        <v>0</v>
      </c>
    </row>
    <row r="1702" spans="1:4" x14ac:dyDescent="0.3">
      <c r="A1702" t="s">
        <v>8</v>
      </c>
      <c r="B1702" s="1">
        <v>45300.833333333336</v>
      </c>
      <c r="C1702">
        <v>0</v>
      </c>
      <c r="D1702">
        <v>0</v>
      </c>
    </row>
    <row r="1703" spans="1:4" x14ac:dyDescent="0.3">
      <c r="A1703" t="s">
        <v>8</v>
      </c>
      <c r="B1703" s="1">
        <v>45300.875</v>
      </c>
      <c r="C1703">
        <v>0</v>
      </c>
      <c r="D1703">
        <v>0</v>
      </c>
    </row>
    <row r="1704" spans="1:4" x14ac:dyDescent="0.3">
      <c r="A1704" t="s">
        <v>8</v>
      </c>
      <c r="B1704" s="1">
        <v>45300.916666666664</v>
      </c>
      <c r="C1704">
        <v>0</v>
      </c>
      <c r="D1704">
        <v>0</v>
      </c>
    </row>
    <row r="1705" spans="1:4" x14ac:dyDescent="0.3">
      <c r="A1705" t="s">
        <v>8</v>
      </c>
      <c r="B1705" s="1">
        <v>45300.958333333336</v>
      </c>
      <c r="C1705">
        <v>0</v>
      </c>
      <c r="D1705">
        <v>0</v>
      </c>
    </row>
    <row r="1706" spans="1:4" x14ac:dyDescent="0.3">
      <c r="A1706" t="s">
        <v>8</v>
      </c>
      <c r="B1706" s="1">
        <v>45301</v>
      </c>
      <c r="C1706">
        <v>0</v>
      </c>
      <c r="D1706">
        <v>0</v>
      </c>
    </row>
    <row r="1707" spans="1:4" x14ac:dyDescent="0.3">
      <c r="A1707" t="s">
        <v>8</v>
      </c>
      <c r="B1707" s="1">
        <v>45301.041666666664</v>
      </c>
      <c r="C1707">
        <v>0</v>
      </c>
      <c r="D1707">
        <v>0</v>
      </c>
    </row>
    <row r="1708" spans="1:4" x14ac:dyDescent="0.3">
      <c r="A1708" t="s">
        <v>8</v>
      </c>
      <c r="B1708" s="1">
        <v>45301.083333333336</v>
      </c>
      <c r="C1708">
        <v>0</v>
      </c>
      <c r="D1708">
        <v>0</v>
      </c>
    </row>
    <row r="1709" spans="1:4" x14ac:dyDescent="0.3">
      <c r="A1709" t="s">
        <v>8</v>
      </c>
      <c r="B1709" s="1">
        <v>45301.125</v>
      </c>
      <c r="C1709">
        <v>0</v>
      </c>
      <c r="D1709">
        <v>0</v>
      </c>
    </row>
    <row r="1710" spans="1:4" x14ac:dyDescent="0.3">
      <c r="A1710" t="s">
        <v>8</v>
      </c>
      <c r="B1710" s="1">
        <v>45301.166666666664</v>
      </c>
      <c r="C1710">
        <v>0</v>
      </c>
      <c r="D1710">
        <v>0</v>
      </c>
    </row>
    <row r="1711" spans="1:4" x14ac:dyDescent="0.3">
      <c r="A1711" t="s">
        <v>8</v>
      </c>
      <c r="B1711" s="1">
        <v>45301.208333333336</v>
      </c>
      <c r="C1711">
        <v>0</v>
      </c>
      <c r="D1711">
        <v>0</v>
      </c>
    </row>
    <row r="1712" spans="1:4" x14ac:dyDescent="0.3">
      <c r="A1712" t="s">
        <v>8</v>
      </c>
      <c r="B1712" s="1">
        <v>45301.25</v>
      </c>
      <c r="C1712">
        <v>0</v>
      </c>
      <c r="D1712">
        <v>0</v>
      </c>
    </row>
    <row r="1713" spans="1:4" x14ac:dyDescent="0.3">
      <c r="A1713" t="s">
        <v>8</v>
      </c>
      <c r="B1713" s="1">
        <v>45301.291666666664</v>
      </c>
      <c r="C1713">
        <v>207.05523608201599</v>
      </c>
      <c r="D1713">
        <v>207.05523608201599</v>
      </c>
    </row>
    <row r="1714" spans="1:4" x14ac:dyDescent="0.3">
      <c r="A1714" t="s">
        <v>8</v>
      </c>
      <c r="B1714" s="1">
        <v>45301.333333333336</v>
      </c>
      <c r="C1714">
        <v>399.99999999999898</v>
      </c>
      <c r="D1714">
        <v>399.99999999999898</v>
      </c>
    </row>
    <row r="1715" spans="1:4" x14ac:dyDescent="0.3">
      <c r="A1715" t="s">
        <v>8</v>
      </c>
      <c r="B1715" s="1">
        <v>45301.375</v>
      </c>
      <c r="C1715">
        <v>565.68542494923804</v>
      </c>
      <c r="D1715">
        <v>565.68542494923804</v>
      </c>
    </row>
    <row r="1716" spans="1:4" x14ac:dyDescent="0.3">
      <c r="A1716" t="s">
        <v>8</v>
      </c>
      <c r="B1716" s="1">
        <v>45301.416666666664</v>
      </c>
      <c r="C1716">
        <v>692.82032302754999</v>
      </c>
      <c r="D1716">
        <v>692.82032302754999</v>
      </c>
    </row>
    <row r="1717" spans="1:4" x14ac:dyDescent="0.3">
      <c r="A1717" t="s">
        <v>8</v>
      </c>
      <c r="B1717" s="1">
        <v>45301.458333333336</v>
      </c>
      <c r="C1717">
        <v>772.74066103125404</v>
      </c>
      <c r="D1717">
        <v>772.74066103125404</v>
      </c>
    </row>
    <row r="1718" spans="1:4" x14ac:dyDescent="0.3">
      <c r="A1718" t="s">
        <v>8</v>
      </c>
      <c r="B1718" s="1">
        <v>45301.5</v>
      </c>
      <c r="C1718">
        <v>800</v>
      </c>
      <c r="D1718">
        <v>800</v>
      </c>
    </row>
    <row r="1719" spans="1:4" x14ac:dyDescent="0.3">
      <c r="A1719" t="s">
        <v>8</v>
      </c>
      <c r="B1719" s="1">
        <v>45301.541666666664</v>
      </c>
      <c r="C1719">
        <v>772.74066103125404</v>
      </c>
      <c r="D1719">
        <v>772.74066103125404</v>
      </c>
    </row>
    <row r="1720" spans="1:4" x14ac:dyDescent="0.3">
      <c r="A1720" t="s">
        <v>8</v>
      </c>
      <c r="B1720" s="1">
        <v>45301.583333333336</v>
      </c>
      <c r="C1720">
        <v>692.82032302755101</v>
      </c>
      <c r="D1720">
        <v>692.82032302755101</v>
      </c>
    </row>
    <row r="1721" spans="1:4" x14ac:dyDescent="0.3">
      <c r="A1721" t="s">
        <v>8</v>
      </c>
      <c r="B1721" s="1">
        <v>45301.625</v>
      </c>
      <c r="C1721">
        <v>565.68542494923804</v>
      </c>
      <c r="D1721">
        <v>565.68542494923804</v>
      </c>
    </row>
    <row r="1722" spans="1:4" x14ac:dyDescent="0.3">
      <c r="A1722" t="s">
        <v>8</v>
      </c>
      <c r="B1722" s="1">
        <v>45301.666666666664</v>
      </c>
      <c r="C1722">
        <v>399.99999999999898</v>
      </c>
      <c r="D1722">
        <v>399.99999999999898</v>
      </c>
    </row>
    <row r="1723" spans="1:4" x14ac:dyDescent="0.3">
      <c r="A1723" t="s">
        <v>8</v>
      </c>
      <c r="B1723" s="1">
        <v>45301.708333333336</v>
      </c>
      <c r="C1723">
        <v>207.05523608201599</v>
      </c>
      <c r="D1723">
        <v>207.05523608201599</v>
      </c>
    </row>
    <row r="1724" spans="1:4" x14ac:dyDescent="0.3">
      <c r="A1724" t="s">
        <v>8</v>
      </c>
      <c r="B1724" s="1">
        <v>45301.75</v>
      </c>
      <c r="C1724" s="2">
        <v>9.7971743931788194E-14</v>
      </c>
      <c r="D1724" s="2">
        <v>9.7971743931788194E-14</v>
      </c>
    </row>
    <row r="1725" spans="1:4" x14ac:dyDescent="0.3">
      <c r="A1725" t="s">
        <v>8</v>
      </c>
      <c r="B1725" s="1">
        <v>45301.791666666664</v>
      </c>
      <c r="C1725">
        <v>0</v>
      </c>
      <c r="D1725">
        <v>0</v>
      </c>
    </row>
    <row r="1726" spans="1:4" x14ac:dyDescent="0.3">
      <c r="A1726" t="s">
        <v>8</v>
      </c>
      <c r="B1726" s="1">
        <v>45301.833333333336</v>
      </c>
      <c r="C1726">
        <v>0</v>
      </c>
      <c r="D1726">
        <v>0</v>
      </c>
    </row>
    <row r="1727" spans="1:4" x14ac:dyDescent="0.3">
      <c r="A1727" t="s">
        <v>8</v>
      </c>
      <c r="B1727" s="1">
        <v>45301.875</v>
      </c>
      <c r="C1727">
        <v>0</v>
      </c>
      <c r="D1727">
        <v>0</v>
      </c>
    </row>
    <row r="1728" spans="1:4" x14ac:dyDescent="0.3">
      <c r="A1728" t="s">
        <v>8</v>
      </c>
      <c r="B1728" s="1">
        <v>45301.916666666664</v>
      </c>
      <c r="C1728">
        <v>0</v>
      </c>
      <c r="D1728">
        <v>0</v>
      </c>
    </row>
    <row r="1729" spans="1:4" x14ac:dyDescent="0.3">
      <c r="A1729" t="s">
        <v>8</v>
      </c>
      <c r="B1729" s="1">
        <v>45301.958333333336</v>
      </c>
      <c r="C1729">
        <v>0</v>
      </c>
      <c r="D1729">
        <v>0</v>
      </c>
    </row>
    <row r="1730" spans="1:4" x14ac:dyDescent="0.3">
      <c r="A1730" t="s">
        <v>8</v>
      </c>
      <c r="B1730" s="1">
        <v>45302</v>
      </c>
      <c r="C1730">
        <v>0</v>
      </c>
      <c r="D1730">
        <v>0</v>
      </c>
    </row>
    <row r="1731" spans="1:4" x14ac:dyDescent="0.3">
      <c r="A1731" t="s">
        <v>8</v>
      </c>
      <c r="B1731" s="1">
        <v>45302.041666666664</v>
      </c>
      <c r="C1731">
        <v>0</v>
      </c>
      <c r="D1731">
        <v>0</v>
      </c>
    </row>
    <row r="1732" spans="1:4" x14ac:dyDescent="0.3">
      <c r="A1732" t="s">
        <v>8</v>
      </c>
      <c r="B1732" s="1">
        <v>45302.083333333336</v>
      </c>
      <c r="C1732">
        <v>0</v>
      </c>
      <c r="D1732">
        <v>0</v>
      </c>
    </row>
    <row r="1733" spans="1:4" x14ac:dyDescent="0.3">
      <c r="A1733" t="s">
        <v>8</v>
      </c>
      <c r="B1733" s="1">
        <v>45302.125</v>
      </c>
      <c r="C1733">
        <v>0</v>
      </c>
      <c r="D1733">
        <v>0</v>
      </c>
    </row>
    <row r="1734" spans="1:4" x14ac:dyDescent="0.3">
      <c r="A1734" t="s">
        <v>8</v>
      </c>
      <c r="B1734" s="1">
        <v>45302.166666666664</v>
      </c>
      <c r="C1734">
        <v>0</v>
      </c>
      <c r="D1734">
        <v>0</v>
      </c>
    </row>
    <row r="1735" spans="1:4" x14ac:dyDescent="0.3">
      <c r="A1735" t="s">
        <v>8</v>
      </c>
      <c r="B1735" s="1">
        <v>45302.208333333336</v>
      </c>
      <c r="C1735">
        <v>0</v>
      </c>
      <c r="D1735">
        <v>0</v>
      </c>
    </row>
    <row r="1736" spans="1:4" x14ac:dyDescent="0.3">
      <c r="A1736" t="s">
        <v>8</v>
      </c>
      <c r="B1736" s="1">
        <v>45302.25</v>
      </c>
      <c r="C1736">
        <v>0</v>
      </c>
      <c r="D1736">
        <v>0</v>
      </c>
    </row>
    <row r="1737" spans="1:4" x14ac:dyDescent="0.3">
      <c r="A1737" t="s">
        <v>8</v>
      </c>
      <c r="B1737" s="1">
        <v>45302.291666666664</v>
      </c>
      <c r="C1737">
        <v>207.05523608201599</v>
      </c>
      <c r="D1737">
        <v>207.05523608201599</v>
      </c>
    </row>
    <row r="1738" spans="1:4" x14ac:dyDescent="0.3">
      <c r="A1738" t="s">
        <v>8</v>
      </c>
      <c r="B1738" s="1">
        <v>45302.333333333336</v>
      </c>
      <c r="C1738">
        <v>399.99999999999898</v>
      </c>
      <c r="D1738">
        <v>399.99999999999898</v>
      </c>
    </row>
    <row r="1739" spans="1:4" x14ac:dyDescent="0.3">
      <c r="A1739" t="s">
        <v>8</v>
      </c>
      <c r="B1739" s="1">
        <v>45302.375</v>
      </c>
      <c r="C1739">
        <v>565.68542494923804</v>
      </c>
      <c r="D1739">
        <v>565.68542494923804</v>
      </c>
    </row>
    <row r="1740" spans="1:4" x14ac:dyDescent="0.3">
      <c r="A1740" t="s">
        <v>8</v>
      </c>
      <c r="B1740" s="1">
        <v>45302.416666666664</v>
      </c>
      <c r="C1740">
        <v>692.82032302754999</v>
      </c>
      <c r="D1740">
        <v>692.82032302754999</v>
      </c>
    </row>
    <row r="1741" spans="1:4" x14ac:dyDescent="0.3">
      <c r="A1741" t="s">
        <v>8</v>
      </c>
      <c r="B1741" s="1">
        <v>45302.458333333336</v>
      </c>
      <c r="C1741">
        <v>772.74066103125404</v>
      </c>
      <c r="D1741">
        <v>772.74066103125404</v>
      </c>
    </row>
    <row r="1742" spans="1:4" x14ac:dyDescent="0.3">
      <c r="A1742" t="s">
        <v>8</v>
      </c>
      <c r="B1742" s="1">
        <v>45302.5</v>
      </c>
      <c r="C1742">
        <v>800</v>
      </c>
      <c r="D1742">
        <v>800</v>
      </c>
    </row>
    <row r="1743" spans="1:4" x14ac:dyDescent="0.3">
      <c r="A1743" t="s">
        <v>8</v>
      </c>
      <c r="B1743" s="1">
        <v>45302.541666666664</v>
      </c>
      <c r="C1743">
        <v>772.74066103125404</v>
      </c>
      <c r="D1743">
        <v>772.74066103125404</v>
      </c>
    </row>
    <row r="1744" spans="1:4" x14ac:dyDescent="0.3">
      <c r="A1744" t="s">
        <v>8</v>
      </c>
      <c r="B1744" s="1">
        <v>45302.583333333336</v>
      </c>
      <c r="C1744">
        <v>692.82032302755101</v>
      </c>
      <c r="D1744">
        <v>692.82032302755101</v>
      </c>
    </row>
    <row r="1745" spans="1:4" x14ac:dyDescent="0.3">
      <c r="A1745" t="s">
        <v>8</v>
      </c>
      <c r="B1745" s="1">
        <v>45302.625</v>
      </c>
      <c r="C1745">
        <v>565.68542494923804</v>
      </c>
      <c r="D1745">
        <v>565.68542494923804</v>
      </c>
    </row>
    <row r="1746" spans="1:4" x14ac:dyDescent="0.3">
      <c r="A1746" t="s">
        <v>8</v>
      </c>
      <c r="B1746" s="1">
        <v>45302.666666666664</v>
      </c>
      <c r="C1746">
        <v>399.99999999999898</v>
      </c>
      <c r="D1746">
        <v>399.99999999999898</v>
      </c>
    </row>
    <row r="1747" spans="1:4" x14ac:dyDescent="0.3">
      <c r="A1747" t="s">
        <v>8</v>
      </c>
      <c r="B1747" s="1">
        <v>45302.708333333336</v>
      </c>
      <c r="C1747">
        <v>207.05523608201599</v>
      </c>
      <c r="D1747">
        <v>207.05523608201599</v>
      </c>
    </row>
    <row r="1748" spans="1:4" x14ac:dyDescent="0.3">
      <c r="A1748" t="s">
        <v>8</v>
      </c>
      <c r="B1748" s="1">
        <v>45302.75</v>
      </c>
      <c r="C1748" s="2">
        <v>9.7971743931788194E-14</v>
      </c>
      <c r="D1748" s="2">
        <v>9.7971743931788194E-14</v>
      </c>
    </row>
    <row r="1749" spans="1:4" x14ac:dyDescent="0.3">
      <c r="A1749" t="s">
        <v>8</v>
      </c>
      <c r="B1749" s="1">
        <v>45302.791666666664</v>
      </c>
      <c r="C1749">
        <v>0</v>
      </c>
      <c r="D1749">
        <v>0</v>
      </c>
    </row>
    <row r="1750" spans="1:4" x14ac:dyDescent="0.3">
      <c r="A1750" t="s">
        <v>8</v>
      </c>
      <c r="B1750" s="1">
        <v>45302.833333333336</v>
      </c>
      <c r="C1750">
        <v>0</v>
      </c>
      <c r="D1750">
        <v>0</v>
      </c>
    </row>
    <row r="1751" spans="1:4" x14ac:dyDescent="0.3">
      <c r="A1751" t="s">
        <v>8</v>
      </c>
      <c r="B1751" s="1">
        <v>45302.875</v>
      </c>
      <c r="C1751">
        <v>0</v>
      </c>
      <c r="D1751">
        <v>0</v>
      </c>
    </row>
    <row r="1752" spans="1:4" x14ac:dyDescent="0.3">
      <c r="A1752" t="s">
        <v>8</v>
      </c>
      <c r="B1752" s="1">
        <v>45302.916666666664</v>
      </c>
      <c r="C1752">
        <v>0</v>
      </c>
      <c r="D1752">
        <v>0</v>
      </c>
    </row>
    <row r="1753" spans="1:4" x14ac:dyDescent="0.3">
      <c r="A1753" t="s">
        <v>8</v>
      </c>
      <c r="B1753" s="1">
        <v>45302.958333333336</v>
      </c>
      <c r="C1753">
        <v>0</v>
      </c>
      <c r="D1753">
        <v>0</v>
      </c>
    </row>
    <row r="1754" spans="1:4" x14ac:dyDescent="0.3">
      <c r="A1754" t="s">
        <v>8</v>
      </c>
      <c r="B1754" s="1">
        <v>45303</v>
      </c>
      <c r="C1754">
        <v>0</v>
      </c>
      <c r="D1754">
        <v>0</v>
      </c>
    </row>
    <row r="1755" spans="1:4" x14ac:dyDescent="0.3">
      <c r="A1755" t="s">
        <v>8</v>
      </c>
      <c r="B1755" s="1">
        <v>45303.041666666664</v>
      </c>
      <c r="C1755">
        <v>0</v>
      </c>
      <c r="D1755">
        <v>0</v>
      </c>
    </row>
    <row r="1756" spans="1:4" x14ac:dyDescent="0.3">
      <c r="A1756" t="s">
        <v>8</v>
      </c>
      <c r="B1756" s="1">
        <v>45303.083333333336</v>
      </c>
      <c r="C1756">
        <v>0</v>
      </c>
      <c r="D1756">
        <v>0</v>
      </c>
    </row>
    <row r="1757" spans="1:4" x14ac:dyDescent="0.3">
      <c r="A1757" t="s">
        <v>8</v>
      </c>
      <c r="B1757" s="1">
        <v>45303.125</v>
      </c>
      <c r="C1757">
        <v>0</v>
      </c>
      <c r="D1757">
        <v>0</v>
      </c>
    </row>
    <row r="1758" spans="1:4" x14ac:dyDescent="0.3">
      <c r="A1758" t="s">
        <v>8</v>
      </c>
      <c r="B1758" s="1">
        <v>45303.166666666664</v>
      </c>
      <c r="C1758">
        <v>0</v>
      </c>
      <c r="D1758">
        <v>0</v>
      </c>
    </row>
    <row r="1759" spans="1:4" x14ac:dyDescent="0.3">
      <c r="A1759" t="s">
        <v>8</v>
      </c>
      <c r="B1759" s="1">
        <v>45303.208333333336</v>
      </c>
      <c r="C1759">
        <v>0</v>
      </c>
      <c r="D1759">
        <v>0</v>
      </c>
    </row>
    <row r="1760" spans="1:4" x14ac:dyDescent="0.3">
      <c r="A1760" t="s">
        <v>8</v>
      </c>
      <c r="B1760" s="1">
        <v>45303.25</v>
      </c>
      <c r="C1760">
        <v>0</v>
      </c>
      <c r="D1760">
        <v>0</v>
      </c>
    </row>
    <row r="1761" spans="1:4" x14ac:dyDescent="0.3">
      <c r="A1761" t="s">
        <v>8</v>
      </c>
      <c r="B1761" s="1">
        <v>45303.291666666664</v>
      </c>
      <c r="C1761">
        <v>207.05523608201599</v>
      </c>
      <c r="D1761">
        <v>207.05523608201599</v>
      </c>
    </row>
    <row r="1762" spans="1:4" x14ac:dyDescent="0.3">
      <c r="A1762" t="s">
        <v>8</v>
      </c>
      <c r="B1762" s="1">
        <v>45303.333333333336</v>
      </c>
      <c r="C1762">
        <v>399.99999999999898</v>
      </c>
      <c r="D1762">
        <v>399.99999999999898</v>
      </c>
    </row>
    <row r="1763" spans="1:4" x14ac:dyDescent="0.3">
      <c r="A1763" t="s">
        <v>8</v>
      </c>
      <c r="B1763" s="1">
        <v>45303.375</v>
      </c>
      <c r="C1763">
        <v>565.68542494923804</v>
      </c>
      <c r="D1763">
        <v>565.68542494923804</v>
      </c>
    </row>
    <row r="1764" spans="1:4" x14ac:dyDescent="0.3">
      <c r="A1764" t="s">
        <v>8</v>
      </c>
      <c r="B1764" s="1">
        <v>45303.416666666664</v>
      </c>
      <c r="C1764">
        <v>692.82032302754999</v>
      </c>
      <c r="D1764">
        <v>692.82032302754999</v>
      </c>
    </row>
    <row r="1765" spans="1:4" x14ac:dyDescent="0.3">
      <c r="A1765" t="s">
        <v>8</v>
      </c>
      <c r="B1765" s="1">
        <v>45303.458333333336</v>
      </c>
      <c r="C1765">
        <v>772.74066103125404</v>
      </c>
      <c r="D1765">
        <v>772.74066103125404</v>
      </c>
    </row>
    <row r="1766" spans="1:4" x14ac:dyDescent="0.3">
      <c r="A1766" t="s">
        <v>8</v>
      </c>
      <c r="B1766" s="1">
        <v>45303.5</v>
      </c>
      <c r="C1766">
        <v>800</v>
      </c>
      <c r="D1766">
        <v>800</v>
      </c>
    </row>
    <row r="1767" spans="1:4" x14ac:dyDescent="0.3">
      <c r="A1767" t="s">
        <v>8</v>
      </c>
      <c r="B1767" s="1">
        <v>45303.541666666664</v>
      </c>
      <c r="C1767">
        <v>772.74066103125404</v>
      </c>
      <c r="D1767">
        <v>772.74066103125404</v>
      </c>
    </row>
    <row r="1768" spans="1:4" x14ac:dyDescent="0.3">
      <c r="A1768" t="s">
        <v>8</v>
      </c>
      <c r="B1768" s="1">
        <v>45303.583333333336</v>
      </c>
      <c r="C1768">
        <v>692.82032302755101</v>
      </c>
      <c r="D1768">
        <v>692.82032302755101</v>
      </c>
    </row>
    <row r="1769" spans="1:4" x14ac:dyDescent="0.3">
      <c r="A1769" t="s">
        <v>8</v>
      </c>
      <c r="B1769" s="1">
        <v>45303.625</v>
      </c>
      <c r="C1769">
        <v>565.68542494923804</v>
      </c>
      <c r="D1769">
        <v>565.68542494923804</v>
      </c>
    </row>
    <row r="1770" spans="1:4" x14ac:dyDescent="0.3">
      <c r="A1770" t="s">
        <v>8</v>
      </c>
      <c r="B1770" s="1">
        <v>45303.666666666664</v>
      </c>
      <c r="C1770">
        <v>399.99999999999898</v>
      </c>
      <c r="D1770">
        <v>399.99999999999898</v>
      </c>
    </row>
    <row r="1771" spans="1:4" x14ac:dyDescent="0.3">
      <c r="A1771" t="s">
        <v>8</v>
      </c>
      <c r="B1771" s="1">
        <v>45303.708333333336</v>
      </c>
      <c r="C1771">
        <v>207.05523608201599</v>
      </c>
      <c r="D1771">
        <v>207.05523608201599</v>
      </c>
    </row>
    <row r="1772" spans="1:4" x14ac:dyDescent="0.3">
      <c r="A1772" t="s">
        <v>8</v>
      </c>
      <c r="B1772" s="1">
        <v>45303.75</v>
      </c>
      <c r="C1772" s="2">
        <v>9.7971743931788194E-14</v>
      </c>
      <c r="D1772" s="2">
        <v>9.7971743931788194E-14</v>
      </c>
    </row>
    <row r="1773" spans="1:4" x14ac:dyDescent="0.3">
      <c r="A1773" t="s">
        <v>8</v>
      </c>
      <c r="B1773" s="1">
        <v>45303.791666666664</v>
      </c>
      <c r="C1773">
        <v>0</v>
      </c>
      <c r="D1773">
        <v>0</v>
      </c>
    </row>
    <row r="1774" spans="1:4" x14ac:dyDescent="0.3">
      <c r="A1774" t="s">
        <v>8</v>
      </c>
      <c r="B1774" s="1">
        <v>45303.833333333336</v>
      </c>
      <c r="C1774">
        <v>0</v>
      </c>
      <c r="D1774">
        <v>0</v>
      </c>
    </row>
    <row r="1775" spans="1:4" x14ac:dyDescent="0.3">
      <c r="A1775" t="s">
        <v>8</v>
      </c>
      <c r="B1775" s="1">
        <v>45303.875</v>
      </c>
      <c r="C1775">
        <v>0</v>
      </c>
      <c r="D1775">
        <v>0</v>
      </c>
    </row>
    <row r="1776" spans="1:4" x14ac:dyDescent="0.3">
      <c r="A1776" t="s">
        <v>8</v>
      </c>
      <c r="B1776" s="1">
        <v>45303.916666666664</v>
      </c>
      <c r="C1776">
        <v>0</v>
      </c>
      <c r="D1776">
        <v>0</v>
      </c>
    </row>
    <row r="1777" spans="1:4" x14ac:dyDescent="0.3">
      <c r="A1777" t="s">
        <v>8</v>
      </c>
      <c r="B1777" s="1">
        <v>45303.958333333336</v>
      </c>
      <c r="C1777">
        <v>0</v>
      </c>
      <c r="D1777">
        <v>0</v>
      </c>
    </row>
    <row r="1778" spans="1:4" x14ac:dyDescent="0.3">
      <c r="A1778" t="s">
        <v>8</v>
      </c>
      <c r="B1778" s="1">
        <v>45304</v>
      </c>
      <c r="C1778">
        <v>0</v>
      </c>
      <c r="D1778">
        <v>0</v>
      </c>
    </row>
    <row r="1779" spans="1:4" x14ac:dyDescent="0.3">
      <c r="A1779" t="s">
        <v>8</v>
      </c>
      <c r="B1779" s="1">
        <v>45304.041666666664</v>
      </c>
      <c r="C1779">
        <v>0</v>
      </c>
      <c r="D1779">
        <v>0</v>
      </c>
    </row>
    <row r="1780" spans="1:4" x14ac:dyDescent="0.3">
      <c r="A1780" t="s">
        <v>8</v>
      </c>
      <c r="B1780" s="1">
        <v>45304.083333333336</v>
      </c>
      <c r="C1780">
        <v>0</v>
      </c>
      <c r="D1780">
        <v>0</v>
      </c>
    </row>
    <row r="1781" spans="1:4" x14ac:dyDescent="0.3">
      <c r="A1781" t="s">
        <v>8</v>
      </c>
      <c r="B1781" s="1">
        <v>45304.125</v>
      </c>
      <c r="C1781">
        <v>0</v>
      </c>
      <c r="D1781">
        <v>0</v>
      </c>
    </row>
    <row r="1782" spans="1:4" x14ac:dyDescent="0.3">
      <c r="A1782" t="s">
        <v>8</v>
      </c>
      <c r="B1782" s="1">
        <v>45304.166666666664</v>
      </c>
      <c r="C1782">
        <v>0</v>
      </c>
      <c r="D1782">
        <v>0</v>
      </c>
    </row>
    <row r="1783" spans="1:4" x14ac:dyDescent="0.3">
      <c r="A1783" t="s">
        <v>8</v>
      </c>
      <c r="B1783" s="1">
        <v>45304.208333333336</v>
      </c>
      <c r="C1783">
        <v>0</v>
      </c>
      <c r="D1783">
        <v>0</v>
      </c>
    </row>
    <row r="1784" spans="1:4" x14ac:dyDescent="0.3">
      <c r="A1784" t="s">
        <v>8</v>
      </c>
      <c r="B1784" s="1">
        <v>45304.25</v>
      </c>
      <c r="C1784">
        <v>0</v>
      </c>
      <c r="D1784">
        <v>0</v>
      </c>
    </row>
    <row r="1785" spans="1:4" x14ac:dyDescent="0.3">
      <c r="A1785" t="s">
        <v>8</v>
      </c>
      <c r="B1785" s="1">
        <v>45304.291666666664</v>
      </c>
      <c r="C1785">
        <v>207.05523608201599</v>
      </c>
      <c r="D1785">
        <v>207.05523608201599</v>
      </c>
    </row>
    <row r="1786" spans="1:4" x14ac:dyDescent="0.3">
      <c r="A1786" t="s">
        <v>8</v>
      </c>
      <c r="B1786" s="1">
        <v>45304.333333333336</v>
      </c>
      <c r="C1786">
        <v>399.99999999999898</v>
      </c>
      <c r="D1786">
        <v>399.99999999999898</v>
      </c>
    </row>
    <row r="1787" spans="1:4" x14ac:dyDescent="0.3">
      <c r="A1787" t="s">
        <v>8</v>
      </c>
      <c r="B1787" s="1">
        <v>45304.375</v>
      </c>
      <c r="C1787">
        <v>565.68542494923804</v>
      </c>
      <c r="D1787">
        <v>565.68542494923804</v>
      </c>
    </row>
    <row r="1788" spans="1:4" x14ac:dyDescent="0.3">
      <c r="A1788" t="s">
        <v>8</v>
      </c>
      <c r="B1788" s="1">
        <v>45304.416666666664</v>
      </c>
      <c r="C1788">
        <v>692.82032302754999</v>
      </c>
      <c r="D1788">
        <v>692.82032302754999</v>
      </c>
    </row>
    <row r="1789" spans="1:4" x14ac:dyDescent="0.3">
      <c r="A1789" t="s">
        <v>8</v>
      </c>
      <c r="B1789" s="1">
        <v>45304.458333333336</v>
      </c>
      <c r="C1789">
        <v>772.74066103125404</v>
      </c>
      <c r="D1789">
        <v>772.74066103125404</v>
      </c>
    </row>
    <row r="1790" spans="1:4" x14ac:dyDescent="0.3">
      <c r="A1790" t="s">
        <v>8</v>
      </c>
      <c r="B1790" s="1">
        <v>45304.5</v>
      </c>
      <c r="C1790">
        <v>800</v>
      </c>
      <c r="D1790">
        <v>800</v>
      </c>
    </row>
    <row r="1791" spans="1:4" x14ac:dyDescent="0.3">
      <c r="A1791" t="s">
        <v>8</v>
      </c>
      <c r="B1791" s="1">
        <v>45304.541666666664</v>
      </c>
      <c r="C1791">
        <v>772.74066103125404</v>
      </c>
      <c r="D1791">
        <v>772.74066103125404</v>
      </c>
    </row>
    <row r="1792" spans="1:4" x14ac:dyDescent="0.3">
      <c r="A1792" t="s">
        <v>8</v>
      </c>
      <c r="B1792" s="1">
        <v>45304.583333333336</v>
      </c>
      <c r="C1792">
        <v>692.82032302755101</v>
      </c>
      <c r="D1792">
        <v>692.82032302755101</v>
      </c>
    </row>
    <row r="1793" spans="1:4" x14ac:dyDescent="0.3">
      <c r="A1793" t="s">
        <v>8</v>
      </c>
      <c r="B1793" s="1">
        <v>45304.625</v>
      </c>
      <c r="C1793">
        <v>565.68542494923804</v>
      </c>
      <c r="D1793">
        <v>565.68542494923804</v>
      </c>
    </row>
    <row r="1794" spans="1:4" x14ac:dyDescent="0.3">
      <c r="A1794" t="s">
        <v>8</v>
      </c>
      <c r="B1794" s="1">
        <v>45304.666666666664</v>
      </c>
      <c r="C1794">
        <v>399.99999999999898</v>
      </c>
      <c r="D1794">
        <v>399.99999999999898</v>
      </c>
    </row>
    <row r="1795" spans="1:4" x14ac:dyDescent="0.3">
      <c r="A1795" t="s">
        <v>8</v>
      </c>
      <c r="B1795" s="1">
        <v>45304.708333333336</v>
      </c>
      <c r="C1795">
        <v>207.05523608201599</v>
      </c>
      <c r="D1795">
        <v>207.05523608201599</v>
      </c>
    </row>
    <row r="1796" spans="1:4" x14ac:dyDescent="0.3">
      <c r="A1796" t="s">
        <v>8</v>
      </c>
      <c r="B1796" s="1">
        <v>45304.75</v>
      </c>
      <c r="C1796" s="2">
        <v>9.7971743931788194E-14</v>
      </c>
      <c r="D1796" s="2">
        <v>9.7971743931788194E-14</v>
      </c>
    </row>
    <row r="1797" spans="1:4" x14ac:dyDescent="0.3">
      <c r="A1797" t="s">
        <v>8</v>
      </c>
      <c r="B1797" s="1">
        <v>45304.791666666664</v>
      </c>
      <c r="C1797">
        <v>0</v>
      </c>
      <c r="D1797">
        <v>0</v>
      </c>
    </row>
    <row r="1798" spans="1:4" x14ac:dyDescent="0.3">
      <c r="A1798" t="s">
        <v>8</v>
      </c>
      <c r="B1798" s="1">
        <v>45304.833333333336</v>
      </c>
      <c r="C1798">
        <v>0</v>
      </c>
      <c r="D1798">
        <v>0</v>
      </c>
    </row>
    <row r="1799" spans="1:4" x14ac:dyDescent="0.3">
      <c r="A1799" t="s">
        <v>8</v>
      </c>
      <c r="B1799" s="1">
        <v>45304.875</v>
      </c>
      <c r="C1799">
        <v>0</v>
      </c>
      <c r="D1799">
        <v>0</v>
      </c>
    </row>
    <row r="1800" spans="1:4" x14ac:dyDescent="0.3">
      <c r="A1800" t="s">
        <v>8</v>
      </c>
      <c r="B1800" s="1">
        <v>45304.916666666664</v>
      </c>
      <c r="C1800">
        <v>0</v>
      </c>
      <c r="D1800">
        <v>0</v>
      </c>
    </row>
    <row r="1801" spans="1:4" x14ac:dyDescent="0.3">
      <c r="A1801" t="s">
        <v>8</v>
      </c>
      <c r="B1801" s="1">
        <v>45304.958333333336</v>
      </c>
      <c r="C1801">
        <v>0</v>
      </c>
      <c r="D1801">
        <v>0</v>
      </c>
    </row>
    <row r="1802" spans="1:4" x14ac:dyDescent="0.3">
      <c r="A1802" t="s">
        <v>8</v>
      </c>
      <c r="B1802" s="1">
        <v>45305</v>
      </c>
      <c r="C1802">
        <v>0</v>
      </c>
      <c r="D1802">
        <v>0</v>
      </c>
    </row>
    <row r="1803" spans="1:4" x14ac:dyDescent="0.3">
      <c r="A1803" t="s">
        <v>8</v>
      </c>
      <c r="B1803" s="1">
        <v>45305.041666666664</v>
      </c>
      <c r="C1803">
        <v>0</v>
      </c>
      <c r="D1803">
        <v>0</v>
      </c>
    </row>
    <row r="1804" spans="1:4" x14ac:dyDescent="0.3">
      <c r="A1804" t="s">
        <v>8</v>
      </c>
      <c r="B1804" s="1">
        <v>45305.083333333336</v>
      </c>
      <c r="C1804">
        <v>0</v>
      </c>
      <c r="D1804">
        <v>0</v>
      </c>
    </row>
    <row r="1805" spans="1:4" x14ac:dyDescent="0.3">
      <c r="A1805" t="s">
        <v>8</v>
      </c>
      <c r="B1805" s="1">
        <v>45305.125</v>
      </c>
      <c r="C1805">
        <v>0</v>
      </c>
      <c r="D1805">
        <v>0</v>
      </c>
    </row>
    <row r="1806" spans="1:4" x14ac:dyDescent="0.3">
      <c r="A1806" t="s">
        <v>8</v>
      </c>
      <c r="B1806" s="1">
        <v>45305.166666666664</v>
      </c>
      <c r="C1806">
        <v>0</v>
      </c>
      <c r="D1806">
        <v>0</v>
      </c>
    </row>
    <row r="1807" spans="1:4" x14ac:dyDescent="0.3">
      <c r="A1807" t="s">
        <v>8</v>
      </c>
      <c r="B1807" s="1">
        <v>45305.208333333336</v>
      </c>
      <c r="C1807">
        <v>0</v>
      </c>
      <c r="D1807">
        <v>0</v>
      </c>
    </row>
    <row r="1808" spans="1:4" x14ac:dyDescent="0.3">
      <c r="A1808" t="s">
        <v>8</v>
      </c>
      <c r="B1808" s="1">
        <v>45305.25</v>
      </c>
      <c r="C1808">
        <v>0</v>
      </c>
      <c r="D1808">
        <v>0</v>
      </c>
    </row>
    <row r="1809" spans="1:4" x14ac:dyDescent="0.3">
      <c r="A1809" t="s">
        <v>8</v>
      </c>
      <c r="B1809" s="1">
        <v>45305.291666666664</v>
      </c>
      <c r="C1809">
        <v>207.05523608201599</v>
      </c>
      <c r="D1809">
        <v>207.05523608201599</v>
      </c>
    </row>
    <row r="1810" spans="1:4" x14ac:dyDescent="0.3">
      <c r="A1810" t="s">
        <v>8</v>
      </c>
      <c r="B1810" s="1">
        <v>45305.333333333336</v>
      </c>
      <c r="C1810">
        <v>399.99999999999898</v>
      </c>
      <c r="D1810">
        <v>399.99999999999898</v>
      </c>
    </row>
    <row r="1811" spans="1:4" x14ac:dyDescent="0.3">
      <c r="A1811" t="s">
        <v>8</v>
      </c>
      <c r="B1811" s="1">
        <v>45305.375</v>
      </c>
      <c r="C1811">
        <v>565.68542494923804</v>
      </c>
      <c r="D1811">
        <v>565.68542494923804</v>
      </c>
    </row>
    <row r="1812" spans="1:4" x14ac:dyDescent="0.3">
      <c r="A1812" t="s">
        <v>8</v>
      </c>
      <c r="B1812" s="1">
        <v>45305.416666666664</v>
      </c>
      <c r="C1812">
        <v>692.82032302754999</v>
      </c>
      <c r="D1812">
        <v>692.82032302754999</v>
      </c>
    </row>
    <row r="1813" spans="1:4" x14ac:dyDescent="0.3">
      <c r="A1813" t="s">
        <v>8</v>
      </c>
      <c r="B1813" s="1">
        <v>45305.458333333336</v>
      </c>
      <c r="C1813">
        <v>772.74066103125404</v>
      </c>
      <c r="D1813">
        <v>772.74066103125404</v>
      </c>
    </row>
    <row r="1814" spans="1:4" x14ac:dyDescent="0.3">
      <c r="A1814" t="s">
        <v>8</v>
      </c>
      <c r="B1814" s="1">
        <v>45305.5</v>
      </c>
      <c r="C1814">
        <v>800</v>
      </c>
      <c r="D1814">
        <v>800</v>
      </c>
    </row>
    <row r="1815" spans="1:4" x14ac:dyDescent="0.3">
      <c r="A1815" t="s">
        <v>8</v>
      </c>
      <c r="B1815" s="1">
        <v>45305.541666666664</v>
      </c>
      <c r="C1815">
        <v>772.74066103125404</v>
      </c>
      <c r="D1815">
        <v>772.74066103125404</v>
      </c>
    </row>
    <row r="1816" spans="1:4" x14ac:dyDescent="0.3">
      <c r="A1816" t="s">
        <v>8</v>
      </c>
      <c r="B1816" s="1">
        <v>45305.583333333336</v>
      </c>
      <c r="C1816">
        <v>692.82032302755101</v>
      </c>
      <c r="D1816">
        <v>692.82032302755101</v>
      </c>
    </row>
    <row r="1817" spans="1:4" x14ac:dyDescent="0.3">
      <c r="A1817" t="s">
        <v>8</v>
      </c>
      <c r="B1817" s="1">
        <v>45305.625</v>
      </c>
      <c r="C1817">
        <v>565.68542494923804</v>
      </c>
      <c r="D1817">
        <v>565.68542494923804</v>
      </c>
    </row>
    <row r="1818" spans="1:4" x14ac:dyDescent="0.3">
      <c r="A1818" t="s">
        <v>8</v>
      </c>
      <c r="B1818" s="1">
        <v>45305.666666666664</v>
      </c>
      <c r="C1818">
        <v>399.99999999999898</v>
      </c>
      <c r="D1818">
        <v>399.99999999999898</v>
      </c>
    </row>
    <row r="1819" spans="1:4" x14ac:dyDescent="0.3">
      <c r="A1819" t="s">
        <v>8</v>
      </c>
      <c r="B1819" s="1">
        <v>45305.708333333336</v>
      </c>
      <c r="C1819">
        <v>207.05523608201599</v>
      </c>
      <c r="D1819">
        <v>207.05523608201599</v>
      </c>
    </row>
    <row r="1820" spans="1:4" x14ac:dyDescent="0.3">
      <c r="A1820" t="s">
        <v>8</v>
      </c>
      <c r="B1820" s="1">
        <v>45305.75</v>
      </c>
      <c r="C1820" s="2">
        <v>9.7971743931788194E-14</v>
      </c>
      <c r="D1820" s="2">
        <v>9.7971743931788194E-14</v>
      </c>
    </row>
    <row r="1821" spans="1:4" x14ac:dyDescent="0.3">
      <c r="A1821" t="s">
        <v>8</v>
      </c>
      <c r="B1821" s="1">
        <v>45305.791666666664</v>
      </c>
      <c r="C1821">
        <v>0</v>
      </c>
      <c r="D1821">
        <v>0</v>
      </c>
    </row>
    <row r="1822" spans="1:4" x14ac:dyDescent="0.3">
      <c r="A1822" t="s">
        <v>8</v>
      </c>
      <c r="B1822" s="1">
        <v>45305.833333333336</v>
      </c>
      <c r="C1822">
        <v>0</v>
      </c>
      <c r="D1822">
        <v>0</v>
      </c>
    </row>
    <row r="1823" spans="1:4" x14ac:dyDescent="0.3">
      <c r="A1823" t="s">
        <v>8</v>
      </c>
      <c r="B1823" s="1">
        <v>45305.875</v>
      </c>
      <c r="C1823">
        <v>0</v>
      </c>
      <c r="D1823">
        <v>0</v>
      </c>
    </row>
    <row r="1824" spans="1:4" x14ac:dyDescent="0.3">
      <c r="A1824" t="s">
        <v>8</v>
      </c>
      <c r="B1824" s="1">
        <v>45305.916666666664</v>
      </c>
      <c r="C1824">
        <v>0</v>
      </c>
      <c r="D1824">
        <v>0</v>
      </c>
    </row>
    <row r="1825" spans="1:4" x14ac:dyDescent="0.3">
      <c r="A1825" t="s">
        <v>8</v>
      </c>
      <c r="B1825" s="1">
        <v>45305.958333333336</v>
      </c>
      <c r="C1825">
        <v>0</v>
      </c>
      <c r="D1825">
        <v>0</v>
      </c>
    </row>
    <row r="1826" spans="1:4" x14ac:dyDescent="0.3">
      <c r="A1826" t="s">
        <v>8</v>
      </c>
      <c r="B1826" s="1">
        <v>45306</v>
      </c>
      <c r="C1826">
        <v>0</v>
      </c>
      <c r="D1826">
        <v>0</v>
      </c>
    </row>
    <row r="1827" spans="1:4" x14ac:dyDescent="0.3">
      <c r="A1827" t="s">
        <v>8</v>
      </c>
      <c r="B1827" s="1">
        <v>45306.041666666664</v>
      </c>
      <c r="C1827">
        <v>0</v>
      </c>
      <c r="D1827">
        <v>0</v>
      </c>
    </row>
    <row r="1828" spans="1:4" x14ac:dyDescent="0.3">
      <c r="A1828" t="s">
        <v>8</v>
      </c>
      <c r="B1828" s="1">
        <v>45306.083333333336</v>
      </c>
      <c r="C1828">
        <v>0</v>
      </c>
      <c r="D1828">
        <v>0</v>
      </c>
    </row>
    <row r="1829" spans="1:4" x14ac:dyDescent="0.3">
      <c r="A1829" t="s">
        <v>8</v>
      </c>
      <c r="B1829" s="1">
        <v>45306.125</v>
      </c>
      <c r="C1829">
        <v>0</v>
      </c>
      <c r="D1829">
        <v>0</v>
      </c>
    </row>
    <row r="1830" spans="1:4" x14ac:dyDescent="0.3">
      <c r="A1830" t="s">
        <v>8</v>
      </c>
      <c r="B1830" s="1">
        <v>45306.166666666664</v>
      </c>
      <c r="C1830">
        <v>0</v>
      </c>
      <c r="D1830">
        <v>0</v>
      </c>
    </row>
    <row r="1831" spans="1:4" x14ac:dyDescent="0.3">
      <c r="A1831" t="s">
        <v>8</v>
      </c>
      <c r="B1831" s="1">
        <v>45306.208333333336</v>
      </c>
      <c r="C1831">
        <v>0</v>
      </c>
      <c r="D1831">
        <v>0</v>
      </c>
    </row>
    <row r="1832" spans="1:4" x14ac:dyDescent="0.3">
      <c r="A1832" t="s">
        <v>8</v>
      </c>
      <c r="B1832" s="1">
        <v>45306.25</v>
      </c>
      <c r="C1832">
        <v>0</v>
      </c>
      <c r="D1832">
        <v>0</v>
      </c>
    </row>
    <row r="1833" spans="1:4" x14ac:dyDescent="0.3">
      <c r="A1833" t="s">
        <v>8</v>
      </c>
      <c r="B1833" s="1">
        <v>45306.291666666664</v>
      </c>
      <c r="C1833">
        <v>207.05523608201599</v>
      </c>
      <c r="D1833">
        <v>207.05523608201599</v>
      </c>
    </row>
    <row r="1834" spans="1:4" x14ac:dyDescent="0.3">
      <c r="A1834" t="s">
        <v>8</v>
      </c>
      <c r="B1834" s="1">
        <v>45306.333333333336</v>
      </c>
      <c r="C1834">
        <v>399.99999999999898</v>
      </c>
      <c r="D1834">
        <v>399.99999999999898</v>
      </c>
    </row>
    <row r="1835" spans="1:4" x14ac:dyDescent="0.3">
      <c r="A1835" t="s">
        <v>8</v>
      </c>
      <c r="B1835" s="1">
        <v>45306.375</v>
      </c>
      <c r="C1835">
        <v>565.68542494923804</v>
      </c>
      <c r="D1835">
        <v>565.68542494923804</v>
      </c>
    </row>
    <row r="1836" spans="1:4" x14ac:dyDescent="0.3">
      <c r="A1836" t="s">
        <v>8</v>
      </c>
      <c r="B1836" s="1">
        <v>45306.416666666664</v>
      </c>
      <c r="C1836">
        <v>692.82032302754999</v>
      </c>
      <c r="D1836">
        <v>692.82032302754999</v>
      </c>
    </row>
    <row r="1837" spans="1:4" x14ac:dyDescent="0.3">
      <c r="A1837" t="s">
        <v>8</v>
      </c>
      <c r="B1837" s="1">
        <v>45306.458333333336</v>
      </c>
      <c r="C1837">
        <v>772.74066103125404</v>
      </c>
      <c r="D1837">
        <v>772.74066103125404</v>
      </c>
    </row>
    <row r="1838" spans="1:4" x14ac:dyDescent="0.3">
      <c r="A1838" t="s">
        <v>8</v>
      </c>
      <c r="B1838" s="1">
        <v>45306.5</v>
      </c>
      <c r="C1838">
        <v>800</v>
      </c>
      <c r="D1838">
        <v>800</v>
      </c>
    </row>
    <row r="1839" spans="1:4" x14ac:dyDescent="0.3">
      <c r="A1839" t="s">
        <v>8</v>
      </c>
      <c r="B1839" s="1">
        <v>45306.541666666664</v>
      </c>
      <c r="C1839">
        <v>772.74066103125404</v>
      </c>
      <c r="D1839">
        <v>772.74066103125404</v>
      </c>
    </row>
    <row r="1840" spans="1:4" x14ac:dyDescent="0.3">
      <c r="A1840" t="s">
        <v>8</v>
      </c>
      <c r="B1840" s="1">
        <v>45306.583333333336</v>
      </c>
      <c r="C1840">
        <v>692.82032302755101</v>
      </c>
      <c r="D1840">
        <v>692.82032302755101</v>
      </c>
    </row>
    <row r="1841" spans="1:4" x14ac:dyDescent="0.3">
      <c r="A1841" t="s">
        <v>8</v>
      </c>
      <c r="B1841" s="1">
        <v>45306.625</v>
      </c>
      <c r="C1841">
        <v>565.68542494923804</v>
      </c>
      <c r="D1841">
        <v>565.68542494923804</v>
      </c>
    </row>
    <row r="1842" spans="1:4" x14ac:dyDescent="0.3">
      <c r="A1842" t="s">
        <v>8</v>
      </c>
      <c r="B1842" s="1">
        <v>45306.666666666664</v>
      </c>
      <c r="C1842">
        <v>399.99999999999898</v>
      </c>
      <c r="D1842">
        <v>399.99999999999898</v>
      </c>
    </row>
    <row r="1843" spans="1:4" x14ac:dyDescent="0.3">
      <c r="A1843" t="s">
        <v>8</v>
      </c>
      <c r="B1843" s="1">
        <v>45306.708333333336</v>
      </c>
      <c r="C1843">
        <v>207.05523608201599</v>
      </c>
      <c r="D1843">
        <v>207.05523608201599</v>
      </c>
    </row>
    <row r="1844" spans="1:4" x14ac:dyDescent="0.3">
      <c r="A1844" t="s">
        <v>8</v>
      </c>
      <c r="B1844" s="1">
        <v>45306.75</v>
      </c>
      <c r="C1844" s="2">
        <v>9.7971743931788194E-14</v>
      </c>
      <c r="D1844" s="2">
        <v>9.7971743931788194E-14</v>
      </c>
    </row>
    <row r="1845" spans="1:4" x14ac:dyDescent="0.3">
      <c r="A1845" t="s">
        <v>8</v>
      </c>
      <c r="B1845" s="1">
        <v>45306.791666666664</v>
      </c>
      <c r="C1845">
        <v>0</v>
      </c>
      <c r="D1845">
        <v>0</v>
      </c>
    </row>
    <row r="1846" spans="1:4" x14ac:dyDescent="0.3">
      <c r="A1846" t="s">
        <v>8</v>
      </c>
      <c r="B1846" s="1">
        <v>45306.833333333336</v>
      </c>
      <c r="C1846">
        <v>0</v>
      </c>
      <c r="D1846">
        <v>0</v>
      </c>
    </row>
    <row r="1847" spans="1:4" x14ac:dyDescent="0.3">
      <c r="A1847" t="s">
        <v>8</v>
      </c>
      <c r="B1847" s="1">
        <v>45306.875</v>
      </c>
      <c r="C1847">
        <v>0</v>
      </c>
      <c r="D1847">
        <v>0</v>
      </c>
    </row>
    <row r="1848" spans="1:4" x14ac:dyDescent="0.3">
      <c r="A1848" t="s">
        <v>8</v>
      </c>
      <c r="B1848" s="1">
        <v>45306.916666666664</v>
      </c>
      <c r="C1848">
        <v>0</v>
      </c>
      <c r="D1848">
        <v>0</v>
      </c>
    </row>
    <row r="1849" spans="1:4" x14ac:dyDescent="0.3">
      <c r="A1849" t="s">
        <v>8</v>
      </c>
      <c r="B1849" s="1">
        <v>45306.958333333336</v>
      </c>
      <c r="C1849">
        <v>0</v>
      </c>
      <c r="D1849">
        <v>0</v>
      </c>
    </row>
    <row r="1850" spans="1:4" x14ac:dyDescent="0.3">
      <c r="A1850" t="s">
        <v>8</v>
      </c>
      <c r="B1850" s="1">
        <v>45307</v>
      </c>
      <c r="C1850">
        <v>0</v>
      </c>
      <c r="D1850">
        <v>0</v>
      </c>
    </row>
    <row r="1851" spans="1:4" x14ac:dyDescent="0.3">
      <c r="A1851" t="s">
        <v>8</v>
      </c>
      <c r="B1851" s="1">
        <v>45307.041666666664</v>
      </c>
      <c r="C1851">
        <v>0</v>
      </c>
      <c r="D1851">
        <v>0</v>
      </c>
    </row>
    <row r="1852" spans="1:4" x14ac:dyDescent="0.3">
      <c r="A1852" t="s">
        <v>8</v>
      </c>
      <c r="B1852" s="1">
        <v>45307.083333333336</v>
      </c>
      <c r="C1852">
        <v>0</v>
      </c>
      <c r="D1852">
        <v>0</v>
      </c>
    </row>
    <row r="1853" spans="1:4" x14ac:dyDescent="0.3">
      <c r="A1853" t="s">
        <v>8</v>
      </c>
      <c r="B1853" s="1">
        <v>45307.125</v>
      </c>
      <c r="C1853">
        <v>0</v>
      </c>
      <c r="D1853">
        <v>0</v>
      </c>
    </row>
    <row r="1854" spans="1:4" x14ac:dyDescent="0.3">
      <c r="A1854" t="s">
        <v>8</v>
      </c>
      <c r="B1854" s="1">
        <v>45307.166666666664</v>
      </c>
      <c r="C1854">
        <v>0</v>
      </c>
      <c r="D1854">
        <v>0</v>
      </c>
    </row>
    <row r="1855" spans="1:4" x14ac:dyDescent="0.3">
      <c r="A1855" t="s">
        <v>8</v>
      </c>
      <c r="B1855" s="1">
        <v>45307.208333333336</v>
      </c>
      <c r="C1855">
        <v>0</v>
      </c>
      <c r="D1855">
        <v>0</v>
      </c>
    </row>
    <row r="1856" spans="1:4" x14ac:dyDescent="0.3">
      <c r="A1856" t="s">
        <v>8</v>
      </c>
      <c r="B1856" s="1">
        <v>45307.25</v>
      </c>
      <c r="C1856">
        <v>0</v>
      </c>
      <c r="D1856">
        <v>0</v>
      </c>
    </row>
    <row r="1857" spans="1:4" x14ac:dyDescent="0.3">
      <c r="A1857" t="s">
        <v>8</v>
      </c>
      <c r="B1857" s="1">
        <v>45307.291666666664</v>
      </c>
      <c r="C1857">
        <v>207.05523608201599</v>
      </c>
      <c r="D1857">
        <v>207.05523608201599</v>
      </c>
    </row>
    <row r="1858" spans="1:4" x14ac:dyDescent="0.3">
      <c r="A1858" t="s">
        <v>8</v>
      </c>
      <c r="B1858" s="1">
        <v>45307.333333333336</v>
      </c>
      <c r="C1858">
        <v>399.99999999999898</v>
      </c>
      <c r="D1858">
        <v>399.99999999999898</v>
      </c>
    </row>
    <row r="1859" spans="1:4" x14ac:dyDescent="0.3">
      <c r="A1859" t="s">
        <v>8</v>
      </c>
      <c r="B1859" s="1">
        <v>45307.375</v>
      </c>
      <c r="C1859">
        <v>565.68542494923804</v>
      </c>
      <c r="D1859">
        <v>565.68542494923804</v>
      </c>
    </row>
    <row r="1860" spans="1:4" x14ac:dyDescent="0.3">
      <c r="A1860" t="s">
        <v>8</v>
      </c>
      <c r="B1860" s="1">
        <v>45307.416666666664</v>
      </c>
      <c r="C1860">
        <v>692.82032302754999</v>
      </c>
      <c r="D1860">
        <v>692.82032302754999</v>
      </c>
    </row>
    <row r="1861" spans="1:4" x14ac:dyDescent="0.3">
      <c r="A1861" t="s">
        <v>8</v>
      </c>
      <c r="B1861" s="1">
        <v>45307.458333333336</v>
      </c>
      <c r="C1861">
        <v>772.74066103125404</v>
      </c>
      <c r="D1861">
        <v>772.74066103125404</v>
      </c>
    </row>
    <row r="1862" spans="1:4" x14ac:dyDescent="0.3">
      <c r="A1862" t="s">
        <v>8</v>
      </c>
      <c r="B1862" s="1">
        <v>45307.5</v>
      </c>
      <c r="C1862">
        <v>800</v>
      </c>
      <c r="D1862">
        <v>800</v>
      </c>
    </row>
    <row r="1863" spans="1:4" x14ac:dyDescent="0.3">
      <c r="A1863" t="s">
        <v>8</v>
      </c>
      <c r="B1863" s="1">
        <v>45307.541666666664</v>
      </c>
      <c r="C1863">
        <v>772.74066103125404</v>
      </c>
      <c r="D1863">
        <v>772.74066103125404</v>
      </c>
    </row>
    <row r="1864" spans="1:4" x14ac:dyDescent="0.3">
      <c r="A1864" t="s">
        <v>8</v>
      </c>
      <c r="B1864" s="1">
        <v>45307.583333333336</v>
      </c>
      <c r="C1864">
        <v>692.82032302755101</v>
      </c>
      <c r="D1864">
        <v>692.82032302755101</v>
      </c>
    </row>
    <row r="1865" spans="1:4" x14ac:dyDescent="0.3">
      <c r="A1865" t="s">
        <v>8</v>
      </c>
      <c r="B1865" s="1">
        <v>45307.625</v>
      </c>
      <c r="C1865">
        <v>565.68542494923804</v>
      </c>
      <c r="D1865">
        <v>565.68542494923804</v>
      </c>
    </row>
    <row r="1866" spans="1:4" x14ac:dyDescent="0.3">
      <c r="A1866" t="s">
        <v>8</v>
      </c>
      <c r="B1866" s="1">
        <v>45307.666666666664</v>
      </c>
      <c r="C1866">
        <v>399.99999999999898</v>
      </c>
      <c r="D1866">
        <v>399.99999999999898</v>
      </c>
    </row>
    <row r="1867" spans="1:4" x14ac:dyDescent="0.3">
      <c r="A1867" t="s">
        <v>8</v>
      </c>
      <c r="B1867" s="1">
        <v>45307.708333333336</v>
      </c>
      <c r="C1867">
        <v>207.05523608201599</v>
      </c>
      <c r="D1867">
        <v>207.05523608201599</v>
      </c>
    </row>
    <row r="1868" spans="1:4" x14ac:dyDescent="0.3">
      <c r="A1868" t="s">
        <v>8</v>
      </c>
      <c r="B1868" s="1">
        <v>45307.75</v>
      </c>
      <c r="C1868" s="2">
        <v>9.7971743931788194E-14</v>
      </c>
      <c r="D1868" s="2">
        <v>9.7971743931788194E-14</v>
      </c>
    </row>
    <row r="1869" spans="1:4" x14ac:dyDescent="0.3">
      <c r="A1869" t="s">
        <v>8</v>
      </c>
      <c r="B1869" s="1">
        <v>45307.791666666664</v>
      </c>
      <c r="C1869">
        <v>0</v>
      </c>
      <c r="D1869">
        <v>0</v>
      </c>
    </row>
    <row r="1870" spans="1:4" x14ac:dyDescent="0.3">
      <c r="A1870" t="s">
        <v>8</v>
      </c>
      <c r="B1870" s="1">
        <v>45307.833333333336</v>
      </c>
      <c r="C1870">
        <v>0</v>
      </c>
      <c r="D1870">
        <v>0</v>
      </c>
    </row>
    <row r="1871" spans="1:4" x14ac:dyDescent="0.3">
      <c r="A1871" t="s">
        <v>8</v>
      </c>
      <c r="B1871" s="1">
        <v>45307.875</v>
      </c>
      <c r="C1871">
        <v>0</v>
      </c>
      <c r="D1871">
        <v>0</v>
      </c>
    </row>
    <row r="1872" spans="1:4" x14ac:dyDescent="0.3">
      <c r="A1872" t="s">
        <v>8</v>
      </c>
      <c r="B1872" s="1">
        <v>45307.916666666664</v>
      </c>
      <c r="C1872">
        <v>0</v>
      </c>
      <c r="D1872">
        <v>0</v>
      </c>
    </row>
    <row r="1873" spans="1:4" x14ac:dyDescent="0.3">
      <c r="A1873" t="s">
        <v>8</v>
      </c>
      <c r="B1873" s="1">
        <v>45307.958333333336</v>
      </c>
      <c r="C1873">
        <v>0</v>
      </c>
      <c r="D1873">
        <v>0</v>
      </c>
    </row>
    <row r="1874" spans="1:4" x14ac:dyDescent="0.3">
      <c r="A1874" t="s">
        <v>8</v>
      </c>
      <c r="B1874" s="1">
        <v>45308</v>
      </c>
      <c r="C1874">
        <v>0</v>
      </c>
      <c r="D1874">
        <v>0</v>
      </c>
    </row>
    <row r="1875" spans="1:4" x14ac:dyDescent="0.3">
      <c r="A1875" t="s">
        <v>8</v>
      </c>
      <c r="B1875" s="1">
        <v>45308.041666666664</v>
      </c>
      <c r="C1875">
        <v>0</v>
      </c>
      <c r="D1875">
        <v>0</v>
      </c>
    </row>
    <row r="1876" spans="1:4" x14ac:dyDescent="0.3">
      <c r="A1876" t="s">
        <v>8</v>
      </c>
      <c r="B1876" s="1">
        <v>45308.083333333336</v>
      </c>
      <c r="C1876">
        <v>0</v>
      </c>
      <c r="D1876">
        <v>0</v>
      </c>
    </row>
    <row r="1877" spans="1:4" x14ac:dyDescent="0.3">
      <c r="A1877" t="s">
        <v>8</v>
      </c>
      <c r="B1877" s="1">
        <v>45308.125</v>
      </c>
      <c r="C1877">
        <v>0</v>
      </c>
      <c r="D1877">
        <v>0</v>
      </c>
    </row>
    <row r="1878" spans="1:4" x14ac:dyDescent="0.3">
      <c r="A1878" t="s">
        <v>8</v>
      </c>
      <c r="B1878" s="1">
        <v>45308.166666666664</v>
      </c>
      <c r="C1878">
        <v>0</v>
      </c>
      <c r="D1878">
        <v>0</v>
      </c>
    </row>
    <row r="1879" spans="1:4" x14ac:dyDescent="0.3">
      <c r="A1879" t="s">
        <v>8</v>
      </c>
      <c r="B1879" s="1">
        <v>45308.208333333336</v>
      </c>
      <c r="C1879">
        <v>0</v>
      </c>
      <c r="D1879">
        <v>0</v>
      </c>
    </row>
    <row r="1880" spans="1:4" x14ac:dyDescent="0.3">
      <c r="A1880" t="s">
        <v>8</v>
      </c>
      <c r="B1880" s="1">
        <v>45308.25</v>
      </c>
      <c r="C1880">
        <v>0</v>
      </c>
      <c r="D1880">
        <v>0</v>
      </c>
    </row>
    <row r="1881" spans="1:4" x14ac:dyDescent="0.3">
      <c r="A1881" t="s">
        <v>8</v>
      </c>
      <c r="B1881" s="1">
        <v>45308.291666666664</v>
      </c>
      <c r="C1881">
        <v>207.05523608201599</v>
      </c>
      <c r="D1881">
        <v>207.05523608201599</v>
      </c>
    </row>
    <row r="1882" spans="1:4" x14ac:dyDescent="0.3">
      <c r="A1882" t="s">
        <v>8</v>
      </c>
      <c r="B1882" s="1">
        <v>45308.333333333336</v>
      </c>
      <c r="C1882">
        <v>399.99999999999898</v>
      </c>
      <c r="D1882">
        <v>399.99999999999898</v>
      </c>
    </row>
    <row r="1883" spans="1:4" x14ac:dyDescent="0.3">
      <c r="A1883" t="s">
        <v>8</v>
      </c>
      <c r="B1883" s="1">
        <v>45308.375</v>
      </c>
      <c r="C1883">
        <v>565.68542494923804</v>
      </c>
      <c r="D1883">
        <v>565.68542494923804</v>
      </c>
    </row>
    <row r="1884" spans="1:4" x14ac:dyDescent="0.3">
      <c r="A1884" t="s">
        <v>8</v>
      </c>
      <c r="B1884" s="1">
        <v>45308.416666666664</v>
      </c>
      <c r="C1884">
        <v>692.82032302754999</v>
      </c>
      <c r="D1884">
        <v>692.82032302754999</v>
      </c>
    </row>
    <row r="1885" spans="1:4" x14ac:dyDescent="0.3">
      <c r="A1885" t="s">
        <v>8</v>
      </c>
      <c r="B1885" s="1">
        <v>45308.458333333336</v>
      </c>
      <c r="C1885">
        <v>772.74066103125404</v>
      </c>
      <c r="D1885">
        <v>772.74066103125404</v>
      </c>
    </row>
    <row r="1886" spans="1:4" x14ac:dyDescent="0.3">
      <c r="A1886" t="s">
        <v>8</v>
      </c>
      <c r="B1886" s="1">
        <v>45308.5</v>
      </c>
      <c r="C1886">
        <v>800</v>
      </c>
      <c r="D1886">
        <v>800</v>
      </c>
    </row>
    <row r="1887" spans="1:4" x14ac:dyDescent="0.3">
      <c r="A1887" t="s">
        <v>8</v>
      </c>
      <c r="B1887" s="1">
        <v>45308.541666666664</v>
      </c>
      <c r="C1887">
        <v>772.74066103125404</v>
      </c>
      <c r="D1887">
        <v>772.74066103125404</v>
      </c>
    </row>
    <row r="1888" spans="1:4" x14ac:dyDescent="0.3">
      <c r="A1888" t="s">
        <v>8</v>
      </c>
      <c r="B1888" s="1">
        <v>45308.583333333336</v>
      </c>
      <c r="C1888">
        <v>692.82032302755101</v>
      </c>
      <c r="D1888">
        <v>692.82032302755101</v>
      </c>
    </row>
    <row r="1889" spans="1:4" x14ac:dyDescent="0.3">
      <c r="A1889" t="s">
        <v>8</v>
      </c>
      <c r="B1889" s="1">
        <v>45308.625</v>
      </c>
      <c r="C1889">
        <v>565.68542494923804</v>
      </c>
      <c r="D1889">
        <v>565.68542494923804</v>
      </c>
    </row>
    <row r="1890" spans="1:4" x14ac:dyDescent="0.3">
      <c r="A1890" t="s">
        <v>8</v>
      </c>
      <c r="B1890" s="1">
        <v>45308.666666666664</v>
      </c>
      <c r="C1890">
        <v>399.99999999999898</v>
      </c>
      <c r="D1890">
        <v>399.99999999999898</v>
      </c>
    </row>
    <row r="1891" spans="1:4" x14ac:dyDescent="0.3">
      <c r="A1891" t="s">
        <v>8</v>
      </c>
      <c r="B1891" s="1">
        <v>45308.708333333336</v>
      </c>
      <c r="C1891">
        <v>207.05523608201599</v>
      </c>
      <c r="D1891">
        <v>207.05523608201599</v>
      </c>
    </row>
    <row r="1892" spans="1:4" x14ac:dyDescent="0.3">
      <c r="A1892" t="s">
        <v>8</v>
      </c>
      <c r="B1892" s="1">
        <v>45308.75</v>
      </c>
      <c r="C1892" s="2">
        <v>9.7971743931788194E-14</v>
      </c>
      <c r="D1892" s="2">
        <v>9.7971743931788194E-14</v>
      </c>
    </row>
    <row r="1893" spans="1:4" x14ac:dyDescent="0.3">
      <c r="A1893" t="s">
        <v>8</v>
      </c>
      <c r="B1893" s="1">
        <v>45308.791666666664</v>
      </c>
      <c r="C1893">
        <v>0</v>
      </c>
      <c r="D1893">
        <v>0</v>
      </c>
    </row>
    <row r="1894" spans="1:4" x14ac:dyDescent="0.3">
      <c r="A1894" t="s">
        <v>8</v>
      </c>
      <c r="B1894" s="1">
        <v>45308.833333333336</v>
      </c>
      <c r="C1894">
        <v>0</v>
      </c>
      <c r="D1894">
        <v>0</v>
      </c>
    </row>
    <row r="1895" spans="1:4" x14ac:dyDescent="0.3">
      <c r="A1895" t="s">
        <v>8</v>
      </c>
      <c r="B1895" s="1">
        <v>45308.875</v>
      </c>
      <c r="C1895">
        <v>0</v>
      </c>
      <c r="D1895">
        <v>0</v>
      </c>
    </row>
    <row r="1896" spans="1:4" x14ac:dyDescent="0.3">
      <c r="A1896" t="s">
        <v>8</v>
      </c>
      <c r="B1896" s="1">
        <v>45308.916666666664</v>
      </c>
      <c r="C1896">
        <v>0</v>
      </c>
      <c r="D1896">
        <v>0</v>
      </c>
    </row>
    <row r="1897" spans="1:4" x14ac:dyDescent="0.3">
      <c r="A1897" t="s">
        <v>8</v>
      </c>
      <c r="B1897" s="1">
        <v>45308.958333333336</v>
      </c>
      <c r="C1897">
        <v>0</v>
      </c>
      <c r="D1897">
        <v>0</v>
      </c>
    </row>
    <row r="1898" spans="1:4" x14ac:dyDescent="0.3">
      <c r="A1898" t="s">
        <v>8</v>
      </c>
      <c r="B1898" s="1">
        <v>45309</v>
      </c>
      <c r="C1898">
        <v>0</v>
      </c>
      <c r="D1898">
        <v>0</v>
      </c>
    </row>
    <row r="1899" spans="1:4" x14ac:dyDescent="0.3">
      <c r="A1899" t="s">
        <v>8</v>
      </c>
      <c r="B1899" s="1">
        <v>45309.041666666664</v>
      </c>
      <c r="C1899">
        <v>0</v>
      </c>
      <c r="D1899">
        <v>0</v>
      </c>
    </row>
    <row r="1900" spans="1:4" x14ac:dyDescent="0.3">
      <c r="A1900" t="s">
        <v>8</v>
      </c>
      <c r="B1900" s="1">
        <v>45309.083333333336</v>
      </c>
      <c r="C1900">
        <v>0</v>
      </c>
      <c r="D1900">
        <v>0</v>
      </c>
    </row>
    <row r="1901" spans="1:4" x14ac:dyDescent="0.3">
      <c r="A1901" t="s">
        <v>8</v>
      </c>
      <c r="B1901" s="1">
        <v>45309.125</v>
      </c>
      <c r="C1901">
        <v>0</v>
      </c>
      <c r="D1901">
        <v>0</v>
      </c>
    </row>
    <row r="1902" spans="1:4" x14ac:dyDescent="0.3">
      <c r="A1902" t="s">
        <v>8</v>
      </c>
      <c r="B1902" s="1">
        <v>45309.166666666664</v>
      </c>
      <c r="C1902">
        <v>0</v>
      </c>
      <c r="D1902">
        <v>0</v>
      </c>
    </row>
    <row r="1903" spans="1:4" x14ac:dyDescent="0.3">
      <c r="A1903" t="s">
        <v>8</v>
      </c>
      <c r="B1903" s="1">
        <v>45309.208333333336</v>
      </c>
      <c r="C1903">
        <v>0</v>
      </c>
      <c r="D1903">
        <v>0</v>
      </c>
    </row>
    <row r="1904" spans="1:4" x14ac:dyDescent="0.3">
      <c r="A1904" t="s">
        <v>8</v>
      </c>
      <c r="B1904" s="1">
        <v>45309.25</v>
      </c>
      <c r="C1904">
        <v>0</v>
      </c>
      <c r="D1904">
        <v>0</v>
      </c>
    </row>
    <row r="1905" spans="1:4" x14ac:dyDescent="0.3">
      <c r="A1905" t="s">
        <v>8</v>
      </c>
      <c r="B1905" s="1">
        <v>45309.291666666664</v>
      </c>
      <c r="C1905">
        <v>207.05523608201599</v>
      </c>
      <c r="D1905">
        <v>207.05523608201599</v>
      </c>
    </row>
    <row r="1906" spans="1:4" x14ac:dyDescent="0.3">
      <c r="A1906" t="s">
        <v>8</v>
      </c>
      <c r="B1906" s="1">
        <v>45309.333333333336</v>
      </c>
      <c r="C1906">
        <v>399.99999999999898</v>
      </c>
      <c r="D1906">
        <v>399.99999999999898</v>
      </c>
    </row>
    <row r="1907" spans="1:4" x14ac:dyDescent="0.3">
      <c r="A1907" t="s">
        <v>8</v>
      </c>
      <c r="B1907" s="1">
        <v>45309.375</v>
      </c>
      <c r="C1907">
        <v>565.68542494923804</v>
      </c>
      <c r="D1907">
        <v>565.68542494923804</v>
      </c>
    </row>
    <row r="1908" spans="1:4" x14ac:dyDescent="0.3">
      <c r="A1908" t="s">
        <v>8</v>
      </c>
      <c r="B1908" s="1">
        <v>45309.416666666664</v>
      </c>
      <c r="C1908">
        <v>692.82032302754999</v>
      </c>
      <c r="D1908">
        <v>692.82032302754999</v>
      </c>
    </row>
    <row r="1909" spans="1:4" x14ac:dyDescent="0.3">
      <c r="A1909" t="s">
        <v>8</v>
      </c>
      <c r="B1909" s="1">
        <v>45309.458333333336</v>
      </c>
      <c r="C1909">
        <v>772.74066103125404</v>
      </c>
      <c r="D1909">
        <v>772.74066103125404</v>
      </c>
    </row>
    <row r="1910" spans="1:4" x14ac:dyDescent="0.3">
      <c r="A1910" t="s">
        <v>8</v>
      </c>
      <c r="B1910" s="1">
        <v>45309.5</v>
      </c>
      <c r="C1910">
        <v>800</v>
      </c>
      <c r="D1910">
        <v>800</v>
      </c>
    </row>
    <row r="1911" spans="1:4" x14ac:dyDescent="0.3">
      <c r="A1911" t="s">
        <v>8</v>
      </c>
      <c r="B1911" s="1">
        <v>45309.541666666664</v>
      </c>
      <c r="C1911">
        <v>772.74066103125404</v>
      </c>
      <c r="D1911">
        <v>772.74066103125404</v>
      </c>
    </row>
    <row r="1912" spans="1:4" x14ac:dyDescent="0.3">
      <c r="A1912" t="s">
        <v>8</v>
      </c>
      <c r="B1912" s="1">
        <v>45309.583333333336</v>
      </c>
      <c r="C1912">
        <v>692.82032302755101</v>
      </c>
      <c r="D1912">
        <v>692.82032302755101</v>
      </c>
    </row>
    <row r="1913" spans="1:4" x14ac:dyDescent="0.3">
      <c r="A1913" t="s">
        <v>8</v>
      </c>
      <c r="B1913" s="1">
        <v>45309.625</v>
      </c>
      <c r="C1913">
        <v>565.68542494923804</v>
      </c>
      <c r="D1913">
        <v>565.68542494923804</v>
      </c>
    </row>
    <row r="1914" spans="1:4" x14ac:dyDescent="0.3">
      <c r="A1914" t="s">
        <v>8</v>
      </c>
      <c r="B1914" s="1">
        <v>45309.666666666664</v>
      </c>
      <c r="C1914">
        <v>399.99999999999898</v>
      </c>
      <c r="D1914">
        <v>399.99999999999898</v>
      </c>
    </row>
    <row r="1915" spans="1:4" x14ac:dyDescent="0.3">
      <c r="A1915" t="s">
        <v>8</v>
      </c>
      <c r="B1915" s="1">
        <v>45309.708333333336</v>
      </c>
      <c r="C1915">
        <v>207.05523608201599</v>
      </c>
      <c r="D1915">
        <v>207.05523608201599</v>
      </c>
    </row>
    <row r="1916" spans="1:4" x14ac:dyDescent="0.3">
      <c r="A1916" t="s">
        <v>8</v>
      </c>
      <c r="B1916" s="1">
        <v>45309.75</v>
      </c>
      <c r="C1916" s="2">
        <v>9.7971743931788194E-14</v>
      </c>
      <c r="D1916" s="2">
        <v>9.7971743931788194E-14</v>
      </c>
    </row>
    <row r="1917" spans="1:4" x14ac:dyDescent="0.3">
      <c r="A1917" t="s">
        <v>8</v>
      </c>
      <c r="B1917" s="1">
        <v>45309.791666666664</v>
      </c>
      <c r="C1917">
        <v>0</v>
      </c>
      <c r="D1917">
        <v>0</v>
      </c>
    </row>
    <row r="1918" spans="1:4" x14ac:dyDescent="0.3">
      <c r="A1918" t="s">
        <v>8</v>
      </c>
      <c r="B1918" s="1">
        <v>45309.833333333336</v>
      </c>
      <c r="C1918">
        <v>0</v>
      </c>
      <c r="D1918">
        <v>0</v>
      </c>
    </row>
    <row r="1919" spans="1:4" x14ac:dyDescent="0.3">
      <c r="A1919" t="s">
        <v>8</v>
      </c>
      <c r="B1919" s="1">
        <v>45309.875</v>
      </c>
      <c r="C1919">
        <v>0</v>
      </c>
      <c r="D1919">
        <v>0</v>
      </c>
    </row>
    <row r="1920" spans="1:4" x14ac:dyDescent="0.3">
      <c r="A1920" t="s">
        <v>8</v>
      </c>
      <c r="B1920" s="1">
        <v>45309.916666666664</v>
      </c>
      <c r="C1920">
        <v>0</v>
      </c>
      <c r="D1920">
        <v>0</v>
      </c>
    </row>
    <row r="1921" spans="1:4" x14ac:dyDescent="0.3">
      <c r="A1921" t="s">
        <v>8</v>
      </c>
      <c r="B1921" s="1">
        <v>45309.958333333336</v>
      </c>
      <c r="C1921">
        <v>0</v>
      </c>
      <c r="D1921">
        <v>0</v>
      </c>
    </row>
    <row r="1922" spans="1:4" x14ac:dyDescent="0.3">
      <c r="A1922" t="s">
        <v>8</v>
      </c>
      <c r="B1922" s="1">
        <v>45310</v>
      </c>
      <c r="C1922">
        <v>0</v>
      </c>
      <c r="D1922">
        <v>0</v>
      </c>
    </row>
    <row r="1923" spans="1:4" x14ac:dyDescent="0.3">
      <c r="A1923" t="s">
        <v>8</v>
      </c>
      <c r="B1923" s="1">
        <v>45310.041666666664</v>
      </c>
      <c r="C1923">
        <v>0</v>
      </c>
      <c r="D1923">
        <v>0</v>
      </c>
    </row>
    <row r="1924" spans="1:4" x14ac:dyDescent="0.3">
      <c r="A1924" t="s">
        <v>8</v>
      </c>
      <c r="B1924" s="1">
        <v>45310.083333333336</v>
      </c>
      <c r="C1924">
        <v>0</v>
      </c>
      <c r="D1924">
        <v>0</v>
      </c>
    </row>
    <row r="1925" spans="1:4" x14ac:dyDescent="0.3">
      <c r="A1925" t="s">
        <v>8</v>
      </c>
      <c r="B1925" s="1">
        <v>45310.125</v>
      </c>
      <c r="C1925">
        <v>0</v>
      </c>
      <c r="D1925">
        <v>0</v>
      </c>
    </row>
    <row r="1926" spans="1:4" x14ac:dyDescent="0.3">
      <c r="A1926" t="s">
        <v>8</v>
      </c>
      <c r="B1926" s="1">
        <v>45310.166666666664</v>
      </c>
      <c r="C1926">
        <v>0</v>
      </c>
      <c r="D1926">
        <v>0</v>
      </c>
    </row>
    <row r="1927" spans="1:4" x14ac:dyDescent="0.3">
      <c r="A1927" t="s">
        <v>8</v>
      </c>
      <c r="B1927" s="1">
        <v>45310.208333333336</v>
      </c>
      <c r="C1927">
        <v>0</v>
      </c>
      <c r="D1927">
        <v>0</v>
      </c>
    </row>
    <row r="1928" spans="1:4" x14ac:dyDescent="0.3">
      <c r="A1928" t="s">
        <v>8</v>
      </c>
      <c r="B1928" s="1">
        <v>45310.25</v>
      </c>
      <c r="C1928">
        <v>0</v>
      </c>
      <c r="D1928">
        <v>0</v>
      </c>
    </row>
    <row r="1929" spans="1:4" x14ac:dyDescent="0.3">
      <c r="A1929" t="s">
        <v>8</v>
      </c>
      <c r="B1929" s="1">
        <v>45310.291666666664</v>
      </c>
      <c r="C1929">
        <v>207.05523608201599</v>
      </c>
      <c r="D1929">
        <v>207.05523608201599</v>
      </c>
    </row>
    <row r="1930" spans="1:4" x14ac:dyDescent="0.3">
      <c r="A1930" t="s">
        <v>8</v>
      </c>
      <c r="B1930" s="1">
        <v>45310.333333333336</v>
      </c>
      <c r="C1930">
        <v>399.99999999999898</v>
      </c>
      <c r="D1930">
        <v>399.99999999999898</v>
      </c>
    </row>
    <row r="1931" spans="1:4" x14ac:dyDescent="0.3">
      <c r="A1931" t="s">
        <v>8</v>
      </c>
      <c r="B1931" s="1">
        <v>45310.375</v>
      </c>
      <c r="C1931">
        <v>565.68542494923804</v>
      </c>
      <c r="D1931">
        <v>565.68542494923804</v>
      </c>
    </row>
    <row r="1932" spans="1:4" x14ac:dyDescent="0.3">
      <c r="A1932" t="s">
        <v>8</v>
      </c>
      <c r="B1932" s="1">
        <v>45310.416666666664</v>
      </c>
      <c r="C1932">
        <v>692.82032302754999</v>
      </c>
      <c r="D1932">
        <v>692.82032302754999</v>
      </c>
    </row>
    <row r="1933" spans="1:4" x14ac:dyDescent="0.3">
      <c r="A1933" t="s">
        <v>8</v>
      </c>
      <c r="B1933" s="1">
        <v>45310.458333333336</v>
      </c>
      <c r="C1933">
        <v>772.74066103125404</v>
      </c>
      <c r="D1933">
        <v>772.74066103125404</v>
      </c>
    </row>
    <row r="1934" spans="1:4" x14ac:dyDescent="0.3">
      <c r="A1934" t="s">
        <v>8</v>
      </c>
      <c r="B1934" s="1">
        <v>45310.5</v>
      </c>
      <c r="C1934">
        <v>800</v>
      </c>
      <c r="D1934">
        <v>800</v>
      </c>
    </row>
    <row r="1935" spans="1:4" x14ac:dyDescent="0.3">
      <c r="A1935" t="s">
        <v>8</v>
      </c>
      <c r="B1935" s="1">
        <v>45310.541666666664</v>
      </c>
      <c r="C1935">
        <v>772.74066103125404</v>
      </c>
      <c r="D1935">
        <v>772.74066103125404</v>
      </c>
    </row>
    <row r="1936" spans="1:4" x14ac:dyDescent="0.3">
      <c r="A1936" t="s">
        <v>8</v>
      </c>
      <c r="B1936" s="1">
        <v>45310.583333333336</v>
      </c>
      <c r="C1936">
        <v>692.82032302755101</v>
      </c>
      <c r="D1936">
        <v>692.82032302755101</v>
      </c>
    </row>
    <row r="1937" spans="1:4" x14ac:dyDescent="0.3">
      <c r="A1937" t="s">
        <v>8</v>
      </c>
      <c r="B1937" s="1">
        <v>45310.625</v>
      </c>
      <c r="C1937">
        <v>565.68542494923804</v>
      </c>
      <c r="D1937">
        <v>565.68542494923804</v>
      </c>
    </row>
    <row r="1938" spans="1:4" x14ac:dyDescent="0.3">
      <c r="A1938" t="s">
        <v>8</v>
      </c>
      <c r="B1938" s="1">
        <v>45310.666666666664</v>
      </c>
      <c r="C1938">
        <v>399.99999999999898</v>
      </c>
      <c r="D1938">
        <v>399.99999999999898</v>
      </c>
    </row>
    <row r="1939" spans="1:4" x14ac:dyDescent="0.3">
      <c r="A1939" t="s">
        <v>8</v>
      </c>
      <c r="B1939" s="1">
        <v>45310.708333333336</v>
      </c>
      <c r="C1939">
        <v>207.05523608201599</v>
      </c>
      <c r="D1939">
        <v>207.05523608201599</v>
      </c>
    </row>
    <row r="1940" spans="1:4" x14ac:dyDescent="0.3">
      <c r="A1940" t="s">
        <v>8</v>
      </c>
      <c r="B1940" s="1">
        <v>45310.75</v>
      </c>
      <c r="C1940" s="2">
        <v>9.7971743931788194E-14</v>
      </c>
      <c r="D1940" s="2">
        <v>9.7971743931788194E-14</v>
      </c>
    </row>
    <row r="1941" spans="1:4" x14ac:dyDescent="0.3">
      <c r="A1941" t="s">
        <v>8</v>
      </c>
      <c r="B1941" s="1">
        <v>45310.791666666664</v>
      </c>
      <c r="C1941">
        <v>0</v>
      </c>
      <c r="D1941">
        <v>0</v>
      </c>
    </row>
    <row r="1942" spans="1:4" x14ac:dyDescent="0.3">
      <c r="A1942" t="s">
        <v>8</v>
      </c>
      <c r="B1942" s="1">
        <v>45310.833333333336</v>
      </c>
      <c r="C1942">
        <v>0</v>
      </c>
      <c r="D1942">
        <v>0</v>
      </c>
    </row>
    <row r="1943" spans="1:4" x14ac:dyDescent="0.3">
      <c r="A1943" t="s">
        <v>8</v>
      </c>
      <c r="B1943" s="1">
        <v>45310.875</v>
      </c>
      <c r="C1943">
        <v>0</v>
      </c>
      <c r="D1943">
        <v>0</v>
      </c>
    </row>
    <row r="1944" spans="1:4" x14ac:dyDescent="0.3">
      <c r="A1944" t="s">
        <v>8</v>
      </c>
      <c r="B1944" s="1">
        <v>45310.916666666664</v>
      </c>
      <c r="C1944">
        <v>0</v>
      </c>
      <c r="D1944">
        <v>0</v>
      </c>
    </row>
    <row r="1945" spans="1:4" x14ac:dyDescent="0.3">
      <c r="A1945" t="s">
        <v>8</v>
      </c>
      <c r="B1945" s="1">
        <v>45310.958333333336</v>
      </c>
      <c r="C1945">
        <v>0</v>
      </c>
      <c r="D1945">
        <v>0</v>
      </c>
    </row>
    <row r="1946" spans="1:4" x14ac:dyDescent="0.3">
      <c r="A1946" t="s">
        <v>8</v>
      </c>
      <c r="B1946" s="1">
        <v>45311</v>
      </c>
      <c r="C1946">
        <v>0</v>
      </c>
      <c r="D1946">
        <v>0</v>
      </c>
    </row>
    <row r="1947" spans="1:4" x14ac:dyDescent="0.3">
      <c r="A1947" t="s">
        <v>8</v>
      </c>
      <c r="B1947" s="1">
        <v>45311.041666666664</v>
      </c>
      <c r="C1947">
        <v>0</v>
      </c>
      <c r="D1947">
        <v>0</v>
      </c>
    </row>
    <row r="1948" spans="1:4" x14ac:dyDescent="0.3">
      <c r="A1948" t="s">
        <v>8</v>
      </c>
      <c r="B1948" s="1">
        <v>45311.083333333336</v>
      </c>
      <c r="C1948">
        <v>0</v>
      </c>
      <c r="D1948">
        <v>0</v>
      </c>
    </row>
    <row r="1949" spans="1:4" x14ac:dyDescent="0.3">
      <c r="A1949" t="s">
        <v>8</v>
      </c>
      <c r="B1949" s="1">
        <v>45311.125</v>
      </c>
      <c r="C1949">
        <v>0</v>
      </c>
      <c r="D1949">
        <v>0</v>
      </c>
    </row>
    <row r="1950" spans="1:4" x14ac:dyDescent="0.3">
      <c r="A1950" t="s">
        <v>8</v>
      </c>
      <c r="B1950" s="1">
        <v>45311.166666666664</v>
      </c>
      <c r="C1950">
        <v>0</v>
      </c>
      <c r="D1950">
        <v>0</v>
      </c>
    </row>
    <row r="1951" spans="1:4" x14ac:dyDescent="0.3">
      <c r="A1951" t="s">
        <v>8</v>
      </c>
      <c r="B1951" s="1">
        <v>45311.208333333336</v>
      </c>
      <c r="C1951">
        <v>0</v>
      </c>
      <c r="D1951">
        <v>0</v>
      </c>
    </row>
    <row r="1952" spans="1:4" x14ac:dyDescent="0.3">
      <c r="A1952" t="s">
        <v>8</v>
      </c>
      <c r="B1952" s="1">
        <v>45311.25</v>
      </c>
      <c r="C1952">
        <v>0</v>
      </c>
      <c r="D1952">
        <v>0</v>
      </c>
    </row>
    <row r="1953" spans="1:4" x14ac:dyDescent="0.3">
      <c r="A1953" t="s">
        <v>8</v>
      </c>
      <c r="B1953" s="1">
        <v>45311.291666666664</v>
      </c>
      <c r="C1953">
        <v>207.05523608201599</v>
      </c>
      <c r="D1953">
        <v>207.05523608201599</v>
      </c>
    </row>
    <row r="1954" spans="1:4" x14ac:dyDescent="0.3">
      <c r="A1954" t="s">
        <v>8</v>
      </c>
      <c r="B1954" s="1">
        <v>45311.333333333336</v>
      </c>
      <c r="C1954">
        <v>399.99999999999898</v>
      </c>
      <c r="D1954">
        <v>399.99999999999898</v>
      </c>
    </row>
    <row r="1955" spans="1:4" x14ac:dyDescent="0.3">
      <c r="A1955" t="s">
        <v>8</v>
      </c>
      <c r="B1955" s="1">
        <v>45311.375</v>
      </c>
      <c r="C1955">
        <v>565.68542494923804</v>
      </c>
      <c r="D1955">
        <v>565.68542494923804</v>
      </c>
    </row>
    <row r="1956" spans="1:4" x14ac:dyDescent="0.3">
      <c r="A1956" t="s">
        <v>8</v>
      </c>
      <c r="B1956" s="1">
        <v>45311.416666666664</v>
      </c>
      <c r="C1956">
        <v>692.82032302754999</v>
      </c>
      <c r="D1956">
        <v>692.82032302754999</v>
      </c>
    </row>
    <row r="1957" spans="1:4" x14ac:dyDescent="0.3">
      <c r="A1957" t="s">
        <v>8</v>
      </c>
      <c r="B1957" s="1">
        <v>45311.458333333336</v>
      </c>
      <c r="C1957">
        <v>772.74066103125404</v>
      </c>
      <c r="D1957">
        <v>772.74066103125404</v>
      </c>
    </row>
    <row r="1958" spans="1:4" x14ac:dyDescent="0.3">
      <c r="A1958" t="s">
        <v>8</v>
      </c>
      <c r="B1958" s="1">
        <v>45311.5</v>
      </c>
      <c r="C1958">
        <v>800</v>
      </c>
      <c r="D1958">
        <v>800</v>
      </c>
    </row>
    <row r="1959" spans="1:4" x14ac:dyDescent="0.3">
      <c r="A1959" t="s">
        <v>8</v>
      </c>
      <c r="B1959" s="1">
        <v>45311.541666666664</v>
      </c>
      <c r="C1959">
        <v>772.74066103125404</v>
      </c>
      <c r="D1959">
        <v>772.74066103125404</v>
      </c>
    </row>
    <row r="1960" spans="1:4" x14ac:dyDescent="0.3">
      <c r="A1960" t="s">
        <v>8</v>
      </c>
      <c r="B1960" s="1">
        <v>45311.583333333336</v>
      </c>
      <c r="C1960">
        <v>692.82032302755101</v>
      </c>
      <c r="D1960">
        <v>692.82032302755101</v>
      </c>
    </row>
    <row r="1961" spans="1:4" x14ac:dyDescent="0.3">
      <c r="A1961" t="s">
        <v>8</v>
      </c>
      <c r="B1961" s="1">
        <v>45311.625</v>
      </c>
      <c r="C1961">
        <v>565.68542494923804</v>
      </c>
      <c r="D1961">
        <v>565.68542494923804</v>
      </c>
    </row>
    <row r="1962" spans="1:4" x14ac:dyDescent="0.3">
      <c r="A1962" t="s">
        <v>8</v>
      </c>
      <c r="B1962" s="1">
        <v>45311.666666666664</v>
      </c>
      <c r="C1962">
        <v>399.99999999999898</v>
      </c>
      <c r="D1962">
        <v>399.99999999999898</v>
      </c>
    </row>
    <row r="1963" spans="1:4" x14ac:dyDescent="0.3">
      <c r="A1963" t="s">
        <v>8</v>
      </c>
      <c r="B1963" s="1">
        <v>45311.708333333336</v>
      </c>
      <c r="C1963">
        <v>207.05523608201599</v>
      </c>
      <c r="D1963">
        <v>207.05523608201599</v>
      </c>
    </row>
    <row r="1964" spans="1:4" x14ac:dyDescent="0.3">
      <c r="A1964" t="s">
        <v>8</v>
      </c>
      <c r="B1964" s="1">
        <v>45311.75</v>
      </c>
      <c r="C1964" s="2">
        <v>9.7971743931788194E-14</v>
      </c>
      <c r="D1964" s="2">
        <v>9.7971743931788194E-14</v>
      </c>
    </row>
    <row r="1965" spans="1:4" x14ac:dyDescent="0.3">
      <c r="A1965" t="s">
        <v>8</v>
      </c>
      <c r="B1965" s="1">
        <v>45311.791666666664</v>
      </c>
      <c r="C1965">
        <v>0</v>
      </c>
      <c r="D1965">
        <v>0</v>
      </c>
    </row>
    <row r="1966" spans="1:4" x14ac:dyDescent="0.3">
      <c r="A1966" t="s">
        <v>8</v>
      </c>
      <c r="B1966" s="1">
        <v>45311.833333333336</v>
      </c>
      <c r="C1966">
        <v>0</v>
      </c>
      <c r="D1966">
        <v>0</v>
      </c>
    </row>
    <row r="1967" spans="1:4" x14ac:dyDescent="0.3">
      <c r="A1967" t="s">
        <v>8</v>
      </c>
      <c r="B1967" s="1">
        <v>45311.875</v>
      </c>
      <c r="C1967">
        <v>0</v>
      </c>
      <c r="D1967">
        <v>0</v>
      </c>
    </row>
    <row r="1968" spans="1:4" x14ac:dyDescent="0.3">
      <c r="A1968" t="s">
        <v>8</v>
      </c>
      <c r="B1968" s="1">
        <v>45311.916666666664</v>
      </c>
      <c r="C1968">
        <v>0</v>
      </c>
      <c r="D1968">
        <v>0</v>
      </c>
    </row>
    <row r="1969" spans="1:4" x14ac:dyDescent="0.3">
      <c r="A1969" t="s">
        <v>8</v>
      </c>
      <c r="B1969" s="1">
        <v>45311.958333333336</v>
      </c>
      <c r="C1969">
        <v>0</v>
      </c>
      <c r="D1969">
        <v>0</v>
      </c>
    </row>
    <row r="1970" spans="1:4" x14ac:dyDescent="0.3">
      <c r="A1970" t="s">
        <v>8</v>
      </c>
      <c r="B1970" s="1">
        <v>45312</v>
      </c>
      <c r="C1970">
        <v>0</v>
      </c>
      <c r="D1970">
        <v>0</v>
      </c>
    </row>
    <row r="1971" spans="1:4" x14ac:dyDescent="0.3">
      <c r="A1971" t="s">
        <v>8</v>
      </c>
      <c r="B1971" s="1">
        <v>45312.041666666664</v>
      </c>
      <c r="C1971">
        <v>0</v>
      </c>
      <c r="D1971">
        <v>0</v>
      </c>
    </row>
    <row r="1972" spans="1:4" x14ac:dyDescent="0.3">
      <c r="A1972" t="s">
        <v>8</v>
      </c>
      <c r="B1972" s="1">
        <v>45312.083333333336</v>
      </c>
      <c r="C1972">
        <v>0</v>
      </c>
      <c r="D1972">
        <v>0</v>
      </c>
    </row>
    <row r="1973" spans="1:4" x14ac:dyDescent="0.3">
      <c r="A1973" t="s">
        <v>8</v>
      </c>
      <c r="B1973" s="1">
        <v>45312.125</v>
      </c>
      <c r="C1973">
        <v>0</v>
      </c>
      <c r="D1973">
        <v>0</v>
      </c>
    </row>
    <row r="1974" spans="1:4" x14ac:dyDescent="0.3">
      <c r="A1974" t="s">
        <v>8</v>
      </c>
      <c r="B1974" s="1">
        <v>45312.166666666664</v>
      </c>
      <c r="C1974">
        <v>0</v>
      </c>
      <c r="D1974">
        <v>0</v>
      </c>
    </row>
    <row r="1975" spans="1:4" x14ac:dyDescent="0.3">
      <c r="A1975" t="s">
        <v>8</v>
      </c>
      <c r="B1975" s="1">
        <v>45312.208333333336</v>
      </c>
      <c r="C1975">
        <v>0</v>
      </c>
      <c r="D1975">
        <v>0</v>
      </c>
    </row>
    <row r="1976" spans="1:4" x14ac:dyDescent="0.3">
      <c r="A1976" t="s">
        <v>8</v>
      </c>
      <c r="B1976" s="1">
        <v>45312.25</v>
      </c>
      <c r="C1976">
        <v>0</v>
      </c>
      <c r="D1976">
        <v>0</v>
      </c>
    </row>
    <row r="1977" spans="1:4" x14ac:dyDescent="0.3">
      <c r="A1977" t="s">
        <v>8</v>
      </c>
      <c r="B1977" s="1">
        <v>45312.291666666664</v>
      </c>
      <c r="C1977">
        <v>207.05523608201599</v>
      </c>
      <c r="D1977">
        <v>207.05523608201599</v>
      </c>
    </row>
    <row r="1978" spans="1:4" x14ac:dyDescent="0.3">
      <c r="A1978" t="s">
        <v>8</v>
      </c>
      <c r="B1978" s="1">
        <v>45312.333333333336</v>
      </c>
      <c r="C1978">
        <v>399.99999999999898</v>
      </c>
      <c r="D1978">
        <v>399.99999999999898</v>
      </c>
    </row>
    <row r="1979" spans="1:4" x14ac:dyDescent="0.3">
      <c r="A1979" t="s">
        <v>8</v>
      </c>
      <c r="B1979" s="1">
        <v>45312.375</v>
      </c>
      <c r="C1979">
        <v>565.68542494923804</v>
      </c>
      <c r="D1979">
        <v>565.68542494923804</v>
      </c>
    </row>
    <row r="1980" spans="1:4" x14ac:dyDescent="0.3">
      <c r="A1980" t="s">
        <v>8</v>
      </c>
      <c r="B1980" s="1">
        <v>45312.416666666664</v>
      </c>
      <c r="C1980">
        <v>692.82032302754999</v>
      </c>
      <c r="D1980">
        <v>692.82032302754999</v>
      </c>
    </row>
    <row r="1981" spans="1:4" x14ac:dyDescent="0.3">
      <c r="A1981" t="s">
        <v>8</v>
      </c>
      <c r="B1981" s="1">
        <v>45312.458333333336</v>
      </c>
      <c r="C1981">
        <v>772.74066103125404</v>
      </c>
      <c r="D1981">
        <v>772.74066103125404</v>
      </c>
    </row>
    <row r="1982" spans="1:4" x14ac:dyDescent="0.3">
      <c r="A1982" t="s">
        <v>8</v>
      </c>
      <c r="B1982" s="1">
        <v>45312.5</v>
      </c>
      <c r="C1982">
        <v>800</v>
      </c>
      <c r="D1982">
        <v>800</v>
      </c>
    </row>
    <row r="1983" spans="1:4" x14ac:dyDescent="0.3">
      <c r="A1983" t="s">
        <v>8</v>
      </c>
      <c r="B1983" s="1">
        <v>45312.541666666664</v>
      </c>
      <c r="C1983">
        <v>772.74066103125404</v>
      </c>
      <c r="D1983">
        <v>772.74066103125404</v>
      </c>
    </row>
    <row r="1984" spans="1:4" x14ac:dyDescent="0.3">
      <c r="A1984" t="s">
        <v>8</v>
      </c>
      <c r="B1984" s="1">
        <v>45312.583333333336</v>
      </c>
      <c r="C1984">
        <v>692.82032302755101</v>
      </c>
      <c r="D1984">
        <v>692.82032302755101</v>
      </c>
    </row>
    <row r="1985" spans="1:4" x14ac:dyDescent="0.3">
      <c r="A1985" t="s">
        <v>8</v>
      </c>
      <c r="B1985" s="1">
        <v>45312.625</v>
      </c>
      <c r="C1985">
        <v>565.68542494923804</v>
      </c>
      <c r="D1985">
        <v>565.68542494923804</v>
      </c>
    </row>
    <row r="1986" spans="1:4" x14ac:dyDescent="0.3">
      <c r="A1986" t="s">
        <v>8</v>
      </c>
      <c r="B1986" s="1">
        <v>45312.666666666664</v>
      </c>
      <c r="C1986">
        <v>399.99999999999898</v>
      </c>
      <c r="D1986">
        <v>399.99999999999898</v>
      </c>
    </row>
    <row r="1987" spans="1:4" x14ac:dyDescent="0.3">
      <c r="A1987" t="s">
        <v>8</v>
      </c>
      <c r="B1987" s="1">
        <v>45312.708333333336</v>
      </c>
      <c r="C1987">
        <v>207.05523608201599</v>
      </c>
      <c r="D1987">
        <v>207.05523608201599</v>
      </c>
    </row>
    <row r="1988" spans="1:4" x14ac:dyDescent="0.3">
      <c r="A1988" t="s">
        <v>8</v>
      </c>
      <c r="B1988" s="1">
        <v>45312.75</v>
      </c>
      <c r="C1988" s="2">
        <v>9.7971743931788194E-14</v>
      </c>
      <c r="D1988" s="2">
        <v>9.7971743931788194E-14</v>
      </c>
    </row>
    <row r="1989" spans="1:4" x14ac:dyDescent="0.3">
      <c r="A1989" t="s">
        <v>8</v>
      </c>
      <c r="B1989" s="1">
        <v>45312.791666666664</v>
      </c>
      <c r="C1989">
        <v>0</v>
      </c>
      <c r="D1989">
        <v>0</v>
      </c>
    </row>
    <row r="1990" spans="1:4" x14ac:dyDescent="0.3">
      <c r="A1990" t="s">
        <v>8</v>
      </c>
      <c r="B1990" s="1">
        <v>45312.833333333336</v>
      </c>
      <c r="C1990">
        <v>0</v>
      </c>
      <c r="D1990">
        <v>0</v>
      </c>
    </row>
    <row r="1991" spans="1:4" x14ac:dyDescent="0.3">
      <c r="A1991" t="s">
        <v>8</v>
      </c>
      <c r="B1991" s="1">
        <v>45312.875</v>
      </c>
      <c r="C1991">
        <v>0</v>
      </c>
      <c r="D1991">
        <v>0</v>
      </c>
    </row>
    <row r="1992" spans="1:4" x14ac:dyDescent="0.3">
      <c r="A1992" t="s">
        <v>8</v>
      </c>
      <c r="B1992" s="1">
        <v>45312.916666666664</v>
      </c>
      <c r="C1992">
        <v>0</v>
      </c>
      <c r="D1992">
        <v>0</v>
      </c>
    </row>
    <row r="1993" spans="1:4" x14ac:dyDescent="0.3">
      <c r="A1993" t="s">
        <v>8</v>
      </c>
      <c r="B1993" s="1">
        <v>45312.958333333336</v>
      </c>
      <c r="C1993">
        <v>0</v>
      </c>
      <c r="D1993">
        <v>0</v>
      </c>
    </row>
    <row r="1994" spans="1:4" x14ac:dyDescent="0.3">
      <c r="A1994" t="s">
        <v>8</v>
      </c>
      <c r="B1994" s="1">
        <v>45313</v>
      </c>
      <c r="C1994">
        <v>0</v>
      </c>
      <c r="D1994">
        <v>0</v>
      </c>
    </row>
    <row r="1995" spans="1:4" x14ac:dyDescent="0.3">
      <c r="A1995" t="s">
        <v>8</v>
      </c>
      <c r="B1995" s="1">
        <v>45313.041666666664</v>
      </c>
      <c r="C1995">
        <v>0</v>
      </c>
      <c r="D1995">
        <v>0</v>
      </c>
    </row>
    <row r="1996" spans="1:4" x14ac:dyDescent="0.3">
      <c r="A1996" t="s">
        <v>8</v>
      </c>
      <c r="B1996" s="1">
        <v>45313.083333333336</v>
      </c>
      <c r="C1996">
        <v>0</v>
      </c>
      <c r="D1996">
        <v>0</v>
      </c>
    </row>
    <row r="1997" spans="1:4" x14ac:dyDescent="0.3">
      <c r="A1997" t="s">
        <v>8</v>
      </c>
      <c r="B1997" s="1">
        <v>45313.125</v>
      </c>
      <c r="C1997">
        <v>0</v>
      </c>
      <c r="D1997">
        <v>0</v>
      </c>
    </row>
    <row r="1998" spans="1:4" x14ac:dyDescent="0.3">
      <c r="A1998" t="s">
        <v>8</v>
      </c>
      <c r="B1998" s="1">
        <v>45313.166666666664</v>
      </c>
      <c r="C1998">
        <v>0</v>
      </c>
      <c r="D1998">
        <v>0</v>
      </c>
    </row>
    <row r="1999" spans="1:4" x14ac:dyDescent="0.3">
      <c r="A1999" t="s">
        <v>8</v>
      </c>
      <c r="B1999" s="1">
        <v>45313.208333333336</v>
      </c>
      <c r="C1999">
        <v>0</v>
      </c>
      <c r="D1999">
        <v>0</v>
      </c>
    </row>
    <row r="2000" spans="1:4" x14ac:dyDescent="0.3">
      <c r="A2000" t="s">
        <v>8</v>
      </c>
      <c r="B2000" s="1">
        <v>45313.25</v>
      </c>
      <c r="C2000">
        <v>0</v>
      </c>
      <c r="D2000">
        <v>0</v>
      </c>
    </row>
    <row r="2001" spans="1:4" x14ac:dyDescent="0.3">
      <c r="A2001" t="s">
        <v>8</v>
      </c>
      <c r="B2001" s="1">
        <v>45313.291666666664</v>
      </c>
      <c r="C2001">
        <v>207.05523608201599</v>
      </c>
      <c r="D2001">
        <v>207.05523608201599</v>
      </c>
    </row>
    <row r="2002" spans="1:4" x14ac:dyDescent="0.3">
      <c r="A2002" t="s">
        <v>8</v>
      </c>
      <c r="B2002" s="1">
        <v>45313.333333333336</v>
      </c>
      <c r="C2002">
        <v>399.99999999999898</v>
      </c>
      <c r="D2002">
        <v>399.99999999999898</v>
      </c>
    </row>
    <row r="2003" spans="1:4" x14ac:dyDescent="0.3">
      <c r="A2003" t="s">
        <v>8</v>
      </c>
      <c r="B2003" s="1">
        <v>45313.375</v>
      </c>
      <c r="C2003">
        <v>565.68542494923804</v>
      </c>
      <c r="D2003">
        <v>565.68542494923804</v>
      </c>
    </row>
    <row r="2004" spans="1:4" x14ac:dyDescent="0.3">
      <c r="A2004" t="s">
        <v>8</v>
      </c>
      <c r="B2004" s="1">
        <v>45313.416666666664</v>
      </c>
      <c r="C2004">
        <v>692.82032302754999</v>
      </c>
      <c r="D2004">
        <v>692.82032302754999</v>
      </c>
    </row>
    <row r="2005" spans="1:4" x14ac:dyDescent="0.3">
      <c r="A2005" t="s">
        <v>8</v>
      </c>
      <c r="B2005" s="1">
        <v>45313.458333333336</v>
      </c>
      <c r="C2005">
        <v>772.74066103125404</v>
      </c>
      <c r="D2005">
        <v>772.74066103125404</v>
      </c>
    </row>
    <row r="2006" spans="1:4" x14ac:dyDescent="0.3">
      <c r="A2006" t="s">
        <v>8</v>
      </c>
      <c r="B2006" s="1">
        <v>45313.5</v>
      </c>
      <c r="C2006">
        <v>800</v>
      </c>
      <c r="D2006">
        <v>800</v>
      </c>
    </row>
    <row r="2007" spans="1:4" x14ac:dyDescent="0.3">
      <c r="A2007" t="s">
        <v>8</v>
      </c>
      <c r="B2007" s="1">
        <v>45313.541666666664</v>
      </c>
      <c r="C2007">
        <v>772.74066103125404</v>
      </c>
      <c r="D2007">
        <v>772.74066103125404</v>
      </c>
    </row>
    <row r="2008" spans="1:4" x14ac:dyDescent="0.3">
      <c r="A2008" t="s">
        <v>8</v>
      </c>
      <c r="B2008" s="1">
        <v>45313.583333333336</v>
      </c>
      <c r="C2008">
        <v>692.82032302755101</v>
      </c>
      <c r="D2008">
        <v>692.82032302755101</v>
      </c>
    </row>
    <row r="2009" spans="1:4" x14ac:dyDescent="0.3">
      <c r="A2009" t="s">
        <v>8</v>
      </c>
      <c r="B2009" s="1">
        <v>45313.625</v>
      </c>
      <c r="C2009">
        <v>565.68542494923804</v>
      </c>
      <c r="D2009">
        <v>565.68542494923804</v>
      </c>
    </row>
    <row r="2010" spans="1:4" x14ac:dyDescent="0.3">
      <c r="A2010" t="s">
        <v>8</v>
      </c>
      <c r="B2010" s="1">
        <v>45313.666666666664</v>
      </c>
      <c r="C2010">
        <v>399.99999999999898</v>
      </c>
      <c r="D2010">
        <v>399.99999999999898</v>
      </c>
    </row>
    <row r="2011" spans="1:4" x14ac:dyDescent="0.3">
      <c r="A2011" t="s">
        <v>8</v>
      </c>
      <c r="B2011" s="1">
        <v>45313.708333333336</v>
      </c>
      <c r="C2011">
        <v>207.05523608201599</v>
      </c>
      <c r="D2011">
        <v>207.05523608201599</v>
      </c>
    </row>
    <row r="2012" spans="1:4" x14ac:dyDescent="0.3">
      <c r="A2012" t="s">
        <v>8</v>
      </c>
      <c r="B2012" s="1">
        <v>45313.75</v>
      </c>
      <c r="C2012" s="2">
        <v>9.7971743931788194E-14</v>
      </c>
      <c r="D2012" s="2">
        <v>9.7971743931788194E-14</v>
      </c>
    </row>
    <row r="2013" spans="1:4" x14ac:dyDescent="0.3">
      <c r="A2013" t="s">
        <v>8</v>
      </c>
      <c r="B2013" s="1">
        <v>45313.791666666664</v>
      </c>
      <c r="C2013">
        <v>0</v>
      </c>
      <c r="D2013">
        <v>0</v>
      </c>
    </row>
    <row r="2014" spans="1:4" x14ac:dyDescent="0.3">
      <c r="A2014" t="s">
        <v>8</v>
      </c>
      <c r="B2014" s="1">
        <v>45313.833333333336</v>
      </c>
      <c r="C2014">
        <v>0</v>
      </c>
      <c r="D2014">
        <v>0</v>
      </c>
    </row>
    <row r="2015" spans="1:4" x14ac:dyDescent="0.3">
      <c r="A2015" t="s">
        <v>8</v>
      </c>
      <c r="B2015" s="1">
        <v>45313.875</v>
      </c>
      <c r="C2015">
        <v>0</v>
      </c>
      <c r="D2015">
        <v>0</v>
      </c>
    </row>
    <row r="2016" spans="1:4" x14ac:dyDescent="0.3">
      <c r="A2016" t="s">
        <v>8</v>
      </c>
      <c r="B2016" s="1">
        <v>45313.916666666664</v>
      </c>
      <c r="C2016">
        <v>0</v>
      </c>
      <c r="D2016">
        <v>0</v>
      </c>
    </row>
    <row r="2017" spans="1:4" x14ac:dyDescent="0.3">
      <c r="A2017" t="s">
        <v>8</v>
      </c>
      <c r="B2017" s="1">
        <v>45313.958333333336</v>
      </c>
      <c r="C2017">
        <v>0</v>
      </c>
      <c r="D2017">
        <v>0</v>
      </c>
    </row>
    <row r="2018" spans="1:4" x14ac:dyDescent="0.3">
      <c r="A2018" t="s">
        <v>8</v>
      </c>
      <c r="B2018" s="1">
        <v>45314</v>
      </c>
      <c r="C2018">
        <v>0</v>
      </c>
      <c r="D2018">
        <v>0</v>
      </c>
    </row>
    <row r="2019" spans="1:4" x14ac:dyDescent="0.3">
      <c r="A2019" t="s">
        <v>8</v>
      </c>
      <c r="B2019" s="1">
        <v>45314.041666666664</v>
      </c>
      <c r="C2019">
        <v>0</v>
      </c>
      <c r="D2019">
        <v>0</v>
      </c>
    </row>
    <row r="2020" spans="1:4" x14ac:dyDescent="0.3">
      <c r="A2020" t="s">
        <v>8</v>
      </c>
      <c r="B2020" s="1">
        <v>45314.083333333336</v>
      </c>
      <c r="C2020">
        <v>0</v>
      </c>
      <c r="D2020">
        <v>0</v>
      </c>
    </row>
    <row r="2021" spans="1:4" x14ac:dyDescent="0.3">
      <c r="A2021" t="s">
        <v>8</v>
      </c>
      <c r="B2021" s="1">
        <v>45314.125</v>
      </c>
      <c r="C2021">
        <v>0</v>
      </c>
      <c r="D2021">
        <v>0</v>
      </c>
    </row>
    <row r="2022" spans="1:4" x14ac:dyDescent="0.3">
      <c r="A2022" t="s">
        <v>8</v>
      </c>
      <c r="B2022" s="1">
        <v>45314.166666666664</v>
      </c>
      <c r="C2022">
        <v>0</v>
      </c>
      <c r="D2022">
        <v>0</v>
      </c>
    </row>
    <row r="2023" spans="1:4" x14ac:dyDescent="0.3">
      <c r="A2023" t="s">
        <v>8</v>
      </c>
      <c r="B2023" s="1">
        <v>45314.208333333336</v>
      </c>
      <c r="C2023">
        <v>0</v>
      </c>
      <c r="D2023">
        <v>0</v>
      </c>
    </row>
    <row r="2024" spans="1:4" x14ac:dyDescent="0.3">
      <c r="A2024" t="s">
        <v>8</v>
      </c>
      <c r="B2024" s="1">
        <v>45314.25</v>
      </c>
      <c r="C2024">
        <v>0</v>
      </c>
      <c r="D2024">
        <v>0</v>
      </c>
    </row>
    <row r="2025" spans="1:4" x14ac:dyDescent="0.3">
      <c r="A2025" t="s">
        <v>8</v>
      </c>
      <c r="B2025" s="1">
        <v>45314.291666666664</v>
      </c>
      <c r="C2025">
        <v>207.05523608201599</v>
      </c>
      <c r="D2025">
        <v>207.05523608201599</v>
      </c>
    </row>
    <row r="2026" spans="1:4" x14ac:dyDescent="0.3">
      <c r="A2026" t="s">
        <v>8</v>
      </c>
      <c r="B2026" s="1">
        <v>45314.333333333336</v>
      </c>
      <c r="C2026">
        <v>399.99999999999898</v>
      </c>
      <c r="D2026">
        <v>399.99999999999898</v>
      </c>
    </row>
    <row r="2027" spans="1:4" x14ac:dyDescent="0.3">
      <c r="A2027" t="s">
        <v>8</v>
      </c>
      <c r="B2027" s="1">
        <v>45314.375</v>
      </c>
      <c r="C2027">
        <v>565.68542494923804</v>
      </c>
      <c r="D2027">
        <v>565.68542494923804</v>
      </c>
    </row>
    <row r="2028" spans="1:4" x14ac:dyDescent="0.3">
      <c r="A2028" t="s">
        <v>8</v>
      </c>
      <c r="B2028" s="1">
        <v>45314.416666666664</v>
      </c>
      <c r="C2028">
        <v>692.82032302754999</v>
      </c>
      <c r="D2028">
        <v>692.82032302754999</v>
      </c>
    </row>
    <row r="2029" spans="1:4" x14ac:dyDescent="0.3">
      <c r="A2029" t="s">
        <v>8</v>
      </c>
      <c r="B2029" s="1">
        <v>45314.458333333336</v>
      </c>
      <c r="C2029">
        <v>772.74066103125404</v>
      </c>
      <c r="D2029">
        <v>772.74066103125404</v>
      </c>
    </row>
    <row r="2030" spans="1:4" x14ac:dyDescent="0.3">
      <c r="A2030" t="s">
        <v>8</v>
      </c>
      <c r="B2030" s="1">
        <v>45314.5</v>
      </c>
      <c r="C2030">
        <v>800</v>
      </c>
      <c r="D2030">
        <v>800</v>
      </c>
    </row>
    <row r="2031" spans="1:4" x14ac:dyDescent="0.3">
      <c r="A2031" t="s">
        <v>8</v>
      </c>
      <c r="B2031" s="1">
        <v>45314.541666666664</v>
      </c>
      <c r="C2031">
        <v>772.74066103125404</v>
      </c>
      <c r="D2031">
        <v>772.74066103125404</v>
      </c>
    </row>
    <row r="2032" spans="1:4" x14ac:dyDescent="0.3">
      <c r="A2032" t="s">
        <v>8</v>
      </c>
      <c r="B2032" s="1">
        <v>45314.583333333336</v>
      </c>
      <c r="C2032">
        <v>692.82032302755101</v>
      </c>
      <c r="D2032">
        <v>692.82032302755101</v>
      </c>
    </row>
    <row r="2033" spans="1:4" x14ac:dyDescent="0.3">
      <c r="A2033" t="s">
        <v>8</v>
      </c>
      <c r="B2033" s="1">
        <v>45314.625</v>
      </c>
      <c r="C2033">
        <v>565.68542494923804</v>
      </c>
      <c r="D2033">
        <v>565.68542494923804</v>
      </c>
    </row>
    <row r="2034" spans="1:4" x14ac:dyDescent="0.3">
      <c r="A2034" t="s">
        <v>8</v>
      </c>
      <c r="B2034" s="1">
        <v>45314.666666666664</v>
      </c>
      <c r="C2034">
        <v>399.99999999999898</v>
      </c>
      <c r="D2034">
        <v>399.99999999999898</v>
      </c>
    </row>
    <row r="2035" spans="1:4" x14ac:dyDescent="0.3">
      <c r="A2035" t="s">
        <v>8</v>
      </c>
      <c r="B2035" s="1">
        <v>45314.708333333336</v>
      </c>
      <c r="C2035">
        <v>207.05523608201599</v>
      </c>
      <c r="D2035">
        <v>207.05523608201599</v>
      </c>
    </row>
    <row r="2036" spans="1:4" x14ac:dyDescent="0.3">
      <c r="A2036" t="s">
        <v>8</v>
      </c>
      <c r="B2036" s="1">
        <v>45314.75</v>
      </c>
      <c r="C2036" s="2">
        <v>9.7971743931788194E-14</v>
      </c>
      <c r="D2036" s="2">
        <v>9.7971743931788194E-14</v>
      </c>
    </row>
    <row r="2037" spans="1:4" x14ac:dyDescent="0.3">
      <c r="A2037" t="s">
        <v>8</v>
      </c>
      <c r="B2037" s="1">
        <v>45314.791666666664</v>
      </c>
      <c r="C2037">
        <v>0</v>
      </c>
      <c r="D2037">
        <v>0</v>
      </c>
    </row>
    <row r="2038" spans="1:4" x14ac:dyDescent="0.3">
      <c r="A2038" t="s">
        <v>8</v>
      </c>
      <c r="B2038" s="1">
        <v>45314.833333333336</v>
      </c>
      <c r="C2038">
        <v>0</v>
      </c>
      <c r="D2038">
        <v>0</v>
      </c>
    </row>
    <row r="2039" spans="1:4" x14ac:dyDescent="0.3">
      <c r="A2039" t="s">
        <v>8</v>
      </c>
      <c r="B2039" s="1">
        <v>45314.875</v>
      </c>
      <c r="C2039">
        <v>0</v>
      </c>
      <c r="D2039">
        <v>0</v>
      </c>
    </row>
    <row r="2040" spans="1:4" x14ac:dyDescent="0.3">
      <c r="A2040" t="s">
        <v>8</v>
      </c>
      <c r="B2040" s="1">
        <v>45314.916666666664</v>
      </c>
      <c r="C2040">
        <v>0</v>
      </c>
      <c r="D2040">
        <v>0</v>
      </c>
    </row>
    <row r="2041" spans="1:4" x14ac:dyDescent="0.3">
      <c r="A2041" t="s">
        <v>8</v>
      </c>
      <c r="B2041" s="1">
        <v>45314.958333333336</v>
      </c>
      <c r="C2041">
        <v>0</v>
      </c>
      <c r="D2041">
        <v>0</v>
      </c>
    </row>
    <row r="2042" spans="1:4" x14ac:dyDescent="0.3">
      <c r="A2042" t="s">
        <v>8</v>
      </c>
      <c r="B2042" s="1">
        <v>45315</v>
      </c>
      <c r="C2042">
        <v>0</v>
      </c>
      <c r="D2042">
        <v>0</v>
      </c>
    </row>
    <row r="2043" spans="1:4" x14ac:dyDescent="0.3">
      <c r="A2043" t="s">
        <v>8</v>
      </c>
      <c r="B2043" s="1">
        <v>45315.041666666664</v>
      </c>
      <c r="C2043">
        <v>0</v>
      </c>
      <c r="D2043">
        <v>0</v>
      </c>
    </row>
    <row r="2044" spans="1:4" x14ac:dyDescent="0.3">
      <c r="A2044" t="s">
        <v>8</v>
      </c>
      <c r="B2044" s="1">
        <v>45315.083333333336</v>
      </c>
      <c r="C2044">
        <v>0</v>
      </c>
      <c r="D2044">
        <v>0</v>
      </c>
    </row>
    <row r="2045" spans="1:4" x14ac:dyDescent="0.3">
      <c r="A2045" t="s">
        <v>8</v>
      </c>
      <c r="B2045" s="1">
        <v>45315.125</v>
      </c>
      <c r="C2045">
        <v>0</v>
      </c>
      <c r="D2045">
        <v>0</v>
      </c>
    </row>
    <row r="2046" spans="1:4" x14ac:dyDescent="0.3">
      <c r="A2046" t="s">
        <v>8</v>
      </c>
      <c r="B2046" s="1">
        <v>45315.166666666664</v>
      </c>
      <c r="C2046">
        <v>0</v>
      </c>
      <c r="D2046">
        <v>0</v>
      </c>
    </row>
    <row r="2047" spans="1:4" x14ac:dyDescent="0.3">
      <c r="A2047" t="s">
        <v>8</v>
      </c>
      <c r="B2047" s="1">
        <v>45315.208333333336</v>
      </c>
      <c r="C2047">
        <v>0</v>
      </c>
      <c r="D2047">
        <v>0</v>
      </c>
    </row>
    <row r="2048" spans="1:4" x14ac:dyDescent="0.3">
      <c r="A2048" t="s">
        <v>8</v>
      </c>
      <c r="B2048" s="1">
        <v>45315.25</v>
      </c>
      <c r="C2048">
        <v>0</v>
      </c>
      <c r="D2048">
        <v>0</v>
      </c>
    </row>
    <row r="2049" spans="1:4" x14ac:dyDescent="0.3">
      <c r="A2049" t="s">
        <v>8</v>
      </c>
      <c r="B2049" s="1">
        <v>45315.291666666664</v>
      </c>
      <c r="C2049">
        <v>207.05523608201599</v>
      </c>
      <c r="D2049">
        <v>207.05523608201599</v>
      </c>
    </row>
    <row r="2050" spans="1:4" x14ac:dyDescent="0.3">
      <c r="A2050" t="s">
        <v>8</v>
      </c>
      <c r="B2050" s="1">
        <v>45315.333333333336</v>
      </c>
      <c r="C2050">
        <v>399.99999999999898</v>
      </c>
      <c r="D2050">
        <v>399.99999999999898</v>
      </c>
    </row>
    <row r="2051" spans="1:4" x14ac:dyDescent="0.3">
      <c r="A2051" t="s">
        <v>8</v>
      </c>
      <c r="B2051" s="1">
        <v>45315.375</v>
      </c>
      <c r="C2051">
        <v>565.68542494923804</v>
      </c>
      <c r="D2051">
        <v>565.68542494923804</v>
      </c>
    </row>
    <row r="2052" spans="1:4" x14ac:dyDescent="0.3">
      <c r="A2052" t="s">
        <v>8</v>
      </c>
      <c r="B2052" s="1">
        <v>45315.416666666664</v>
      </c>
      <c r="C2052">
        <v>692.82032302754999</v>
      </c>
      <c r="D2052">
        <v>692.82032302754999</v>
      </c>
    </row>
    <row r="2053" spans="1:4" x14ac:dyDescent="0.3">
      <c r="A2053" t="s">
        <v>8</v>
      </c>
      <c r="B2053" s="1">
        <v>45315.458333333336</v>
      </c>
      <c r="C2053">
        <v>772.74066103125404</v>
      </c>
      <c r="D2053">
        <v>772.74066103125404</v>
      </c>
    </row>
    <row r="2054" spans="1:4" x14ac:dyDescent="0.3">
      <c r="A2054" t="s">
        <v>8</v>
      </c>
      <c r="B2054" s="1">
        <v>45315.5</v>
      </c>
      <c r="C2054">
        <v>800</v>
      </c>
      <c r="D2054">
        <v>800</v>
      </c>
    </row>
    <row r="2055" spans="1:4" x14ac:dyDescent="0.3">
      <c r="A2055" t="s">
        <v>8</v>
      </c>
      <c r="B2055" s="1">
        <v>45315.541666666664</v>
      </c>
      <c r="C2055">
        <v>772.74066103125404</v>
      </c>
      <c r="D2055">
        <v>772.74066103125404</v>
      </c>
    </row>
    <row r="2056" spans="1:4" x14ac:dyDescent="0.3">
      <c r="A2056" t="s">
        <v>8</v>
      </c>
      <c r="B2056" s="1">
        <v>45315.583333333336</v>
      </c>
      <c r="C2056">
        <v>692.82032302755101</v>
      </c>
      <c r="D2056">
        <v>692.82032302755101</v>
      </c>
    </row>
    <row r="2057" spans="1:4" x14ac:dyDescent="0.3">
      <c r="A2057" t="s">
        <v>8</v>
      </c>
      <c r="B2057" s="1">
        <v>45315.625</v>
      </c>
      <c r="C2057">
        <v>565.68542494923804</v>
      </c>
      <c r="D2057">
        <v>565.68542494923804</v>
      </c>
    </row>
    <row r="2058" spans="1:4" x14ac:dyDescent="0.3">
      <c r="A2058" t="s">
        <v>8</v>
      </c>
      <c r="B2058" s="1">
        <v>45315.666666666664</v>
      </c>
      <c r="C2058">
        <v>399.99999999999898</v>
      </c>
      <c r="D2058">
        <v>399.99999999999898</v>
      </c>
    </row>
    <row r="2059" spans="1:4" x14ac:dyDescent="0.3">
      <c r="A2059" t="s">
        <v>8</v>
      </c>
      <c r="B2059" s="1">
        <v>45315.708333333336</v>
      </c>
      <c r="C2059">
        <v>207.05523608201599</v>
      </c>
      <c r="D2059">
        <v>207.05523608201599</v>
      </c>
    </row>
    <row r="2060" spans="1:4" x14ac:dyDescent="0.3">
      <c r="A2060" t="s">
        <v>8</v>
      </c>
      <c r="B2060" s="1">
        <v>45315.75</v>
      </c>
      <c r="C2060" s="2">
        <v>9.7971743931788194E-14</v>
      </c>
      <c r="D2060" s="2">
        <v>9.7971743931788194E-14</v>
      </c>
    </row>
    <row r="2061" spans="1:4" x14ac:dyDescent="0.3">
      <c r="A2061" t="s">
        <v>8</v>
      </c>
      <c r="B2061" s="1">
        <v>45315.791666666664</v>
      </c>
      <c r="C2061">
        <v>0</v>
      </c>
      <c r="D2061">
        <v>0</v>
      </c>
    </row>
    <row r="2062" spans="1:4" x14ac:dyDescent="0.3">
      <c r="A2062" t="s">
        <v>8</v>
      </c>
      <c r="B2062" s="1">
        <v>45315.833333333336</v>
      </c>
      <c r="C2062">
        <v>0</v>
      </c>
      <c r="D2062">
        <v>0</v>
      </c>
    </row>
    <row r="2063" spans="1:4" x14ac:dyDescent="0.3">
      <c r="A2063" t="s">
        <v>8</v>
      </c>
      <c r="B2063" s="1">
        <v>45315.875</v>
      </c>
      <c r="C2063">
        <v>0</v>
      </c>
      <c r="D2063">
        <v>0</v>
      </c>
    </row>
    <row r="2064" spans="1:4" x14ac:dyDescent="0.3">
      <c r="A2064" t="s">
        <v>8</v>
      </c>
      <c r="B2064" s="1">
        <v>45315.916666666664</v>
      </c>
      <c r="C2064">
        <v>0</v>
      </c>
      <c r="D2064">
        <v>0</v>
      </c>
    </row>
    <row r="2065" spans="1:4" x14ac:dyDescent="0.3">
      <c r="A2065" t="s">
        <v>8</v>
      </c>
      <c r="B2065" s="1">
        <v>45315.958333333336</v>
      </c>
      <c r="C2065">
        <v>0</v>
      </c>
      <c r="D2065">
        <v>0</v>
      </c>
    </row>
    <row r="2066" spans="1:4" x14ac:dyDescent="0.3">
      <c r="A2066" t="s">
        <v>8</v>
      </c>
      <c r="B2066" s="1">
        <v>45316</v>
      </c>
      <c r="C2066">
        <v>0</v>
      </c>
      <c r="D2066">
        <v>0</v>
      </c>
    </row>
    <row r="2067" spans="1:4" x14ac:dyDescent="0.3">
      <c r="A2067" t="s">
        <v>8</v>
      </c>
      <c r="B2067" s="1">
        <v>45316.041666666664</v>
      </c>
      <c r="C2067">
        <v>0</v>
      </c>
      <c r="D2067">
        <v>0</v>
      </c>
    </row>
    <row r="2068" spans="1:4" x14ac:dyDescent="0.3">
      <c r="A2068" t="s">
        <v>8</v>
      </c>
      <c r="B2068" s="1">
        <v>45316.083333333336</v>
      </c>
      <c r="C2068">
        <v>0</v>
      </c>
      <c r="D2068">
        <v>0</v>
      </c>
    </row>
    <row r="2069" spans="1:4" x14ac:dyDescent="0.3">
      <c r="A2069" t="s">
        <v>8</v>
      </c>
      <c r="B2069" s="1">
        <v>45316.125</v>
      </c>
      <c r="C2069">
        <v>0</v>
      </c>
      <c r="D2069">
        <v>0</v>
      </c>
    </row>
    <row r="2070" spans="1:4" x14ac:dyDescent="0.3">
      <c r="A2070" t="s">
        <v>8</v>
      </c>
      <c r="B2070" s="1">
        <v>45316.166666666664</v>
      </c>
      <c r="C2070">
        <v>0</v>
      </c>
      <c r="D2070">
        <v>0</v>
      </c>
    </row>
    <row r="2071" spans="1:4" x14ac:dyDescent="0.3">
      <c r="A2071" t="s">
        <v>8</v>
      </c>
      <c r="B2071" s="1">
        <v>45316.208333333336</v>
      </c>
      <c r="C2071">
        <v>0</v>
      </c>
      <c r="D2071">
        <v>0</v>
      </c>
    </row>
    <row r="2072" spans="1:4" x14ac:dyDescent="0.3">
      <c r="A2072" t="s">
        <v>8</v>
      </c>
      <c r="B2072" s="1">
        <v>45316.25</v>
      </c>
      <c r="C2072">
        <v>0</v>
      </c>
      <c r="D2072">
        <v>0</v>
      </c>
    </row>
    <row r="2073" spans="1:4" x14ac:dyDescent="0.3">
      <c r="A2073" t="s">
        <v>8</v>
      </c>
      <c r="B2073" s="1">
        <v>45316.291666666664</v>
      </c>
      <c r="C2073">
        <v>207.05523608201599</v>
      </c>
      <c r="D2073">
        <v>207.05523608201599</v>
      </c>
    </row>
    <row r="2074" spans="1:4" x14ac:dyDescent="0.3">
      <c r="A2074" t="s">
        <v>8</v>
      </c>
      <c r="B2074" s="1">
        <v>45316.333333333336</v>
      </c>
      <c r="C2074">
        <v>399.99999999999898</v>
      </c>
      <c r="D2074">
        <v>399.99999999999898</v>
      </c>
    </row>
    <row r="2075" spans="1:4" x14ac:dyDescent="0.3">
      <c r="A2075" t="s">
        <v>8</v>
      </c>
      <c r="B2075" s="1">
        <v>45316.375</v>
      </c>
      <c r="C2075">
        <v>565.68542494923804</v>
      </c>
      <c r="D2075">
        <v>565.68542494923804</v>
      </c>
    </row>
    <row r="2076" spans="1:4" x14ac:dyDescent="0.3">
      <c r="A2076" t="s">
        <v>8</v>
      </c>
      <c r="B2076" s="1">
        <v>45316.416666666664</v>
      </c>
      <c r="C2076">
        <v>692.82032302754999</v>
      </c>
      <c r="D2076">
        <v>692.82032302754999</v>
      </c>
    </row>
    <row r="2077" spans="1:4" x14ac:dyDescent="0.3">
      <c r="A2077" t="s">
        <v>8</v>
      </c>
      <c r="B2077" s="1">
        <v>45316.458333333336</v>
      </c>
      <c r="C2077">
        <v>772.74066103125404</v>
      </c>
      <c r="D2077">
        <v>772.74066103125404</v>
      </c>
    </row>
    <row r="2078" spans="1:4" x14ac:dyDescent="0.3">
      <c r="A2078" t="s">
        <v>8</v>
      </c>
      <c r="B2078" s="1">
        <v>45316.5</v>
      </c>
      <c r="C2078">
        <v>800</v>
      </c>
      <c r="D2078">
        <v>800</v>
      </c>
    </row>
    <row r="2079" spans="1:4" x14ac:dyDescent="0.3">
      <c r="A2079" t="s">
        <v>8</v>
      </c>
      <c r="B2079" s="1">
        <v>45316.541666666664</v>
      </c>
      <c r="C2079">
        <v>772.74066103125404</v>
      </c>
      <c r="D2079">
        <v>772.74066103125404</v>
      </c>
    </row>
    <row r="2080" spans="1:4" x14ac:dyDescent="0.3">
      <c r="A2080" t="s">
        <v>8</v>
      </c>
      <c r="B2080" s="1">
        <v>45316.583333333336</v>
      </c>
      <c r="C2080">
        <v>692.82032302755101</v>
      </c>
      <c r="D2080">
        <v>692.82032302755101</v>
      </c>
    </row>
    <row r="2081" spans="1:4" x14ac:dyDescent="0.3">
      <c r="A2081" t="s">
        <v>8</v>
      </c>
      <c r="B2081" s="1">
        <v>45316.625</v>
      </c>
      <c r="C2081">
        <v>565.68542494923804</v>
      </c>
      <c r="D2081">
        <v>565.68542494923804</v>
      </c>
    </row>
    <row r="2082" spans="1:4" x14ac:dyDescent="0.3">
      <c r="A2082" t="s">
        <v>8</v>
      </c>
      <c r="B2082" s="1">
        <v>45316.666666666664</v>
      </c>
      <c r="C2082">
        <v>399.99999999999898</v>
      </c>
      <c r="D2082">
        <v>399.99999999999898</v>
      </c>
    </row>
    <row r="2083" spans="1:4" x14ac:dyDescent="0.3">
      <c r="A2083" t="s">
        <v>8</v>
      </c>
      <c r="B2083" s="1">
        <v>45316.708333333336</v>
      </c>
      <c r="C2083">
        <v>207.05523608201599</v>
      </c>
      <c r="D2083">
        <v>207.05523608201599</v>
      </c>
    </row>
    <row r="2084" spans="1:4" x14ac:dyDescent="0.3">
      <c r="A2084" t="s">
        <v>8</v>
      </c>
      <c r="B2084" s="1">
        <v>45316.75</v>
      </c>
      <c r="C2084" s="2">
        <v>9.7971743931788194E-14</v>
      </c>
      <c r="D2084" s="2">
        <v>9.7971743931788194E-14</v>
      </c>
    </row>
    <row r="2085" spans="1:4" x14ac:dyDescent="0.3">
      <c r="A2085" t="s">
        <v>8</v>
      </c>
      <c r="B2085" s="1">
        <v>45316.791666666664</v>
      </c>
      <c r="C2085">
        <v>0</v>
      </c>
      <c r="D2085">
        <v>0</v>
      </c>
    </row>
    <row r="2086" spans="1:4" x14ac:dyDescent="0.3">
      <c r="A2086" t="s">
        <v>8</v>
      </c>
      <c r="B2086" s="1">
        <v>45316.833333333336</v>
      </c>
      <c r="C2086">
        <v>0</v>
      </c>
      <c r="D2086">
        <v>0</v>
      </c>
    </row>
    <row r="2087" spans="1:4" x14ac:dyDescent="0.3">
      <c r="A2087" t="s">
        <v>8</v>
      </c>
      <c r="B2087" s="1">
        <v>45316.875</v>
      </c>
      <c r="C2087">
        <v>0</v>
      </c>
      <c r="D2087">
        <v>0</v>
      </c>
    </row>
    <row r="2088" spans="1:4" x14ac:dyDescent="0.3">
      <c r="A2088" t="s">
        <v>8</v>
      </c>
      <c r="B2088" s="1">
        <v>45316.916666666664</v>
      </c>
      <c r="C2088">
        <v>0</v>
      </c>
      <c r="D2088">
        <v>0</v>
      </c>
    </row>
    <row r="2089" spans="1:4" x14ac:dyDescent="0.3">
      <c r="A2089" t="s">
        <v>8</v>
      </c>
      <c r="B2089" s="1">
        <v>45316.958333333336</v>
      </c>
      <c r="C2089">
        <v>0</v>
      </c>
      <c r="D2089">
        <v>0</v>
      </c>
    </row>
    <row r="2090" spans="1:4" x14ac:dyDescent="0.3">
      <c r="A2090" t="s">
        <v>8</v>
      </c>
      <c r="B2090" s="1">
        <v>45317</v>
      </c>
      <c r="C2090">
        <v>0</v>
      </c>
      <c r="D2090">
        <v>0</v>
      </c>
    </row>
    <row r="2091" spans="1:4" x14ac:dyDescent="0.3">
      <c r="A2091" t="s">
        <v>8</v>
      </c>
      <c r="B2091" s="1">
        <v>45317.041666666664</v>
      </c>
      <c r="C2091">
        <v>0</v>
      </c>
      <c r="D2091">
        <v>0</v>
      </c>
    </row>
    <row r="2092" spans="1:4" x14ac:dyDescent="0.3">
      <c r="A2092" t="s">
        <v>8</v>
      </c>
      <c r="B2092" s="1">
        <v>45317.083333333336</v>
      </c>
      <c r="C2092">
        <v>0</v>
      </c>
      <c r="D2092">
        <v>0</v>
      </c>
    </row>
    <row r="2093" spans="1:4" x14ac:dyDescent="0.3">
      <c r="A2093" t="s">
        <v>8</v>
      </c>
      <c r="B2093" s="1">
        <v>45317.125</v>
      </c>
      <c r="C2093">
        <v>0</v>
      </c>
      <c r="D2093">
        <v>0</v>
      </c>
    </row>
    <row r="2094" spans="1:4" x14ac:dyDescent="0.3">
      <c r="A2094" t="s">
        <v>8</v>
      </c>
      <c r="B2094" s="1">
        <v>45317.166666666664</v>
      </c>
      <c r="C2094">
        <v>0</v>
      </c>
      <c r="D2094">
        <v>0</v>
      </c>
    </row>
    <row r="2095" spans="1:4" x14ac:dyDescent="0.3">
      <c r="A2095" t="s">
        <v>8</v>
      </c>
      <c r="B2095" s="1">
        <v>45317.208333333336</v>
      </c>
      <c r="C2095">
        <v>0</v>
      </c>
      <c r="D2095">
        <v>0</v>
      </c>
    </row>
    <row r="2096" spans="1:4" x14ac:dyDescent="0.3">
      <c r="A2096" t="s">
        <v>8</v>
      </c>
      <c r="B2096" s="1">
        <v>45317.25</v>
      </c>
      <c r="C2096">
        <v>0</v>
      </c>
      <c r="D2096">
        <v>0</v>
      </c>
    </row>
    <row r="2097" spans="1:4" x14ac:dyDescent="0.3">
      <c r="A2097" t="s">
        <v>8</v>
      </c>
      <c r="B2097" s="1">
        <v>45317.291666666664</v>
      </c>
      <c r="C2097">
        <v>207.05523608201599</v>
      </c>
      <c r="D2097">
        <v>207.05523608201599</v>
      </c>
    </row>
    <row r="2098" spans="1:4" x14ac:dyDescent="0.3">
      <c r="A2098" t="s">
        <v>8</v>
      </c>
      <c r="B2098" s="1">
        <v>45317.333333333336</v>
      </c>
      <c r="C2098">
        <v>399.99999999999898</v>
      </c>
      <c r="D2098">
        <v>399.99999999999898</v>
      </c>
    </row>
    <row r="2099" spans="1:4" x14ac:dyDescent="0.3">
      <c r="A2099" t="s">
        <v>8</v>
      </c>
      <c r="B2099" s="1">
        <v>45317.375</v>
      </c>
      <c r="C2099">
        <v>565.68542494923804</v>
      </c>
      <c r="D2099">
        <v>565.68542494923804</v>
      </c>
    </row>
    <row r="2100" spans="1:4" x14ac:dyDescent="0.3">
      <c r="A2100" t="s">
        <v>8</v>
      </c>
      <c r="B2100" s="1">
        <v>45317.416666666664</v>
      </c>
      <c r="C2100">
        <v>692.82032302754999</v>
      </c>
      <c r="D2100">
        <v>692.82032302754999</v>
      </c>
    </row>
    <row r="2101" spans="1:4" x14ac:dyDescent="0.3">
      <c r="A2101" t="s">
        <v>8</v>
      </c>
      <c r="B2101" s="1">
        <v>45317.458333333336</v>
      </c>
      <c r="C2101">
        <v>772.74066103125404</v>
      </c>
      <c r="D2101">
        <v>772.74066103125404</v>
      </c>
    </row>
    <row r="2102" spans="1:4" x14ac:dyDescent="0.3">
      <c r="A2102" t="s">
        <v>8</v>
      </c>
      <c r="B2102" s="1">
        <v>45317.5</v>
      </c>
      <c r="C2102">
        <v>800</v>
      </c>
      <c r="D2102">
        <v>800</v>
      </c>
    </row>
    <row r="2103" spans="1:4" x14ac:dyDescent="0.3">
      <c r="A2103" t="s">
        <v>8</v>
      </c>
      <c r="B2103" s="1">
        <v>45317.541666666664</v>
      </c>
      <c r="C2103">
        <v>772.74066103125404</v>
      </c>
      <c r="D2103">
        <v>772.74066103125404</v>
      </c>
    </row>
    <row r="2104" spans="1:4" x14ac:dyDescent="0.3">
      <c r="A2104" t="s">
        <v>8</v>
      </c>
      <c r="B2104" s="1">
        <v>45317.583333333336</v>
      </c>
      <c r="C2104">
        <v>692.82032302755101</v>
      </c>
      <c r="D2104">
        <v>692.82032302755101</v>
      </c>
    </row>
    <row r="2105" spans="1:4" x14ac:dyDescent="0.3">
      <c r="A2105" t="s">
        <v>8</v>
      </c>
      <c r="B2105" s="1">
        <v>45317.625</v>
      </c>
      <c r="C2105">
        <v>565.68542494923804</v>
      </c>
      <c r="D2105">
        <v>565.68542494923804</v>
      </c>
    </row>
    <row r="2106" spans="1:4" x14ac:dyDescent="0.3">
      <c r="A2106" t="s">
        <v>8</v>
      </c>
      <c r="B2106" s="1">
        <v>45317.666666666664</v>
      </c>
      <c r="C2106">
        <v>399.99999999999898</v>
      </c>
      <c r="D2106">
        <v>399.99999999999898</v>
      </c>
    </row>
    <row r="2107" spans="1:4" x14ac:dyDescent="0.3">
      <c r="A2107" t="s">
        <v>8</v>
      </c>
      <c r="B2107" s="1">
        <v>45317.708333333336</v>
      </c>
      <c r="C2107">
        <v>207.05523608201599</v>
      </c>
      <c r="D2107">
        <v>207.05523608201599</v>
      </c>
    </row>
    <row r="2108" spans="1:4" x14ac:dyDescent="0.3">
      <c r="A2108" t="s">
        <v>8</v>
      </c>
      <c r="B2108" s="1">
        <v>45317.75</v>
      </c>
      <c r="C2108" s="2">
        <v>9.7971743931788194E-14</v>
      </c>
      <c r="D2108" s="2">
        <v>9.7971743931788194E-14</v>
      </c>
    </row>
    <row r="2109" spans="1:4" x14ac:dyDescent="0.3">
      <c r="A2109" t="s">
        <v>8</v>
      </c>
      <c r="B2109" s="1">
        <v>45317.791666666664</v>
      </c>
      <c r="C2109">
        <v>0</v>
      </c>
      <c r="D2109">
        <v>0</v>
      </c>
    </row>
    <row r="2110" spans="1:4" x14ac:dyDescent="0.3">
      <c r="A2110" t="s">
        <v>8</v>
      </c>
      <c r="B2110" s="1">
        <v>45317.833333333336</v>
      </c>
      <c r="C2110">
        <v>0</v>
      </c>
      <c r="D2110">
        <v>0</v>
      </c>
    </row>
    <row r="2111" spans="1:4" x14ac:dyDescent="0.3">
      <c r="A2111" t="s">
        <v>8</v>
      </c>
      <c r="B2111" s="1">
        <v>45317.875</v>
      </c>
      <c r="C2111">
        <v>0</v>
      </c>
      <c r="D2111">
        <v>0</v>
      </c>
    </row>
    <row r="2112" spans="1:4" x14ac:dyDescent="0.3">
      <c r="A2112" t="s">
        <v>8</v>
      </c>
      <c r="B2112" s="1">
        <v>45317.916666666664</v>
      </c>
      <c r="C2112">
        <v>0</v>
      </c>
      <c r="D2112">
        <v>0</v>
      </c>
    </row>
    <row r="2113" spans="1:4" x14ac:dyDescent="0.3">
      <c r="A2113" t="s">
        <v>8</v>
      </c>
      <c r="B2113" s="1">
        <v>45317.958333333336</v>
      </c>
      <c r="C2113">
        <v>0</v>
      </c>
      <c r="D2113">
        <v>0</v>
      </c>
    </row>
    <row r="2114" spans="1:4" x14ac:dyDescent="0.3">
      <c r="A2114" t="s">
        <v>8</v>
      </c>
      <c r="B2114" s="1">
        <v>45318</v>
      </c>
      <c r="C2114">
        <v>0</v>
      </c>
      <c r="D2114">
        <v>0</v>
      </c>
    </row>
    <row r="2115" spans="1:4" x14ac:dyDescent="0.3">
      <c r="A2115" t="s">
        <v>8</v>
      </c>
      <c r="B2115" s="1">
        <v>45318.041666666664</v>
      </c>
      <c r="C2115">
        <v>0</v>
      </c>
      <c r="D2115">
        <v>0</v>
      </c>
    </row>
    <row r="2116" spans="1:4" x14ac:dyDescent="0.3">
      <c r="A2116" t="s">
        <v>8</v>
      </c>
      <c r="B2116" s="1">
        <v>45318.083333333336</v>
      </c>
      <c r="C2116">
        <v>0</v>
      </c>
      <c r="D2116">
        <v>0</v>
      </c>
    </row>
    <row r="2117" spans="1:4" x14ac:dyDescent="0.3">
      <c r="A2117" t="s">
        <v>8</v>
      </c>
      <c r="B2117" s="1">
        <v>45318.125</v>
      </c>
      <c r="C2117">
        <v>0</v>
      </c>
      <c r="D2117">
        <v>0</v>
      </c>
    </row>
    <row r="2118" spans="1:4" x14ac:dyDescent="0.3">
      <c r="A2118" t="s">
        <v>8</v>
      </c>
      <c r="B2118" s="1">
        <v>45318.166666666664</v>
      </c>
      <c r="C2118">
        <v>0</v>
      </c>
      <c r="D2118">
        <v>0</v>
      </c>
    </row>
    <row r="2119" spans="1:4" x14ac:dyDescent="0.3">
      <c r="A2119" t="s">
        <v>8</v>
      </c>
      <c r="B2119" s="1">
        <v>45318.208333333336</v>
      </c>
      <c r="C2119">
        <v>0</v>
      </c>
      <c r="D2119">
        <v>0</v>
      </c>
    </row>
    <row r="2120" spans="1:4" x14ac:dyDescent="0.3">
      <c r="A2120" t="s">
        <v>8</v>
      </c>
      <c r="B2120" s="1">
        <v>45318.25</v>
      </c>
      <c r="C2120">
        <v>0</v>
      </c>
      <c r="D2120">
        <v>0</v>
      </c>
    </row>
    <row r="2121" spans="1:4" x14ac:dyDescent="0.3">
      <c r="A2121" t="s">
        <v>8</v>
      </c>
      <c r="B2121" s="1">
        <v>45318.291666666664</v>
      </c>
      <c r="C2121">
        <v>207.05523608201599</v>
      </c>
      <c r="D2121">
        <v>207.05523608201599</v>
      </c>
    </row>
    <row r="2122" spans="1:4" x14ac:dyDescent="0.3">
      <c r="A2122" t="s">
        <v>8</v>
      </c>
      <c r="B2122" s="1">
        <v>45318.333333333336</v>
      </c>
      <c r="C2122">
        <v>399.99999999999898</v>
      </c>
      <c r="D2122">
        <v>399.99999999999898</v>
      </c>
    </row>
    <row r="2123" spans="1:4" x14ac:dyDescent="0.3">
      <c r="A2123" t="s">
        <v>8</v>
      </c>
      <c r="B2123" s="1">
        <v>45318.375</v>
      </c>
      <c r="C2123">
        <v>565.68542494923804</v>
      </c>
      <c r="D2123">
        <v>565.68542494923804</v>
      </c>
    </row>
    <row r="2124" spans="1:4" x14ac:dyDescent="0.3">
      <c r="A2124" t="s">
        <v>8</v>
      </c>
      <c r="B2124" s="1">
        <v>45318.416666666664</v>
      </c>
      <c r="C2124">
        <v>692.82032302754999</v>
      </c>
      <c r="D2124">
        <v>692.82032302754999</v>
      </c>
    </row>
    <row r="2125" spans="1:4" x14ac:dyDescent="0.3">
      <c r="A2125" t="s">
        <v>8</v>
      </c>
      <c r="B2125" s="1">
        <v>45318.458333333336</v>
      </c>
      <c r="C2125">
        <v>772.74066103125404</v>
      </c>
      <c r="D2125">
        <v>772.74066103125404</v>
      </c>
    </row>
    <row r="2126" spans="1:4" x14ac:dyDescent="0.3">
      <c r="A2126" t="s">
        <v>8</v>
      </c>
      <c r="B2126" s="1">
        <v>45318.5</v>
      </c>
      <c r="C2126">
        <v>800</v>
      </c>
      <c r="D2126">
        <v>800</v>
      </c>
    </row>
    <row r="2127" spans="1:4" x14ac:dyDescent="0.3">
      <c r="A2127" t="s">
        <v>8</v>
      </c>
      <c r="B2127" s="1">
        <v>45318.541666666664</v>
      </c>
      <c r="C2127">
        <v>772.74066103125404</v>
      </c>
      <c r="D2127">
        <v>772.74066103125404</v>
      </c>
    </row>
    <row r="2128" spans="1:4" x14ac:dyDescent="0.3">
      <c r="A2128" t="s">
        <v>8</v>
      </c>
      <c r="B2128" s="1">
        <v>45318.583333333336</v>
      </c>
      <c r="C2128">
        <v>692.82032302755101</v>
      </c>
      <c r="D2128">
        <v>692.82032302755101</v>
      </c>
    </row>
    <row r="2129" spans="1:4" x14ac:dyDescent="0.3">
      <c r="A2129" t="s">
        <v>8</v>
      </c>
      <c r="B2129" s="1">
        <v>45318.625</v>
      </c>
      <c r="C2129">
        <v>565.68542494923804</v>
      </c>
      <c r="D2129">
        <v>565.68542494923804</v>
      </c>
    </row>
    <row r="2130" spans="1:4" x14ac:dyDescent="0.3">
      <c r="A2130" t="s">
        <v>8</v>
      </c>
      <c r="B2130" s="1">
        <v>45318.666666666664</v>
      </c>
      <c r="C2130">
        <v>399.99999999999898</v>
      </c>
      <c r="D2130">
        <v>399.99999999999898</v>
      </c>
    </row>
    <row r="2131" spans="1:4" x14ac:dyDescent="0.3">
      <c r="A2131" t="s">
        <v>8</v>
      </c>
      <c r="B2131" s="1">
        <v>45318.708333333336</v>
      </c>
      <c r="C2131">
        <v>207.05523608201599</v>
      </c>
      <c r="D2131">
        <v>207.05523608201599</v>
      </c>
    </row>
    <row r="2132" spans="1:4" x14ac:dyDescent="0.3">
      <c r="A2132" t="s">
        <v>8</v>
      </c>
      <c r="B2132" s="1">
        <v>45318.75</v>
      </c>
      <c r="C2132" s="2">
        <v>9.7971743931788194E-14</v>
      </c>
      <c r="D2132" s="2">
        <v>9.7971743931788194E-14</v>
      </c>
    </row>
    <row r="2133" spans="1:4" x14ac:dyDescent="0.3">
      <c r="A2133" t="s">
        <v>8</v>
      </c>
      <c r="B2133" s="1">
        <v>45318.791666666664</v>
      </c>
      <c r="C2133">
        <v>0</v>
      </c>
      <c r="D2133">
        <v>0</v>
      </c>
    </row>
    <row r="2134" spans="1:4" x14ac:dyDescent="0.3">
      <c r="A2134" t="s">
        <v>8</v>
      </c>
      <c r="B2134" s="1">
        <v>45318.833333333336</v>
      </c>
      <c r="C2134">
        <v>0</v>
      </c>
      <c r="D2134">
        <v>0</v>
      </c>
    </row>
    <row r="2135" spans="1:4" x14ac:dyDescent="0.3">
      <c r="A2135" t="s">
        <v>8</v>
      </c>
      <c r="B2135" s="1">
        <v>45318.875</v>
      </c>
      <c r="C2135">
        <v>0</v>
      </c>
      <c r="D2135">
        <v>0</v>
      </c>
    </row>
    <row r="2136" spans="1:4" x14ac:dyDescent="0.3">
      <c r="A2136" t="s">
        <v>8</v>
      </c>
      <c r="B2136" s="1">
        <v>45318.916666666664</v>
      </c>
      <c r="C2136">
        <v>0</v>
      </c>
      <c r="D2136">
        <v>0</v>
      </c>
    </row>
    <row r="2137" spans="1:4" x14ac:dyDescent="0.3">
      <c r="A2137" t="s">
        <v>8</v>
      </c>
      <c r="B2137" s="1">
        <v>45318.958333333336</v>
      </c>
      <c r="C2137">
        <v>0</v>
      </c>
      <c r="D2137">
        <v>0</v>
      </c>
    </row>
    <row r="2138" spans="1:4" x14ac:dyDescent="0.3">
      <c r="A2138" t="s">
        <v>8</v>
      </c>
      <c r="B2138" s="1">
        <v>45319</v>
      </c>
      <c r="C2138">
        <v>0</v>
      </c>
      <c r="D2138">
        <v>0</v>
      </c>
    </row>
    <row r="2139" spans="1:4" x14ac:dyDescent="0.3">
      <c r="A2139" t="s">
        <v>8</v>
      </c>
      <c r="B2139" s="1">
        <v>45319.041666666664</v>
      </c>
      <c r="C2139">
        <v>0</v>
      </c>
      <c r="D2139">
        <v>0</v>
      </c>
    </row>
    <row r="2140" spans="1:4" x14ac:dyDescent="0.3">
      <c r="A2140" t="s">
        <v>8</v>
      </c>
      <c r="B2140" s="1">
        <v>45319.083333333336</v>
      </c>
      <c r="C2140">
        <v>0</v>
      </c>
      <c r="D2140">
        <v>0</v>
      </c>
    </row>
    <row r="2141" spans="1:4" x14ac:dyDescent="0.3">
      <c r="A2141" t="s">
        <v>8</v>
      </c>
      <c r="B2141" s="1">
        <v>45319.125</v>
      </c>
      <c r="C2141">
        <v>0</v>
      </c>
      <c r="D2141">
        <v>0</v>
      </c>
    </row>
    <row r="2142" spans="1:4" x14ac:dyDescent="0.3">
      <c r="A2142" t="s">
        <v>8</v>
      </c>
      <c r="B2142" s="1">
        <v>45319.166666666664</v>
      </c>
      <c r="C2142">
        <v>0</v>
      </c>
      <c r="D2142">
        <v>0</v>
      </c>
    </row>
    <row r="2143" spans="1:4" x14ac:dyDescent="0.3">
      <c r="A2143" t="s">
        <v>8</v>
      </c>
      <c r="B2143" s="1">
        <v>45319.208333333336</v>
      </c>
      <c r="C2143">
        <v>0</v>
      </c>
      <c r="D2143">
        <v>0</v>
      </c>
    </row>
    <row r="2144" spans="1:4" x14ac:dyDescent="0.3">
      <c r="A2144" t="s">
        <v>8</v>
      </c>
      <c r="B2144" s="1">
        <v>45319.25</v>
      </c>
      <c r="C2144">
        <v>0</v>
      </c>
      <c r="D2144">
        <v>0</v>
      </c>
    </row>
    <row r="2145" spans="1:4" x14ac:dyDescent="0.3">
      <c r="A2145" t="s">
        <v>8</v>
      </c>
      <c r="B2145" s="1">
        <v>45319.291666666664</v>
      </c>
      <c r="C2145">
        <v>207.05523608201599</v>
      </c>
      <c r="D2145">
        <v>207.05523608201599</v>
      </c>
    </row>
    <row r="2146" spans="1:4" x14ac:dyDescent="0.3">
      <c r="A2146" t="s">
        <v>8</v>
      </c>
      <c r="B2146" s="1">
        <v>45319.333333333336</v>
      </c>
      <c r="C2146">
        <v>399.99999999999898</v>
      </c>
      <c r="D2146">
        <v>399.99999999999898</v>
      </c>
    </row>
    <row r="2147" spans="1:4" x14ac:dyDescent="0.3">
      <c r="A2147" t="s">
        <v>8</v>
      </c>
      <c r="B2147" s="1">
        <v>45319.375</v>
      </c>
      <c r="C2147">
        <v>565.68542494923804</v>
      </c>
      <c r="D2147">
        <v>565.68542494923804</v>
      </c>
    </row>
    <row r="2148" spans="1:4" x14ac:dyDescent="0.3">
      <c r="A2148" t="s">
        <v>8</v>
      </c>
      <c r="B2148" s="1">
        <v>45319.416666666664</v>
      </c>
      <c r="C2148">
        <v>692.82032302754999</v>
      </c>
      <c r="D2148">
        <v>692.82032302754999</v>
      </c>
    </row>
    <row r="2149" spans="1:4" x14ac:dyDescent="0.3">
      <c r="A2149" t="s">
        <v>8</v>
      </c>
      <c r="B2149" s="1">
        <v>45319.458333333336</v>
      </c>
      <c r="C2149">
        <v>772.74066103125404</v>
      </c>
      <c r="D2149">
        <v>772.74066103125404</v>
      </c>
    </row>
    <row r="2150" spans="1:4" x14ac:dyDescent="0.3">
      <c r="A2150" t="s">
        <v>8</v>
      </c>
      <c r="B2150" s="1">
        <v>45319.5</v>
      </c>
      <c r="C2150">
        <v>800</v>
      </c>
      <c r="D2150">
        <v>800</v>
      </c>
    </row>
    <row r="2151" spans="1:4" x14ac:dyDescent="0.3">
      <c r="A2151" t="s">
        <v>8</v>
      </c>
      <c r="B2151" s="1">
        <v>45319.541666666664</v>
      </c>
      <c r="C2151">
        <v>772.74066103125404</v>
      </c>
      <c r="D2151">
        <v>772.74066103125404</v>
      </c>
    </row>
    <row r="2152" spans="1:4" x14ac:dyDescent="0.3">
      <c r="A2152" t="s">
        <v>8</v>
      </c>
      <c r="B2152" s="1">
        <v>45319.583333333336</v>
      </c>
      <c r="C2152">
        <v>692.82032302755101</v>
      </c>
      <c r="D2152">
        <v>692.82032302755101</v>
      </c>
    </row>
    <row r="2153" spans="1:4" x14ac:dyDescent="0.3">
      <c r="A2153" t="s">
        <v>8</v>
      </c>
      <c r="B2153" s="1">
        <v>45319.625</v>
      </c>
      <c r="C2153">
        <v>565.68542494923804</v>
      </c>
      <c r="D2153">
        <v>565.68542494923804</v>
      </c>
    </row>
    <row r="2154" spans="1:4" x14ac:dyDescent="0.3">
      <c r="A2154" t="s">
        <v>8</v>
      </c>
      <c r="B2154" s="1">
        <v>45319.666666666664</v>
      </c>
      <c r="C2154">
        <v>399.99999999999898</v>
      </c>
      <c r="D2154">
        <v>399.99999999999898</v>
      </c>
    </row>
    <row r="2155" spans="1:4" x14ac:dyDescent="0.3">
      <c r="A2155" t="s">
        <v>8</v>
      </c>
      <c r="B2155" s="1">
        <v>45319.708333333336</v>
      </c>
      <c r="C2155">
        <v>207.05523608201599</v>
      </c>
      <c r="D2155">
        <v>207.05523608201599</v>
      </c>
    </row>
    <row r="2156" spans="1:4" x14ac:dyDescent="0.3">
      <c r="A2156" t="s">
        <v>8</v>
      </c>
      <c r="B2156" s="1">
        <v>45319.75</v>
      </c>
      <c r="C2156" s="2">
        <v>9.7971743931788194E-14</v>
      </c>
      <c r="D2156" s="2">
        <v>9.7971743931788194E-14</v>
      </c>
    </row>
    <row r="2157" spans="1:4" x14ac:dyDescent="0.3">
      <c r="A2157" t="s">
        <v>8</v>
      </c>
      <c r="B2157" s="1">
        <v>45319.791666666664</v>
      </c>
      <c r="C2157">
        <v>0</v>
      </c>
      <c r="D2157">
        <v>0</v>
      </c>
    </row>
    <row r="2158" spans="1:4" x14ac:dyDescent="0.3">
      <c r="A2158" t="s">
        <v>8</v>
      </c>
      <c r="B2158" s="1">
        <v>45319.833333333336</v>
      </c>
      <c r="C2158">
        <v>0</v>
      </c>
      <c r="D2158">
        <v>0</v>
      </c>
    </row>
    <row r="2159" spans="1:4" x14ac:dyDescent="0.3">
      <c r="A2159" t="s">
        <v>8</v>
      </c>
      <c r="B2159" s="1">
        <v>45319.875</v>
      </c>
      <c r="C2159">
        <v>0</v>
      </c>
      <c r="D2159">
        <v>0</v>
      </c>
    </row>
    <row r="2160" spans="1:4" x14ac:dyDescent="0.3">
      <c r="A2160" t="s">
        <v>8</v>
      </c>
      <c r="B2160" s="1">
        <v>45319.916666666664</v>
      </c>
      <c r="C2160">
        <v>0</v>
      </c>
      <c r="D2160">
        <v>0</v>
      </c>
    </row>
    <row r="2161" spans="1:4" x14ac:dyDescent="0.3">
      <c r="A2161" t="s">
        <v>8</v>
      </c>
      <c r="B2161" s="1">
        <v>45319.958333333336</v>
      </c>
      <c r="C2161">
        <v>0</v>
      </c>
      <c r="D2161">
        <v>0</v>
      </c>
    </row>
    <row r="2162" spans="1:4" x14ac:dyDescent="0.3">
      <c r="A2162" t="s">
        <v>8</v>
      </c>
      <c r="B2162" s="1">
        <v>45320</v>
      </c>
      <c r="C2162">
        <v>0</v>
      </c>
      <c r="D2162">
        <v>0</v>
      </c>
    </row>
    <row r="2163" spans="1:4" x14ac:dyDescent="0.3">
      <c r="A2163" t="s">
        <v>8</v>
      </c>
      <c r="B2163" s="1">
        <v>45320.041666666664</v>
      </c>
      <c r="C2163">
        <v>0</v>
      </c>
      <c r="D2163">
        <v>0</v>
      </c>
    </row>
    <row r="2164" spans="1:4" x14ac:dyDescent="0.3">
      <c r="A2164" t="s">
        <v>8</v>
      </c>
      <c r="B2164" s="1">
        <v>45320.083333333336</v>
      </c>
      <c r="C2164">
        <v>0</v>
      </c>
      <c r="D2164">
        <v>0</v>
      </c>
    </row>
    <row r="2165" spans="1:4" x14ac:dyDescent="0.3">
      <c r="A2165" t="s">
        <v>8</v>
      </c>
      <c r="B2165" s="1">
        <v>45320.125</v>
      </c>
      <c r="C2165">
        <v>0</v>
      </c>
      <c r="D2165">
        <v>0</v>
      </c>
    </row>
    <row r="2166" spans="1:4" x14ac:dyDescent="0.3">
      <c r="A2166" t="s">
        <v>8</v>
      </c>
      <c r="B2166" s="1">
        <v>45320.166666666664</v>
      </c>
      <c r="C2166">
        <v>0</v>
      </c>
      <c r="D2166">
        <v>0</v>
      </c>
    </row>
    <row r="2167" spans="1:4" x14ac:dyDescent="0.3">
      <c r="A2167" t="s">
        <v>8</v>
      </c>
      <c r="B2167" s="1">
        <v>45320.208333333336</v>
      </c>
      <c r="C2167">
        <v>0</v>
      </c>
      <c r="D2167">
        <v>0</v>
      </c>
    </row>
    <row r="2168" spans="1:4" x14ac:dyDescent="0.3">
      <c r="A2168" t="s">
        <v>8</v>
      </c>
      <c r="B2168" s="1">
        <v>45320.25</v>
      </c>
      <c r="C2168">
        <v>0</v>
      </c>
      <c r="D2168">
        <v>0</v>
      </c>
    </row>
    <row r="2169" spans="1:4" x14ac:dyDescent="0.3">
      <c r="A2169" t="s">
        <v>8</v>
      </c>
      <c r="B2169" s="1">
        <v>45320.291666666664</v>
      </c>
      <c r="C2169">
        <v>207.05523608201599</v>
      </c>
      <c r="D2169">
        <v>207.05523608201599</v>
      </c>
    </row>
    <row r="2170" spans="1:4" x14ac:dyDescent="0.3">
      <c r="A2170" t="s">
        <v>8</v>
      </c>
      <c r="B2170" s="1">
        <v>45320.333333333336</v>
      </c>
      <c r="C2170">
        <v>399.99999999999898</v>
      </c>
      <c r="D2170">
        <v>399.99999999999898</v>
      </c>
    </row>
    <row r="2171" spans="1:4" x14ac:dyDescent="0.3">
      <c r="A2171" t="s">
        <v>8</v>
      </c>
      <c r="B2171" s="1">
        <v>45320.375</v>
      </c>
      <c r="C2171">
        <v>565.68542494923804</v>
      </c>
      <c r="D2171">
        <v>565.68542494923804</v>
      </c>
    </row>
    <row r="2172" spans="1:4" x14ac:dyDescent="0.3">
      <c r="A2172" t="s">
        <v>8</v>
      </c>
      <c r="B2172" s="1">
        <v>45320.416666666664</v>
      </c>
      <c r="C2172">
        <v>692.82032302754999</v>
      </c>
      <c r="D2172">
        <v>692.82032302754999</v>
      </c>
    </row>
    <row r="2173" spans="1:4" x14ac:dyDescent="0.3">
      <c r="A2173" t="s">
        <v>8</v>
      </c>
      <c r="B2173" s="1">
        <v>45320.458333333336</v>
      </c>
      <c r="C2173">
        <v>772.74066103125404</v>
      </c>
      <c r="D2173">
        <v>772.74066103125404</v>
      </c>
    </row>
    <row r="2174" spans="1:4" x14ac:dyDescent="0.3">
      <c r="A2174" t="s">
        <v>8</v>
      </c>
      <c r="B2174" s="1">
        <v>45320.5</v>
      </c>
      <c r="C2174">
        <v>800</v>
      </c>
      <c r="D2174">
        <v>800</v>
      </c>
    </row>
    <row r="2175" spans="1:4" x14ac:dyDescent="0.3">
      <c r="A2175" t="s">
        <v>8</v>
      </c>
      <c r="B2175" s="1">
        <v>45320.541666666664</v>
      </c>
      <c r="C2175">
        <v>772.74066103125404</v>
      </c>
      <c r="D2175">
        <v>772.74066103125404</v>
      </c>
    </row>
    <row r="2176" spans="1:4" x14ac:dyDescent="0.3">
      <c r="A2176" t="s">
        <v>8</v>
      </c>
      <c r="B2176" s="1">
        <v>45320.583333333336</v>
      </c>
      <c r="C2176">
        <v>692.82032302755101</v>
      </c>
      <c r="D2176">
        <v>692.82032302755101</v>
      </c>
    </row>
    <row r="2177" spans="1:4" x14ac:dyDescent="0.3">
      <c r="A2177" t="s">
        <v>8</v>
      </c>
      <c r="B2177" s="1">
        <v>45320.625</v>
      </c>
      <c r="C2177">
        <v>565.68542494923804</v>
      </c>
      <c r="D2177">
        <v>565.68542494923804</v>
      </c>
    </row>
    <row r="2178" spans="1:4" x14ac:dyDescent="0.3">
      <c r="A2178" t="s">
        <v>8</v>
      </c>
      <c r="B2178" s="1">
        <v>45320.666666666664</v>
      </c>
      <c r="C2178">
        <v>399.99999999999898</v>
      </c>
      <c r="D2178">
        <v>399.99999999999898</v>
      </c>
    </row>
    <row r="2179" spans="1:4" x14ac:dyDescent="0.3">
      <c r="A2179" t="s">
        <v>8</v>
      </c>
      <c r="B2179" s="1">
        <v>45320.708333333336</v>
      </c>
      <c r="C2179">
        <v>207.05523608201599</v>
      </c>
      <c r="D2179">
        <v>207.05523608201599</v>
      </c>
    </row>
    <row r="2180" spans="1:4" x14ac:dyDescent="0.3">
      <c r="A2180" t="s">
        <v>8</v>
      </c>
      <c r="B2180" s="1">
        <v>45320.75</v>
      </c>
      <c r="C2180" s="2">
        <v>9.7971743931788194E-14</v>
      </c>
      <c r="D2180" s="2">
        <v>9.7971743931788194E-14</v>
      </c>
    </row>
    <row r="2181" spans="1:4" x14ac:dyDescent="0.3">
      <c r="A2181" t="s">
        <v>8</v>
      </c>
      <c r="B2181" s="1">
        <v>45320.791666666664</v>
      </c>
      <c r="C2181">
        <v>0</v>
      </c>
      <c r="D2181">
        <v>0</v>
      </c>
    </row>
    <row r="2182" spans="1:4" x14ac:dyDescent="0.3">
      <c r="A2182" t="s">
        <v>8</v>
      </c>
      <c r="B2182" s="1">
        <v>45320.833333333336</v>
      </c>
      <c r="C2182">
        <v>0</v>
      </c>
      <c r="D2182">
        <v>0</v>
      </c>
    </row>
    <row r="2183" spans="1:4" x14ac:dyDescent="0.3">
      <c r="A2183" t="s">
        <v>8</v>
      </c>
      <c r="B2183" s="1">
        <v>45320.875</v>
      </c>
      <c r="C2183">
        <v>0</v>
      </c>
      <c r="D2183">
        <v>0</v>
      </c>
    </row>
    <row r="2184" spans="1:4" x14ac:dyDescent="0.3">
      <c r="A2184" t="s">
        <v>8</v>
      </c>
      <c r="B2184" s="1">
        <v>45320.916666666664</v>
      </c>
      <c r="C2184">
        <v>0</v>
      </c>
      <c r="D2184">
        <v>0</v>
      </c>
    </row>
    <row r="2185" spans="1:4" x14ac:dyDescent="0.3">
      <c r="A2185" t="s">
        <v>8</v>
      </c>
      <c r="B2185" s="1">
        <v>45320.958333333336</v>
      </c>
      <c r="C2185">
        <v>0</v>
      </c>
      <c r="D2185">
        <v>0</v>
      </c>
    </row>
    <row r="2186" spans="1:4" x14ac:dyDescent="0.3">
      <c r="A2186" t="s">
        <v>8</v>
      </c>
      <c r="B2186" s="1">
        <v>45321</v>
      </c>
      <c r="C2186">
        <v>0</v>
      </c>
      <c r="D2186">
        <v>0</v>
      </c>
    </row>
    <row r="2187" spans="1:4" x14ac:dyDescent="0.3">
      <c r="A2187" t="s">
        <v>8</v>
      </c>
      <c r="B2187" s="1">
        <v>45321.041666666664</v>
      </c>
      <c r="C2187">
        <v>0</v>
      </c>
      <c r="D2187">
        <v>0</v>
      </c>
    </row>
    <row r="2188" spans="1:4" x14ac:dyDescent="0.3">
      <c r="A2188" t="s">
        <v>8</v>
      </c>
      <c r="B2188" s="1">
        <v>45321.083333333336</v>
      </c>
      <c r="C2188">
        <v>0</v>
      </c>
      <c r="D2188">
        <v>0</v>
      </c>
    </row>
    <row r="2189" spans="1:4" x14ac:dyDescent="0.3">
      <c r="A2189" t="s">
        <v>8</v>
      </c>
      <c r="B2189" s="1">
        <v>45321.125</v>
      </c>
      <c r="C2189">
        <v>0</v>
      </c>
      <c r="D2189">
        <v>0</v>
      </c>
    </row>
    <row r="2190" spans="1:4" x14ac:dyDescent="0.3">
      <c r="A2190" t="s">
        <v>8</v>
      </c>
      <c r="B2190" s="1">
        <v>45321.166666666664</v>
      </c>
      <c r="C2190">
        <v>0</v>
      </c>
      <c r="D2190">
        <v>0</v>
      </c>
    </row>
    <row r="2191" spans="1:4" x14ac:dyDescent="0.3">
      <c r="A2191" t="s">
        <v>8</v>
      </c>
      <c r="B2191" s="1">
        <v>45321.208333333336</v>
      </c>
      <c r="C2191">
        <v>0</v>
      </c>
      <c r="D2191">
        <v>0</v>
      </c>
    </row>
    <row r="2192" spans="1:4" x14ac:dyDescent="0.3">
      <c r="A2192" t="s">
        <v>8</v>
      </c>
      <c r="B2192" s="1">
        <v>45321.25</v>
      </c>
      <c r="C2192">
        <v>0</v>
      </c>
      <c r="D2192">
        <v>0</v>
      </c>
    </row>
    <row r="2193" spans="1:4" x14ac:dyDescent="0.3">
      <c r="A2193" t="s">
        <v>8</v>
      </c>
      <c r="B2193" s="1">
        <v>45321.291666666664</v>
      </c>
      <c r="C2193">
        <v>207.05523608201599</v>
      </c>
      <c r="D2193">
        <v>207.05523608201599</v>
      </c>
    </row>
    <row r="2194" spans="1:4" x14ac:dyDescent="0.3">
      <c r="A2194" t="s">
        <v>8</v>
      </c>
      <c r="B2194" s="1">
        <v>45321.333333333336</v>
      </c>
      <c r="C2194">
        <v>399.99999999999898</v>
      </c>
      <c r="D2194">
        <v>399.99999999999898</v>
      </c>
    </row>
    <row r="2195" spans="1:4" x14ac:dyDescent="0.3">
      <c r="A2195" t="s">
        <v>8</v>
      </c>
      <c r="B2195" s="1">
        <v>45321.375</v>
      </c>
      <c r="C2195">
        <v>565.68542494923804</v>
      </c>
      <c r="D2195">
        <v>565.68542494923804</v>
      </c>
    </row>
    <row r="2196" spans="1:4" x14ac:dyDescent="0.3">
      <c r="A2196" t="s">
        <v>8</v>
      </c>
      <c r="B2196" s="1">
        <v>45321.416666666664</v>
      </c>
      <c r="C2196">
        <v>692.82032302754999</v>
      </c>
      <c r="D2196">
        <v>692.82032302754999</v>
      </c>
    </row>
    <row r="2197" spans="1:4" x14ac:dyDescent="0.3">
      <c r="A2197" t="s">
        <v>8</v>
      </c>
      <c r="B2197" s="1">
        <v>45321.458333333336</v>
      </c>
      <c r="C2197">
        <v>772.74066103125404</v>
      </c>
      <c r="D2197">
        <v>772.74066103125404</v>
      </c>
    </row>
    <row r="2198" spans="1:4" x14ac:dyDescent="0.3">
      <c r="A2198" t="s">
        <v>8</v>
      </c>
      <c r="B2198" s="1">
        <v>45321.5</v>
      </c>
      <c r="C2198">
        <v>800</v>
      </c>
      <c r="D2198">
        <v>800</v>
      </c>
    </row>
    <row r="2199" spans="1:4" x14ac:dyDescent="0.3">
      <c r="A2199" t="s">
        <v>8</v>
      </c>
      <c r="B2199" s="1">
        <v>45321.541666666664</v>
      </c>
      <c r="C2199">
        <v>772.74066103125404</v>
      </c>
      <c r="D2199">
        <v>772.74066103125404</v>
      </c>
    </row>
    <row r="2200" spans="1:4" x14ac:dyDescent="0.3">
      <c r="A2200" t="s">
        <v>8</v>
      </c>
      <c r="B2200" s="1">
        <v>45321.583333333336</v>
      </c>
      <c r="C2200">
        <v>692.82032302755101</v>
      </c>
      <c r="D2200">
        <v>692.82032302755101</v>
      </c>
    </row>
    <row r="2201" spans="1:4" x14ac:dyDescent="0.3">
      <c r="A2201" t="s">
        <v>8</v>
      </c>
      <c r="B2201" s="1">
        <v>45321.625</v>
      </c>
      <c r="C2201">
        <v>565.68542494923804</v>
      </c>
      <c r="D2201">
        <v>565.68542494923804</v>
      </c>
    </row>
    <row r="2202" spans="1:4" x14ac:dyDescent="0.3">
      <c r="A2202" t="s">
        <v>8</v>
      </c>
      <c r="B2202" s="1">
        <v>45321.666666666664</v>
      </c>
      <c r="C2202">
        <v>399.99999999999898</v>
      </c>
      <c r="D2202">
        <v>399.99999999999898</v>
      </c>
    </row>
    <row r="2203" spans="1:4" x14ac:dyDescent="0.3">
      <c r="A2203" t="s">
        <v>8</v>
      </c>
      <c r="B2203" s="1">
        <v>45321.708333333336</v>
      </c>
      <c r="C2203">
        <v>207.05523608201599</v>
      </c>
      <c r="D2203">
        <v>207.05523608201599</v>
      </c>
    </row>
    <row r="2204" spans="1:4" x14ac:dyDescent="0.3">
      <c r="A2204" t="s">
        <v>8</v>
      </c>
      <c r="B2204" s="1">
        <v>45321.75</v>
      </c>
      <c r="C2204" s="2">
        <v>9.7971743931788194E-14</v>
      </c>
      <c r="D2204" s="2">
        <v>9.7971743931788194E-14</v>
      </c>
    </row>
    <row r="2205" spans="1:4" x14ac:dyDescent="0.3">
      <c r="A2205" t="s">
        <v>8</v>
      </c>
      <c r="B2205" s="1">
        <v>45321.791666666664</v>
      </c>
      <c r="C2205">
        <v>0</v>
      </c>
      <c r="D2205">
        <v>0</v>
      </c>
    </row>
    <row r="2206" spans="1:4" x14ac:dyDescent="0.3">
      <c r="A2206" t="s">
        <v>8</v>
      </c>
      <c r="B2206" s="1">
        <v>45321.833333333336</v>
      </c>
      <c r="C2206">
        <v>0</v>
      </c>
      <c r="D2206">
        <v>0</v>
      </c>
    </row>
    <row r="2207" spans="1:4" x14ac:dyDescent="0.3">
      <c r="A2207" t="s">
        <v>8</v>
      </c>
      <c r="B2207" s="1">
        <v>45321.875</v>
      </c>
      <c r="C2207">
        <v>0</v>
      </c>
      <c r="D2207">
        <v>0</v>
      </c>
    </row>
    <row r="2208" spans="1:4" x14ac:dyDescent="0.3">
      <c r="A2208" t="s">
        <v>8</v>
      </c>
      <c r="B2208" s="1">
        <v>45321.916666666664</v>
      </c>
      <c r="C2208">
        <v>0</v>
      </c>
      <c r="D2208">
        <v>0</v>
      </c>
    </row>
    <row r="2209" spans="1:4" x14ac:dyDescent="0.3">
      <c r="A2209" t="s">
        <v>8</v>
      </c>
      <c r="B2209" s="1">
        <v>45321.958333333336</v>
      </c>
      <c r="C2209">
        <v>0</v>
      </c>
      <c r="D2209">
        <v>0</v>
      </c>
    </row>
    <row r="2210" spans="1:4" x14ac:dyDescent="0.3">
      <c r="A2210" t="s">
        <v>8</v>
      </c>
      <c r="B2210" s="1">
        <v>45322</v>
      </c>
      <c r="C2210">
        <v>0</v>
      </c>
      <c r="D2210">
        <v>0</v>
      </c>
    </row>
    <row r="2211" spans="1:4" x14ac:dyDescent="0.3">
      <c r="A2211" t="s">
        <v>8</v>
      </c>
      <c r="B2211" s="1">
        <v>45322.041666666664</v>
      </c>
      <c r="C2211">
        <v>0</v>
      </c>
      <c r="D2211">
        <v>0</v>
      </c>
    </row>
    <row r="2212" spans="1:4" x14ac:dyDescent="0.3">
      <c r="A2212" t="s">
        <v>8</v>
      </c>
      <c r="B2212" s="1">
        <v>45322.083333333336</v>
      </c>
      <c r="C2212">
        <v>0</v>
      </c>
      <c r="D2212">
        <v>0</v>
      </c>
    </row>
    <row r="2213" spans="1:4" x14ac:dyDescent="0.3">
      <c r="A2213" t="s">
        <v>8</v>
      </c>
      <c r="B2213" s="1">
        <v>45322.125</v>
      </c>
      <c r="C2213">
        <v>0</v>
      </c>
      <c r="D2213">
        <v>0</v>
      </c>
    </row>
    <row r="2214" spans="1:4" x14ac:dyDescent="0.3">
      <c r="A2214" t="s">
        <v>8</v>
      </c>
      <c r="B2214" s="1">
        <v>45322.166666666664</v>
      </c>
      <c r="C2214">
        <v>0</v>
      </c>
      <c r="D2214">
        <v>0</v>
      </c>
    </row>
    <row r="2215" spans="1:4" x14ac:dyDescent="0.3">
      <c r="A2215" t="s">
        <v>8</v>
      </c>
      <c r="B2215" s="1">
        <v>45322.208333333336</v>
      </c>
      <c r="C2215">
        <v>0</v>
      </c>
      <c r="D2215">
        <v>0</v>
      </c>
    </row>
    <row r="2216" spans="1:4" x14ac:dyDescent="0.3">
      <c r="A2216" t="s">
        <v>8</v>
      </c>
      <c r="B2216" s="1">
        <v>45322.25</v>
      </c>
      <c r="C2216">
        <v>0</v>
      </c>
      <c r="D2216">
        <v>0</v>
      </c>
    </row>
    <row r="2217" spans="1:4" x14ac:dyDescent="0.3">
      <c r="A2217" t="s">
        <v>8</v>
      </c>
      <c r="B2217" s="1">
        <v>45322.291666666664</v>
      </c>
      <c r="C2217">
        <v>207.05523608201599</v>
      </c>
      <c r="D2217">
        <v>207.05523608201599</v>
      </c>
    </row>
    <row r="2218" spans="1:4" x14ac:dyDescent="0.3">
      <c r="A2218" t="s">
        <v>8</v>
      </c>
      <c r="B2218" s="1">
        <v>45322.333333333336</v>
      </c>
      <c r="C2218">
        <v>399.99999999999898</v>
      </c>
      <c r="D2218">
        <v>399.99999999999898</v>
      </c>
    </row>
    <row r="2219" spans="1:4" x14ac:dyDescent="0.3">
      <c r="A2219" t="s">
        <v>8</v>
      </c>
      <c r="B2219" s="1">
        <v>45322.375</v>
      </c>
      <c r="C2219">
        <v>565.68542494923804</v>
      </c>
      <c r="D2219">
        <v>565.68542494923804</v>
      </c>
    </row>
    <row r="2220" spans="1:4" x14ac:dyDescent="0.3">
      <c r="A2220" t="s">
        <v>8</v>
      </c>
      <c r="B2220" s="1">
        <v>45322.416666666664</v>
      </c>
      <c r="C2220">
        <v>692.82032302754999</v>
      </c>
      <c r="D2220">
        <v>692.82032302754999</v>
      </c>
    </row>
    <row r="2221" spans="1:4" x14ac:dyDescent="0.3">
      <c r="A2221" t="s">
        <v>8</v>
      </c>
      <c r="B2221" s="1">
        <v>45322.458333333336</v>
      </c>
      <c r="C2221">
        <v>772.74066103125404</v>
      </c>
      <c r="D2221">
        <v>772.74066103125404</v>
      </c>
    </row>
    <row r="2222" spans="1:4" x14ac:dyDescent="0.3">
      <c r="A2222" t="s">
        <v>8</v>
      </c>
      <c r="B2222" s="1">
        <v>45322.5</v>
      </c>
      <c r="C2222">
        <v>800</v>
      </c>
      <c r="D2222">
        <v>800</v>
      </c>
    </row>
    <row r="2223" spans="1:4" x14ac:dyDescent="0.3">
      <c r="A2223" t="s">
        <v>8</v>
      </c>
      <c r="B2223" s="1">
        <v>45322.541666666664</v>
      </c>
      <c r="C2223">
        <v>772.74066103125404</v>
      </c>
      <c r="D2223">
        <v>772.74066103125404</v>
      </c>
    </row>
    <row r="2224" spans="1:4" x14ac:dyDescent="0.3">
      <c r="A2224" t="s">
        <v>8</v>
      </c>
      <c r="B2224" s="1">
        <v>45322.583333333336</v>
      </c>
      <c r="C2224">
        <v>692.82032302755101</v>
      </c>
      <c r="D2224">
        <v>692.82032302755101</v>
      </c>
    </row>
    <row r="2225" spans="1:4" x14ac:dyDescent="0.3">
      <c r="A2225" t="s">
        <v>8</v>
      </c>
      <c r="B2225" s="1">
        <v>45322.625</v>
      </c>
      <c r="C2225">
        <v>565.68542494923804</v>
      </c>
      <c r="D2225">
        <v>565.68542494923804</v>
      </c>
    </row>
    <row r="2226" spans="1:4" x14ac:dyDescent="0.3">
      <c r="A2226" t="s">
        <v>8</v>
      </c>
      <c r="B2226" s="1">
        <v>45322.666666666664</v>
      </c>
      <c r="C2226">
        <v>399.99999999999898</v>
      </c>
      <c r="D2226">
        <v>399.99999999999898</v>
      </c>
    </row>
    <row r="2227" spans="1:4" x14ac:dyDescent="0.3">
      <c r="A2227" t="s">
        <v>8</v>
      </c>
      <c r="B2227" s="1">
        <v>45322.708333333336</v>
      </c>
      <c r="C2227">
        <v>207.05523608201599</v>
      </c>
      <c r="D2227">
        <v>207.05523608201599</v>
      </c>
    </row>
    <row r="2228" spans="1:4" x14ac:dyDescent="0.3">
      <c r="A2228" t="s">
        <v>8</v>
      </c>
      <c r="B2228" s="1">
        <v>45322.75</v>
      </c>
      <c r="C2228" s="2">
        <v>9.7971743931788194E-14</v>
      </c>
      <c r="D2228" s="2">
        <v>9.7971743931788194E-14</v>
      </c>
    </row>
    <row r="2229" spans="1:4" x14ac:dyDescent="0.3">
      <c r="A2229" t="s">
        <v>8</v>
      </c>
      <c r="B2229" s="1">
        <v>45322.791666666664</v>
      </c>
      <c r="C2229">
        <v>0</v>
      </c>
      <c r="D2229">
        <v>0</v>
      </c>
    </row>
    <row r="2230" spans="1:4" x14ac:dyDescent="0.3">
      <c r="A2230" t="s">
        <v>8</v>
      </c>
      <c r="B2230" s="1">
        <v>45322.833333333336</v>
      </c>
      <c r="C2230">
        <v>0</v>
      </c>
      <c r="D2230">
        <v>0</v>
      </c>
    </row>
    <row r="2231" spans="1:4" x14ac:dyDescent="0.3">
      <c r="A2231" t="s">
        <v>8</v>
      </c>
      <c r="B2231" s="1">
        <v>45322.875</v>
      </c>
      <c r="C2231">
        <v>0</v>
      </c>
      <c r="D2231">
        <v>0</v>
      </c>
    </row>
    <row r="2232" spans="1:4" x14ac:dyDescent="0.3">
      <c r="A2232" t="s">
        <v>8</v>
      </c>
      <c r="B2232" s="1">
        <v>45322.916666666664</v>
      </c>
      <c r="C2232">
        <v>0</v>
      </c>
      <c r="D2232">
        <v>0</v>
      </c>
    </row>
    <row r="2233" spans="1:4" x14ac:dyDescent="0.3">
      <c r="A2233" t="s">
        <v>8</v>
      </c>
      <c r="B2233" s="1">
        <v>45322.958333333336</v>
      </c>
      <c r="C2233">
        <v>0</v>
      </c>
      <c r="D2233">
        <v>0</v>
      </c>
    </row>
    <row r="2234" spans="1:4" x14ac:dyDescent="0.3">
      <c r="A2234" t="s">
        <v>9</v>
      </c>
      <c r="B2234" s="1">
        <v>45292</v>
      </c>
      <c r="C2234">
        <v>0</v>
      </c>
      <c r="D2234">
        <v>0</v>
      </c>
    </row>
    <row r="2235" spans="1:4" x14ac:dyDescent="0.3">
      <c r="A2235" t="s">
        <v>9</v>
      </c>
      <c r="B2235" s="1">
        <v>45292.041666666664</v>
      </c>
      <c r="C2235">
        <v>0</v>
      </c>
      <c r="D2235">
        <v>0</v>
      </c>
    </row>
    <row r="2236" spans="1:4" x14ac:dyDescent="0.3">
      <c r="A2236" t="s">
        <v>9</v>
      </c>
      <c r="B2236" s="1">
        <v>45292.083333333336</v>
      </c>
      <c r="C2236">
        <v>0</v>
      </c>
      <c r="D2236">
        <v>0</v>
      </c>
    </row>
    <row r="2237" spans="1:4" x14ac:dyDescent="0.3">
      <c r="A2237" t="s">
        <v>9</v>
      </c>
      <c r="B2237" s="1">
        <v>45292.125</v>
      </c>
      <c r="C2237">
        <v>0</v>
      </c>
      <c r="D2237">
        <v>0</v>
      </c>
    </row>
    <row r="2238" spans="1:4" x14ac:dyDescent="0.3">
      <c r="A2238" t="s">
        <v>9</v>
      </c>
      <c r="B2238" s="1">
        <v>45292.166666666664</v>
      </c>
      <c r="C2238">
        <v>0</v>
      </c>
      <c r="D2238">
        <v>0</v>
      </c>
    </row>
    <row r="2239" spans="1:4" x14ac:dyDescent="0.3">
      <c r="A2239" t="s">
        <v>9</v>
      </c>
      <c r="B2239" s="1">
        <v>45292.208333333336</v>
      </c>
      <c r="C2239">
        <v>0</v>
      </c>
      <c r="D2239">
        <v>0</v>
      </c>
    </row>
    <row r="2240" spans="1:4" x14ac:dyDescent="0.3">
      <c r="A2240" t="s">
        <v>9</v>
      </c>
      <c r="B2240" s="1">
        <v>45292.25</v>
      </c>
      <c r="C2240">
        <v>0</v>
      </c>
      <c r="D2240">
        <v>0</v>
      </c>
    </row>
    <row r="2241" spans="1:4" x14ac:dyDescent="0.3">
      <c r="A2241" t="s">
        <v>9</v>
      </c>
      <c r="B2241" s="1">
        <v>45292.291666666664</v>
      </c>
      <c r="C2241">
        <v>248.466283298419</v>
      </c>
      <c r="D2241">
        <v>207.05523608201599</v>
      </c>
    </row>
    <row r="2242" spans="1:4" x14ac:dyDescent="0.3">
      <c r="A2242" t="s">
        <v>9</v>
      </c>
      <c r="B2242" s="1">
        <v>45292.333333333336</v>
      </c>
      <c r="C2242">
        <v>479.99999999999898</v>
      </c>
      <c r="D2242">
        <v>399.99999999999898</v>
      </c>
    </row>
    <row r="2243" spans="1:4" x14ac:dyDescent="0.3">
      <c r="A2243" t="s">
        <v>9</v>
      </c>
      <c r="B2243" s="1">
        <v>45292.375</v>
      </c>
      <c r="C2243">
        <v>678.82250993908497</v>
      </c>
      <c r="D2243">
        <v>565.68542494923804</v>
      </c>
    </row>
    <row r="2244" spans="1:4" x14ac:dyDescent="0.3">
      <c r="A2244" t="s">
        <v>9</v>
      </c>
      <c r="B2244" s="1">
        <v>45292.416666666664</v>
      </c>
      <c r="C2244">
        <v>831.38438763306101</v>
      </c>
      <c r="D2244">
        <v>692.82032302754999</v>
      </c>
    </row>
    <row r="2245" spans="1:4" x14ac:dyDescent="0.3">
      <c r="A2245" t="s">
        <v>9</v>
      </c>
      <c r="B2245" s="1">
        <v>45292.458333333336</v>
      </c>
      <c r="C2245">
        <v>927.28879323750505</v>
      </c>
      <c r="D2245">
        <v>772.74066103125404</v>
      </c>
    </row>
    <row r="2246" spans="1:4" x14ac:dyDescent="0.3">
      <c r="A2246" t="s">
        <v>9</v>
      </c>
      <c r="B2246" s="1">
        <v>45292.5</v>
      </c>
      <c r="C2246">
        <v>960</v>
      </c>
      <c r="D2246">
        <v>800</v>
      </c>
    </row>
    <row r="2247" spans="1:4" x14ac:dyDescent="0.3">
      <c r="A2247" t="s">
        <v>9</v>
      </c>
      <c r="B2247" s="1">
        <v>45292.541666666664</v>
      </c>
      <c r="C2247">
        <v>927.28879323750505</v>
      </c>
      <c r="D2247">
        <v>772.74066103125404</v>
      </c>
    </row>
    <row r="2248" spans="1:4" x14ac:dyDescent="0.3">
      <c r="A2248" t="s">
        <v>9</v>
      </c>
      <c r="B2248" s="1">
        <v>45292.583333333336</v>
      </c>
      <c r="C2248">
        <v>831.38438763306101</v>
      </c>
      <c r="D2248">
        <v>692.82032302755101</v>
      </c>
    </row>
    <row r="2249" spans="1:4" x14ac:dyDescent="0.3">
      <c r="A2249" t="s">
        <v>9</v>
      </c>
      <c r="B2249" s="1">
        <v>45292.625</v>
      </c>
      <c r="C2249">
        <v>678.82250993908497</v>
      </c>
      <c r="D2249">
        <v>565.68542494923804</v>
      </c>
    </row>
    <row r="2250" spans="1:4" x14ac:dyDescent="0.3">
      <c r="A2250" t="s">
        <v>9</v>
      </c>
      <c r="B2250" s="1">
        <v>45292.666666666664</v>
      </c>
      <c r="C2250">
        <v>479.99999999999898</v>
      </c>
      <c r="D2250">
        <v>399.99999999999898</v>
      </c>
    </row>
    <row r="2251" spans="1:4" x14ac:dyDescent="0.3">
      <c r="A2251" t="s">
        <v>9</v>
      </c>
      <c r="B2251" s="1">
        <v>45292.708333333336</v>
      </c>
      <c r="C2251">
        <v>248.46628329842</v>
      </c>
      <c r="D2251">
        <v>207.05523608201599</v>
      </c>
    </row>
    <row r="2252" spans="1:4" x14ac:dyDescent="0.3">
      <c r="A2252" t="s">
        <v>9</v>
      </c>
      <c r="B2252" s="1">
        <v>45292.75</v>
      </c>
      <c r="C2252" s="2">
        <v>1.1756609271814501E-13</v>
      </c>
      <c r="D2252" s="2">
        <v>9.7971743931788194E-14</v>
      </c>
    </row>
    <row r="2253" spans="1:4" x14ac:dyDescent="0.3">
      <c r="A2253" t="s">
        <v>9</v>
      </c>
      <c r="B2253" s="1">
        <v>45292.791666666664</v>
      </c>
      <c r="C2253">
        <v>0</v>
      </c>
      <c r="D2253">
        <v>0</v>
      </c>
    </row>
    <row r="2254" spans="1:4" x14ac:dyDescent="0.3">
      <c r="A2254" t="s">
        <v>9</v>
      </c>
      <c r="B2254" s="1">
        <v>45292.833333333336</v>
      </c>
      <c r="C2254">
        <v>0</v>
      </c>
      <c r="D2254">
        <v>0</v>
      </c>
    </row>
    <row r="2255" spans="1:4" x14ac:dyDescent="0.3">
      <c r="A2255" t="s">
        <v>9</v>
      </c>
      <c r="B2255" s="1">
        <v>45292.875</v>
      </c>
      <c r="C2255">
        <v>0</v>
      </c>
      <c r="D2255">
        <v>0</v>
      </c>
    </row>
    <row r="2256" spans="1:4" x14ac:dyDescent="0.3">
      <c r="A2256" t="s">
        <v>9</v>
      </c>
      <c r="B2256" s="1">
        <v>45292.916666666664</v>
      </c>
      <c r="C2256">
        <v>0</v>
      </c>
      <c r="D2256">
        <v>0</v>
      </c>
    </row>
    <row r="2257" spans="1:4" x14ac:dyDescent="0.3">
      <c r="A2257" t="s">
        <v>9</v>
      </c>
      <c r="B2257" s="1">
        <v>45292.958333333336</v>
      </c>
      <c r="C2257">
        <v>0</v>
      </c>
      <c r="D2257">
        <v>0</v>
      </c>
    </row>
    <row r="2258" spans="1:4" x14ac:dyDescent="0.3">
      <c r="A2258" t="s">
        <v>9</v>
      </c>
      <c r="B2258" s="1">
        <v>45293</v>
      </c>
      <c r="C2258">
        <v>0</v>
      </c>
      <c r="D2258">
        <v>0</v>
      </c>
    </row>
    <row r="2259" spans="1:4" x14ac:dyDescent="0.3">
      <c r="A2259" t="s">
        <v>9</v>
      </c>
      <c r="B2259" s="1">
        <v>45293.041666666664</v>
      </c>
      <c r="C2259">
        <v>0</v>
      </c>
      <c r="D2259">
        <v>0</v>
      </c>
    </row>
    <row r="2260" spans="1:4" x14ac:dyDescent="0.3">
      <c r="A2260" t="s">
        <v>9</v>
      </c>
      <c r="B2260" s="1">
        <v>45293.083333333336</v>
      </c>
      <c r="C2260">
        <v>0</v>
      </c>
      <c r="D2260">
        <v>0</v>
      </c>
    </row>
    <row r="2261" spans="1:4" x14ac:dyDescent="0.3">
      <c r="A2261" t="s">
        <v>9</v>
      </c>
      <c r="B2261" s="1">
        <v>45293.125</v>
      </c>
      <c r="C2261">
        <v>0</v>
      </c>
      <c r="D2261">
        <v>0</v>
      </c>
    </row>
    <row r="2262" spans="1:4" x14ac:dyDescent="0.3">
      <c r="A2262" t="s">
        <v>9</v>
      </c>
      <c r="B2262" s="1">
        <v>45293.166666666664</v>
      </c>
      <c r="C2262">
        <v>0</v>
      </c>
      <c r="D2262">
        <v>0</v>
      </c>
    </row>
    <row r="2263" spans="1:4" x14ac:dyDescent="0.3">
      <c r="A2263" t="s">
        <v>9</v>
      </c>
      <c r="B2263" s="1">
        <v>45293.208333333336</v>
      </c>
      <c r="C2263">
        <v>0</v>
      </c>
      <c r="D2263">
        <v>0</v>
      </c>
    </row>
    <row r="2264" spans="1:4" x14ac:dyDescent="0.3">
      <c r="A2264" t="s">
        <v>9</v>
      </c>
      <c r="B2264" s="1">
        <v>45293.25</v>
      </c>
      <c r="C2264">
        <v>0</v>
      </c>
      <c r="D2264">
        <v>0</v>
      </c>
    </row>
    <row r="2265" spans="1:4" x14ac:dyDescent="0.3">
      <c r="A2265" t="s">
        <v>9</v>
      </c>
      <c r="B2265" s="1">
        <v>45293.291666666664</v>
      </c>
      <c r="C2265">
        <v>248.466283298419</v>
      </c>
      <c r="D2265">
        <v>207.05523608201599</v>
      </c>
    </row>
    <row r="2266" spans="1:4" x14ac:dyDescent="0.3">
      <c r="A2266" t="s">
        <v>9</v>
      </c>
      <c r="B2266" s="1">
        <v>45293.333333333336</v>
      </c>
      <c r="C2266">
        <v>479.99999999999898</v>
      </c>
      <c r="D2266">
        <v>399.99999999999898</v>
      </c>
    </row>
    <row r="2267" spans="1:4" x14ac:dyDescent="0.3">
      <c r="A2267" t="s">
        <v>9</v>
      </c>
      <c r="B2267" s="1">
        <v>45293.375</v>
      </c>
      <c r="C2267">
        <v>678.82250993908497</v>
      </c>
      <c r="D2267">
        <v>565.68542494923804</v>
      </c>
    </row>
    <row r="2268" spans="1:4" x14ac:dyDescent="0.3">
      <c r="A2268" t="s">
        <v>9</v>
      </c>
      <c r="B2268" s="1">
        <v>45293.416666666664</v>
      </c>
      <c r="C2268">
        <v>831.38438763306101</v>
      </c>
      <c r="D2268">
        <v>692.82032302754999</v>
      </c>
    </row>
    <row r="2269" spans="1:4" x14ac:dyDescent="0.3">
      <c r="A2269" t="s">
        <v>9</v>
      </c>
      <c r="B2269" s="1">
        <v>45293.458333333336</v>
      </c>
      <c r="C2269">
        <v>927.28879323750505</v>
      </c>
      <c r="D2269">
        <v>772.74066103125404</v>
      </c>
    </row>
    <row r="2270" spans="1:4" x14ac:dyDescent="0.3">
      <c r="A2270" t="s">
        <v>9</v>
      </c>
      <c r="B2270" s="1">
        <v>45293.5</v>
      </c>
      <c r="C2270">
        <v>960</v>
      </c>
      <c r="D2270">
        <v>800</v>
      </c>
    </row>
    <row r="2271" spans="1:4" x14ac:dyDescent="0.3">
      <c r="A2271" t="s">
        <v>9</v>
      </c>
      <c r="B2271" s="1">
        <v>45293.541666666664</v>
      </c>
      <c r="C2271">
        <v>927.28879323750505</v>
      </c>
      <c r="D2271">
        <v>772.74066103125404</v>
      </c>
    </row>
    <row r="2272" spans="1:4" x14ac:dyDescent="0.3">
      <c r="A2272" t="s">
        <v>9</v>
      </c>
      <c r="B2272" s="1">
        <v>45293.583333333336</v>
      </c>
      <c r="C2272">
        <v>831.38438763306101</v>
      </c>
      <c r="D2272">
        <v>692.82032302755101</v>
      </c>
    </row>
    <row r="2273" spans="1:4" x14ac:dyDescent="0.3">
      <c r="A2273" t="s">
        <v>9</v>
      </c>
      <c r="B2273" s="1">
        <v>45293.625</v>
      </c>
      <c r="C2273">
        <v>678.82250993908497</v>
      </c>
      <c r="D2273">
        <v>565.68542494923804</v>
      </c>
    </row>
    <row r="2274" spans="1:4" x14ac:dyDescent="0.3">
      <c r="A2274" t="s">
        <v>9</v>
      </c>
      <c r="B2274" s="1">
        <v>45293.666666666664</v>
      </c>
      <c r="C2274">
        <v>479.99999999999898</v>
      </c>
      <c r="D2274">
        <v>399.99999999999898</v>
      </c>
    </row>
    <row r="2275" spans="1:4" x14ac:dyDescent="0.3">
      <c r="A2275" t="s">
        <v>9</v>
      </c>
      <c r="B2275" s="1">
        <v>45293.708333333336</v>
      </c>
      <c r="C2275">
        <v>248.46628329842</v>
      </c>
      <c r="D2275">
        <v>207.05523608201599</v>
      </c>
    </row>
    <row r="2276" spans="1:4" x14ac:dyDescent="0.3">
      <c r="A2276" t="s">
        <v>9</v>
      </c>
      <c r="B2276" s="1">
        <v>45293.75</v>
      </c>
      <c r="C2276" s="2">
        <v>1.1756609271814501E-13</v>
      </c>
      <c r="D2276" s="2">
        <v>9.7971743931788194E-14</v>
      </c>
    </row>
    <row r="2277" spans="1:4" x14ac:dyDescent="0.3">
      <c r="A2277" t="s">
        <v>9</v>
      </c>
      <c r="B2277" s="1">
        <v>45293.791666666664</v>
      </c>
      <c r="C2277">
        <v>0</v>
      </c>
      <c r="D2277">
        <v>0</v>
      </c>
    </row>
    <row r="2278" spans="1:4" x14ac:dyDescent="0.3">
      <c r="A2278" t="s">
        <v>9</v>
      </c>
      <c r="B2278" s="1">
        <v>45293.833333333336</v>
      </c>
      <c r="C2278">
        <v>0</v>
      </c>
      <c r="D2278">
        <v>0</v>
      </c>
    </row>
    <row r="2279" spans="1:4" x14ac:dyDescent="0.3">
      <c r="A2279" t="s">
        <v>9</v>
      </c>
      <c r="B2279" s="1">
        <v>45293.875</v>
      </c>
      <c r="C2279">
        <v>0</v>
      </c>
      <c r="D2279">
        <v>0</v>
      </c>
    </row>
    <row r="2280" spans="1:4" x14ac:dyDescent="0.3">
      <c r="A2280" t="s">
        <v>9</v>
      </c>
      <c r="B2280" s="1">
        <v>45293.916666666664</v>
      </c>
      <c r="C2280">
        <v>0</v>
      </c>
      <c r="D2280">
        <v>0</v>
      </c>
    </row>
    <row r="2281" spans="1:4" x14ac:dyDescent="0.3">
      <c r="A2281" t="s">
        <v>9</v>
      </c>
      <c r="B2281" s="1">
        <v>45293.958333333336</v>
      </c>
      <c r="C2281">
        <v>0</v>
      </c>
      <c r="D2281">
        <v>0</v>
      </c>
    </row>
    <row r="2282" spans="1:4" x14ac:dyDescent="0.3">
      <c r="A2282" t="s">
        <v>9</v>
      </c>
      <c r="B2282" s="1">
        <v>45294</v>
      </c>
      <c r="C2282">
        <v>0</v>
      </c>
      <c r="D2282">
        <v>0</v>
      </c>
    </row>
    <row r="2283" spans="1:4" x14ac:dyDescent="0.3">
      <c r="A2283" t="s">
        <v>9</v>
      </c>
      <c r="B2283" s="1">
        <v>45294.041666666664</v>
      </c>
      <c r="C2283">
        <v>0</v>
      </c>
      <c r="D2283">
        <v>0</v>
      </c>
    </row>
    <row r="2284" spans="1:4" x14ac:dyDescent="0.3">
      <c r="A2284" t="s">
        <v>9</v>
      </c>
      <c r="B2284" s="1">
        <v>45294.083333333336</v>
      </c>
      <c r="C2284">
        <v>0</v>
      </c>
      <c r="D2284">
        <v>0</v>
      </c>
    </row>
    <row r="2285" spans="1:4" x14ac:dyDescent="0.3">
      <c r="A2285" t="s">
        <v>9</v>
      </c>
      <c r="B2285" s="1">
        <v>45294.125</v>
      </c>
      <c r="C2285">
        <v>0</v>
      </c>
      <c r="D2285">
        <v>0</v>
      </c>
    </row>
    <row r="2286" spans="1:4" x14ac:dyDescent="0.3">
      <c r="A2286" t="s">
        <v>9</v>
      </c>
      <c r="B2286" s="1">
        <v>45294.166666666664</v>
      </c>
      <c r="C2286">
        <v>0</v>
      </c>
      <c r="D2286">
        <v>0</v>
      </c>
    </row>
    <row r="2287" spans="1:4" x14ac:dyDescent="0.3">
      <c r="A2287" t="s">
        <v>9</v>
      </c>
      <c r="B2287" s="1">
        <v>45294.208333333336</v>
      </c>
      <c r="C2287">
        <v>0</v>
      </c>
      <c r="D2287">
        <v>0</v>
      </c>
    </row>
    <row r="2288" spans="1:4" x14ac:dyDescent="0.3">
      <c r="A2288" t="s">
        <v>9</v>
      </c>
      <c r="B2288" s="1">
        <v>45294.25</v>
      </c>
      <c r="C2288">
        <v>0</v>
      </c>
      <c r="D2288">
        <v>0</v>
      </c>
    </row>
    <row r="2289" spans="1:4" x14ac:dyDescent="0.3">
      <c r="A2289" t="s">
        <v>9</v>
      </c>
      <c r="B2289" s="1">
        <v>45294.291666666664</v>
      </c>
      <c r="C2289">
        <v>248.466283298419</v>
      </c>
      <c r="D2289">
        <v>207.05523608201599</v>
      </c>
    </row>
    <row r="2290" spans="1:4" x14ac:dyDescent="0.3">
      <c r="A2290" t="s">
        <v>9</v>
      </c>
      <c r="B2290" s="1">
        <v>45294.333333333336</v>
      </c>
      <c r="C2290">
        <v>479.99999999999898</v>
      </c>
      <c r="D2290">
        <v>399.99999999999898</v>
      </c>
    </row>
    <row r="2291" spans="1:4" x14ac:dyDescent="0.3">
      <c r="A2291" t="s">
        <v>9</v>
      </c>
      <c r="B2291" s="1">
        <v>45294.375</v>
      </c>
      <c r="C2291">
        <v>678.82250993908497</v>
      </c>
      <c r="D2291">
        <v>565.68542494923804</v>
      </c>
    </row>
    <row r="2292" spans="1:4" x14ac:dyDescent="0.3">
      <c r="A2292" t="s">
        <v>9</v>
      </c>
      <c r="B2292" s="1">
        <v>45294.416666666664</v>
      </c>
      <c r="C2292">
        <v>831.38438763306101</v>
      </c>
      <c r="D2292">
        <v>692.82032302754999</v>
      </c>
    </row>
    <row r="2293" spans="1:4" x14ac:dyDescent="0.3">
      <c r="A2293" t="s">
        <v>9</v>
      </c>
      <c r="B2293" s="1">
        <v>45294.458333333336</v>
      </c>
      <c r="C2293">
        <v>927.28879323750505</v>
      </c>
      <c r="D2293">
        <v>772.74066103125404</v>
      </c>
    </row>
    <row r="2294" spans="1:4" x14ac:dyDescent="0.3">
      <c r="A2294" t="s">
        <v>9</v>
      </c>
      <c r="B2294" s="1">
        <v>45294.5</v>
      </c>
      <c r="C2294">
        <v>960</v>
      </c>
      <c r="D2294">
        <v>800</v>
      </c>
    </row>
    <row r="2295" spans="1:4" x14ac:dyDescent="0.3">
      <c r="A2295" t="s">
        <v>9</v>
      </c>
      <c r="B2295" s="1">
        <v>45294.541666666664</v>
      </c>
      <c r="C2295">
        <v>927.28879323750505</v>
      </c>
      <c r="D2295">
        <v>772.74066103125404</v>
      </c>
    </row>
    <row r="2296" spans="1:4" x14ac:dyDescent="0.3">
      <c r="A2296" t="s">
        <v>9</v>
      </c>
      <c r="B2296" s="1">
        <v>45294.583333333336</v>
      </c>
      <c r="C2296">
        <v>831.38438763306101</v>
      </c>
      <c r="D2296">
        <v>692.82032302755101</v>
      </c>
    </row>
    <row r="2297" spans="1:4" x14ac:dyDescent="0.3">
      <c r="A2297" t="s">
        <v>9</v>
      </c>
      <c r="B2297" s="1">
        <v>45294.625</v>
      </c>
      <c r="C2297">
        <v>678.82250993908497</v>
      </c>
      <c r="D2297">
        <v>565.68542494923804</v>
      </c>
    </row>
    <row r="2298" spans="1:4" x14ac:dyDescent="0.3">
      <c r="A2298" t="s">
        <v>9</v>
      </c>
      <c r="B2298" s="1">
        <v>45294.666666666664</v>
      </c>
      <c r="C2298">
        <v>479.99999999999898</v>
      </c>
      <c r="D2298">
        <v>399.99999999999898</v>
      </c>
    </row>
    <row r="2299" spans="1:4" x14ac:dyDescent="0.3">
      <c r="A2299" t="s">
        <v>9</v>
      </c>
      <c r="B2299" s="1">
        <v>45294.708333333336</v>
      </c>
      <c r="C2299">
        <v>248.46628329842</v>
      </c>
      <c r="D2299">
        <v>207.05523608201599</v>
      </c>
    </row>
    <row r="2300" spans="1:4" x14ac:dyDescent="0.3">
      <c r="A2300" t="s">
        <v>9</v>
      </c>
      <c r="B2300" s="1">
        <v>45294.75</v>
      </c>
      <c r="C2300" s="2">
        <v>1.1756609271814501E-13</v>
      </c>
      <c r="D2300" s="2">
        <v>9.7971743931788194E-14</v>
      </c>
    </row>
    <row r="2301" spans="1:4" x14ac:dyDescent="0.3">
      <c r="A2301" t="s">
        <v>9</v>
      </c>
      <c r="B2301" s="1">
        <v>45294.791666666664</v>
      </c>
      <c r="C2301">
        <v>0</v>
      </c>
      <c r="D2301">
        <v>0</v>
      </c>
    </row>
    <row r="2302" spans="1:4" x14ac:dyDescent="0.3">
      <c r="A2302" t="s">
        <v>9</v>
      </c>
      <c r="B2302" s="1">
        <v>45294.833333333336</v>
      </c>
      <c r="C2302">
        <v>0</v>
      </c>
      <c r="D2302">
        <v>0</v>
      </c>
    </row>
    <row r="2303" spans="1:4" x14ac:dyDescent="0.3">
      <c r="A2303" t="s">
        <v>9</v>
      </c>
      <c r="B2303" s="1">
        <v>45294.875</v>
      </c>
      <c r="C2303">
        <v>0</v>
      </c>
      <c r="D2303">
        <v>0</v>
      </c>
    </row>
    <row r="2304" spans="1:4" x14ac:dyDescent="0.3">
      <c r="A2304" t="s">
        <v>9</v>
      </c>
      <c r="B2304" s="1">
        <v>45294.916666666664</v>
      </c>
      <c r="C2304">
        <v>0</v>
      </c>
      <c r="D2304">
        <v>0</v>
      </c>
    </row>
    <row r="2305" spans="1:4" x14ac:dyDescent="0.3">
      <c r="A2305" t="s">
        <v>9</v>
      </c>
      <c r="B2305" s="1">
        <v>45294.958333333336</v>
      </c>
      <c r="C2305">
        <v>0</v>
      </c>
      <c r="D2305">
        <v>0</v>
      </c>
    </row>
    <row r="2306" spans="1:4" x14ac:dyDescent="0.3">
      <c r="A2306" t="s">
        <v>9</v>
      </c>
      <c r="B2306" s="1">
        <v>45295</v>
      </c>
      <c r="C2306">
        <v>0</v>
      </c>
      <c r="D2306">
        <v>0</v>
      </c>
    </row>
    <row r="2307" spans="1:4" x14ac:dyDescent="0.3">
      <c r="A2307" t="s">
        <v>9</v>
      </c>
      <c r="B2307" s="1">
        <v>45295.041666666664</v>
      </c>
      <c r="C2307">
        <v>0</v>
      </c>
      <c r="D2307">
        <v>0</v>
      </c>
    </row>
    <row r="2308" spans="1:4" x14ac:dyDescent="0.3">
      <c r="A2308" t="s">
        <v>9</v>
      </c>
      <c r="B2308" s="1">
        <v>45295.083333333336</v>
      </c>
      <c r="C2308">
        <v>0</v>
      </c>
      <c r="D2308">
        <v>0</v>
      </c>
    </row>
    <row r="2309" spans="1:4" x14ac:dyDescent="0.3">
      <c r="A2309" t="s">
        <v>9</v>
      </c>
      <c r="B2309" s="1">
        <v>45295.125</v>
      </c>
      <c r="C2309">
        <v>0</v>
      </c>
      <c r="D2309">
        <v>0</v>
      </c>
    </row>
    <row r="2310" spans="1:4" x14ac:dyDescent="0.3">
      <c r="A2310" t="s">
        <v>9</v>
      </c>
      <c r="B2310" s="1">
        <v>45295.166666666664</v>
      </c>
      <c r="C2310">
        <v>0</v>
      </c>
      <c r="D2310">
        <v>0</v>
      </c>
    </row>
    <row r="2311" spans="1:4" x14ac:dyDescent="0.3">
      <c r="A2311" t="s">
        <v>9</v>
      </c>
      <c r="B2311" s="1">
        <v>45295.208333333336</v>
      </c>
      <c r="C2311">
        <v>0</v>
      </c>
      <c r="D2311">
        <v>0</v>
      </c>
    </row>
    <row r="2312" spans="1:4" x14ac:dyDescent="0.3">
      <c r="A2312" t="s">
        <v>9</v>
      </c>
      <c r="B2312" s="1">
        <v>45295.25</v>
      </c>
      <c r="C2312">
        <v>0</v>
      </c>
      <c r="D2312">
        <v>0</v>
      </c>
    </row>
    <row r="2313" spans="1:4" x14ac:dyDescent="0.3">
      <c r="A2313" t="s">
        <v>9</v>
      </c>
      <c r="B2313" s="1">
        <v>45295.291666666664</v>
      </c>
      <c r="C2313">
        <v>248.466283298419</v>
      </c>
      <c r="D2313">
        <v>207.05523608201599</v>
      </c>
    </row>
    <row r="2314" spans="1:4" x14ac:dyDescent="0.3">
      <c r="A2314" t="s">
        <v>9</v>
      </c>
      <c r="B2314" s="1">
        <v>45295.333333333336</v>
      </c>
      <c r="C2314">
        <v>479.99999999999898</v>
      </c>
      <c r="D2314">
        <v>399.99999999999898</v>
      </c>
    </row>
    <row r="2315" spans="1:4" x14ac:dyDescent="0.3">
      <c r="A2315" t="s">
        <v>9</v>
      </c>
      <c r="B2315" s="1">
        <v>45295.375</v>
      </c>
      <c r="C2315">
        <v>678.82250993908497</v>
      </c>
      <c r="D2315">
        <v>565.68542494923804</v>
      </c>
    </row>
    <row r="2316" spans="1:4" x14ac:dyDescent="0.3">
      <c r="A2316" t="s">
        <v>9</v>
      </c>
      <c r="B2316" s="1">
        <v>45295.416666666664</v>
      </c>
      <c r="C2316">
        <v>831.38438763306101</v>
      </c>
      <c r="D2316">
        <v>692.82032302754999</v>
      </c>
    </row>
    <row r="2317" spans="1:4" x14ac:dyDescent="0.3">
      <c r="A2317" t="s">
        <v>9</v>
      </c>
      <c r="B2317" s="1">
        <v>45295.458333333336</v>
      </c>
      <c r="C2317">
        <v>927.28879323750505</v>
      </c>
      <c r="D2317">
        <v>772.74066103125404</v>
      </c>
    </row>
    <row r="2318" spans="1:4" x14ac:dyDescent="0.3">
      <c r="A2318" t="s">
        <v>9</v>
      </c>
      <c r="B2318" s="1">
        <v>45295.5</v>
      </c>
      <c r="C2318">
        <v>960</v>
      </c>
      <c r="D2318">
        <v>800</v>
      </c>
    </row>
    <row r="2319" spans="1:4" x14ac:dyDescent="0.3">
      <c r="A2319" t="s">
        <v>9</v>
      </c>
      <c r="B2319" s="1">
        <v>45295.541666666664</v>
      </c>
      <c r="C2319">
        <v>927.28879323750505</v>
      </c>
      <c r="D2319">
        <v>772.74066103125404</v>
      </c>
    </row>
    <row r="2320" spans="1:4" x14ac:dyDescent="0.3">
      <c r="A2320" t="s">
        <v>9</v>
      </c>
      <c r="B2320" s="1">
        <v>45295.583333333336</v>
      </c>
      <c r="C2320">
        <v>831.38438763306101</v>
      </c>
      <c r="D2320">
        <v>692.82032302755101</v>
      </c>
    </row>
    <row r="2321" spans="1:4" x14ac:dyDescent="0.3">
      <c r="A2321" t="s">
        <v>9</v>
      </c>
      <c r="B2321" s="1">
        <v>45295.625</v>
      </c>
      <c r="C2321">
        <v>678.82250993908497</v>
      </c>
      <c r="D2321">
        <v>565.68542494923804</v>
      </c>
    </row>
    <row r="2322" spans="1:4" x14ac:dyDescent="0.3">
      <c r="A2322" t="s">
        <v>9</v>
      </c>
      <c r="B2322" s="1">
        <v>45295.666666666664</v>
      </c>
      <c r="C2322">
        <v>479.99999999999898</v>
      </c>
      <c r="D2322">
        <v>399.99999999999898</v>
      </c>
    </row>
    <row r="2323" spans="1:4" x14ac:dyDescent="0.3">
      <c r="A2323" t="s">
        <v>9</v>
      </c>
      <c r="B2323" s="1">
        <v>45295.708333333336</v>
      </c>
      <c r="C2323">
        <v>248.46628329842</v>
      </c>
      <c r="D2323">
        <v>207.05523608201599</v>
      </c>
    </row>
    <row r="2324" spans="1:4" x14ac:dyDescent="0.3">
      <c r="A2324" t="s">
        <v>9</v>
      </c>
      <c r="B2324" s="1">
        <v>45295.75</v>
      </c>
      <c r="C2324" s="2">
        <v>1.1756609271814501E-13</v>
      </c>
      <c r="D2324" s="2">
        <v>9.7971743931788194E-14</v>
      </c>
    </row>
    <row r="2325" spans="1:4" x14ac:dyDescent="0.3">
      <c r="A2325" t="s">
        <v>9</v>
      </c>
      <c r="B2325" s="1">
        <v>45295.791666666664</v>
      </c>
      <c r="C2325">
        <v>0</v>
      </c>
      <c r="D2325">
        <v>0</v>
      </c>
    </row>
    <row r="2326" spans="1:4" x14ac:dyDescent="0.3">
      <c r="A2326" t="s">
        <v>9</v>
      </c>
      <c r="B2326" s="1">
        <v>45295.833333333336</v>
      </c>
      <c r="C2326">
        <v>0</v>
      </c>
      <c r="D2326">
        <v>0</v>
      </c>
    </row>
    <row r="2327" spans="1:4" x14ac:dyDescent="0.3">
      <c r="A2327" t="s">
        <v>9</v>
      </c>
      <c r="B2327" s="1">
        <v>45295.875</v>
      </c>
      <c r="C2327">
        <v>0</v>
      </c>
      <c r="D2327">
        <v>0</v>
      </c>
    </row>
    <row r="2328" spans="1:4" x14ac:dyDescent="0.3">
      <c r="A2328" t="s">
        <v>9</v>
      </c>
      <c r="B2328" s="1">
        <v>45295.916666666664</v>
      </c>
      <c r="C2328">
        <v>0</v>
      </c>
      <c r="D2328">
        <v>0</v>
      </c>
    </row>
    <row r="2329" spans="1:4" x14ac:dyDescent="0.3">
      <c r="A2329" t="s">
        <v>9</v>
      </c>
      <c r="B2329" s="1">
        <v>45295.958333333336</v>
      </c>
      <c r="C2329">
        <v>0</v>
      </c>
      <c r="D2329">
        <v>0</v>
      </c>
    </row>
    <row r="2330" spans="1:4" x14ac:dyDescent="0.3">
      <c r="A2330" t="s">
        <v>9</v>
      </c>
      <c r="B2330" s="1">
        <v>45296</v>
      </c>
      <c r="C2330">
        <v>0</v>
      </c>
      <c r="D2330">
        <v>0</v>
      </c>
    </row>
    <row r="2331" spans="1:4" x14ac:dyDescent="0.3">
      <c r="A2331" t="s">
        <v>9</v>
      </c>
      <c r="B2331" s="1">
        <v>45296.041666666664</v>
      </c>
      <c r="C2331">
        <v>0</v>
      </c>
      <c r="D2331">
        <v>0</v>
      </c>
    </row>
    <row r="2332" spans="1:4" x14ac:dyDescent="0.3">
      <c r="A2332" t="s">
        <v>9</v>
      </c>
      <c r="B2332" s="1">
        <v>45296.083333333336</v>
      </c>
      <c r="C2332">
        <v>0</v>
      </c>
      <c r="D2332">
        <v>0</v>
      </c>
    </row>
    <row r="2333" spans="1:4" x14ac:dyDescent="0.3">
      <c r="A2333" t="s">
        <v>9</v>
      </c>
      <c r="B2333" s="1">
        <v>45296.125</v>
      </c>
      <c r="C2333">
        <v>0</v>
      </c>
      <c r="D2333">
        <v>0</v>
      </c>
    </row>
    <row r="2334" spans="1:4" x14ac:dyDescent="0.3">
      <c r="A2334" t="s">
        <v>9</v>
      </c>
      <c r="B2334" s="1">
        <v>45296.166666666664</v>
      </c>
      <c r="C2334">
        <v>0</v>
      </c>
      <c r="D2334">
        <v>0</v>
      </c>
    </row>
    <row r="2335" spans="1:4" x14ac:dyDescent="0.3">
      <c r="A2335" t="s">
        <v>9</v>
      </c>
      <c r="B2335" s="1">
        <v>45296.208333333336</v>
      </c>
      <c r="C2335">
        <v>0</v>
      </c>
      <c r="D2335">
        <v>0</v>
      </c>
    </row>
    <row r="2336" spans="1:4" x14ac:dyDescent="0.3">
      <c r="A2336" t="s">
        <v>9</v>
      </c>
      <c r="B2336" s="1">
        <v>45296.25</v>
      </c>
      <c r="C2336">
        <v>0</v>
      </c>
      <c r="D2336">
        <v>0</v>
      </c>
    </row>
    <row r="2337" spans="1:4" x14ac:dyDescent="0.3">
      <c r="A2337" t="s">
        <v>9</v>
      </c>
      <c r="B2337" s="1">
        <v>45296.291666666664</v>
      </c>
      <c r="C2337">
        <v>248.466283298419</v>
      </c>
      <c r="D2337">
        <v>207.05523608201599</v>
      </c>
    </row>
    <row r="2338" spans="1:4" x14ac:dyDescent="0.3">
      <c r="A2338" t="s">
        <v>9</v>
      </c>
      <c r="B2338" s="1">
        <v>45296.333333333336</v>
      </c>
      <c r="C2338">
        <v>479.99999999999898</v>
      </c>
      <c r="D2338">
        <v>399.99999999999898</v>
      </c>
    </row>
    <row r="2339" spans="1:4" x14ac:dyDescent="0.3">
      <c r="A2339" t="s">
        <v>9</v>
      </c>
      <c r="B2339" s="1">
        <v>45296.375</v>
      </c>
      <c r="C2339">
        <v>678.82250993908497</v>
      </c>
      <c r="D2339">
        <v>565.68542494923804</v>
      </c>
    </row>
    <row r="2340" spans="1:4" x14ac:dyDescent="0.3">
      <c r="A2340" t="s">
        <v>9</v>
      </c>
      <c r="B2340" s="1">
        <v>45296.416666666664</v>
      </c>
      <c r="C2340">
        <v>831.38438763306101</v>
      </c>
      <c r="D2340">
        <v>692.82032302754999</v>
      </c>
    </row>
    <row r="2341" spans="1:4" x14ac:dyDescent="0.3">
      <c r="A2341" t="s">
        <v>9</v>
      </c>
      <c r="B2341" s="1">
        <v>45296.458333333336</v>
      </c>
      <c r="C2341">
        <v>927.28879323750505</v>
      </c>
      <c r="D2341">
        <v>772.74066103125404</v>
      </c>
    </row>
    <row r="2342" spans="1:4" x14ac:dyDescent="0.3">
      <c r="A2342" t="s">
        <v>9</v>
      </c>
      <c r="B2342" s="1">
        <v>45296.5</v>
      </c>
      <c r="C2342">
        <v>960</v>
      </c>
      <c r="D2342">
        <v>800</v>
      </c>
    </row>
    <row r="2343" spans="1:4" x14ac:dyDescent="0.3">
      <c r="A2343" t="s">
        <v>9</v>
      </c>
      <c r="B2343" s="1">
        <v>45296.541666666664</v>
      </c>
      <c r="C2343">
        <v>927.28879323750505</v>
      </c>
      <c r="D2343">
        <v>772.74066103125404</v>
      </c>
    </row>
    <row r="2344" spans="1:4" x14ac:dyDescent="0.3">
      <c r="A2344" t="s">
        <v>9</v>
      </c>
      <c r="B2344" s="1">
        <v>45296.583333333336</v>
      </c>
      <c r="C2344">
        <v>831.38438763306101</v>
      </c>
      <c r="D2344">
        <v>692.82032302755101</v>
      </c>
    </row>
    <row r="2345" spans="1:4" x14ac:dyDescent="0.3">
      <c r="A2345" t="s">
        <v>9</v>
      </c>
      <c r="B2345" s="1">
        <v>45296.625</v>
      </c>
      <c r="C2345">
        <v>678.82250993908497</v>
      </c>
      <c r="D2345">
        <v>565.68542494923804</v>
      </c>
    </row>
    <row r="2346" spans="1:4" x14ac:dyDescent="0.3">
      <c r="A2346" t="s">
        <v>9</v>
      </c>
      <c r="B2346" s="1">
        <v>45296.666666666664</v>
      </c>
      <c r="C2346">
        <v>479.99999999999898</v>
      </c>
      <c r="D2346">
        <v>399.99999999999898</v>
      </c>
    </row>
    <row r="2347" spans="1:4" x14ac:dyDescent="0.3">
      <c r="A2347" t="s">
        <v>9</v>
      </c>
      <c r="B2347" s="1">
        <v>45296.708333333336</v>
      </c>
      <c r="C2347">
        <v>248.46628329842</v>
      </c>
      <c r="D2347">
        <v>207.05523608201599</v>
      </c>
    </row>
    <row r="2348" spans="1:4" x14ac:dyDescent="0.3">
      <c r="A2348" t="s">
        <v>9</v>
      </c>
      <c r="B2348" s="1">
        <v>45296.75</v>
      </c>
      <c r="C2348" s="2">
        <v>1.1756609271814501E-13</v>
      </c>
      <c r="D2348" s="2">
        <v>9.7971743931788194E-14</v>
      </c>
    </row>
    <row r="2349" spans="1:4" x14ac:dyDescent="0.3">
      <c r="A2349" t="s">
        <v>9</v>
      </c>
      <c r="B2349" s="1">
        <v>45296.791666666664</v>
      </c>
      <c r="C2349">
        <v>0</v>
      </c>
      <c r="D2349">
        <v>0</v>
      </c>
    </row>
    <row r="2350" spans="1:4" x14ac:dyDescent="0.3">
      <c r="A2350" t="s">
        <v>9</v>
      </c>
      <c r="B2350" s="1">
        <v>45296.833333333336</v>
      </c>
      <c r="C2350">
        <v>0</v>
      </c>
      <c r="D2350">
        <v>0</v>
      </c>
    </row>
    <row r="2351" spans="1:4" x14ac:dyDescent="0.3">
      <c r="A2351" t="s">
        <v>9</v>
      </c>
      <c r="B2351" s="1">
        <v>45296.875</v>
      </c>
      <c r="C2351">
        <v>0</v>
      </c>
      <c r="D2351">
        <v>0</v>
      </c>
    </row>
    <row r="2352" spans="1:4" x14ac:dyDescent="0.3">
      <c r="A2352" t="s">
        <v>9</v>
      </c>
      <c r="B2352" s="1">
        <v>45296.916666666664</v>
      </c>
      <c r="C2352">
        <v>0</v>
      </c>
      <c r="D2352">
        <v>0</v>
      </c>
    </row>
    <row r="2353" spans="1:4" x14ac:dyDescent="0.3">
      <c r="A2353" t="s">
        <v>9</v>
      </c>
      <c r="B2353" s="1">
        <v>45296.958333333336</v>
      </c>
      <c r="C2353">
        <v>0</v>
      </c>
      <c r="D2353">
        <v>0</v>
      </c>
    </row>
    <row r="2354" spans="1:4" x14ac:dyDescent="0.3">
      <c r="A2354" t="s">
        <v>9</v>
      </c>
      <c r="B2354" s="1">
        <v>45297</v>
      </c>
      <c r="C2354">
        <v>0</v>
      </c>
      <c r="D2354">
        <v>0</v>
      </c>
    </row>
    <row r="2355" spans="1:4" x14ac:dyDescent="0.3">
      <c r="A2355" t="s">
        <v>9</v>
      </c>
      <c r="B2355" s="1">
        <v>45297.041666666664</v>
      </c>
      <c r="C2355">
        <v>0</v>
      </c>
      <c r="D2355">
        <v>0</v>
      </c>
    </row>
    <row r="2356" spans="1:4" x14ac:dyDescent="0.3">
      <c r="A2356" t="s">
        <v>9</v>
      </c>
      <c r="B2356" s="1">
        <v>45297.083333333336</v>
      </c>
      <c r="C2356">
        <v>0</v>
      </c>
      <c r="D2356">
        <v>0</v>
      </c>
    </row>
    <row r="2357" spans="1:4" x14ac:dyDescent="0.3">
      <c r="A2357" t="s">
        <v>9</v>
      </c>
      <c r="B2357" s="1">
        <v>45297.125</v>
      </c>
      <c r="C2357">
        <v>0</v>
      </c>
      <c r="D2357">
        <v>0</v>
      </c>
    </row>
    <row r="2358" spans="1:4" x14ac:dyDescent="0.3">
      <c r="A2358" t="s">
        <v>9</v>
      </c>
      <c r="B2358" s="1">
        <v>45297.166666666664</v>
      </c>
      <c r="C2358">
        <v>0</v>
      </c>
      <c r="D2358">
        <v>0</v>
      </c>
    </row>
    <row r="2359" spans="1:4" x14ac:dyDescent="0.3">
      <c r="A2359" t="s">
        <v>9</v>
      </c>
      <c r="B2359" s="1">
        <v>45297.208333333336</v>
      </c>
      <c r="C2359">
        <v>0</v>
      </c>
      <c r="D2359">
        <v>0</v>
      </c>
    </row>
    <row r="2360" spans="1:4" x14ac:dyDescent="0.3">
      <c r="A2360" t="s">
        <v>9</v>
      </c>
      <c r="B2360" s="1">
        <v>45297.25</v>
      </c>
      <c r="C2360">
        <v>0</v>
      </c>
      <c r="D2360">
        <v>0</v>
      </c>
    </row>
    <row r="2361" spans="1:4" x14ac:dyDescent="0.3">
      <c r="A2361" t="s">
        <v>9</v>
      </c>
      <c r="B2361" s="1">
        <v>45297.291666666664</v>
      </c>
      <c r="C2361">
        <v>248.466283298419</v>
      </c>
      <c r="D2361">
        <v>207.05523608201599</v>
      </c>
    </row>
    <row r="2362" spans="1:4" x14ac:dyDescent="0.3">
      <c r="A2362" t="s">
        <v>9</v>
      </c>
      <c r="B2362" s="1">
        <v>45297.333333333336</v>
      </c>
      <c r="C2362">
        <v>479.99999999999898</v>
      </c>
      <c r="D2362">
        <v>399.99999999999898</v>
      </c>
    </row>
    <row r="2363" spans="1:4" x14ac:dyDescent="0.3">
      <c r="A2363" t="s">
        <v>9</v>
      </c>
      <c r="B2363" s="1">
        <v>45297.375</v>
      </c>
      <c r="C2363">
        <v>678.82250993908497</v>
      </c>
      <c r="D2363">
        <v>565.68542494923804</v>
      </c>
    </row>
    <row r="2364" spans="1:4" x14ac:dyDescent="0.3">
      <c r="A2364" t="s">
        <v>9</v>
      </c>
      <c r="B2364" s="1">
        <v>45297.416666666664</v>
      </c>
      <c r="C2364">
        <v>831.38438763306101</v>
      </c>
      <c r="D2364">
        <v>692.82032302754999</v>
      </c>
    </row>
    <row r="2365" spans="1:4" x14ac:dyDescent="0.3">
      <c r="A2365" t="s">
        <v>9</v>
      </c>
      <c r="B2365" s="1">
        <v>45297.458333333336</v>
      </c>
      <c r="C2365">
        <v>927.28879323750505</v>
      </c>
      <c r="D2365">
        <v>772.74066103125404</v>
      </c>
    </row>
    <row r="2366" spans="1:4" x14ac:dyDescent="0.3">
      <c r="A2366" t="s">
        <v>9</v>
      </c>
      <c r="B2366" s="1">
        <v>45297.5</v>
      </c>
      <c r="C2366">
        <v>960</v>
      </c>
      <c r="D2366">
        <v>800</v>
      </c>
    </row>
    <row r="2367" spans="1:4" x14ac:dyDescent="0.3">
      <c r="A2367" t="s">
        <v>9</v>
      </c>
      <c r="B2367" s="1">
        <v>45297.541666666664</v>
      </c>
      <c r="C2367">
        <v>927.28879323750505</v>
      </c>
      <c r="D2367">
        <v>772.74066103125404</v>
      </c>
    </row>
    <row r="2368" spans="1:4" x14ac:dyDescent="0.3">
      <c r="A2368" t="s">
        <v>9</v>
      </c>
      <c r="B2368" s="1">
        <v>45297.583333333336</v>
      </c>
      <c r="C2368">
        <v>831.38438763306101</v>
      </c>
      <c r="D2368">
        <v>692.82032302755101</v>
      </c>
    </row>
    <row r="2369" spans="1:4" x14ac:dyDescent="0.3">
      <c r="A2369" t="s">
        <v>9</v>
      </c>
      <c r="B2369" s="1">
        <v>45297.625</v>
      </c>
      <c r="C2369">
        <v>678.82250993908497</v>
      </c>
      <c r="D2369">
        <v>565.68542494923804</v>
      </c>
    </row>
    <row r="2370" spans="1:4" x14ac:dyDescent="0.3">
      <c r="A2370" t="s">
        <v>9</v>
      </c>
      <c r="B2370" s="1">
        <v>45297.666666666664</v>
      </c>
      <c r="C2370">
        <v>479.99999999999898</v>
      </c>
      <c r="D2370">
        <v>399.99999999999898</v>
      </c>
    </row>
    <row r="2371" spans="1:4" x14ac:dyDescent="0.3">
      <c r="A2371" t="s">
        <v>9</v>
      </c>
      <c r="B2371" s="1">
        <v>45297.708333333336</v>
      </c>
      <c r="C2371">
        <v>248.46628329842</v>
      </c>
      <c r="D2371">
        <v>207.05523608201599</v>
      </c>
    </row>
    <row r="2372" spans="1:4" x14ac:dyDescent="0.3">
      <c r="A2372" t="s">
        <v>9</v>
      </c>
      <c r="B2372" s="1">
        <v>45297.75</v>
      </c>
      <c r="C2372" s="2">
        <v>1.1756609271814501E-13</v>
      </c>
      <c r="D2372" s="2">
        <v>9.7971743931788194E-14</v>
      </c>
    </row>
    <row r="2373" spans="1:4" x14ac:dyDescent="0.3">
      <c r="A2373" t="s">
        <v>9</v>
      </c>
      <c r="B2373" s="1">
        <v>45297.791666666664</v>
      </c>
      <c r="C2373">
        <v>0</v>
      </c>
      <c r="D2373">
        <v>0</v>
      </c>
    </row>
    <row r="2374" spans="1:4" x14ac:dyDescent="0.3">
      <c r="A2374" t="s">
        <v>9</v>
      </c>
      <c r="B2374" s="1">
        <v>45297.833333333336</v>
      </c>
      <c r="C2374">
        <v>0</v>
      </c>
      <c r="D2374">
        <v>0</v>
      </c>
    </row>
    <row r="2375" spans="1:4" x14ac:dyDescent="0.3">
      <c r="A2375" t="s">
        <v>9</v>
      </c>
      <c r="B2375" s="1">
        <v>45297.875</v>
      </c>
      <c r="C2375">
        <v>0</v>
      </c>
      <c r="D2375">
        <v>0</v>
      </c>
    </row>
    <row r="2376" spans="1:4" x14ac:dyDescent="0.3">
      <c r="A2376" t="s">
        <v>9</v>
      </c>
      <c r="B2376" s="1">
        <v>45297.916666666664</v>
      </c>
      <c r="C2376">
        <v>0</v>
      </c>
      <c r="D2376">
        <v>0</v>
      </c>
    </row>
    <row r="2377" spans="1:4" x14ac:dyDescent="0.3">
      <c r="A2377" t="s">
        <v>9</v>
      </c>
      <c r="B2377" s="1">
        <v>45297.958333333336</v>
      </c>
      <c r="C2377">
        <v>0</v>
      </c>
      <c r="D2377">
        <v>0</v>
      </c>
    </row>
    <row r="2378" spans="1:4" x14ac:dyDescent="0.3">
      <c r="A2378" t="s">
        <v>9</v>
      </c>
      <c r="B2378" s="1">
        <v>45298</v>
      </c>
      <c r="C2378">
        <v>0</v>
      </c>
      <c r="D2378">
        <v>0</v>
      </c>
    </row>
    <row r="2379" spans="1:4" x14ac:dyDescent="0.3">
      <c r="A2379" t="s">
        <v>9</v>
      </c>
      <c r="B2379" s="1">
        <v>45298.041666666664</v>
      </c>
      <c r="C2379">
        <v>0</v>
      </c>
      <c r="D2379">
        <v>0</v>
      </c>
    </row>
    <row r="2380" spans="1:4" x14ac:dyDescent="0.3">
      <c r="A2380" t="s">
        <v>9</v>
      </c>
      <c r="B2380" s="1">
        <v>45298.083333333336</v>
      </c>
      <c r="C2380">
        <v>0</v>
      </c>
      <c r="D2380">
        <v>0</v>
      </c>
    </row>
    <row r="2381" spans="1:4" x14ac:dyDescent="0.3">
      <c r="A2381" t="s">
        <v>9</v>
      </c>
      <c r="B2381" s="1">
        <v>45298.125</v>
      </c>
      <c r="C2381">
        <v>0</v>
      </c>
      <c r="D2381">
        <v>0</v>
      </c>
    </row>
    <row r="2382" spans="1:4" x14ac:dyDescent="0.3">
      <c r="A2382" t="s">
        <v>9</v>
      </c>
      <c r="B2382" s="1">
        <v>45298.166666666664</v>
      </c>
      <c r="C2382">
        <v>0</v>
      </c>
      <c r="D2382">
        <v>0</v>
      </c>
    </row>
    <row r="2383" spans="1:4" x14ac:dyDescent="0.3">
      <c r="A2383" t="s">
        <v>9</v>
      </c>
      <c r="B2383" s="1">
        <v>45298.208333333336</v>
      </c>
      <c r="C2383">
        <v>0</v>
      </c>
      <c r="D2383">
        <v>0</v>
      </c>
    </row>
    <row r="2384" spans="1:4" x14ac:dyDescent="0.3">
      <c r="A2384" t="s">
        <v>9</v>
      </c>
      <c r="B2384" s="1">
        <v>45298.25</v>
      </c>
      <c r="C2384">
        <v>0</v>
      </c>
      <c r="D2384">
        <v>0</v>
      </c>
    </row>
    <row r="2385" spans="1:4" x14ac:dyDescent="0.3">
      <c r="A2385" t="s">
        <v>9</v>
      </c>
      <c r="B2385" s="1">
        <v>45298.291666666664</v>
      </c>
      <c r="C2385">
        <v>248.466283298419</v>
      </c>
      <c r="D2385">
        <v>207.05523608201599</v>
      </c>
    </row>
    <row r="2386" spans="1:4" x14ac:dyDescent="0.3">
      <c r="A2386" t="s">
        <v>9</v>
      </c>
      <c r="B2386" s="1">
        <v>45298.333333333336</v>
      </c>
      <c r="C2386">
        <v>479.99999999999898</v>
      </c>
      <c r="D2386">
        <v>399.99999999999898</v>
      </c>
    </row>
    <row r="2387" spans="1:4" x14ac:dyDescent="0.3">
      <c r="A2387" t="s">
        <v>9</v>
      </c>
      <c r="B2387" s="1">
        <v>45298.375</v>
      </c>
      <c r="C2387">
        <v>678.82250993908497</v>
      </c>
      <c r="D2387">
        <v>565.68542494923804</v>
      </c>
    </row>
    <row r="2388" spans="1:4" x14ac:dyDescent="0.3">
      <c r="A2388" t="s">
        <v>9</v>
      </c>
      <c r="B2388" s="1">
        <v>45298.416666666664</v>
      </c>
      <c r="C2388">
        <v>831.38438763306101</v>
      </c>
      <c r="D2388">
        <v>692.82032302754999</v>
      </c>
    </row>
    <row r="2389" spans="1:4" x14ac:dyDescent="0.3">
      <c r="A2389" t="s">
        <v>9</v>
      </c>
      <c r="B2389" s="1">
        <v>45298.458333333336</v>
      </c>
      <c r="C2389">
        <v>927.28879323750505</v>
      </c>
      <c r="D2389">
        <v>772.74066103125404</v>
      </c>
    </row>
    <row r="2390" spans="1:4" x14ac:dyDescent="0.3">
      <c r="A2390" t="s">
        <v>9</v>
      </c>
      <c r="B2390" s="1">
        <v>45298.5</v>
      </c>
      <c r="C2390">
        <v>960</v>
      </c>
      <c r="D2390">
        <v>800</v>
      </c>
    </row>
    <row r="2391" spans="1:4" x14ac:dyDescent="0.3">
      <c r="A2391" t="s">
        <v>9</v>
      </c>
      <c r="B2391" s="1">
        <v>45298.541666666664</v>
      </c>
      <c r="C2391">
        <v>927.28879323750505</v>
      </c>
      <c r="D2391">
        <v>772.74066103125404</v>
      </c>
    </row>
    <row r="2392" spans="1:4" x14ac:dyDescent="0.3">
      <c r="A2392" t="s">
        <v>9</v>
      </c>
      <c r="B2392" s="1">
        <v>45298.583333333336</v>
      </c>
      <c r="C2392">
        <v>831.38438763306101</v>
      </c>
      <c r="D2392">
        <v>692.82032302755101</v>
      </c>
    </row>
    <row r="2393" spans="1:4" x14ac:dyDescent="0.3">
      <c r="A2393" t="s">
        <v>9</v>
      </c>
      <c r="B2393" s="1">
        <v>45298.625</v>
      </c>
      <c r="C2393">
        <v>678.82250993908497</v>
      </c>
      <c r="D2393">
        <v>565.68542494923804</v>
      </c>
    </row>
    <row r="2394" spans="1:4" x14ac:dyDescent="0.3">
      <c r="A2394" t="s">
        <v>9</v>
      </c>
      <c r="B2394" s="1">
        <v>45298.666666666664</v>
      </c>
      <c r="C2394">
        <v>479.99999999999898</v>
      </c>
      <c r="D2394">
        <v>399.99999999999898</v>
      </c>
    </row>
    <row r="2395" spans="1:4" x14ac:dyDescent="0.3">
      <c r="A2395" t="s">
        <v>9</v>
      </c>
      <c r="B2395" s="1">
        <v>45298.708333333336</v>
      </c>
      <c r="C2395">
        <v>248.46628329842</v>
      </c>
      <c r="D2395">
        <v>207.05523608201599</v>
      </c>
    </row>
    <row r="2396" spans="1:4" x14ac:dyDescent="0.3">
      <c r="A2396" t="s">
        <v>9</v>
      </c>
      <c r="B2396" s="1">
        <v>45298.75</v>
      </c>
      <c r="C2396" s="2">
        <v>1.1756609271814501E-13</v>
      </c>
      <c r="D2396" s="2">
        <v>9.7971743931788194E-14</v>
      </c>
    </row>
    <row r="2397" spans="1:4" x14ac:dyDescent="0.3">
      <c r="A2397" t="s">
        <v>9</v>
      </c>
      <c r="B2397" s="1">
        <v>45298.791666666664</v>
      </c>
      <c r="C2397">
        <v>0</v>
      </c>
      <c r="D2397">
        <v>0</v>
      </c>
    </row>
    <row r="2398" spans="1:4" x14ac:dyDescent="0.3">
      <c r="A2398" t="s">
        <v>9</v>
      </c>
      <c r="B2398" s="1">
        <v>45298.833333333336</v>
      </c>
      <c r="C2398">
        <v>0</v>
      </c>
      <c r="D2398">
        <v>0</v>
      </c>
    </row>
    <row r="2399" spans="1:4" x14ac:dyDescent="0.3">
      <c r="A2399" t="s">
        <v>9</v>
      </c>
      <c r="B2399" s="1">
        <v>45298.875</v>
      </c>
      <c r="C2399">
        <v>0</v>
      </c>
      <c r="D2399">
        <v>0</v>
      </c>
    </row>
    <row r="2400" spans="1:4" x14ac:dyDescent="0.3">
      <c r="A2400" t="s">
        <v>9</v>
      </c>
      <c r="B2400" s="1">
        <v>45298.916666666664</v>
      </c>
      <c r="C2400">
        <v>0</v>
      </c>
      <c r="D2400">
        <v>0</v>
      </c>
    </row>
    <row r="2401" spans="1:4" x14ac:dyDescent="0.3">
      <c r="A2401" t="s">
        <v>9</v>
      </c>
      <c r="B2401" s="1">
        <v>45298.958333333336</v>
      </c>
      <c r="C2401">
        <v>0</v>
      </c>
      <c r="D2401">
        <v>0</v>
      </c>
    </row>
    <row r="2402" spans="1:4" x14ac:dyDescent="0.3">
      <c r="A2402" t="s">
        <v>9</v>
      </c>
      <c r="B2402" s="1">
        <v>45299</v>
      </c>
      <c r="C2402">
        <v>0</v>
      </c>
      <c r="D2402">
        <v>0</v>
      </c>
    </row>
    <row r="2403" spans="1:4" x14ac:dyDescent="0.3">
      <c r="A2403" t="s">
        <v>9</v>
      </c>
      <c r="B2403" s="1">
        <v>45299.041666666664</v>
      </c>
      <c r="C2403">
        <v>0</v>
      </c>
      <c r="D2403">
        <v>0</v>
      </c>
    </row>
    <row r="2404" spans="1:4" x14ac:dyDescent="0.3">
      <c r="A2404" t="s">
        <v>9</v>
      </c>
      <c r="B2404" s="1">
        <v>45299.083333333336</v>
      </c>
      <c r="C2404">
        <v>0</v>
      </c>
      <c r="D2404">
        <v>0</v>
      </c>
    </row>
    <row r="2405" spans="1:4" x14ac:dyDescent="0.3">
      <c r="A2405" t="s">
        <v>9</v>
      </c>
      <c r="B2405" s="1">
        <v>45299.125</v>
      </c>
      <c r="C2405">
        <v>0</v>
      </c>
      <c r="D2405">
        <v>0</v>
      </c>
    </row>
    <row r="2406" spans="1:4" x14ac:dyDescent="0.3">
      <c r="A2406" t="s">
        <v>9</v>
      </c>
      <c r="B2406" s="1">
        <v>45299.166666666664</v>
      </c>
      <c r="C2406">
        <v>0</v>
      </c>
      <c r="D2406">
        <v>0</v>
      </c>
    </row>
    <row r="2407" spans="1:4" x14ac:dyDescent="0.3">
      <c r="A2407" t="s">
        <v>9</v>
      </c>
      <c r="B2407" s="1">
        <v>45299.208333333336</v>
      </c>
      <c r="C2407">
        <v>0</v>
      </c>
      <c r="D2407">
        <v>0</v>
      </c>
    </row>
    <row r="2408" spans="1:4" x14ac:dyDescent="0.3">
      <c r="A2408" t="s">
        <v>9</v>
      </c>
      <c r="B2408" s="1">
        <v>45299.25</v>
      </c>
      <c r="C2408">
        <v>0</v>
      </c>
      <c r="D2408">
        <v>0</v>
      </c>
    </row>
    <row r="2409" spans="1:4" x14ac:dyDescent="0.3">
      <c r="A2409" t="s">
        <v>9</v>
      </c>
      <c r="B2409" s="1">
        <v>45299.291666666664</v>
      </c>
      <c r="C2409">
        <v>248.466283298419</v>
      </c>
      <c r="D2409">
        <v>207.05523608201599</v>
      </c>
    </row>
    <row r="2410" spans="1:4" x14ac:dyDescent="0.3">
      <c r="A2410" t="s">
        <v>9</v>
      </c>
      <c r="B2410" s="1">
        <v>45299.333333333336</v>
      </c>
      <c r="C2410">
        <v>479.99999999999898</v>
      </c>
      <c r="D2410">
        <v>399.99999999999898</v>
      </c>
    </row>
    <row r="2411" spans="1:4" x14ac:dyDescent="0.3">
      <c r="A2411" t="s">
        <v>9</v>
      </c>
      <c r="B2411" s="1">
        <v>45299.375</v>
      </c>
      <c r="C2411">
        <v>678.82250993908497</v>
      </c>
      <c r="D2411">
        <v>565.68542494923804</v>
      </c>
    </row>
    <row r="2412" spans="1:4" x14ac:dyDescent="0.3">
      <c r="A2412" t="s">
        <v>9</v>
      </c>
      <c r="B2412" s="1">
        <v>45299.416666666664</v>
      </c>
      <c r="C2412">
        <v>831.38438763306101</v>
      </c>
      <c r="D2412">
        <v>692.82032302754999</v>
      </c>
    </row>
    <row r="2413" spans="1:4" x14ac:dyDescent="0.3">
      <c r="A2413" t="s">
        <v>9</v>
      </c>
      <c r="B2413" s="1">
        <v>45299.458333333336</v>
      </c>
      <c r="C2413">
        <v>927.28879323750505</v>
      </c>
      <c r="D2413">
        <v>772.74066103125404</v>
      </c>
    </row>
    <row r="2414" spans="1:4" x14ac:dyDescent="0.3">
      <c r="A2414" t="s">
        <v>9</v>
      </c>
      <c r="B2414" s="1">
        <v>45299.5</v>
      </c>
      <c r="C2414">
        <v>960</v>
      </c>
      <c r="D2414">
        <v>800</v>
      </c>
    </row>
    <row r="2415" spans="1:4" x14ac:dyDescent="0.3">
      <c r="A2415" t="s">
        <v>9</v>
      </c>
      <c r="B2415" s="1">
        <v>45299.541666666664</v>
      </c>
      <c r="C2415">
        <v>927.28879323750505</v>
      </c>
      <c r="D2415">
        <v>772.74066103125404</v>
      </c>
    </row>
    <row r="2416" spans="1:4" x14ac:dyDescent="0.3">
      <c r="A2416" t="s">
        <v>9</v>
      </c>
      <c r="B2416" s="1">
        <v>45299.583333333336</v>
      </c>
      <c r="C2416">
        <v>831.38438763306101</v>
      </c>
      <c r="D2416">
        <v>692.82032302755101</v>
      </c>
    </row>
    <row r="2417" spans="1:4" x14ac:dyDescent="0.3">
      <c r="A2417" t="s">
        <v>9</v>
      </c>
      <c r="B2417" s="1">
        <v>45299.625</v>
      </c>
      <c r="C2417">
        <v>678.82250993908497</v>
      </c>
      <c r="D2417">
        <v>565.68542494923804</v>
      </c>
    </row>
    <row r="2418" spans="1:4" x14ac:dyDescent="0.3">
      <c r="A2418" t="s">
        <v>9</v>
      </c>
      <c r="B2418" s="1">
        <v>45299.666666666664</v>
      </c>
      <c r="C2418">
        <v>479.99999999999898</v>
      </c>
      <c r="D2418">
        <v>399.99999999999898</v>
      </c>
    </row>
    <row r="2419" spans="1:4" x14ac:dyDescent="0.3">
      <c r="A2419" t="s">
        <v>9</v>
      </c>
      <c r="B2419" s="1">
        <v>45299.708333333336</v>
      </c>
      <c r="C2419">
        <v>248.46628329842</v>
      </c>
      <c r="D2419">
        <v>207.05523608201599</v>
      </c>
    </row>
    <row r="2420" spans="1:4" x14ac:dyDescent="0.3">
      <c r="A2420" t="s">
        <v>9</v>
      </c>
      <c r="B2420" s="1">
        <v>45299.75</v>
      </c>
      <c r="C2420" s="2">
        <v>1.1756609271814501E-13</v>
      </c>
      <c r="D2420" s="2">
        <v>9.7971743931788194E-14</v>
      </c>
    </row>
    <row r="2421" spans="1:4" x14ac:dyDescent="0.3">
      <c r="A2421" t="s">
        <v>9</v>
      </c>
      <c r="B2421" s="1">
        <v>45299.791666666664</v>
      </c>
      <c r="C2421">
        <v>0</v>
      </c>
      <c r="D2421">
        <v>0</v>
      </c>
    </row>
    <row r="2422" spans="1:4" x14ac:dyDescent="0.3">
      <c r="A2422" t="s">
        <v>9</v>
      </c>
      <c r="B2422" s="1">
        <v>45299.833333333336</v>
      </c>
      <c r="C2422">
        <v>0</v>
      </c>
      <c r="D2422">
        <v>0</v>
      </c>
    </row>
    <row r="2423" spans="1:4" x14ac:dyDescent="0.3">
      <c r="A2423" t="s">
        <v>9</v>
      </c>
      <c r="B2423" s="1">
        <v>45299.875</v>
      </c>
      <c r="C2423">
        <v>0</v>
      </c>
      <c r="D2423">
        <v>0</v>
      </c>
    </row>
    <row r="2424" spans="1:4" x14ac:dyDescent="0.3">
      <c r="A2424" t="s">
        <v>9</v>
      </c>
      <c r="B2424" s="1">
        <v>45299.916666666664</v>
      </c>
      <c r="C2424">
        <v>0</v>
      </c>
      <c r="D2424">
        <v>0</v>
      </c>
    </row>
    <row r="2425" spans="1:4" x14ac:dyDescent="0.3">
      <c r="A2425" t="s">
        <v>9</v>
      </c>
      <c r="B2425" s="1">
        <v>45299.958333333336</v>
      </c>
      <c r="C2425">
        <v>0</v>
      </c>
      <c r="D2425">
        <v>0</v>
      </c>
    </row>
    <row r="2426" spans="1:4" x14ac:dyDescent="0.3">
      <c r="A2426" t="s">
        <v>9</v>
      </c>
      <c r="B2426" s="1">
        <v>45300</v>
      </c>
      <c r="C2426">
        <v>0</v>
      </c>
      <c r="D2426">
        <v>0</v>
      </c>
    </row>
    <row r="2427" spans="1:4" x14ac:dyDescent="0.3">
      <c r="A2427" t="s">
        <v>9</v>
      </c>
      <c r="B2427" s="1">
        <v>45300.041666666664</v>
      </c>
      <c r="C2427">
        <v>0</v>
      </c>
      <c r="D2427">
        <v>0</v>
      </c>
    </row>
    <row r="2428" spans="1:4" x14ac:dyDescent="0.3">
      <c r="A2428" t="s">
        <v>9</v>
      </c>
      <c r="B2428" s="1">
        <v>45300.083333333336</v>
      </c>
      <c r="C2428">
        <v>0</v>
      </c>
      <c r="D2428">
        <v>0</v>
      </c>
    </row>
    <row r="2429" spans="1:4" x14ac:dyDescent="0.3">
      <c r="A2429" t="s">
        <v>9</v>
      </c>
      <c r="B2429" s="1">
        <v>45300.125</v>
      </c>
      <c r="C2429">
        <v>0</v>
      </c>
      <c r="D2429">
        <v>0</v>
      </c>
    </row>
    <row r="2430" spans="1:4" x14ac:dyDescent="0.3">
      <c r="A2430" t="s">
        <v>9</v>
      </c>
      <c r="B2430" s="1">
        <v>45300.166666666664</v>
      </c>
      <c r="C2430">
        <v>0</v>
      </c>
      <c r="D2430">
        <v>0</v>
      </c>
    </row>
    <row r="2431" spans="1:4" x14ac:dyDescent="0.3">
      <c r="A2431" t="s">
        <v>9</v>
      </c>
      <c r="B2431" s="1">
        <v>45300.208333333336</v>
      </c>
      <c r="C2431">
        <v>0</v>
      </c>
      <c r="D2431">
        <v>0</v>
      </c>
    </row>
    <row r="2432" spans="1:4" x14ac:dyDescent="0.3">
      <c r="A2432" t="s">
        <v>9</v>
      </c>
      <c r="B2432" s="1">
        <v>45300.25</v>
      </c>
      <c r="C2432">
        <v>0</v>
      </c>
      <c r="D2432">
        <v>0</v>
      </c>
    </row>
    <row r="2433" spans="1:4" x14ac:dyDescent="0.3">
      <c r="A2433" t="s">
        <v>9</v>
      </c>
      <c r="B2433" s="1">
        <v>45300.291666666664</v>
      </c>
      <c r="C2433">
        <v>248.466283298419</v>
      </c>
      <c r="D2433">
        <v>207.05523608201599</v>
      </c>
    </row>
    <row r="2434" spans="1:4" x14ac:dyDescent="0.3">
      <c r="A2434" t="s">
        <v>9</v>
      </c>
      <c r="B2434" s="1">
        <v>45300.333333333336</v>
      </c>
      <c r="C2434">
        <v>479.99999999999898</v>
      </c>
      <c r="D2434">
        <v>399.99999999999898</v>
      </c>
    </row>
    <row r="2435" spans="1:4" x14ac:dyDescent="0.3">
      <c r="A2435" t="s">
        <v>9</v>
      </c>
      <c r="B2435" s="1">
        <v>45300.375</v>
      </c>
      <c r="C2435">
        <v>678.82250993908497</v>
      </c>
      <c r="D2435">
        <v>565.68542494923804</v>
      </c>
    </row>
    <row r="2436" spans="1:4" x14ac:dyDescent="0.3">
      <c r="A2436" t="s">
        <v>9</v>
      </c>
      <c r="B2436" s="1">
        <v>45300.416666666664</v>
      </c>
      <c r="C2436">
        <v>831.38438763306101</v>
      </c>
      <c r="D2436">
        <v>692.82032302754999</v>
      </c>
    </row>
    <row r="2437" spans="1:4" x14ac:dyDescent="0.3">
      <c r="A2437" t="s">
        <v>9</v>
      </c>
      <c r="B2437" s="1">
        <v>45300.458333333336</v>
      </c>
      <c r="C2437">
        <v>927.28879323750505</v>
      </c>
      <c r="D2437">
        <v>772.74066103125404</v>
      </c>
    </row>
    <row r="2438" spans="1:4" x14ac:dyDescent="0.3">
      <c r="A2438" t="s">
        <v>9</v>
      </c>
      <c r="B2438" s="1">
        <v>45300.5</v>
      </c>
      <c r="C2438">
        <v>960</v>
      </c>
      <c r="D2438">
        <v>800</v>
      </c>
    </row>
    <row r="2439" spans="1:4" x14ac:dyDescent="0.3">
      <c r="A2439" t="s">
        <v>9</v>
      </c>
      <c r="B2439" s="1">
        <v>45300.541666666664</v>
      </c>
      <c r="C2439">
        <v>927.28879323750505</v>
      </c>
      <c r="D2439">
        <v>772.74066103125404</v>
      </c>
    </row>
    <row r="2440" spans="1:4" x14ac:dyDescent="0.3">
      <c r="A2440" t="s">
        <v>9</v>
      </c>
      <c r="B2440" s="1">
        <v>45300.583333333336</v>
      </c>
      <c r="C2440">
        <v>831.38438763306101</v>
      </c>
      <c r="D2440">
        <v>692.82032302755101</v>
      </c>
    </row>
    <row r="2441" spans="1:4" x14ac:dyDescent="0.3">
      <c r="A2441" t="s">
        <v>9</v>
      </c>
      <c r="B2441" s="1">
        <v>45300.625</v>
      </c>
      <c r="C2441">
        <v>678.82250993908497</v>
      </c>
      <c r="D2441">
        <v>565.68542494923804</v>
      </c>
    </row>
    <row r="2442" spans="1:4" x14ac:dyDescent="0.3">
      <c r="A2442" t="s">
        <v>9</v>
      </c>
      <c r="B2442" s="1">
        <v>45300.666666666664</v>
      </c>
      <c r="C2442">
        <v>479.99999999999898</v>
      </c>
      <c r="D2442">
        <v>399.99999999999898</v>
      </c>
    </row>
    <row r="2443" spans="1:4" x14ac:dyDescent="0.3">
      <c r="A2443" t="s">
        <v>9</v>
      </c>
      <c r="B2443" s="1">
        <v>45300.708333333336</v>
      </c>
      <c r="C2443">
        <v>248.46628329842</v>
      </c>
      <c r="D2443">
        <v>207.05523608201599</v>
      </c>
    </row>
    <row r="2444" spans="1:4" x14ac:dyDescent="0.3">
      <c r="A2444" t="s">
        <v>9</v>
      </c>
      <c r="B2444" s="1">
        <v>45300.75</v>
      </c>
      <c r="C2444" s="2">
        <v>1.1756609271814501E-13</v>
      </c>
      <c r="D2444" s="2">
        <v>9.7971743931788194E-14</v>
      </c>
    </row>
    <row r="2445" spans="1:4" x14ac:dyDescent="0.3">
      <c r="A2445" t="s">
        <v>9</v>
      </c>
      <c r="B2445" s="1">
        <v>45300.791666666664</v>
      </c>
      <c r="C2445">
        <v>0</v>
      </c>
      <c r="D2445">
        <v>0</v>
      </c>
    </row>
    <row r="2446" spans="1:4" x14ac:dyDescent="0.3">
      <c r="A2446" t="s">
        <v>9</v>
      </c>
      <c r="B2446" s="1">
        <v>45300.833333333336</v>
      </c>
      <c r="C2446">
        <v>0</v>
      </c>
      <c r="D2446">
        <v>0</v>
      </c>
    </row>
    <row r="2447" spans="1:4" x14ac:dyDescent="0.3">
      <c r="A2447" t="s">
        <v>9</v>
      </c>
      <c r="B2447" s="1">
        <v>45300.875</v>
      </c>
      <c r="C2447">
        <v>0</v>
      </c>
      <c r="D2447">
        <v>0</v>
      </c>
    </row>
    <row r="2448" spans="1:4" x14ac:dyDescent="0.3">
      <c r="A2448" t="s">
        <v>9</v>
      </c>
      <c r="B2448" s="1">
        <v>45300.916666666664</v>
      </c>
      <c r="C2448">
        <v>0</v>
      </c>
      <c r="D2448">
        <v>0</v>
      </c>
    </row>
    <row r="2449" spans="1:4" x14ac:dyDescent="0.3">
      <c r="A2449" t="s">
        <v>9</v>
      </c>
      <c r="B2449" s="1">
        <v>45300.958333333336</v>
      </c>
      <c r="C2449">
        <v>0</v>
      </c>
      <c r="D2449">
        <v>0</v>
      </c>
    </row>
    <row r="2450" spans="1:4" x14ac:dyDescent="0.3">
      <c r="A2450" t="s">
        <v>9</v>
      </c>
      <c r="B2450" s="1">
        <v>45301</v>
      </c>
      <c r="C2450">
        <v>0</v>
      </c>
      <c r="D2450">
        <v>0</v>
      </c>
    </row>
    <row r="2451" spans="1:4" x14ac:dyDescent="0.3">
      <c r="A2451" t="s">
        <v>9</v>
      </c>
      <c r="B2451" s="1">
        <v>45301.041666666664</v>
      </c>
      <c r="C2451">
        <v>0</v>
      </c>
      <c r="D2451">
        <v>0</v>
      </c>
    </row>
    <row r="2452" spans="1:4" x14ac:dyDescent="0.3">
      <c r="A2452" t="s">
        <v>9</v>
      </c>
      <c r="B2452" s="1">
        <v>45301.083333333336</v>
      </c>
      <c r="C2452">
        <v>0</v>
      </c>
      <c r="D2452">
        <v>0</v>
      </c>
    </row>
    <row r="2453" spans="1:4" x14ac:dyDescent="0.3">
      <c r="A2453" t="s">
        <v>9</v>
      </c>
      <c r="B2453" s="1">
        <v>45301.125</v>
      </c>
      <c r="C2453">
        <v>0</v>
      </c>
      <c r="D2453">
        <v>0</v>
      </c>
    </row>
    <row r="2454" spans="1:4" x14ac:dyDescent="0.3">
      <c r="A2454" t="s">
        <v>9</v>
      </c>
      <c r="B2454" s="1">
        <v>45301.166666666664</v>
      </c>
      <c r="C2454">
        <v>0</v>
      </c>
      <c r="D2454">
        <v>0</v>
      </c>
    </row>
    <row r="2455" spans="1:4" x14ac:dyDescent="0.3">
      <c r="A2455" t="s">
        <v>9</v>
      </c>
      <c r="B2455" s="1">
        <v>45301.208333333336</v>
      </c>
      <c r="C2455">
        <v>0</v>
      </c>
      <c r="D2455">
        <v>0</v>
      </c>
    </row>
    <row r="2456" spans="1:4" x14ac:dyDescent="0.3">
      <c r="A2456" t="s">
        <v>9</v>
      </c>
      <c r="B2456" s="1">
        <v>45301.25</v>
      </c>
      <c r="C2456">
        <v>0</v>
      </c>
      <c r="D2456">
        <v>0</v>
      </c>
    </row>
    <row r="2457" spans="1:4" x14ac:dyDescent="0.3">
      <c r="A2457" t="s">
        <v>9</v>
      </c>
      <c r="B2457" s="1">
        <v>45301.291666666664</v>
      </c>
      <c r="C2457">
        <v>248.466283298419</v>
      </c>
      <c r="D2457">
        <v>207.05523608201599</v>
      </c>
    </row>
    <row r="2458" spans="1:4" x14ac:dyDescent="0.3">
      <c r="A2458" t="s">
        <v>9</v>
      </c>
      <c r="B2458" s="1">
        <v>45301.333333333336</v>
      </c>
      <c r="C2458">
        <v>479.99999999999898</v>
      </c>
      <c r="D2458">
        <v>399.99999999999898</v>
      </c>
    </row>
    <row r="2459" spans="1:4" x14ac:dyDescent="0.3">
      <c r="A2459" t="s">
        <v>9</v>
      </c>
      <c r="B2459" s="1">
        <v>45301.375</v>
      </c>
      <c r="C2459">
        <v>678.82250993908497</v>
      </c>
      <c r="D2459">
        <v>565.68542494923804</v>
      </c>
    </row>
    <row r="2460" spans="1:4" x14ac:dyDescent="0.3">
      <c r="A2460" t="s">
        <v>9</v>
      </c>
      <c r="B2460" s="1">
        <v>45301.416666666664</v>
      </c>
      <c r="C2460">
        <v>831.38438763306101</v>
      </c>
      <c r="D2460">
        <v>692.82032302754999</v>
      </c>
    </row>
    <row r="2461" spans="1:4" x14ac:dyDescent="0.3">
      <c r="A2461" t="s">
        <v>9</v>
      </c>
      <c r="B2461" s="1">
        <v>45301.458333333336</v>
      </c>
      <c r="C2461">
        <v>927.28879323750505</v>
      </c>
      <c r="D2461">
        <v>772.74066103125404</v>
      </c>
    </row>
    <row r="2462" spans="1:4" x14ac:dyDescent="0.3">
      <c r="A2462" t="s">
        <v>9</v>
      </c>
      <c r="B2462" s="1">
        <v>45301.5</v>
      </c>
      <c r="C2462">
        <v>960</v>
      </c>
      <c r="D2462">
        <v>800</v>
      </c>
    </row>
    <row r="2463" spans="1:4" x14ac:dyDescent="0.3">
      <c r="A2463" t="s">
        <v>9</v>
      </c>
      <c r="B2463" s="1">
        <v>45301.541666666664</v>
      </c>
      <c r="C2463">
        <v>927.28879323750505</v>
      </c>
      <c r="D2463">
        <v>772.74066103125404</v>
      </c>
    </row>
    <row r="2464" spans="1:4" x14ac:dyDescent="0.3">
      <c r="A2464" t="s">
        <v>9</v>
      </c>
      <c r="B2464" s="1">
        <v>45301.583333333336</v>
      </c>
      <c r="C2464">
        <v>831.38438763306101</v>
      </c>
      <c r="D2464">
        <v>692.82032302755101</v>
      </c>
    </row>
    <row r="2465" spans="1:4" x14ac:dyDescent="0.3">
      <c r="A2465" t="s">
        <v>9</v>
      </c>
      <c r="B2465" s="1">
        <v>45301.625</v>
      </c>
      <c r="C2465">
        <v>678.82250993908497</v>
      </c>
      <c r="D2465">
        <v>565.68542494923804</v>
      </c>
    </row>
    <row r="2466" spans="1:4" x14ac:dyDescent="0.3">
      <c r="A2466" t="s">
        <v>9</v>
      </c>
      <c r="B2466" s="1">
        <v>45301.666666666664</v>
      </c>
      <c r="C2466">
        <v>479.99999999999898</v>
      </c>
      <c r="D2466">
        <v>399.99999999999898</v>
      </c>
    </row>
    <row r="2467" spans="1:4" x14ac:dyDescent="0.3">
      <c r="A2467" t="s">
        <v>9</v>
      </c>
      <c r="B2467" s="1">
        <v>45301.708333333336</v>
      </c>
      <c r="C2467">
        <v>248.46628329842</v>
      </c>
      <c r="D2467">
        <v>207.05523608201599</v>
      </c>
    </row>
    <row r="2468" spans="1:4" x14ac:dyDescent="0.3">
      <c r="A2468" t="s">
        <v>9</v>
      </c>
      <c r="B2468" s="1">
        <v>45301.75</v>
      </c>
      <c r="C2468" s="2">
        <v>1.1756609271814501E-13</v>
      </c>
      <c r="D2468" s="2">
        <v>9.7971743931788194E-14</v>
      </c>
    </row>
    <row r="2469" spans="1:4" x14ac:dyDescent="0.3">
      <c r="A2469" t="s">
        <v>9</v>
      </c>
      <c r="B2469" s="1">
        <v>45301.791666666664</v>
      </c>
      <c r="C2469">
        <v>0</v>
      </c>
      <c r="D2469">
        <v>0</v>
      </c>
    </row>
    <row r="2470" spans="1:4" x14ac:dyDescent="0.3">
      <c r="A2470" t="s">
        <v>9</v>
      </c>
      <c r="B2470" s="1">
        <v>45301.833333333336</v>
      </c>
      <c r="C2470">
        <v>0</v>
      </c>
      <c r="D2470">
        <v>0</v>
      </c>
    </row>
    <row r="2471" spans="1:4" x14ac:dyDescent="0.3">
      <c r="A2471" t="s">
        <v>9</v>
      </c>
      <c r="B2471" s="1">
        <v>45301.875</v>
      </c>
      <c r="C2471">
        <v>0</v>
      </c>
      <c r="D2471">
        <v>0</v>
      </c>
    </row>
    <row r="2472" spans="1:4" x14ac:dyDescent="0.3">
      <c r="A2472" t="s">
        <v>9</v>
      </c>
      <c r="B2472" s="1">
        <v>45301.916666666664</v>
      </c>
      <c r="C2472">
        <v>0</v>
      </c>
      <c r="D2472">
        <v>0</v>
      </c>
    </row>
    <row r="2473" spans="1:4" x14ac:dyDescent="0.3">
      <c r="A2473" t="s">
        <v>9</v>
      </c>
      <c r="B2473" s="1">
        <v>45301.958333333336</v>
      </c>
      <c r="C2473">
        <v>0</v>
      </c>
      <c r="D2473">
        <v>0</v>
      </c>
    </row>
    <row r="2474" spans="1:4" x14ac:dyDescent="0.3">
      <c r="A2474" t="s">
        <v>9</v>
      </c>
      <c r="B2474" s="1">
        <v>45302</v>
      </c>
      <c r="C2474">
        <v>0</v>
      </c>
      <c r="D2474">
        <v>0</v>
      </c>
    </row>
    <row r="2475" spans="1:4" x14ac:dyDescent="0.3">
      <c r="A2475" t="s">
        <v>9</v>
      </c>
      <c r="B2475" s="1">
        <v>45302.041666666664</v>
      </c>
      <c r="C2475">
        <v>0</v>
      </c>
      <c r="D2475">
        <v>0</v>
      </c>
    </row>
    <row r="2476" spans="1:4" x14ac:dyDescent="0.3">
      <c r="A2476" t="s">
        <v>9</v>
      </c>
      <c r="B2476" s="1">
        <v>45302.083333333336</v>
      </c>
      <c r="C2476">
        <v>0</v>
      </c>
      <c r="D2476">
        <v>0</v>
      </c>
    </row>
    <row r="2477" spans="1:4" x14ac:dyDescent="0.3">
      <c r="A2477" t="s">
        <v>9</v>
      </c>
      <c r="B2477" s="1">
        <v>45302.125</v>
      </c>
      <c r="C2477">
        <v>0</v>
      </c>
      <c r="D2477">
        <v>0</v>
      </c>
    </row>
    <row r="2478" spans="1:4" x14ac:dyDescent="0.3">
      <c r="A2478" t="s">
        <v>9</v>
      </c>
      <c r="B2478" s="1">
        <v>45302.166666666664</v>
      </c>
      <c r="C2478">
        <v>0</v>
      </c>
      <c r="D2478">
        <v>0</v>
      </c>
    </row>
    <row r="2479" spans="1:4" x14ac:dyDescent="0.3">
      <c r="A2479" t="s">
        <v>9</v>
      </c>
      <c r="B2479" s="1">
        <v>45302.208333333336</v>
      </c>
      <c r="C2479">
        <v>0</v>
      </c>
      <c r="D2479">
        <v>0</v>
      </c>
    </row>
    <row r="2480" spans="1:4" x14ac:dyDescent="0.3">
      <c r="A2480" t="s">
        <v>9</v>
      </c>
      <c r="B2480" s="1">
        <v>45302.25</v>
      </c>
      <c r="C2480">
        <v>0</v>
      </c>
      <c r="D2480">
        <v>0</v>
      </c>
    </row>
    <row r="2481" spans="1:4" x14ac:dyDescent="0.3">
      <c r="A2481" t="s">
        <v>9</v>
      </c>
      <c r="B2481" s="1">
        <v>45302.291666666664</v>
      </c>
      <c r="C2481">
        <v>248.466283298419</v>
      </c>
      <c r="D2481">
        <v>207.05523608201599</v>
      </c>
    </row>
    <row r="2482" spans="1:4" x14ac:dyDescent="0.3">
      <c r="A2482" t="s">
        <v>9</v>
      </c>
      <c r="B2482" s="1">
        <v>45302.333333333336</v>
      </c>
      <c r="C2482">
        <v>479.99999999999898</v>
      </c>
      <c r="D2482">
        <v>399.99999999999898</v>
      </c>
    </row>
    <row r="2483" spans="1:4" x14ac:dyDescent="0.3">
      <c r="A2483" t="s">
        <v>9</v>
      </c>
      <c r="B2483" s="1">
        <v>45302.375</v>
      </c>
      <c r="C2483">
        <v>678.82250993908497</v>
      </c>
      <c r="D2483">
        <v>565.68542494923804</v>
      </c>
    </row>
    <row r="2484" spans="1:4" x14ac:dyDescent="0.3">
      <c r="A2484" t="s">
        <v>9</v>
      </c>
      <c r="B2484" s="1">
        <v>45302.416666666664</v>
      </c>
      <c r="C2484">
        <v>831.38438763306101</v>
      </c>
      <c r="D2484">
        <v>692.82032302754999</v>
      </c>
    </row>
    <row r="2485" spans="1:4" x14ac:dyDescent="0.3">
      <c r="A2485" t="s">
        <v>9</v>
      </c>
      <c r="B2485" s="1">
        <v>45302.458333333336</v>
      </c>
      <c r="C2485">
        <v>927.28879323750505</v>
      </c>
      <c r="D2485">
        <v>772.74066103125404</v>
      </c>
    </row>
    <row r="2486" spans="1:4" x14ac:dyDescent="0.3">
      <c r="A2486" t="s">
        <v>9</v>
      </c>
      <c r="B2486" s="1">
        <v>45302.5</v>
      </c>
      <c r="C2486">
        <v>960</v>
      </c>
      <c r="D2486">
        <v>800</v>
      </c>
    </row>
    <row r="2487" spans="1:4" x14ac:dyDescent="0.3">
      <c r="A2487" t="s">
        <v>9</v>
      </c>
      <c r="B2487" s="1">
        <v>45302.541666666664</v>
      </c>
      <c r="C2487">
        <v>927.28879323750505</v>
      </c>
      <c r="D2487">
        <v>772.74066103125404</v>
      </c>
    </row>
    <row r="2488" spans="1:4" x14ac:dyDescent="0.3">
      <c r="A2488" t="s">
        <v>9</v>
      </c>
      <c r="B2488" s="1">
        <v>45302.583333333336</v>
      </c>
      <c r="C2488">
        <v>831.38438763306101</v>
      </c>
      <c r="D2488">
        <v>692.82032302755101</v>
      </c>
    </row>
    <row r="2489" spans="1:4" x14ac:dyDescent="0.3">
      <c r="A2489" t="s">
        <v>9</v>
      </c>
      <c r="B2489" s="1">
        <v>45302.625</v>
      </c>
      <c r="C2489">
        <v>678.82250993908497</v>
      </c>
      <c r="D2489">
        <v>565.68542494923804</v>
      </c>
    </row>
    <row r="2490" spans="1:4" x14ac:dyDescent="0.3">
      <c r="A2490" t="s">
        <v>9</v>
      </c>
      <c r="B2490" s="1">
        <v>45302.666666666664</v>
      </c>
      <c r="C2490">
        <v>479.99999999999898</v>
      </c>
      <c r="D2490">
        <v>399.99999999999898</v>
      </c>
    </row>
    <row r="2491" spans="1:4" x14ac:dyDescent="0.3">
      <c r="A2491" t="s">
        <v>9</v>
      </c>
      <c r="B2491" s="1">
        <v>45302.708333333336</v>
      </c>
      <c r="C2491">
        <v>248.46628329842</v>
      </c>
      <c r="D2491">
        <v>207.05523608201599</v>
      </c>
    </row>
    <row r="2492" spans="1:4" x14ac:dyDescent="0.3">
      <c r="A2492" t="s">
        <v>9</v>
      </c>
      <c r="B2492" s="1">
        <v>45302.75</v>
      </c>
      <c r="C2492" s="2">
        <v>1.1756609271814501E-13</v>
      </c>
      <c r="D2492" s="2">
        <v>9.7971743931788194E-14</v>
      </c>
    </row>
    <row r="2493" spans="1:4" x14ac:dyDescent="0.3">
      <c r="A2493" t="s">
        <v>9</v>
      </c>
      <c r="B2493" s="1">
        <v>45302.791666666664</v>
      </c>
      <c r="C2493">
        <v>0</v>
      </c>
      <c r="D2493">
        <v>0</v>
      </c>
    </row>
    <row r="2494" spans="1:4" x14ac:dyDescent="0.3">
      <c r="A2494" t="s">
        <v>9</v>
      </c>
      <c r="B2494" s="1">
        <v>45302.833333333336</v>
      </c>
      <c r="C2494">
        <v>0</v>
      </c>
      <c r="D2494">
        <v>0</v>
      </c>
    </row>
    <row r="2495" spans="1:4" x14ac:dyDescent="0.3">
      <c r="A2495" t="s">
        <v>9</v>
      </c>
      <c r="B2495" s="1">
        <v>45302.875</v>
      </c>
      <c r="C2495">
        <v>0</v>
      </c>
      <c r="D2495">
        <v>0</v>
      </c>
    </row>
    <row r="2496" spans="1:4" x14ac:dyDescent="0.3">
      <c r="A2496" t="s">
        <v>9</v>
      </c>
      <c r="B2496" s="1">
        <v>45302.916666666664</v>
      </c>
      <c r="C2496">
        <v>0</v>
      </c>
      <c r="D2496">
        <v>0</v>
      </c>
    </row>
    <row r="2497" spans="1:4" x14ac:dyDescent="0.3">
      <c r="A2497" t="s">
        <v>9</v>
      </c>
      <c r="B2497" s="1">
        <v>45302.958333333336</v>
      </c>
      <c r="C2497">
        <v>0</v>
      </c>
      <c r="D2497">
        <v>0</v>
      </c>
    </row>
    <row r="2498" spans="1:4" x14ac:dyDescent="0.3">
      <c r="A2498" t="s">
        <v>9</v>
      </c>
      <c r="B2498" s="1">
        <v>45303</v>
      </c>
      <c r="C2498">
        <v>0</v>
      </c>
      <c r="D2498">
        <v>0</v>
      </c>
    </row>
    <row r="2499" spans="1:4" x14ac:dyDescent="0.3">
      <c r="A2499" t="s">
        <v>9</v>
      </c>
      <c r="B2499" s="1">
        <v>45303.041666666664</v>
      </c>
      <c r="C2499">
        <v>0</v>
      </c>
      <c r="D2499">
        <v>0</v>
      </c>
    </row>
    <row r="2500" spans="1:4" x14ac:dyDescent="0.3">
      <c r="A2500" t="s">
        <v>9</v>
      </c>
      <c r="B2500" s="1">
        <v>45303.083333333336</v>
      </c>
      <c r="C2500">
        <v>0</v>
      </c>
      <c r="D2500">
        <v>0</v>
      </c>
    </row>
    <row r="2501" spans="1:4" x14ac:dyDescent="0.3">
      <c r="A2501" t="s">
        <v>9</v>
      </c>
      <c r="B2501" s="1">
        <v>45303.125</v>
      </c>
      <c r="C2501">
        <v>0</v>
      </c>
      <c r="D2501">
        <v>0</v>
      </c>
    </row>
    <row r="2502" spans="1:4" x14ac:dyDescent="0.3">
      <c r="A2502" t="s">
        <v>9</v>
      </c>
      <c r="B2502" s="1">
        <v>45303.166666666664</v>
      </c>
      <c r="C2502">
        <v>0</v>
      </c>
      <c r="D2502">
        <v>0</v>
      </c>
    </row>
    <row r="2503" spans="1:4" x14ac:dyDescent="0.3">
      <c r="A2503" t="s">
        <v>9</v>
      </c>
      <c r="B2503" s="1">
        <v>45303.208333333336</v>
      </c>
      <c r="C2503">
        <v>0</v>
      </c>
      <c r="D2503">
        <v>0</v>
      </c>
    </row>
    <row r="2504" spans="1:4" x14ac:dyDescent="0.3">
      <c r="A2504" t="s">
        <v>9</v>
      </c>
      <c r="B2504" s="1">
        <v>45303.25</v>
      </c>
      <c r="C2504">
        <v>0</v>
      </c>
      <c r="D2504">
        <v>0</v>
      </c>
    </row>
    <row r="2505" spans="1:4" x14ac:dyDescent="0.3">
      <c r="A2505" t="s">
        <v>9</v>
      </c>
      <c r="B2505" s="1">
        <v>45303.291666666664</v>
      </c>
      <c r="C2505">
        <v>248.466283298419</v>
      </c>
      <c r="D2505">
        <v>207.05523608201599</v>
      </c>
    </row>
    <row r="2506" spans="1:4" x14ac:dyDescent="0.3">
      <c r="A2506" t="s">
        <v>9</v>
      </c>
      <c r="B2506" s="1">
        <v>45303.333333333336</v>
      </c>
      <c r="C2506">
        <v>479.99999999999898</v>
      </c>
      <c r="D2506">
        <v>399.99999999999898</v>
      </c>
    </row>
    <row r="2507" spans="1:4" x14ac:dyDescent="0.3">
      <c r="A2507" t="s">
        <v>9</v>
      </c>
      <c r="B2507" s="1">
        <v>45303.375</v>
      </c>
      <c r="C2507">
        <v>678.82250993908497</v>
      </c>
      <c r="D2507">
        <v>565.68542494923804</v>
      </c>
    </row>
    <row r="2508" spans="1:4" x14ac:dyDescent="0.3">
      <c r="A2508" t="s">
        <v>9</v>
      </c>
      <c r="B2508" s="1">
        <v>45303.416666666664</v>
      </c>
      <c r="C2508">
        <v>831.38438763306101</v>
      </c>
      <c r="D2508">
        <v>692.82032302754999</v>
      </c>
    </row>
    <row r="2509" spans="1:4" x14ac:dyDescent="0.3">
      <c r="A2509" t="s">
        <v>9</v>
      </c>
      <c r="B2509" s="1">
        <v>45303.458333333336</v>
      </c>
      <c r="C2509">
        <v>927.28879323750505</v>
      </c>
      <c r="D2509">
        <v>772.74066103125404</v>
      </c>
    </row>
    <row r="2510" spans="1:4" x14ac:dyDescent="0.3">
      <c r="A2510" t="s">
        <v>9</v>
      </c>
      <c r="B2510" s="1">
        <v>45303.5</v>
      </c>
      <c r="C2510">
        <v>960</v>
      </c>
      <c r="D2510">
        <v>800</v>
      </c>
    </row>
    <row r="2511" spans="1:4" x14ac:dyDescent="0.3">
      <c r="A2511" t="s">
        <v>9</v>
      </c>
      <c r="B2511" s="1">
        <v>45303.541666666664</v>
      </c>
      <c r="C2511">
        <v>927.28879323750505</v>
      </c>
      <c r="D2511">
        <v>772.74066103125404</v>
      </c>
    </row>
    <row r="2512" spans="1:4" x14ac:dyDescent="0.3">
      <c r="A2512" t="s">
        <v>9</v>
      </c>
      <c r="B2512" s="1">
        <v>45303.583333333336</v>
      </c>
      <c r="C2512">
        <v>831.38438763306101</v>
      </c>
      <c r="D2512">
        <v>692.82032302755101</v>
      </c>
    </row>
    <row r="2513" spans="1:4" x14ac:dyDescent="0.3">
      <c r="A2513" t="s">
        <v>9</v>
      </c>
      <c r="B2513" s="1">
        <v>45303.625</v>
      </c>
      <c r="C2513">
        <v>678.82250993908497</v>
      </c>
      <c r="D2513">
        <v>565.68542494923804</v>
      </c>
    </row>
    <row r="2514" spans="1:4" x14ac:dyDescent="0.3">
      <c r="A2514" t="s">
        <v>9</v>
      </c>
      <c r="B2514" s="1">
        <v>45303.666666666664</v>
      </c>
      <c r="C2514">
        <v>479.99999999999898</v>
      </c>
      <c r="D2514">
        <v>399.99999999999898</v>
      </c>
    </row>
    <row r="2515" spans="1:4" x14ac:dyDescent="0.3">
      <c r="A2515" t="s">
        <v>9</v>
      </c>
      <c r="B2515" s="1">
        <v>45303.708333333336</v>
      </c>
      <c r="C2515">
        <v>248.46628329842</v>
      </c>
      <c r="D2515">
        <v>207.05523608201599</v>
      </c>
    </row>
    <row r="2516" spans="1:4" x14ac:dyDescent="0.3">
      <c r="A2516" t="s">
        <v>9</v>
      </c>
      <c r="B2516" s="1">
        <v>45303.75</v>
      </c>
      <c r="C2516" s="2">
        <v>1.1756609271814501E-13</v>
      </c>
      <c r="D2516" s="2">
        <v>9.7971743931788194E-14</v>
      </c>
    </row>
    <row r="2517" spans="1:4" x14ac:dyDescent="0.3">
      <c r="A2517" t="s">
        <v>9</v>
      </c>
      <c r="B2517" s="1">
        <v>45303.791666666664</v>
      </c>
      <c r="C2517">
        <v>0</v>
      </c>
      <c r="D2517">
        <v>0</v>
      </c>
    </row>
    <row r="2518" spans="1:4" x14ac:dyDescent="0.3">
      <c r="A2518" t="s">
        <v>9</v>
      </c>
      <c r="B2518" s="1">
        <v>45303.833333333336</v>
      </c>
      <c r="C2518">
        <v>0</v>
      </c>
      <c r="D2518">
        <v>0</v>
      </c>
    </row>
    <row r="2519" spans="1:4" x14ac:dyDescent="0.3">
      <c r="A2519" t="s">
        <v>9</v>
      </c>
      <c r="B2519" s="1">
        <v>45303.875</v>
      </c>
      <c r="C2519">
        <v>0</v>
      </c>
      <c r="D2519">
        <v>0</v>
      </c>
    </row>
    <row r="2520" spans="1:4" x14ac:dyDescent="0.3">
      <c r="A2520" t="s">
        <v>9</v>
      </c>
      <c r="B2520" s="1">
        <v>45303.916666666664</v>
      </c>
      <c r="C2520">
        <v>0</v>
      </c>
      <c r="D2520">
        <v>0</v>
      </c>
    </row>
    <row r="2521" spans="1:4" x14ac:dyDescent="0.3">
      <c r="A2521" t="s">
        <v>9</v>
      </c>
      <c r="B2521" s="1">
        <v>45303.958333333336</v>
      </c>
      <c r="C2521">
        <v>0</v>
      </c>
      <c r="D2521">
        <v>0</v>
      </c>
    </row>
    <row r="2522" spans="1:4" x14ac:dyDescent="0.3">
      <c r="A2522" t="s">
        <v>9</v>
      </c>
      <c r="B2522" s="1">
        <v>45304</v>
      </c>
      <c r="C2522">
        <v>0</v>
      </c>
      <c r="D2522">
        <v>0</v>
      </c>
    </row>
    <row r="2523" spans="1:4" x14ac:dyDescent="0.3">
      <c r="A2523" t="s">
        <v>9</v>
      </c>
      <c r="B2523" s="1">
        <v>45304.041666666664</v>
      </c>
      <c r="C2523">
        <v>0</v>
      </c>
      <c r="D2523">
        <v>0</v>
      </c>
    </row>
    <row r="2524" spans="1:4" x14ac:dyDescent="0.3">
      <c r="A2524" t="s">
        <v>9</v>
      </c>
      <c r="B2524" s="1">
        <v>45304.083333333336</v>
      </c>
      <c r="C2524">
        <v>0</v>
      </c>
      <c r="D2524">
        <v>0</v>
      </c>
    </row>
    <row r="2525" spans="1:4" x14ac:dyDescent="0.3">
      <c r="A2525" t="s">
        <v>9</v>
      </c>
      <c r="B2525" s="1">
        <v>45304.125</v>
      </c>
      <c r="C2525">
        <v>0</v>
      </c>
      <c r="D2525">
        <v>0</v>
      </c>
    </row>
    <row r="2526" spans="1:4" x14ac:dyDescent="0.3">
      <c r="A2526" t="s">
        <v>9</v>
      </c>
      <c r="B2526" s="1">
        <v>45304.166666666664</v>
      </c>
      <c r="C2526">
        <v>0</v>
      </c>
      <c r="D2526">
        <v>0</v>
      </c>
    </row>
    <row r="2527" spans="1:4" x14ac:dyDescent="0.3">
      <c r="A2527" t="s">
        <v>9</v>
      </c>
      <c r="B2527" s="1">
        <v>45304.208333333336</v>
      </c>
      <c r="C2527">
        <v>0</v>
      </c>
      <c r="D2527">
        <v>0</v>
      </c>
    </row>
    <row r="2528" spans="1:4" x14ac:dyDescent="0.3">
      <c r="A2528" t="s">
        <v>9</v>
      </c>
      <c r="B2528" s="1">
        <v>45304.25</v>
      </c>
      <c r="C2528">
        <v>0</v>
      </c>
      <c r="D2528">
        <v>0</v>
      </c>
    </row>
    <row r="2529" spans="1:4" x14ac:dyDescent="0.3">
      <c r="A2529" t="s">
        <v>9</v>
      </c>
      <c r="B2529" s="1">
        <v>45304.291666666664</v>
      </c>
      <c r="C2529">
        <v>248.466283298419</v>
      </c>
      <c r="D2529">
        <v>207.05523608201599</v>
      </c>
    </row>
    <row r="2530" spans="1:4" x14ac:dyDescent="0.3">
      <c r="A2530" t="s">
        <v>9</v>
      </c>
      <c r="B2530" s="1">
        <v>45304.333333333336</v>
      </c>
      <c r="C2530">
        <v>479.99999999999898</v>
      </c>
      <c r="D2530">
        <v>399.99999999999898</v>
      </c>
    </row>
    <row r="2531" spans="1:4" x14ac:dyDescent="0.3">
      <c r="A2531" t="s">
        <v>9</v>
      </c>
      <c r="B2531" s="1">
        <v>45304.375</v>
      </c>
      <c r="C2531">
        <v>678.82250993908497</v>
      </c>
      <c r="D2531">
        <v>565.68542494923804</v>
      </c>
    </row>
    <row r="2532" spans="1:4" x14ac:dyDescent="0.3">
      <c r="A2532" t="s">
        <v>9</v>
      </c>
      <c r="B2532" s="1">
        <v>45304.416666666664</v>
      </c>
      <c r="C2532">
        <v>831.38438763306101</v>
      </c>
      <c r="D2532">
        <v>692.82032302754999</v>
      </c>
    </row>
    <row r="2533" spans="1:4" x14ac:dyDescent="0.3">
      <c r="A2533" t="s">
        <v>9</v>
      </c>
      <c r="B2533" s="1">
        <v>45304.458333333336</v>
      </c>
      <c r="C2533">
        <v>927.28879323750505</v>
      </c>
      <c r="D2533">
        <v>772.74066103125404</v>
      </c>
    </row>
    <row r="2534" spans="1:4" x14ac:dyDescent="0.3">
      <c r="A2534" t="s">
        <v>9</v>
      </c>
      <c r="B2534" s="1">
        <v>45304.5</v>
      </c>
      <c r="C2534">
        <v>960</v>
      </c>
      <c r="D2534">
        <v>800</v>
      </c>
    </row>
    <row r="2535" spans="1:4" x14ac:dyDescent="0.3">
      <c r="A2535" t="s">
        <v>9</v>
      </c>
      <c r="B2535" s="1">
        <v>45304.541666666664</v>
      </c>
      <c r="C2535">
        <v>927.28879323750505</v>
      </c>
      <c r="D2535">
        <v>772.74066103125404</v>
      </c>
    </row>
    <row r="2536" spans="1:4" x14ac:dyDescent="0.3">
      <c r="A2536" t="s">
        <v>9</v>
      </c>
      <c r="B2536" s="1">
        <v>45304.583333333336</v>
      </c>
      <c r="C2536">
        <v>831.38438763306101</v>
      </c>
      <c r="D2536">
        <v>692.82032302755101</v>
      </c>
    </row>
    <row r="2537" spans="1:4" x14ac:dyDescent="0.3">
      <c r="A2537" t="s">
        <v>9</v>
      </c>
      <c r="B2537" s="1">
        <v>45304.625</v>
      </c>
      <c r="C2537">
        <v>678.82250993908497</v>
      </c>
      <c r="D2537">
        <v>565.68542494923804</v>
      </c>
    </row>
    <row r="2538" spans="1:4" x14ac:dyDescent="0.3">
      <c r="A2538" t="s">
        <v>9</v>
      </c>
      <c r="B2538" s="1">
        <v>45304.666666666664</v>
      </c>
      <c r="C2538">
        <v>479.99999999999898</v>
      </c>
      <c r="D2538">
        <v>399.99999999999898</v>
      </c>
    </row>
    <row r="2539" spans="1:4" x14ac:dyDescent="0.3">
      <c r="A2539" t="s">
        <v>9</v>
      </c>
      <c r="B2539" s="1">
        <v>45304.708333333336</v>
      </c>
      <c r="C2539">
        <v>248.46628329842</v>
      </c>
      <c r="D2539">
        <v>207.05523608201599</v>
      </c>
    </row>
    <row r="2540" spans="1:4" x14ac:dyDescent="0.3">
      <c r="A2540" t="s">
        <v>9</v>
      </c>
      <c r="B2540" s="1">
        <v>45304.75</v>
      </c>
      <c r="C2540" s="2">
        <v>1.1756609271814501E-13</v>
      </c>
      <c r="D2540" s="2">
        <v>9.7971743931788194E-14</v>
      </c>
    </row>
    <row r="2541" spans="1:4" x14ac:dyDescent="0.3">
      <c r="A2541" t="s">
        <v>9</v>
      </c>
      <c r="B2541" s="1">
        <v>45304.791666666664</v>
      </c>
      <c r="C2541">
        <v>0</v>
      </c>
      <c r="D2541">
        <v>0</v>
      </c>
    </row>
    <row r="2542" spans="1:4" x14ac:dyDescent="0.3">
      <c r="A2542" t="s">
        <v>9</v>
      </c>
      <c r="B2542" s="1">
        <v>45304.833333333336</v>
      </c>
      <c r="C2542">
        <v>0</v>
      </c>
      <c r="D2542">
        <v>0</v>
      </c>
    </row>
    <row r="2543" spans="1:4" x14ac:dyDescent="0.3">
      <c r="A2543" t="s">
        <v>9</v>
      </c>
      <c r="B2543" s="1">
        <v>45304.875</v>
      </c>
      <c r="C2543">
        <v>0</v>
      </c>
      <c r="D2543">
        <v>0</v>
      </c>
    </row>
    <row r="2544" spans="1:4" x14ac:dyDescent="0.3">
      <c r="A2544" t="s">
        <v>9</v>
      </c>
      <c r="B2544" s="1">
        <v>45304.916666666664</v>
      </c>
      <c r="C2544">
        <v>0</v>
      </c>
      <c r="D2544">
        <v>0</v>
      </c>
    </row>
    <row r="2545" spans="1:4" x14ac:dyDescent="0.3">
      <c r="A2545" t="s">
        <v>9</v>
      </c>
      <c r="B2545" s="1">
        <v>45304.958333333336</v>
      </c>
      <c r="C2545">
        <v>0</v>
      </c>
      <c r="D2545">
        <v>0</v>
      </c>
    </row>
    <row r="2546" spans="1:4" x14ac:dyDescent="0.3">
      <c r="A2546" t="s">
        <v>9</v>
      </c>
      <c r="B2546" s="1">
        <v>45305</v>
      </c>
      <c r="C2546">
        <v>0</v>
      </c>
      <c r="D2546">
        <v>0</v>
      </c>
    </row>
    <row r="2547" spans="1:4" x14ac:dyDescent="0.3">
      <c r="A2547" t="s">
        <v>9</v>
      </c>
      <c r="B2547" s="1">
        <v>45305.041666666664</v>
      </c>
      <c r="C2547">
        <v>0</v>
      </c>
      <c r="D2547">
        <v>0</v>
      </c>
    </row>
    <row r="2548" spans="1:4" x14ac:dyDescent="0.3">
      <c r="A2548" t="s">
        <v>9</v>
      </c>
      <c r="B2548" s="1">
        <v>45305.083333333336</v>
      </c>
      <c r="C2548">
        <v>0</v>
      </c>
      <c r="D2548">
        <v>0</v>
      </c>
    </row>
    <row r="2549" spans="1:4" x14ac:dyDescent="0.3">
      <c r="A2549" t="s">
        <v>9</v>
      </c>
      <c r="B2549" s="1">
        <v>45305.125</v>
      </c>
      <c r="C2549">
        <v>0</v>
      </c>
      <c r="D2549">
        <v>0</v>
      </c>
    </row>
    <row r="2550" spans="1:4" x14ac:dyDescent="0.3">
      <c r="A2550" t="s">
        <v>9</v>
      </c>
      <c r="B2550" s="1">
        <v>45305.166666666664</v>
      </c>
      <c r="C2550">
        <v>0</v>
      </c>
      <c r="D2550">
        <v>0</v>
      </c>
    </row>
    <row r="2551" spans="1:4" x14ac:dyDescent="0.3">
      <c r="A2551" t="s">
        <v>9</v>
      </c>
      <c r="B2551" s="1">
        <v>45305.208333333336</v>
      </c>
      <c r="C2551">
        <v>0</v>
      </c>
      <c r="D2551">
        <v>0</v>
      </c>
    </row>
    <row r="2552" spans="1:4" x14ac:dyDescent="0.3">
      <c r="A2552" t="s">
        <v>9</v>
      </c>
      <c r="B2552" s="1">
        <v>45305.25</v>
      </c>
      <c r="C2552">
        <v>0</v>
      </c>
      <c r="D2552">
        <v>0</v>
      </c>
    </row>
    <row r="2553" spans="1:4" x14ac:dyDescent="0.3">
      <c r="A2553" t="s">
        <v>9</v>
      </c>
      <c r="B2553" s="1">
        <v>45305.291666666664</v>
      </c>
      <c r="C2553">
        <v>248.466283298419</v>
      </c>
      <c r="D2553">
        <v>207.05523608201599</v>
      </c>
    </row>
    <row r="2554" spans="1:4" x14ac:dyDescent="0.3">
      <c r="A2554" t="s">
        <v>9</v>
      </c>
      <c r="B2554" s="1">
        <v>45305.333333333336</v>
      </c>
      <c r="C2554">
        <v>479.99999999999898</v>
      </c>
      <c r="D2554">
        <v>399.99999999999898</v>
      </c>
    </row>
    <row r="2555" spans="1:4" x14ac:dyDescent="0.3">
      <c r="A2555" t="s">
        <v>9</v>
      </c>
      <c r="B2555" s="1">
        <v>45305.375</v>
      </c>
      <c r="C2555">
        <v>678.82250993908497</v>
      </c>
      <c r="D2555">
        <v>565.68542494923804</v>
      </c>
    </row>
    <row r="2556" spans="1:4" x14ac:dyDescent="0.3">
      <c r="A2556" t="s">
        <v>9</v>
      </c>
      <c r="B2556" s="1">
        <v>45305.416666666664</v>
      </c>
      <c r="C2556">
        <v>831.38438763306101</v>
      </c>
      <c r="D2556">
        <v>692.82032302754999</v>
      </c>
    </row>
    <row r="2557" spans="1:4" x14ac:dyDescent="0.3">
      <c r="A2557" t="s">
        <v>9</v>
      </c>
      <c r="B2557" s="1">
        <v>45305.458333333336</v>
      </c>
      <c r="C2557">
        <v>927.28879323750505</v>
      </c>
      <c r="D2557">
        <v>772.74066103125404</v>
      </c>
    </row>
    <row r="2558" spans="1:4" x14ac:dyDescent="0.3">
      <c r="A2558" t="s">
        <v>9</v>
      </c>
      <c r="B2558" s="1">
        <v>45305.5</v>
      </c>
      <c r="C2558">
        <v>960</v>
      </c>
      <c r="D2558">
        <v>800</v>
      </c>
    </row>
    <row r="2559" spans="1:4" x14ac:dyDescent="0.3">
      <c r="A2559" t="s">
        <v>9</v>
      </c>
      <c r="B2559" s="1">
        <v>45305.541666666664</v>
      </c>
      <c r="C2559">
        <v>927.28879323750505</v>
      </c>
      <c r="D2559">
        <v>772.74066103125404</v>
      </c>
    </row>
    <row r="2560" spans="1:4" x14ac:dyDescent="0.3">
      <c r="A2560" t="s">
        <v>9</v>
      </c>
      <c r="B2560" s="1">
        <v>45305.583333333336</v>
      </c>
      <c r="C2560">
        <v>831.38438763306101</v>
      </c>
      <c r="D2560">
        <v>692.82032302755101</v>
      </c>
    </row>
    <row r="2561" spans="1:4" x14ac:dyDescent="0.3">
      <c r="A2561" t="s">
        <v>9</v>
      </c>
      <c r="B2561" s="1">
        <v>45305.625</v>
      </c>
      <c r="C2561">
        <v>678.82250993908497</v>
      </c>
      <c r="D2561">
        <v>565.68542494923804</v>
      </c>
    </row>
    <row r="2562" spans="1:4" x14ac:dyDescent="0.3">
      <c r="A2562" t="s">
        <v>9</v>
      </c>
      <c r="B2562" s="1">
        <v>45305.666666666664</v>
      </c>
      <c r="C2562">
        <v>479.99999999999898</v>
      </c>
      <c r="D2562">
        <v>399.99999999999898</v>
      </c>
    </row>
    <row r="2563" spans="1:4" x14ac:dyDescent="0.3">
      <c r="A2563" t="s">
        <v>9</v>
      </c>
      <c r="B2563" s="1">
        <v>45305.708333333336</v>
      </c>
      <c r="C2563">
        <v>248.46628329842</v>
      </c>
      <c r="D2563">
        <v>207.05523608201599</v>
      </c>
    </row>
    <row r="2564" spans="1:4" x14ac:dyDescent="0.3">
      <c r="A2564" t="s">
        <v>9</v>
      </c>
      <c r="B2564" s="1">
        <v>45305.75</v>
      </c>
      <c r="C2564" s="2">
        <v>1.1756609271814501E-13</v>
      </c>
      <c r="D2564" s="2">
        <v>9.7971743931788194E-14</v>
      </c>
    </row>
    <row r="2565" spans="1:4" x14ac:dyDescent="0.3">
      <c r="A2565" t="s">
        <v>9</v>
      </c>
      <c r="B2565" s="1">
        <v>45305.791666666664</v>
      </c>
      <c r="C2565">
        <v>0</v>
      </c>
      <c r="D2565">
        <v>0</v>
      </c>
    </row>
    <row r="2566" spans="1:4" x14ac:dyDescent="0.3">
      <c r="A2566" t="s">
        <v>9</v>
      </c>
      <c r="B2566" s="1">
        <v>45305.833333333336</v>
      </c>
      <c r="C2566">
        <v>0</v>
      </c>
      <c r="D2566">
        <v>0</v>
      </c>
    </row>
    <row r="2567" spans="1:4" x14ac:dyDescent="0.3">
      <c r="A2567" t="s">
        <v>9</v>
      </c>
      <c r="B2567" s="1">
        <v>45305.875</v>
      </c>
      <c r="C2567">
        <v>0</v>
      </c>
      <c r="D2567">
        <v>0</v>
      </c>
    </row>
    <row r="2568" spans="1:4" x14ac:dyDescent="0.3">
      <c r="A2568" t="s">
        <v>9</v>
      </c>
      <c r="B2568" s="1">
        <v>45305.916666666664</v>
      </c>
      <c r="C2568">
        <v>0</v>
      </c>
      <c r="D2568">
        <v>0</v>
      </c>
    </row>
    <row r="2569" spans="1:4" x14ac:dyDescent="0.3">
      <c r="A2569" t="s">
        <v>9</v>
      </c>
      <c r="B2569" s="1">
        <v>45305.958333333336</v>
      </c>
      <c r="C2569">
        <v>0</v>
      </c>
      <c r="D2569">
        <v>0</v>
      </c>
    </row>
    <row r="2570" spans="1:4" x14ac:dyDescent="0.3">
      <c r="A2570" t="s">
        <v>9</v>
      </c>
      <c r="B2570" s="1">
        <v>45306</v>
      </c>
      <c r="C2570">
        <v>0</v>
      </c>
      <c r="D2570">
        <v>0</v>
      </c>
    </row>
    <row r="2571" spans="1:4" x14ac:dyDescent="0.3">
      <c r="A2571" t="s">
        <v>9</v>
      </c>
      <c r="B2571" s="1">
        <v>45306.041666666664</v>
      </c>
      <c r="C2571">
        <v>0</v>
      </c>
      <c r="D2571">
        <v>0</v>
      </c>
    </row>
    <row r="2572" spans="1:4" x14ac:dyDescent="0.3">
      <c r="A2572" t="s">
        <v>9</v>
      </c>
      <c r="B2572" s="1">
        <v>45306.083333333336</v>
      </c>
      <c r="C2572">
        <v>0</v>
      </c>
      <c r="D2572">
        <v>0</v>
      </c>
    </row>
    <row r="2573" spans="1:4" x14ac:dyDescent="0.3">
      <c r="A2573" t="s">
        <v>9</v>
      </c>
      <c r="B2573" s="1">
        <v>45306.125</v>
      </c>
      <c r="C2573">
        <v>0</v>
      </c>
      <c r="D2573">
        <v>0</v>
      </c>
    </row>
    <row r="2574" spans="1:4" x14ac:dyDescent="0.3">
      <c r="A2574" t="s">
        <v>9</v>
      </c>
      <c r="B2574" s="1">
        <v>45306.166666666664</v>
      </c>
      <c r="C2574">
        <v>0</v>
      </c>
      <c r="D2574">
        <v>0</v>
      </c>
    </row>
    <row r="2575" spans="1:4" x14ac:dyDescent="0.3">
      <c r="A2575" t="s">
        <v>9</v>
      </c>
      <c r="B2575" s="1">
        <v>45306.208333333336</v>
      </c>
      <c r="C2575">
        <v>0</v>
      </c>
      <c r="D2575">
        <v>0</v>
      </c>
    </row>
    <row r="2576" spans="1:4" x14ac:dyDescent="0.3">
      <c r="A2576" t="s">
        <v>9</v>
      </c>
      <c r="B2576" s="1">
        <v>45306.25</v>
      </c>
      <c r="C2576">
        <v>0</v>
      </c>
      <c r="D2576">
        <v>0</v>
      </c>
    </row>
    <row r="2577" spans="1:4" x14ac:dyDescent="0.3">
      <c r="A2577" t="s">
        <v>9</v>
      </c>
      <c r="B2577" s="1">
        <v>45306.291666666664</v>
      </c>
      <c r="C2577">
        <v>248.466283298419</v>
      </c>
      <c r="D2577">
        <v>207.05523608201599</v>
      </c>
    </row>
    <row r="2578" spans="1:4" x14ac:dyDescent="0.3">
      <c r="A2578" t="s">
        <v>9</v>
      </c>
      <c r="B2578" s="1">
        <v>45306.333333333336</v>
      </c>
      <c r="C2578">
        <v>479.99999999999898</v>
      </c>
      <c r="D2578">
        <v>399.99999999999898</v>
      </c>
    </row>
    <row r="2579" spans="1:4" x14ac:dyDescent="0.3">
      <c r="A2579" t="s">
        <v>9</v>
      </c>
      <c r="B2579" s="1">
        <v>45306.375</v>
      </c>
      <c r="C2579">
        <v>678.82250993908497</v>
      </c>
      <c r="D2579">
        <v>565.68542494923804</v>
      </c>
    </row>
    <row r="2580" spans="1:4" x14ac:dyDescent="0.3">
      <c r="A2580" t="s">
        <v>9</v>
      </c>
      <c r="B2580" s="1">
        <v>45306.416666666664</v>
      </c>
      <c r="C2580">
        <v>831.38438763306101</v>
      </c>
      <c r="D2580">
        <v>692.82032302754999</v>
      </c>
    </row>
    <row r="2581" spans="1:4" x14ac:dyDescent="0.3">
      <c r="A2581" t="s">
        <v>9</v>
      </c>
      <c r="B2581" s="1">
        <v>45306.458333333336</v>
      </c>
      <c r="C2581">
        <v>927.28879323750505</v>
      </c>
      <c r="D2581">
        <v>772.74066103125404</v>
      </c>
    </row>
    <row r="2582" spans="1:4" x14ac:dyDescent="0.3">
      <c r="A2582" t="s">
        <v>9</v>
      </c>
      <c r="B2582" s="1">
        <v>45306.5</v>
      </c>
      <c r="C2582">
        <v>960</v>
      </c>
      <c r="D2582">
        <v>800</v>
      </c>
    </row>
    <row r="2583" spans="1:4" x14ac:dyDescent="0.3">
      <c r="A2583" t="s">
        <v>9</v>
      </c>
      <c r="B2583" s="1">
        <v>45306.541666666664</v>
      </c>
      <c r="C2583">
        <v>927.28879323750505</v>
      </c>
      <c r="D2583">
        <v>772.74066103125404</v>
      </c>
    </row>
    <row r="2584" spans="1:4" x14ac:dyDescent="0.3">
      <c r="A2584" t="s">
        <v>9</v>
      </c>
      <c r="B2584" s="1">
        <v>45306.583333333336</v>
      </c>
      <c r="C2584">
        <v>831.38438763306101</v>
      </c>
      <c r="D2584">
        <v>692.82032302755101</v>
      </c>
    </row>
    <row r="2585" spans="1:4" x14ac:dyDescent="0.3">
      <c r="A2585" t="s">
        <v>9</v>
      </c>
      <c r="B2585" s="1">
        <v>45306.625</v>
      </c>
      <c r="C2585">
        <v>678.82250993908497</v>
      </c>
      <c r="D2585">
        <v>565.68542494923804</v>
      </c>
    </row>
    <row r="2586" spans="1:4" x14ac:dyDescent="0.3">
      <c r="A2586" t="s">
        <v>9</v>
      </c>
      <c r="B2586" s="1">
        <v>45306.666666666664</v>
      </c>
      <c r="C2586">
        <v>479.99999999999898</v>
      </c>
      <c r="D2586">
        <v>399.99999999999898</v>
      </c>
    </row>
    <row r="2587" spans="1:4" x14ac:dyDescent="0.3">
      <c r="A2587" t="s">
        <v>9</v>
      </c>
      <c r="B2587" s="1">
        <v>45306.708333333336</v>
      </c>
      <c r="C2587">
        <v>248.46628329842</v>
      </c>
      <c r="D2587">
        <v>207.05523608201599</v>
      </c>
    </row>
    <row r="2588" spans="1:4" x14ac:dyDescent="0.3">
      <c r="A2588" t="s">
        <v>9</v>
      </c>
      <c r="B2588" s="1">
        <v>45306.75</v>
      </c>
      <c r="C2588" s="2">
        <v>1.1756609271814501E-13</v>
      </c>
      <c r="D2588" s="2">
        <v>9.7971743931788194E-14</v>
      </c>
    </row>
    <row r="2589" spans="1:4" x14ac:dyDescent="0.3">
      <c r="A2589" t="s">
        <v>9</v>
      </c>
      <c r="B2589" s="1">
        <v>45306.791666666664</v>
      </c>
      <c r="C2589">
        <v>0</v>
      </c>
      <c r="D2589">
        <v>0</v>
      </c>
    </row>
    <row r="2590" spans="1:4" x14ac:dyDescent="0.3">
      <c r="A2590" t="s">
        <v>9</v>
      </c>
      <c r="B2590" s="1">
        <v>45306.833333333336</v>
      </c>
      <c r="C2590">
        <v>0</v>
      </c>
      <c r="D2590">
        <v>0</v>
      </c>
    </row>
    <row r="2591" spans="1:4" x14ac:dyDescent="0.3">
      <c r="A2591" t="s">
        <v>9</v>
      </c>
      <c r="B2591" s="1">
        <v>45306.875</v>
      </c>
      <c r="C2591">
        <v>0</v>
      </c>
      <c r="D2591">
        <v>0</v>
      </c>
    </row>
    <row r="2592" spans="1:4" x14ac:dyDescent="0.3">
      <c r="A2592" t="s">
        <v>9</v>
      </c>
      <c r="B2592" s="1">
        <v>45306.916666666664</v>
      </c>
      <c r="C2592">
        <v>0</v>
      </c>
      <c r="D2592">
        <v>0</v>
      </c>
    </row>
    <row r="2593" spans="1:4" x14ac:dyDescent="0.3">
      <c r="A2593" t="s">
        <v>9</v>
      </c>
      <c r="B2593" s="1">
        <v>45306.958333333336</v>
      </c>
      <c r="C2593">
        <v>0</v>
      </c>
      <c r="D2593">
        <v>0</v>
      </c>
    </row>
    <row r="2594" spans="1:4" x14ac:dyDescent="0.3">
      <c r="A2594" t="s">
        <v>9</v>
      </c>
      <c r="B2594" s="1">
        <v>45307</v>
      </c>
      <c r="C2594">
        <v>0</v>
      </c>
      <c r="D2594">
        <v>0</v>
      </c>
    </row>
    <row r="2595" spans="1:4" x14ac:dyDescent="0.3">
      <c r="A2595" t="s">
        <v>9</v>
      </c>
      <c r="B2595" s="1">
        <v>45307.041666666664</v>
      </c>
      <c r="C2595">
        <v>0</v>
      </c>
      <c r="D2595">
        <v>0</v>
      </c>
    </row>
    <row r="2596" spans="1:4" x14ac:dyDescent="0.3">
      <c r="A2596" t="s">
        <v>9</v>
      </c>
      <c r="B2596" s="1">
        <v>45307.083333333336</v>
      </c>
      <c r="C2596">
        <v>0</v>
      </c>
      <c r="D2596">
        <v>0</v>
      </c>
    </row>
    <row r="2597" spans="1:4" x14ac:dyDescent="0.3">
      <c r="A2597" t="s">
        <v>9</v>
      </c>
      <c r="B2597" s="1">
        <v>45307.125</v>
      </c>
      <c r="C2597">
        <v>0</v>
      </c>
      <c r="D2597">
        <v>0</v>
      </c>
    </row>
    <row r="2598" spans="1:4" x14ac:dyDescent="0.3">
      <c r="A2598" t="s">
        <v>9</v>
      </c>
      <c r="B2598" s="1">
        <v>45307.166666666664</v>
      </c>
      <c r="C2598">
        <v>0</v>
      </c>
      <c r="D2598">
        <v>0</v>
      </c>
    </row>
    <row r="2599" spans="1:4" x14ac:dyDescent="0.3">
      <c r="A2599" t="s">
        <v>9</v>
      </c>
      <c r="B2599" s="1">
        <v>45307.208333333336</v>
      </c>
      <c r="C2599">
        <v>0</v>
      </c>
      <c r="D2599">
        <v>0</v>
      </c>
    </row>
    <row r="2600" spans="1:4" x14ac:dyDescent="0.3">
      <c r="A2600" t="s">
        <v>9</v>
      </c>
      <c r="B2600" s="1">
        <v>45307.25</v>
      </c>
      <c r="C2600">
        <v>0</v>
      </c>
      <c r="D2600">
        <v>0</v>
      </c>
    </row>
    <row r="2601" spans="1:4" x14ac:dyDescent="0.3">
      <c r="A2601" t="s">
        <v>9</v>
      </c>
      <c r="B2601" s="1">
        <v>45307.291666666664</v>
      </c>
      <c r="C2601">
        <v>248.466283298419</v>
      </c>
      <c r="D2601">
        <v>207.05523608201599</v>
      </c>
    </row>
    <row r="2602" spans="1:4" x14ac:dyDescent="0.3">
      <c r="A2602" t="s">
        <v>9</v>
      </c>
      <c r="B2602" s="1">
        <v>45307.333333333336</v>
      </c>
      <c r="C2602">
        <v>479.99999999999898</v>
      </c>
      <c r="D2602">
        <v>399.99999999999898</v>
      </c>
    </row>
    <row r="2603" spans="1:4" x14ac:dyDescent="0.3">
      <c r="A2603" t="s">
        <v>9</v>
      </c>
      <c r="B2603" s="1">
        <v>45307.375</v>
      </c>
      <c r="C2603">
        <v>678.82250993908497</v>
      </c>
      <c r="D2603">
        <v>565.68542494923804</v>
      </c>
    </row>
    <row r="2604" spans="1:4" x14ac:dyDescent="0.3">
      <c r="A2604" t="s">
        <v>9</v>
      </c>
      <c r="B2604" s="1">
        <v>45307.416666666664</v>
      </c>
      <c r="C2604">
        <v>831.38438763306101</v>
      </c>
      <c r="D2604">
        <v>692.82032302754999</v>
      </c>
    </row>
    <row r="2605" spans="1:4" x14ac:dyDescent="0.3">
      <c r="A2605" t="s">
        <v>9</v>
      </c>
      <c r="B2605" s="1">
        <v>45307.458333333336</v>
      </c>
      <c r="C2605">
        <v>927.28879323750505</v>
      </c>
      <c r="D2605">
        <v>772.74066103125404</v>
      </c>
    </row>
    <row r="2606" spans="1:4" x14ac:dyDescent="0.3">
      <c r="A2606" t="s">
        <v>9</v>
      </c>
      <c r="B2606" s="1">
        <v>45307.5</v>
      </c>
      <c r="C2606">
        <v>960</v>
      </c>
      <c r="D2606">
        <v>800</v>
      </c>
    </row>
    <row r="2607" spans="1:4" x14ac:dyDescent="0.3">
      <c r="A2607" t="s">
        <v>9</v>
      </c>
      <c r="B2607" s="1">
        <v>45307.541666666664</v>
      </c>
      <c r="C2607">
        <v>927.28879323750505</v>
      </c>
      <c r="D2607">
        <v>772.74066103125404</v>
      </c>
    </row>
    <row r="2608" spans="1:4" x14ac:dyDescent="0.3">
      <c r="A2608" t="s">
        <v>9</v>
      </c>
      <c r="B2608" s="1">
        <v>45307.583333333336</v>
      </c>
      <c r="C2608">
        <v>831.38438763306101</v>
      </c>
      <c r="D2608">
        <v>692.82032302755101</v>
      </c>
    </row>
    <row r="2609" spans="1:4" x14ac:dyDescent="0.3">
      <c r="A2609" t="s">
        <v>9</v>
      </c>
      <c r="B2609" s="1">
        <v>45307.625</v>
      </c>
      <c r="C2609">
        <v>678.82250993908497</v>
      </c>
      <c r="D2609">
        <v>565.68542494923804</v>
      </c>
    </row>
    <row r="2610" spans="1:4" x14ac:dyDescent="0.3">
      <c r="A2610" t="s">
        <v>9</v>
      </c>
      <c r="B2610" s="1">
        <v>45307.666666666664</v>
      </c>
      <c r="C2610">
        <v>479.99999999999898</v>
      </c>
      <c r="D2610">
        <v>399.99999999999898</v>
      </c>
    </row>
    <row r="2611" spans="1:4" x14ac:dyDescent="0.3">
      <c r="A2611" t="s">
        <v>9</v>
      </c>
      <c r="B2611" s="1">
        <v>45307.708333333336</v>
      </c>
      <c r="C2611">
        <v>248.46628329842</v>
      </c>
      <c r="D2611">
        <v>207.05523608201599</v>
      </c>
    </row>
    <row r="2612" spans="1:4" x14ac:dyDescent="0.3">
      <c r="A2612" t="s">
        <v>9</v>
      </c>
      <c r="B2612" s="1">
        <v>45307.75</v>
      </c>
      <c r="C2612" s="2">
        <v>1.1756609271814501E-13</v>
      </c>
      <c r="D2612" s="2">
        <v>9.7971743931788194E-14</v>
      </c>
    </row>
    <row r="2613" spans="1:4" x14ac:dyDescent="0.3">
      <c r="A2613" t="s">
        <v>9</v>
      </c>
      <c r="B2613" s="1">
        <v>45307.791666666664</v>
      </c>
      <c r="C2613">
        <v>0</v>
      </c>
      <c r="D2613">
        <v>0</v>
      </c>
    </row>
    <row r="2614" spans="1:4" x14ac:dyDescent="0.3">
      <c r="A2614" t="s">
        <v>9</v>
      </c>
      <c r="B2614" s="1">
        <v>45307.833333333336</v>
      </c>
      <c r="C2614">
        <v>0</v>
      </c>
      <c r="D2614">
        <v>0</v>
      </c>
    </row>
    <row r="2615" spans="1:4" x14ac:dyDescent="0.3">
      <c r="A2615" t="s">
        <v>9</v>
      </c>
      <c r="B2615" s="1">
        <v>45307.875</v>
      </c>
      <c r="C2615">
        <v>0</v>
      </c>
      <c r="D2615">
        <v>0</v>
      </c>
    </row>
    <row r="2616" spans="1:4" x14ac:dyDescent="0.3">
      <c r="A2616" t="s">
        <v>9</v>
      </c>
      <c r="B2616" s="1">
        <v>45307.916666666664</v>
      </c>
      <c r="C2616">
        <v>0</v>
      </c>
      <c r="D2616">
        <v>0</v>
      </c>
    </row>
    <row r="2617" spans="1:4" x14ac:dyDescent="0.3">
      <c r="A2617" t="s">
        <v>9</v>
      </c>
      <c r="B2617" s="1">
        <v>45307.958333333336</v>
      </c>
      <c r="C2617">
        <v>0</v>
      </c>
      <c r="D2617">
        <v>0</v>
      </c>
    </row>
    <row r="2618" spans="1:4" x14ac:dyDescent="0.3">
      <c r="A2618" t="s">
        <v>9</v>
      </c>
      <c r="B2618" s="1">
        <v>45308</v>
      </c>
      <c r="C2618">
        <v>0</v>
      </c>
      <c r="D2618">
        <v>0</v>
      </c>
    </row>
    <row r="2619" spans="1:4" x14ac:dyDescent="0.3">
      <c r="A2619" t="s">
        <v>9</v>
      </c>
      <c r="B2619" s="1">
        <v>45308.041666666664</v>
      </c>
      <c r="C2619">
        <v>0</v>
      </c>
      <c r="D2619">
        <v>0</v>
      </c>
    </row>
    <row r="2620" spans="1:4" x14ac:dyDescent="0.3">
      <c r="A2620" t="s">
        <v>9</v>
      </c>
      <c r="B2620" s="1">
        <v>45308.083333333336</v>
      </c>
      <c r="C2620">
        <v>0</v>
      </c>
      <c r="D2620">
        <v>0</v>
      </c>
    </row>
    <row r="2621" spans="1:4" x14ac:dyDescent="0.3">
      <c r="A2621" t="s">
        <v>9</v>
      </c>
      <c r="B2621" s="1">
        <v>45308.125</v>
      </c>
      <c r="C2621">
        <v>0</v>
      </c>
      <c r="D2621">
        <v>0</v>
      </c>
    </row>
    <row r="2622" spans="1:4" x14ac:dyDescent="0.3">
      <c r="A2622" t="s">
        <v>9</v>
      </c>
      <c r="B2622" s="1">
        <v>45308.166666666664</v>
      </c>
      <c r="C2622">
        <v>0</v>
      </c>
      <c r="D2622">
        <v>0</v>
      </c>
    </row>
    <row r="2623" spans="1:4" x14ac:dyDescent="0.3">
      <c r="A2623" t="s">
        <v>9</v>
      </c>
      <c r="B2623" s="1">
        <v>45308.208333333336</v>
      </c>
      <c r="C2623">
        <v>0</v>
      </c>
      <c r="D2623">
        <v>0</v>
      </c>
    </row>
    <row r="2624" spans="1:4" x14ac:dyDescent="0.3">
      <c r="A2624" t="s">
        <v>9</v>
      </c>
      <c r="B2624" s="1">
        <v>45308.25</v>
      </c>
      <c r="C2624">
        <v>0</v>
      </c>
      <c r="D2624">
        <v>0</v>
      </c>
    </row>
    <row r="2625" spans="1:4" x14ac:dyDescent="0.3">
      <c r="A2625" t="s">
        <v>9</v>
      </c>
      <c r="B2625" s="1">
        <v>45308.291666666664</v>
      </c>
      <c r="C2625">
        <v>248.466283298419</v>
      </c>
      <c r="D2625">
        <v>207.05523608201599</v>
      </c>
    </row>
    <row r="2626" spans="1:4" x14ac:dyDescent="0.3">
      <c r="A2626" t="s">
        <v>9</v>
      </c>
      <c r="B2626" s="1">
        <v>45308.333333333336</v>
      </c>
      <c r="C2626">
        <v>479.99999999999898</v>
      </c>
      <c r="D2626">
        <v>399.99999999999898</v>
      </c>
    </row>
    <row r="2627" spans="1:4" x14ac:dyDescent="0.3">
      <c r="A2627" t="s">
        <v>9</v>
      </c>
      <c r="B2627" s="1">
        <v>45308.375</v>
      </c>
      <c r="C2627">
        <v>678.82250993908497</v>
      </c>
      <c r="D2627">
        <v>565.68542494923804</v>
      </c>
    </row>
    <row r="2628" spans="1:4" x14ac:dyDescent="0.3">
      <c r="A2628" t="s">
        <v>9</v>
      </c>
      <c r="B2628" s="1">
        <v>45308.416666666664</v>
      </c>
      <c r="C2628">
        <v>831.38438763306101</v>
      </c>
      <c r="D2628">
        <v>692.82032302754999</v>
      </c>
    </row>
    <row r="2629" spans="1:4" x14ac:dyDescent="0.3">
      <c r="A2629" t="s">
        <v>9</v>
      </c>
      <c r="B2629" s="1">
        <v>45308.458333333336</v>
      </c>
      <c r="C2629">
        <v>927.28879323750505</v>
      </c>
      <c r="D2629">
        <v>772.74066103125404</v>
      </c>
    </row>
    <row r="2630" spans="1:4" x14ac:dyDescent="0.3">
      <c r="A2630" t="s">
        <v>9</v>
      </c>
      <c r="B2630" s="1">
        <v>45308.5</v>
      </c>
      <c r="C2630">
        <v>960</v>
      </c>
      <c r="D2630">
        <v>800</v>
      </c>
    </row>
    <row r="2631" spans="1:4" x14ac:dyDescent="0.3">
      <c r="A2631" t="s">
        <v>9</v>
      </c>
      <c r="B2631" s="1">
        <v>45308.541666666664</v>
      </c>
      <c r="C2631">
        <v>927.28879323750505</v>
      </c>
      <c r="D2631">
        <v>772.74066103125404</v>
      </c>
    </row>
    <row r="2632" spans="1:4" x14ac:dyDescent="0.3">
      <c r="A2632" t="s">
        <v>9</v>
      </c>
      <c r="B2632" s="1">
        <v>45308.583333333336</v>
      </c>
      <c r="C2632">
        <v>831.38438763306101</v>
      </c>
      <c r="D2632">
        <v>692.82032302755101</v>
      </c>
    </row>
    <row r="2633" spans="1:4" x14ac:dyDescent="0.3">
      <c r="A2633" t="s">
        <v>9</v>
      </c>
      <c r="B2633" s="1">
        <v>45308.625</v>
      </c>
      <c r="C2633">
        <v>678.82250993908497</v>
      </c>
      <c r="D2633">
        <v>565.68542494923804</v>
      </c>
    </row>
    <row r="2634" spans="1:4" x14ac:dyDescent="0.3">
      <c r="A2634" t="s">
        <v>9</v>
      </c>
      <c r="B2634" s="1">
        <v>45308.666666666664</v>
      </c>
      <c r="C2634">
        <v>479.99999999999898</v>
      </c>
      <c r="D2634">
        <v>399.99999999999898</v>
      </c>
    </row>
    <row r="2635" spans="1:4" x14ac:dyDescent="0.3">
      <c r="A2635" t="s">
        <v>9</v>
      </c>
      <c r="B2635" s="1">
        <v>45308.708333333336</v>
      </c>
      <c r="C2635">
        <v>248.46628329842</v>
      </c>
      <c r="D2635">
        <v>207.05523608201599</v>
      </c>
    </row>
    <row r="2636" spans="1:4" x14ac:dyDescent="0.3">
      <c r="A2636" t="s">
        <v>9</v>
      </c>
      <c r="B2636" s="1">
        <v>45308.75</v>
      </c>
      <c r="C2636" s="2">
        <v>1.1756609271814501E-13</v>
      </c>
      <c r="D2636" s="2">
        <v>9.7971743931788194E-14</v>
      </c>
    </row>
    <row r="2637" spans="1:4" x14ac:dyDescent="0.3">
      <c r="A2637" t="s">
        <v>9</v>
      </c>
      <c r="B2637" s="1">
        <v>45308.791666666664</v>
      </c>
      <c r="C2637">
        <v>0</v>
      </c>
      <c r="D2637">
        <v>0</v>
      </c>
    </row>
    <row r="2638" spans="1:4" x14ac:dyDescent="0.3">
      <c r="A2638" t="s">
        <v>9</v>
      </c>
      <c r="B2638" s="1">
        <v>45308.833333333336</v>
      </c>
      <c r="C2638">
        <v>0</v>
      </c>
      <c r="D2638">
        <v>0</v>
      </c>
    </row>
    <row r="2639" spans="1:4" x14ac:dyDescent="0.3">
      <c r="A2639" t="s">
        <v>9</v>
      </c>
      <c r="B2639" s="1">
        <v>45308.875</v>
      </c>
      <c r="C2639">
        <v>0</v>
      </c>
      <c r="D2639">
        <v>0</v>
      </c>
    </row>
    <row r="2640" spans="1:4" x14ac:dyDescent="0.3">
      <c r="A2640" t="s">
        <v>9</v>
      </c>
      <c r="B2640" s="1">
        <v>45308.916666666664</v>
      </c>
      <c r="C2640">
        <v>0</v>
      </c>
      <c r="D2640">
        <v>0</v>
      </c>
    </row>
    <row r="2641" spans="1:4" x14ac:dyDescent="0.3">
      <c r="A2641" t="s">
        <v>9</v>
      </c>
      <c r="B2641" s="1">
        <v>45308.958333333336</v>
      </c>
      <c r="C2641">
        <v>0</v>
      </c>
      <c r="D2641">
        <v>0</v>
      </c>
    </row>
    <row r="2642" spans="1:4" x14ac:dyDescent="0.3">
      <c r="A2642" t="s">
        <v>9</v>
      </c>
      <c r="B2642" s="1">
        <v>45309</v>
      </c>
      <c r="C2642">
        <v>0</v>
      </c>
      <c r="D2642">
        <v>0</v>
      </c>
    </row>
    <row r="2643" spans="1:4" x14ac:dyDescent="0.3">
      <c r="A2643" t="s">
        <v>9</v>
      </c>
      <c r="B2643" s="1">
        <v>45309.041666666664</v>
      </c>
      <c r="C2643">
        <v>0</v>
      </c>
      <c r="D2643">
        <v>0</v>
      </c>
    </row>
    <row r="2644" spans="1:4" x14ac:dyDescent="0.3">
      <c r="A2644" t="s">
        <v>9</v>
      </c>
      <c r="B2644" s="1">
        <v>45309.083333333336</v>
      </c>
      <c r="C2644">
        <v>0</v>
      </c>
      <c r="D2644">
        <v>0</v>
      </c>
    </row>
    <row r="2645" spans="1:4" x14ac:dyDescent="0.3">
      <c r="A2645" t="s">
        <v>9</v>
      </c>
      <c r="B2645" s="1">
        <v>45309.125</v>
      </c>
      <c r="C2645">
        <v>0</v>
      </c>
      <c r="D2645">
        <v>0</v>
      </c>
    </row>
    <row r="2646" spans="1:4" x14ac:dyDescent="0.3">
      <c r="A2646" t="s">
        <v>9</v>
      </c>
      <c r="B2646" s="1">
        <v>45309.166666666664</v>
      </c>
      <c r="C2646">
        <v>0</v>
      </c>
      <c r="D2646">
        <v>0</v>
      </c>
    </row>
    <row r="2647" spans="1:4" x14ac:dyDescent="0.3">
      <c r="A2647" t="s">
        <v>9</v>
      </c>
      <c r="B2647" s="1">
        <v>45309.208333333336</v>
      </c>
      <c r="C2647">
        <v>0</v>
      </c>
      <c r="D2647">
        <v>0</v>
      </c>
    </row>
    <row r="2648" spans="1:4" x14ac:dyDescent="0.3">
      <c r="A2648" t="s">
        <v>9</v>
      </c>
      <c r="B2648" s="1">
        <v>45309.25</v>
      </c>
      <c r="C2648">
        <v>0</v>
      </c>
      <c r="D2648">
        <v>0</v>
      </c>
    </row>
    <row r="2649" spans="1:4" x14ac:dyDescent="0.3">
      <c r="A2649" t="s">
        <v>9</v>
      </c>
      <c r="B2649" s="1">
        <v>45309.291666666664</v>
      </c>
      <c r="C2649">
        <v>248.466283298419</v>
      </c>
      <c r="D2649">
        <v>207.05523608201599</v>
      </c>
    </row>
    <row r="2650" spans="1:4" x14ac:dyDescent="0.3">
      <c r="A2650" t="s">
        <v>9</v>
      </c>
      <c r="B2650" s="1">
        <v>45309.333333333336</v>
      </c>
      <c r="C2650">
        <v>479.99999999999898</v>
      </c>
      <c r="D2650">
        <v>399.99999999999898</v>
      </c>
    </row>
    <row r="2651" spans="1:4" x14ac:dyDescent="0.3">
      <c r="A2651" t="s">
        <v>9</v>
      </c>
      <c r="B2651" s="1">
        <v>45309.375</v>
      </c>
      <c r="C2651">
        <v>678.82250993908497</v>
      </c>
      <c r="D2651">
        <v>565.68542494923804</v>
      </c>
    </row>
    <row r="2652" spans="1:4" x14ac:dyDescent="0.3">
      <c r="A2652" t="s">
        <v>9</v>
      </c>
      <c r="B2652" s="1">
        <v>45309.416666666664</v>
      </c>
      <c r="C2652">
        <v>831.38438763306101</v>
      </c>
      <c r="D2652">
        <v>692.82032302754999</v>
      </c>
    </row>
    <row r="2653" spans="1:4" x14ac:dyDescent="0.3">
      <c r="A2653" t="s">
        <v>9</v>
      </c>
      <c r="B2653" s="1">
        <v>45309.458333333336</v>
      </c>
      <c r="C2653">
        <v>927.28879323750505</v>
      </c>
      <c r="D2653">
        <v>772.74066103125404</v>
      </c>
    </row>
    <row r="2654" spans="1:4" x14ac:dyDescent="0.3">
      <c r="A2654" t="s">
        <v>9</v>
      </c>
      <c r="B2654" s="1">
        <v>45309.5</v>
      </c>
      <c r="C2654">
        <v>960</v>
      </c>
      <c r="D2654">
        <v>800</v>
      </c>
    </row>
    <row r="2655" spans="1:4" x14ac:dyDescent="0.3">
      <c r="A2655" t="s">
        <v>9</v>
      </c>
      <c r="B2655" s="1">
        <v>45309.541666666664</v>
      </c>
      <c r="C2655">
        <v>927.28879323750505</v>
      </c>
      <c r="D2655">
        <v>772.74066103125404</v>
      </c>
    </row>
    <row r="2656" spans="1:4" x14ac:dyDescent="0.3">
      <c r="A2656" t="s">
        <v>9</v>
      </c>
      <c r="B2656" s="1">
        <v>45309.583333333336</v>
      </c>
      <c r="C2656">
        <v>831.38438763306101</v>
      </c>
      <c r="D2656">
        <v>692.82032302755101</v>
      </c>
    </row>
    <row r="2657" spans="1:4" x14ac:dyDescent="0.3">
      <c r="A2657" t="s">
        <v>9</v>
      </c>
      <c r="B2657" s="1">
        <v>45309.625</v>
      </c>
      <c r="C2657">
        <v>678.82250993908497</v>
      </c>
      <c r="D2657">
        <v>565.68542494923804</v>
      </c>
    </row>
    <row r="2658" spans="1:4" x14ac:dyDescent="0.3">
      <c r="A2658" t="s">
        <v>9</v>
      </c>
      <c r="B2658" s="1">
        <v>45309.666666666664</v>
      </c>
      <c r="C2658">
        <v>479.99999999999898</v>
      </c>
      <c r="D2658">
        <v>399.99999999999898</v>
      </c>
    </row>
    <row r="2659" spans="1:4" x14ac:dyDescent="0.3">
      <c r="A2659" t="s">
        <v>9</v>
      </c>
      <c r="B2659" s="1">
        <v>45309.708333333336</v>
      </c>
      <c r="C2659">
        <v>248.46628329842</v>
      </c>
      <c r="D2659">
        <v>207.05523608201599</v>
      </c>
    </row>
    <row r="2660" spans="1:4" x14ac:dyDescent="0.3">
      <c r="A2660" t="s">
        <v>9</v>
      </c>
      <c r="B2660" s="1">
        <v>45309.75</v>
      </c>
      <c r="C2660" s="2">
        <v>1.1756609271814501E-13</v>
      </c>
      <c r="D2660" s="2">
        <v>9.7971743931788194E-14</v>
      </c>
    </row>
    <row r="2661" spans="1:4" x14ac:dyDescent="0.3">
      <c r="A2661" t="s">
        <v>9</v>
      </c>
      <c r="B2661" s="1">
        <v>45309.791666666664</v>
      </c>
      <c r="C2661">
        <v>0</v>
      </c>
      <c r="D2661">
        <v>0</v>
      </c>
    </row>
    <row r="2662" spans="1:4" x14ac:dyDescent="0.3">
      <c r="A2662" t="s">
        <v>9</v>
      </c>
      <c r="B2662" s="1">
        <v>45309.833333333336</v>
      </c>
      <c r="C2662">
        <v>0</v>
      </c>
      <c r="D2662">
        <v>0</v>
      </c>
    </row>
    <row r="2663" spans="1:4" x14ac:dyDescent="0.3">
      <c r="A2663" t="s">
        <v>9</v>
      </c>
      <c r="B2663" s="1">
        <v>45309.875</v>
      </c>
      <c r="C2663">
        <v>0</v>
      </c>
      <c r="D2663">
        <v>0</v>
      </c>
    </row>
    <row r="2664" spans="1:4" x14ac:dyDescent="0.3">
      <c r="A2664" t="s">
        <v>9</v>
      </c>
      <c r="B2664" s="1">
        <v>45309.916666666664</v>
      </c>
      <c r="C2664">
        <v>0</v>
      </c>
      <c r="D2664">
        <v>0</v>
      </c>
    </row>
    <row r="2665" spans="1:4" x14ac:dyDescent="0.3">
      <c r="A2665" t="s">
        <v>9</v>
      </c>
      <c r="B2665" s="1">
        <v>45309.958333333336</v>
      </c>
      <c r="C2665">
        <v>0</v>
      </c>
      <c r="D2665">
        <v>0</v>
      </c>
    </row>
    <row r="2666" spans="1:4" x14ac:dyDescent="0.3">
      <c r="A2666" t="s">
        <v>9</v>
      </c>
      <c r="B2666" s="1">
        <v>45310</v>
      </c>
      <c r="C2666">
        <v>0</v>
      </c>
      <c r="D2666">
        <v>0</v>
      </c>
    </row>
    <row r="2667" spans="1:4" x14ac:dyDescent="0.3">
      <c r="A2667" t="s">
        <v>9</v>
      </c>
      <c r="B2667" s="1">
        <v>45310.041666666664</v>
      </c>
      <c r="C2667">
        <v>0</v>
      </c>
      <c r="D2667">
        <v>0</v>
      </c>
    </row>
    <row r="2668" spans="1:4" x14ac:dyDescent="0.3">
      <c r="A2668" t="s">
        <v>9</v>
      </c>
      <c r="B2668" s="1">
        <v>45310.083333333336</v>
      </c>
      <c r="C2668">
        <v>0</v>
      </c>
      <c r="D2668">
        <v>0</v>
      </c>
    </row>
    <row r="2669" spans="1:4" x14ac:dyDescent="0.3">
      <c r="A2669" t="s">
        <v>9</v>
      </c>
      <c r="B2669" s="1">
        <v>45310.125</v>
      </c>
      <c r="C2669">
        <v>0</v>
      </c>
      <c r="D2669">
        <v>0</v>
      </c>
    </row>
    <row r="2670" spans="1:4" x14ac:dyDescent="0.3">
      <c r="A2670" t="s">
        <v>9</v>
      </c>
      <c r="B2670" s="1">
        <v>45310.166666666664</v>
      </c>
      <c r="C2670">
        <v>0</v>
      </c>
      <c r="D2670">
        <v>0</v>
      </c>
    </row>
    <row r="2671" spans="1:4" x14ac:dyDescent="0.3">
      <c r="A2671" t="s">
        <v>9</v>
      </c>
      <c r="B2671" s="1">
        <v>45310.208333333336</v>
      </c>
      <c r="C2671">
        <v>0</v>
      </c>
      <c r="D2671">
        <v>0</v>
      </c>
    </row>
    <row r="2672" spans="1:4" x14ac:dyDescent="0.3">
      <c r="A2672" t="s">
        <v>9</v>
      </c>
      <c r="B2672" s="1">
        <v>45310.25</v>
      </c>
      <c r="C2672">
        <v>0</v>
      </c>
      <c r="D2672">
        <v>0</v>
      </c>
    </row>
    <row r="2673" spans="1:4" x14ac:dyDescent="0.3">
      <c r="A2673" t="s">
        <v>9</v>
      </c>
      <c r="B2673" s="1">
        <v>45310.291666666664</v>
      </c>
      <c r="C2673">
        <v>248.466283298419</v>
      </c>
      <c r="D2673">
        <v>207.05523608201599</v>
      </c>
    </row>
    <row r="2674" spans="1:4" x14ac:dyDescent="0.3">
      <c r="A2674" t="s">
        <v>9</v>
      </c>
      <c r="B2674" s="1">
        <v>45310.333333333336</v>
      </c>
      <c r="C2674">
        <v>479.99999999999898</v>
      </c>
      <c r="D2674">
        <v>399.99999999999898</v>
      </c>
    </row>
    <row r="2675" spans="1:4" x14ac:dyDescent="0.3">
      <c r="A2675" t="s">
        <v>9</v>
      </c>
      <c r="B2675" s="1">
        <v>45310.375</v>
      </c>
      <c r="C2675">
        <v>678.82250993908497</v>
      </c>
      <c r="D2675">
        <v>565.68542494923804</v>
      </c>
    </row>
    <row r="2676" spans="1:4" x14ac:dyDescent="0.3">
      <c r="A2676" t="s">
        <v>9</v>
      </c>
      <c r="B2676" s="1">
        <v>45310.416666666664</v>
      </c>
      <c r="C2676">
        <v>831.38438763306101</v>
      </c>
      <c r="D2676">
        <v>692.82032302754999</v>
      </c>
    </row>
    <row r="2677" spans="1:4" x14ac:dyDescent="0.3">
      <c r="A2677" t="s">
        <v>9</v>
      </c>
      <c r="B2677" s="1">
        <v>45310.458333333336</v>
      </c>
      <c r="C2677">
        <v>927.28879323750505</v>
      </c>
      <c r="D2677">
        <v>772.74066103125404</v>
      </c>
    </row>
    <row r="2678" spans="1:4" x14ac:dyDescent="0.3">
      <c r="A2678" t="s">
        <v>9</v>
      </c>
      <c r="B2678" s="1">
        <v>45310.5</v>
      </c>
      <c r="C2678">
        <v>960</v>
      </c>
      <c r="D2678">
        <v>800</v>
      </c>
    </row>
    <row r="2679" spans="1:4" x14ac:dyDescent="0.3">
      <c r="A2679" t="s">
        <v>9</v>
      </c>
      <c r="B2679" s="1">
        <v>45310.541666666664</v>
      </c>
      <c r="C2679">
        <v>927.28879323750505</v>
      </c>
      <c r="D2679">
        <v>772.74066103125404</v>
      </c>
    </row>
    <row r="2680" spans="1:4" x14ac:dyDescent="0.3">
      <c r="A2680" t="s">
        <v>9</v>
      </c>
      <c r="B2680" s="1">
        <v>45310.583333333336</v>
      </c>
      <c r="C2680">
        <v>831.38438763306101</v>
      </c>
      <c r="D2680">
        <v>692.82032302755101</v>
      </c>
    </row>
    <row r="2681" spans="1:4" x14ac:dyDescent="0.3">
      <c r="A2681" t="s">
        <v>9</v>
      </c>
      <c r="B2681" s="1">
        <v>45310.625</v>
      </c>
      <c r="C2681">
        <v>678.82250993908497</v>
      </c>
      <c r="D2681">
        <v>565.68542494923804</v>
      </c>
    </row>
    <row r="2682" spans="1:4" x14ac:dyDescent="0.3">
      <c r="A2682" t="s">
        <v>9</v>
      </c>
      <c r="B2682" s="1">
        <v>45310.666666666664</v>
      </c>
      <c r="C2682">
        <v>479.99999999999898</v>
      </c>
      <c r="D2682">
        <v>399.99999999999898</v>
      </c>
    </row>
    <row r="2683" spans="1:4" x14ac:dyDescent="0.3">
      <c r="A2683" t="s">
        <v>9</v>
      </c>
      <c r="B2683" s="1">
        <v>45310.708333333336</v>
      </c>
      <c r="C2683">
        <v>248.46628329842</v>
      </c>
      <c r="D2683">
        <v>207.05523608201599</v>
      </c>
    </row>
    <row r="2684" spans="1:4" x14ac:dyDescent="0.3">
      <c r="A2684" t="s">
        <v>9</v>
      </c>
      <c r="B2684" s="1">
        <v>45310.75</v>
      </c>
      <c r="C2684" s="2">
        <v>1.1756609271814501E-13</v>
      </c>
      <c r="D2684" s="2">
        <v>9.7971743931788194E-14</v>
      </c>
    </row>
    <row r="2685" spans="1:4" x14ac:dyDescent="0.3">
      <c r="A2685" t="s">
        <v>9</v>
      </c>
      <c r="B2685" s="1">
        <v>45310.791666666664</v>
      </c>
      <c r="C2685">
        <v>0</v>
      </c>
      <c r="D2685">
        <v>0</v>
      </c>
    </row>
    <row r="2686" spans="1:4" x14ac:dyDescent="0.3">
      <c r="A2686" t="s">
        <v>9</v>
      </c>
      <c r="B2686" s="1">
        <v>45310.833333333336</v>
      </c>
      <c r="C2686">
        <v>0</v>
      </c>
      <c r="D2686">
        <v>0</v>
      </c>
    </row>
    <row r="2687" spans="1:4" x14ac:dyDescent="0.3">
      <c r="A2687" t="s">
        <v>9</v>
      </c>
      <c r="B2687" s="1">
        <v>45310.875</v>
      </c>
      <c r="C2687">
        <v>0</v>
      </c>
      <c r="D2687">
        <v>0</v>
      </c>
    </row>
    <row r="2688" spans="1:4" x14ac:dyDescent="0.3">
      <c r="A2688" t="s">
        <v>9</v>
      </c>
      <c r="B2688" s="1">
        <v>45310.916666666664</v>
      </c>
      <c r="C2688">
        <v>0</v>
      </c>
      <c r="D2688">
        <v>0</v>
      </c>
    </row>
    <row r="2689" spans="1:4" x14ac:dyDescent="0.3">
      <c r="A2689" t="s">
        <v>9</v>
      </c>
      <c r="B2689" s="1">
        <v>45310.958333333336</v>
      </c>
      <c r="C2689">
        <v>0</v>
      </c>
      <c r="D2689">
        <v>0</v>
      </c>
    </row>
    <row r="2690" spans="1:4" x14ac:dyDescent="0.3">
      <c r="A2690" t="s">
        <v>9</v>
      </c>
      <c r="B2690" s="1">
        <v>45311</v>
      </c>
      <c r="C2690">
        <v>0</v>
      </c>
      <c r="D2690">
        <v>0</v>
      </c>
    </row>
    <row r="2691" spans="1:4" x14ac:dyDescent="0.3">
      <c r="A2691" t="s">
        <v>9</v>
      </c>
      <c r="B2691" s="1">
        <v>45311.041666666664</v>
      </c>
      <c r="C2691">
        <v>0</v>
      </c>
      <c r="D2691">
        <v>0</v>
      </c>
    </row>
    <row r="2692" spans="1:4" x14ac:dyDescent="0.3">
      <c r="A2692" t="s">
        <v>9</v>
      </c>
      <c r="B2692" s="1">
        <v>45311.083333333336</v>
      </c>
      <c r="C2692">
        <v>0</v>
      </c>
      <c r="D2692">
        <v>0</v>
      </c>
    </row>
    <row r="2693" spans="1:4" x14ac:dyDescent="0.3">
      <c r="A2693" t="s">
        <v>9</v>
      </c>
      <c r="B2693" s="1">
        <v>45311.125</v>
      </c>
      <c r="C2693">
        <v>0</v>
      </c>
      <c r="D2693">
        <v>0</v>
      </c>
    </row>
    <row r="2694" spans="1:4" x14ac:dyDescent="0.3">
      <c r="A2694" t="s">
        <v>9</v>
      </c>
      <c r="B2694" s="1">
        <v>45311.166666666664</v>
      </c>
      <c r="C2694">
        <v>0</v>
      </c>
      <c r="D2694">
        <v>0</v>
      </c>
    </row>
    <row r="2695" spans="1:4" x14ac:dyDescent="0.3">
      <c r="A2695" t="s">
        <v>9</v>
      </c>
      <c r="B2695" s="1">
        <v>45311.208333333336</v>
      </c>
      <c r="C2695">
        <v>0</v>
      </c>
      <c r="D2695">
        <v>0</v>
      </c>
    </row>
    <row r="2696" spans="1:4" x14ac:dyDescent="0.3">
      <c r="A2696" t="s">
        <v>9</v>
      </c>
      <c r="B2696" s="1">
        <v>45311.25</v>
      </c>
      <c r="C2696">
        <v>0</v>
      </c>
      <c r="D2696">
        <v>0</v>
      </c>
    </row>
    <row r="2697" spans="1:4" x14ac:dyDescent="0.3">
      <c r="A2697" t="s">
        <v>9</v>
      </c>
      <c r="B2697" s="1">
        <v>45311.291666666664</v>
      </c>
      <c r="C2697">
        <v>248.466283298419</v>
      </c>
      <c r="D2697">
        <v>207.05523608201599</v>
      </c>
    </row>
    <row r="2698" spans="1:4" x14ac:dyDescent="0.3">
      <c r="A2698" t="s">
        <v>9</v>
      </c>
      <c r="B2698" s="1">
        <v>45311.333333333336</v>
      </c>
      <c r="C2698">
        <v>479.99999999999898</v>
      </c>
      <c r="D2698">
        <v>399.99999999999898</v>
      </c>
    </row>
    <row r="2699" spans="1:4" x14ac:dyDescent="0.3">
      <c r="A2699" t="s">
        <v>9</v>
      </c>
      <c r="B2699" s="1">
        <v>45311.375</v>
      </c>
      <c r="C2699">
        <v>678.82250993908497</v>
      </c>
      <c r="D2699">
        <v>565.68542494923804</v>
      </c>
    </row>
    <row r="2700" spans="1:4" x14ac:dyDescent="0.3">
      <c r="A2700" t="s">
        <v>9</v>
      </c>
      <c r="B2700" s="1">
        <v>45311.416666666664</v>
      </c>
      <c r="C2700">
        <v>831.38438763306101</v>
      </c>
      <c r="D2700">
        <v>692.82032302754999</v>
      </c>
    </row>
    <row r="2701" spans="1:4" x14ac:dyDescent="0.3">
      <c r="A2701" t="s">
        <v>9</v>
      </c>
      <c r="B2701" s="1">
        <v>45311.458333333336</v>
      </c>
      <c r="C2701">
        <v>927.28879323750505</v>
      </c>
      <c r="D2701">
        <v>772.74066103125404</v>
      </c>
    </row>
    <row r="2702" spans="1:4" x14ac:dyDescent="0.3">
      <c r="A2702" t="s">
        <v>9</v>
      </c>
      <c r="B2702" s="1">
        <v>45311.5</v>
      </c>
      <c r="C2702">
        <v>960</v>
      </c>
      <c r="D2702">
        <v>800</v>
      </c>
    </row>
    <row r="2703" spans="1:4" x14ac:dyDescent="0.3">
      <c r="A2703" t="s">
        <v>9</v>
      </c>
      <c r="B2703" s="1">
        <v>45311.541666666664</v>
      </c>
      <c r="C2703">
        <v>927.28879323750505</v>
      </c>
      <c r="D2703">
        <v>772.74066103125404</v>
      </c>
    </row>
    <row r="2704" spans="1:4" x14ac:dyDescent="0.3">
      <c r="A2704" t="s">
        <v>9</v>
      </c>
      <c r="B2704" s="1">
        <v>45311.583333333336</v>
      </c>
      <c r="C2704">
        <v>831.38438763306101</v>
      </c>
      <c r="D2704">
        <v>692.82032302755101</v>
      </c>
    </row>
    <row r="2705" spans="1:4" x14ac:dyDescent="0.3">
      <c r="A2705" t="s">
        <v>9</v>
      </c>
      <c r="B2705" s="1">
        <v>45311.625</v>
      </c>
      <c r="C2705">
        <v>678.82250993908497</v>
      </c>
      <c r="D2705">
        <v>565.68542494923804</v>
      </c>
    </row>
    <row r="2706" spans="1:4" x14ac:dyDescent="0.3">
      <c r="A2706" t="s">
        <v>9</v>
      </c>
      <c r="B2706" s="1">
        <v>45311.666666666664</v>
      </c>
      <c r="C2706">
        <v>479.99999999999898</v>
      </c>
      <c r="D2706">
        <v>399.99999999999898</v>
      </c>
    </row>
    <row r="2707" spans="1:4" x14ac:dyDescent="0.3">
      <c r="A2707" t="s">
        <v>9</v>
      </c>
      <c r="B2707" s="1">
        <v>45311.708333333336</v>
      </c>
      <c r="C2707">
        <v>248.46628329842</v>
      </c>
      <c r="D2707">
        <v>207.05523608201599</v>
      </c>
    </row>
    <row r="2708" spans="1:4" x14ac:dyDescent="0.3">
      <c r="A2708" t="s">
        <v>9</v>
      </c>
      <c r="B2708" s="1">
        <v>45311.75</v>
      </c>
      <c r="C2708" s="2">
        <v>1.1756609271814501E-13</v>
      </c>
      <c r="D2708" s="2">
        <v>9.7971743931788194E-14</v>
      </c>
    </row>
    <row r="2709" spans="1:4" x14ac:dyDescent="0.3">
      <c r="A2709" t="s">
        <v>9</v>
      </c>
      <c r="B2709" s="1">
        <v>45311.791666666664</v>
      </c>
      <c r="C2709">
        <v>0</v>
      </c>
      <c r="D2709">
        <v>0</v>
      </c>
    </row>
    <row r="2710" spans="1:4" x14ac:dyDescent="0.3">
      <c r="A2710" t="s">
        <v>9</v>
      </c>
      <c r="B2710" s="1">
        <v>45311.833333333336</v>
      </c>
      <c r="C2710">
        <v>0</v>
      </c>
      <c r="D2710">
        <v>0</v>
      </c>
    </row>
    <row r="2711" spans="1:4" x14ac:dyDescent="0.3">
      <c r="A2711" t="s">
        <v>9</v>
      </c>
      <c r="B2711" s="1">
        <v>45311.875</v>
      </c>
      <c r="C2711">
        <v>0</v>
      </c>
      <c r="D2711">
        <v>0</v>
      </c>
    </row>
    <row r="2712" spans="1:4" x14ac:dyDescent="0.3">
      <c r="A2712" t="s">
        <v>9</v>
      </c>
      <c r="B2712" s="1">
        <v>45311.916666666664</v>
      </c>
      <c r="C2712">
        <v>0</v>
      </c>
      <c r="D2712">
        <v>0</v>
      </c>
    </row>
    <row r="2713" spans="1:4" x14ac:dyDescent="0.3">
      <c r="A2713" t="s">
        <v>9</v>
      </c>
      <c r="B2713" s="1">
        <v>45311.958333333336</v>
      </c>
      <c r="C2713">
        <v>0</v>
      </c>
      <c r="D2713">
        <v>0</v>
      </c>
    </row>
    <row r="2714" spans="1:4" x14ac:dyDescent="0.3">
      <c r="A2714" t="s">
        <v>9</v>
      </c>
      <c r="B2714" s="1">
        <v>45312</v>
      </c>
      <c r="C2714">
        <v>0</v>
      </c>
      <c r="D2714">
        <v>0</v>
      </c>
    </row>
    <row r="2715" spans="1:4" x14ac:dyDescent="0.3">
      <c r="A2715" t="s">
        <v>9</v>
      </c>
      <c r="B2715" s="1">
        <v>45312.041666666664</v>
      </c>
      <c r="C2715">
        <v>0</v>
      </c>
      <c r="D2715">
        <v>0</v>
      </c>
    </row>
    <row r="2716" spans="1:4" x14ac:dyDescent="0.3">
      <c r="A2716" t="s">
        <v>9</v>
      </c>
      <c r="B2716" s="1">
        <v>45312.083333333336</v>
      </c>
      <c r="C2716">
        <v>0</v>
      </c>
      <c r="D2716">
        <v>0</v>
      </c>
    </row>
    <row r="2717" spans="1:4" x14ac:dyDescent="0.3">
      <c r="A2717" t="s">
        <v>9</v>
      </c>
      <c r="B2717" s="1">
        <v>45312.125</v>
      </c>
      <c r="C2717">
        <v>0</v>
      </c>
      <c r="D2717">
        <v>0</v>
      </c>
    </row>
    <row r="2718" spans="1:4" x14ac:dyDescent="0.3">
      <c r="A2718" t="s">
        <v>9</v>
      </c>
      <c r="B2718" s="1">
        <v>45312.166666666664</v>
      </c>
      <c r="C2718">
        <v>0</v>
      </c>
      <c r="D2718">
        <v>0</v>
      </c>
    </row>
    <row r="2719" spans="1:4" x14ac:dyDescent="0.3">
      <c r="A2719" t="s">
        <v>9</v>
      </c>
      <c r="B2719" s="1">
        <v>45312.208333333336</v>
      </c>
      <c r="C2719">
        <v>0</v>
      </c>
      <c r="D2719">
        <v>0</v>
      </c>
    </row>
    <row r="2720" spans="1:4" x14ac:dyDescent="0.3">
      <c r="A2720" t="s">
        <v>9</v>
      </c>
      <c r="B2720" s="1">
        <v>45312.25</v>
      </c>
      <c r="C2720">
        <v>0</v>
      </c>
      <c r="D2720">
        <v>0</v>
      </c>
    </row>
    <row r="2721" spans="1:4" x14ac:dyDescent="0.3">
      <c r="A2721" t="s">
        <v>9</v>
      </c>
      <c r="B2721" s="1">
        <v>45312.291666666664</v>
      </c>
      <c r="C2721">
        <v>248.466283298419</v>
      </c>
      <c r="D2721">
        <v>207.05523608201599</v>
      </c>
    </row>
    <row r="2722" spans="1:4" x14ac:dyDescent="0.3">
      <c r="A2722" t="s">
        <v>9</v>
      </c>
      <c r="B2722" s="1">
        <v>45312.333333333336</v>
      </c>
      <c r="C2722">
        <v>479.99999999999898</v>
      </c>
      <c r="D2722">
        <v>399.99999999999898</v>
      </c>
    </row>
    <row r="2723" spans="1:4" x14ac:dyDescent="0.3">
      <c r="A2723" t="s">
        <v>9</v>
      </c>
      <c r="B2723" s="1">
        <v>45312.375</v>
      </c>
      <c r="C2723">
        <v>678.82250993908497</v>
      </c>
      <c r="D2723">
        <v>565.68542494923804</v>
      </c>
    </row>
    <row r="2724" spans="1:4" x14ac:dyDescent="0.3">
      <c r="A2724" t="s">
        <v>9</v>
      </c>
      <c r="B2724" s="1">
        <v>45312.416666666664</v>
      </c>
      <c r="C2724">
        <v>831.38438763306101</v>
      </c>
      <c r="D2724">
        <v>692.82032302754999</v>
      </c>
    </row>
    <row r="2725" spans="1:4" x14ac:dyDescent="0.3">
      <c r="A2725" t="s">
        <v>9</v>
      </c>
      <c r="B2725" s="1">
        <v>45312.458333333336</v>
      </c>
      <c r="C2725">
        <v>927.28879323750505</v>
      </c>
      <c r="D2725">
        <v>772.74066103125404</v>
      </c>
    </row>
    <row r="2726" spans="1:4" x14ac:dyDescent="0.3">
      <c r="A2726" t="s">
        <v>9</v>
      </c>
      <c r="B2726" s="1">
        <v>45312.5</v>
      </c>
      <c r="C2726">
        <v>960</v>
      </c>
      <c r="D2726">
        <v>800</v>
      </c>
    </row>
    <row r="2727" spans="1:4" x14ac:dyDescent="0.3">
      <c r="A2727" t="s">
        <v>9</v>
      </c>
      <c r="B2727" s="1">
        <v>45312.541666666664</v>
      </c>
      <c r="C2727">
        <v>927.28879323750505</v>
      </c>
      <c r="D2727">
        <v>772.74066103125404</v>
      </c>
    </row>
    <row r="2728" spans="1:4" x14ac:dyDescent="0.3">
      <c r="A2728" t="s">
        <v>9</v>
      </c>
      <c r="B2728" s="1">
        <v>45312.583333333336</v>
      </c>
      <c r="C2728">
        <v>831.38438763306101</v>
      </c>
      <c r="D2728">
        <v>692.82032302755101</v>
      </c>
    </row>
    <row r="2729" spans="1:4" x14ac:dyDescent="0.3">
      <c r="A2729" t="s">
        <v>9</v>
      </c>
      <c r="B2729" s="1">
        <v>45312.625</v>
      </c>
      <c r="C2729">
        <v>678.82250993908497</v>
      </c>
      <c r="D2729">
        <v>565.68542494923804</v>
      </c>
    </row>
    <row r="2730" spans="1:4" x14ac:dyDescent="0.3">
      <c r="A2730" t="s">
        <v>9</v>
      </c>
      <c r="B2730" s="1">
        <v>45312.666666666664</v>
      </c>
      <c r="C2730">
        <v>479.99999999999898</v>
      </c>
      <c r="D2730">
        <v>399.99999999999898</v>
      </c>
    </row>
    <row r="2731" spans="1:4" x14ac:dyDescent="0.3">
      <c r="A2731" t="s">
        <v>9</v>
      </c>
      <c r="B2731" s="1">
        <v>45312.708333333336</v>
      </c>
      <c r="C2731">
        <v>248.46628329842</v>
      </c>
      <c r="D2731">
        <v>207.05523608201599</v>
      </c>
    </row>
    <row r="2732" spans="1:4" x14ac:dyDescent="0.3">
      <c r="A2732" t="s">
        <v>9</v>
      </c>
      <c r="B2732" s="1">
        <v>45312.75</v>
      </c>
      <c r="C2732" s="2">
        <v>1.1756609271814501E-13</v>
      </c>
      <c r="D2732" s="2">
        <v>9.7971743931788194E-14</v>
      </c>
    </row>
    <row r="2733" spans="1:4" x14ac:dyDescent="0.3">
      <c r="A2733" t="s">
        <v>9</v>
      </c>
      <c r="B2733" s="1">
        <v>45312.791666666664</v>
      </c>
      <c r="C2733">
        <v>0</v>
      </c>
      <c r="D2733">
        <v>0</v>
      </c>
    </row>
    <row r="2734" spans="1:4" x14ac:dyDescent="0.3">
      <c r="A2734" t="s">
        <v>9</v>
      </c>
      <c r="B2734" s="1">
        <v>45312.833333333336</v>
      </c>
      <c r="C2734">
        <v>0</v>
      </c>
      <c r="D2734">
        <v>0</v>
      </c>
    </row>
    <row r="2735" spans="1:4" x14ac:dyDescent="0.3">
      <c r="A2735" t="s">
        <v>9</v>
      </c>
      <c r="B2735" s="1">
        <v>45312.875</v>
      </c>
      <c r="C2735">
        <v>0</v>
      </c>
      <c r="D2735">
        <v>0</v>
      </c>
    </row>
    <row r="2736" spans="1:4" x14ac:dyDescent="0.3">
      <c r="A2736" t="s">
        <v>9</v>
      </c>
      <c r="B2736" s="1">
        <v>45312.916666666664</v>
      </c>
      <c r="C2736">
        <v>0</v>
      </c>
      <c r="D2736">
        <v>0</v>
      </c>
    </row>
    <row r="2737" spans="1:4" x14ac:dyDescent="0.3">
      <c r="A2737" t="s">
        <v>9</v>
      </c>
      <c r="B2737" s="1">
        <v>45312.958333333336</v>
      </c>
      <c r="C2737">
        <v>0</v>
      </c>
      <c r="D2737">
        <v>0</v>
      </c>
    </row>
    <row r="2738" spans="1:4" x14ac:dyDescent="0.3">
      <c r="A2738" t="s">
        <v>9</v>
      </c>
      <c r="B2738" s="1">
        <v>45313</v>
      </c>
      <c r="C2738">
        <v>0</v>
      </c>
      <c r="D2738">
        <v>0</v>
      </c>
    </row>
    <row r="2739" spans="1:4" x14ac:dyDescent="0.3">
      <c r="A2739" t="s">
        <v>9</v>
      </c>
      <c r="B2739" s="1">
        <v>45313.041666666664</v>
      </c>
      <c r="C2739">
        <v>0</v>
      </c>
      <c r="D2739">
        <v>0</v>
      </c>
    </row>
    <row r="2740" spans="1:4" x14ac:dyDescent="0.3">
      <c r="A2740" t="s">
        <v>9</v>
      </c>
      <c r="B2740" s="1">
        <v>45313.083333333336</v>
      </c>
      <c r="C2740">
        <v>0</v>
      </c>
      <c r="D2740">
        <v>0</v>
      </c>
    </row>
    <row r="2741" spans="1:4" x14ac:dyDescent="0.3">
      <c r="A2741" t="s">
        <v>9</v>
      </c>
      <c r="B2741" s="1">
        <v>45313.125</v>
      </c>
      <c r="C2741">
        <v>0</v>
      </c>
      <c r="D2741">
        <v>0</v>
      </c>
    </row>
    <row r="2742" spans="1:4" x14ac:dyDescent="0.3">
      <c r="A2742" t="s">
        <v>9</v>
      </c>
      <c r="B2742" s="1">
        <v>45313.166666666664</v>
      </c>
      <c r="C2742">
        <v>0</v>
      </c>
      <c r="D2742">
        <v>0</v>
      </c>
    </row>
    <row r="2743" spans="1:4" x14ac:dyDescent="0.3">
      <c r="A2743" t="s">
        <v>9</v>
      </c>
      <c r="B2743" s="1">
        <v>45313.208333333336</v>
      </c>
      <c r="C2743">
        <v>0</v>
      </c>
      <c r="D2743">
        <v>0</v>
      </c>
    </row>
    <row r="2744" spans="1:4" x14ac:dyDescent="0.3">
      <c r="A2744" t="s">
        <v>9</v>
      </c>
      <c r="B2744" s="1">
        <v>45313.25</v>
      </c>
      <c r="C2744">
        <v>0</v>
      </c>
      <c r="D2744">
        <v>0</v>
      </c>
    </row>
    <row r="2745" spans="1:4" x14ac:dyDescent="0.3">
      <c r="A2745" t="s">
        <v>9</v>
      </c>
      <c r="B2745" s="1">
        <v>45313.291666666664</v>
      </c>
      <c r="C2745">
        <v>248.466283298419</v>
      </c>
      <c r="D2745">
        <v>207.05523608201599</v>
      </c>
    </row>
    <row r="2746" spans="1:4" x14ac:dyDescent="0.3">
      <c r="A2746" t="s">
        <v>9</v>
      </c>
      <c r="B2746" s="1">
        <v>45313.333333333336</v>
      </c>
      <c r="C2746">
        <v>479.99999999999898</v>
      </c>
      <c r="D2746">
        <v>399.99999999999898</v>
      </c>
    </row>
    <row r="2747" spans="1:4" x14ac:dyDescent="0.3">
      <c r="A2747" t="s">
        <v>9</v>
      </c>
      <c r="B2747" s="1">
        <v>45313.375</v>
      </c>
      <c r="C2747">
        <v>678.82250993908497</v>
      </c>
      <c r="D2747">
        <v>565.68542494923804</v>
      </c>
    </row>
    <row r="2748" spans="1:4" x14ac:dyDescent="0.3">
      <c r="A2748" t="s">
        <v>9</v>
      </c>
      <c r="B2748" s="1">
        <v>45313.416666666664</v>
      </c>
      <c r="C2748">
        <v>831.38438763306101</v>
      </c>
      <c r="D2748">
        <v>692.82032302754999</v>
      </c>
    </row>
    <row r="2749" spans="1:4" x14ac:dyDescent="0.3">
      <c r="A2749" t="s">
        <v>9</v>
      </c>
      <c r="B2749" s="1">
        <v>45313.458333333336</v>
      </c>
      <c r="C2749">
        <v>927.28879323750505</v>
      </c>
      <c r="D2749">
        <v>772.74066103125404</v>
      </c>
    </row>
    <row r="2750" spans="1:4" x14ac:dyDescent="0.3">
      <c r="A2750" t="s">
        <v>9</v>
      </c>
      <c r="B2750" s="1">
        <v>45313.5</v>
      </c>
      <c r="C2750">
        <v>960</v>
      </c>
      <c r="D2750">
        <v>800</v>
      </c>
    </row>
    <row r="2751" spans="1:4" x14ac:dyDescent="0.3">
      <c r="A2751" t="s">
        <v>9</v>
      </c>
      <c r="B2751" s="1">
        <v>45313.541666666664</v>
      </c>
      <c r="C2751">
        <v>927.28879323750505</v>
      </c>
      <c r="D2751">
        <v>772.74066103125404</v>
      </c>
    </row>
    <row r="2752" spans="1:4" x14ac:dyDescent="0.3">
      <c r="A2752" t="s">
        <v>9</v>
      </c>
      <c r="B2752" s="1">
        <v>45313.583333333336</v>
      </c>
      <c r="C2752">
        <v>831.38438763306101</v>
      </c>
      <c r="D2752">
        <v>692.82032302755101</v>
      </c>
    </row>
    <row r="2753" spans="1:4" x14ac:dyDescent="0.3">
      <c r="A2753" t="s">
        <v>9</v>
      </c>
      <c r="B2753" s="1">
        <v>45313.625</v>
      </c>
      <c r="C2753">
        <v>678.82250993908497</v>
      </c>
      <c r="D2753">
        <v>565.68542494923804</v>
      </c>
    </row>
    <row r="2754" spans="1:4" x14ac:dyDescent="0.3">
      <c r="A2754" t="s">
        <v>9</v>
      </c>
      <c r="B2754" s="1">
        <v>45313.666666666664</v>
      </c>
      <c r="C2754">
        <v>479.99999999999898</v>
      </c>
      <c r="D2754">
        <v>399.99999999999898</v>
      </c>
    </row>
    <row r="2755" spans="1:4" x14ac:dyDescent="0.3">
      <c r="A2755" t="s">
        <v>9</v>
      </c>
      <c r="B2755" s="1">
        <v>45313.708333333336</v>
      </c>
      <c r="C2755">
        <v>248.46628329842</v>
      </c>
      <c r="D2755">
        <v>207.05523608201599</v>
      </c>
    </row>
    <row r="2756" spans="1:4" x14ac:dyDescent="0.3">
      <c r="A2756" t="s">
        <v>9</v>
      </c>
      <c r="B2756" s="1">
        <v>45313.75</v>
      </c>
      <c r="C2756" s="2">
        <v>1.1756609271814501E-13</v>
      </c>
      <c r="D2756" s="2">
        <v>9.7971743931788194E-14</v>
      </c>
    </row>
    <row r="2757" spans="1:4" x14ac:dyDescent="0.3">
      <c r="A2757" t="s">
        <v>9</v>
      </c>
      <c r="B2757" s="1">
        <v>45313.791666666664</v>
      </c>
      <c r="C2757">
        <v>0</v>
      </c>
      <c r="D2757">
        <v>0</v>
      </c>
    </row>
    <row r="2758" spans="1:4" x14ac:dyDescent="0.3">
      <c r="A2758" t="s">
        <v>9</v>
      </c>
      <c r="B2758" s="1">
        <v>45313.833333333336</v>
      </c>
      <c r="C2758">
        <v>0</v>
      </c>
      <c r="D2758">
        <v>0</v>
      </c>
    </row>
    <row r="2759" spans="1:4" x14ac:dyDescent="0.3">
      <c r="A2759" t="s">
        <v>9</v>
      </c>
      <c r="B2759" s="1">
        <v>45313.875</v>
      </c>
      <c r="C2759">
        <v>0</v>
      </c>
      <c r="D2759">
        <v>0</v>
      </c>
    </row>
    <row r="2760" spans="1:4" x14ac:dyDescent="0.3">
      <c r="A2760" t="s">
        <v>9</v>
      </c>
      <c r="B2760" s="1">
        <v>45313.916666666664</v>
      </c>
      <c r="C2760">
        <v>0</v>
      </c>
      <c r="D2760">
        <v>0</v>
      </c>
    </row>
    <row r="2761" spans="1:4" x14ac:dyDescent="0.3">
      <c r="A2761" t="s">
        <v>9</v>
      </c>
      <c r="B2761" s="1">
        <v>45313.958333333336</v>
      </c>
      <c r="C2761">
        <v>0</v>
      </c>
      <c r="D2761">
        <v>0</v>
      </c>
    </row>
    <row r="2762" spans="1:4" x14ac:dyDescent="0.3">
      <c r="A2762" t="s">
        <v>9</v>
      </c>
      <c r="B2762" s="1">
        <v>45314</v>
      </c>
      <c r="C2762">
        <v>0</v>
      </c>
      <c r="D2762">
        <v>0</v>
      </c>
    </row>
    <row r="2763" spans="1:4" x14ac:dyDescent="0.3">
      <c r="A2763" t="s">
        <v>9</v>
      </c>
      <c r="B2763" s="1">
        <v>45314.041666666664</v>
      </c>
      <c r="C2763">
        <v>0</v>
      </c>
      <c r="D2763">
        <v>0</v>
      </c>
    </row>
    <row r="2764" spans="1:4" x14ac:dyDescent="0.3">
      <c r="A2764" t="s">
        <v>9</v>
      </c>
      <c r="B2764" s="1">
        <v>45314.083333333336</v>
      </c>
      <c r="C2764">
        <v>0</v>
      </c>
      <c r="D2764">
        <v>0</v>
      </c>
    </row>
    <row r="2765" spans="1:4" x14ac:dyDescent="0.3">
      <c r="A2765" t="s">
        <v>9</v>
      </c>
      <c r="B2765" s="1">
        <v>45314.125</v>
      </c>
      <c r="C2765">
        <v>0</v>
      </c>
      <c r="D2765">
        <v>0</v>
      </c>
    </row>
    <row r="2766" spans="1:4" x14ac:dyDescent="0.3">
      <c r="A2766" t="s">
        <v>9</v>
      </c>
      <c r="B2766" s="1">
        <v>45314.166666666664</v>
      </c>
      <c r="C2766">
        <v>0</v>
      </c>
      <c r="D2766">
        <v>0</v>
      </c>
    </row>
    <row r="2767" spans="1:4" x14ac:dyDescent="0.3">
      <c r="A2767" t="s">
        <v>9</v>
      </c>
      <c r="B2767" s="1">
        <v>45314.208333333336</v>
      </c>
      <c r="C2767">
        <v>0</v>
      </c>
      <c r="D2767">
        <v>0</v>
      </c>
    </row>
    <row r="2768" spans="1:4" x14ac:dyDescent="0.3">
      <c r="A2768" t="s">
        <v>9</v>
      </c>
      <c r="B2768" s="1">
        <v>45314.25</v>
      </c>
      <c r="C2768">
        <v>0</v>
      </c>
      <c r="D2768">
        <v>0</v>
      </c>
    </row>
    <row r="2769" spans="1:4" x14ac:dyDescent="0.3">
      <c r="A2769" t="s">
        <v>9</v>
      </c>
      <c r="B2769" s="1">
        <v>45314.291666666664</v>
      </c>
      <c r="C2769">
        <v>248.466283298419</v>
      </c>
      <c r="D2769">
        <v>207.05523608201599</v>
      </c>
    </row>
    <row r="2770" spans="1:4" x14ac:dyDescent="0.3">
      <c r="A2770" t="s">
        <v>9</v>
      </c>
      <c r="B2770" s="1">
        <v>45314.333333333336</v>
      </c>
      <c r="C2770">
        <v>479.99999999999898</v>
      </c>
      <c r="D2770">
        <v>399.99999999999898</v>
      </c>
    </row>
    <row r="2771" spans="1:4" x14ac:dyDescent="0.3">
      <c r="A2771" t="s">
        <v>9</v>
      </c>
      <c r="B2771" s="1">
        <v>45314.375</v>
      </c>
      <c r="C2771">
        <v>678.82250993908497</v>
      </c>
      <c r="D2771">
        <v>565.68542494923804</v>
      </c>
    </row>
    <row r="2772" spans="1:4" x14ac:dyDescent="0.3">
      <c r="A2772" t="s">
        <v>9</v>
      </c>
      <c r="B2772" s="1">
        <v>45314.416666666664</v>
      </c>
      <c r="C2772">
        <v>831.38438763306101</v>
      </c>
      <c r="D2772">
        <v>692.82032302754999</v>
      </c>
    </row>
    <row r="2773" spans="1:4" x14ac:dyDescent="0.3">
      <c r="A2773" t="s">
        <v>9</v>
      </c>
      <c r="B2773" s="1">
        <v>45314.458333333336</v>
      </c>
      <c r="C2773">
        <v>927.28879323750505</v>
      </c>
      <c r="D2773">
        <v>772.74066103125404</v>
      </c>
    </row>
    <row r="2774" spans="1:4" x14ac:dyDescent="0.3">
      <c r="A2774" t="s">
        <v>9</v>
      </c>
      <c r="B2774" s="1">
        <v>45314.5</v>
      </c>
      <c r="C2774">
        <v>960</v>
      </c>
      <c r="D2774">
        <v>800</v>
      </c>
    </row>
    <row r="2775" spans="1:4" x14ac:dyDescent="0.3">
      <c r="A2775" t="s">
        <v>9</v>
      </c>
      <c r="B2775" s="1">
        <v>45314.541666666664</v>
      </c>
      <c r="C2775">
        <v>927.28879323750505</v>
      </c>
      <c r="D2775">
        <v>772.74066103125404</v>
      </c>
    </row>
    <row r="2776" spans="1:4" x14ac:dyDescent="0.3">
      <c r="A2776" t="s">
        <v>9</v>
      </c>
      <c r="B2776" s="1">
        <v>45314.583333333336</v>
      </c>
      <c r="C2776">
        <v>831.38438763306101</v>
      </c>
      <c r="D2776">
        <v>692.82032302755101</v>
      </c>
    </row>
    <row r="2777" spans="1:4" x14ac:dyDescent="0.3">
      <c r="A2777" t="s">
        <v>9</v>
      </c>
      <c r="B2777" s="1">
        <v>45314.625</v>
      </c>
      <c r="C2777">
        <v>678.82250993908497</v>
      </c>
      <c r="D2777">
        <v>565.68542494923804</v>
      </c>
    </row>
    <row r="2778" spans="1:4" x14ac:dyDescent="0.3">
      <c r="A2778" t="s">
        <v>9</v>
      </c>
      <c r="B2778" s="1">
        <v>45314.666666666664</v>
      </c>
      <c r="C2778">
        <v>479.99999999999898</v>
      </c>
      <c r="D2778">
        <v>399.99999999999898</v>
      </c>
    </row>
    <row r="2779" spans="1:4" x14ac:dyDescent="0.3">
      <c r="A2779" t="s">
        <v>9</v>
      </c>
      <c r="B2779" s="1">
        <v>45314.708333333336</v>
      </c>
      <c r="C2779">
        <v>248.46628329842</v>
      </c>
      <c r="D2779">
        <v>207.05523608201599</v>
      </c>
    </row>
    <row r="2780" spans="1:4" x14ac:dyDescent="0.3">
      <c r="A2780" t="s">
        <v>9</v>
      </c>
      <c r="B2780" s="1">
        <v>45314.75</v>
      </c>
      <c r="C2780" s="2">
        <v>1.1756609271814501E-13</v>
      </c>
      <c r="D2780" s="2">
        <v>9.7971743931788194E-14</v>
      </c>
    </row>
    <row r="2781" spans="1:4" x14ac:dyDescent="0.3">
      <c r="A2781" t="s">
        <v>9</v>
      </c>
      <c r="B2781" s="1">
        <v>45314.791666666664</v>
      </c>
      <c r="C2781">
        <v>0</v>
      </c>
      <c r="D2781">
        <v>0</v>
      </c>
    </row>
    <row r="2782" spans="1:4" x14ac:dyDescent="0.3">
      <c r="A2782" t="s">
        <v>9</v>
      </c>
      <c r="B2782" s="1">
        <v>45314.833333333336</v>
      </c>
      <c r="C2782">
        <v>0</v>
      </c>
      <c r="D2782">
        <v>0</v>
      </c>
    </row>
    <row r="2783" spans="1:4" x14ac:dyDescent="0.3">
      <c r="A2783" t="s">
        <v>9</v>
      </c>
      <c r="B2783" s="1">
        <v>45314.875</v>
      </c>
      <c r="C2783">
        <v>0</v>
      </c>
      <c r="D2783">
        <v>0</v>
      </c>
    </row>
    <row r="2784" spans="1:4" x14ac:dyDescent="0.3">
      <c r="A2784" t="s">
        <v>9</v>
      </c>
      <c r="B2784" s="1">
        <v>45314.916666666664</v>
      </c>
      <c r="C2784">
        <v>0</v>
      </c>
      <c r="D2784">
        <v>0</v>
      </c>
    </row>
    <row r="2785" spans="1:4" x14ac:dyDescent="0.3">
      <c r="A2785" t="s">
        <v>9</v>
      </c>
      <c r="B2785" s="1">
        <v>45314.958333333336</v>
      </c>
      <c r="C2785">
        <v>0</v>
      </c>
      <c r="D2785">
        <v>0</v>
      </c>
    </row>
    <row r="2786" spans="1:4" x14ac:dyDescent="0.3">
      <c r="A2786" t="s">
        <v>9</v>
      </c>
      <c r="B2786" s="1">
        <v>45315</v>
      </c>
      <c r="C2786">
        <v>0</v>
      </c>
      <c r="D2786">
        <v>0</v>
      </c>
    </row>
    <row r="2787" spans="1:4" x14ac:dyDescent="0.3">
      <c r="A2787" t="s">
        <v>9</v>
      </c>
      <c r="B2787" s="1">
        <v>45315.041666666664</v>
      </c>
      <c r="C2787">
        <v>0</v>
      </c>
      <c r="D2787">
        <v>0</v>
      </c>
    </row>
    <row r="2788" spans="1:4" x14ac:dyDescent="0.3">
      <c r="A2788" t="s">
        <v>9</v>
      </c>
      <c r="B2788" s="1">
        <v>45315.083333333336</v>
      </c>
      <c r="C2788">
        <v>0</v>
      </c>
      <c r="D2788">
        <v>0</v>
      </c>
    </row>
    <row r="2789" spans="1:4" x14ac:dyDescent="0.3">
      <c r="A2789" t="s">
        <v>9</v>
      </c>
      <c r="B2789" s="1">
        <v>45315.125</v>
      </c>
      <c r="C2789">
        <v>0</v>
      </c>
      <c r="D2789">
        <v>0</v>
      </c>
    </row>
    <row r="2790" spans="1:4" x14ac:dyDescent="0.3">
      <c r="A2790" t="s">
        <v>9</v>
      </c>
      <c r="B2790" s="1">
        <v>45315.166666666664</v>
      </c>
      <c r="C2790">
        <v>0</v>
      </c>
      <c r="D2790">
        <v>0</v>
      </c>
    </row>
    <row r="2791" spans="1:4" x14ac:dyDescent="0.3">
      <c r="A2791" t="s">
        <v>9</v>
      </c>
      <c r="B2791" s="1">
        <v>45315.208333333336</v>
      </c>
      <c r="C2791">
        <v>0</v>
      </c>
      <c r="D2791">
        <v>0</v>
      </c>
    </row>
    <row r="2792" spans="1:4" x14ac:dyDescent="0.3">
      <c r="A2792" t="s">
        <v>9</v>
      </c>
      <c r="B2792" s="1">
        <v>45315.25</v>
      </c>
      <c r="C2792">
        <v>0</v>
      </c>
      <c r="D2792">
        <v>0</v>
      </c>
    </row>
    <row r="2793" spans="1:4" x14ac:dyDescent="0.3">
      <c r="A2793" t="s">
        <v>9</v>
      </c>
      <c r="B2793" s="1">
        <v>45315.291666666664</v>
      </c>
      <c r="C2793">
        <v>248.466283298419</v>
      </c>
      <c r="D2793">
        <v>207.05523608201599</v>
      </c>
    </row>
    <row r="2794" spans="1:4" x14ac:dyDescent="0.3">
      <c r="A2794" t="s">
        <v>9</v>
      </c>
      <c r="B2794" s="1">
        <v>45315.333333333336</v>
      </c>
      <c r="C2794">
        <v>479.99999999999898</v>
      </c>
      <c r="D2794">
        <v>399.99999999999898</v>
      </c>
    </row>
    <row r="2795" spans="1:4" x14ac:dyDescent="0.3">
      <c r="A2795" t="s">
        <v>9</v>
      </c>
      <c r="B2795" s="1">
        <v>45315.375</v>
      </c>
      <c r="C2795">
        <v>678.82250993908497</v>
      </c>
      <c r="D2795">
        <v>565.68542494923804</v>
      </c>
    </row>
    <row r="2796" spans="1:4" x14ac:dyDescent="0.3">
      <c r="A2796" t="s">
        <v>9</v>
      </c>
      <c r="B2796" s="1">
        <v>45315.416666666664</v>
      </c>
      <c r="C2796">
        <v>831.38438763306101</v>
      </c>
      <c r="D2796">
        <v>692.82032302754999</v>
      </c>
    </row>
    <row r="2797" spans="1:4" x14ac:dyDescent="0.3">
      <c r="A2797" t="s">
        <v>9</v>
      </c>
      <c r="B2797" s="1">
        <v>45315.458333333336</v>
      </c>
      <c r="C2797">
        <v>927.28879323750505</v>
      </c>
      <c r="D2797">
        <v>772.74066103125404</v>
      </c>
    </row>
    <row r="2798" spans="1:4" x14ac:dyDescent="0.3">
      <c r="A2798" t="s">
        <v>9</v>
      </c>
      <c r="B2798" s="1">
        <v>45315.5</v>
      </c>
      <c r="C2798">
        <v>960</v>
      </c>
      <c r="D2798">
        <v>800</v>
      </c>
    </row>
    <row r="2799" spans="1:4" x14ac:dyDescent="0.3">
      <c r="A2799" t="s">
        <v>9</v>
      </c>
      <c r="B2799" s="1">
        <v>45315.541666666664</v>
      </c>
      <c r="C2799">
        <v>927.28879323750505</v>
      </c>
      <c r="D2799">
        <v>772.74066103125404</v>
      </c>
    </row>
    <row r="2800" spans="1:4" x14ac:dyDescent="0.3">
      <c r="A2800" t="s">
        <v>9</v>
      </c>
      <c r="B2800" s="1">
        <v>45315.583333333336</v>
      </c>
      <c r="C2800">
        <v>831.38438763306101</v>
      </c>
      <c r="D2800">
        <v>692.82032302755101</v>
      </c>
    </row>
    <row r="2801" spans="1:4" x14ac:dyDescent="0.3">
      <c r="A2801" t="s">
        <v>9</v>
      </c>
      <c r="B2801" s="1">
        <v>45315.625</v>
      </c>
      <c r="C2801">
        <v>678.82250993908497</v>
      </c>
      <c r="D2801">
        <v>565.68542494923804</v>
      </c>
    </row>
    <row r="2802" spans="1:4" x14ac:dyDescent="0.3">
      <c r="A2802" t="s">
        <v>9</v>
      </c>
      <c r="B2802" s="1">
        <v>45315.666666666664</v>
      </c>
      <c r="C2802">
        <v>479.99999999999898</v>
      </c>
      <c r="D2802">
        <v>399.99999999999898</v>
      </c>
    </row>
    <row r="2803" spans="1:4" x14ac:dyDescent="0.3">
      <c r="A2803" t="s">
        <v>9</v>
      </c>
      <c r="B2803" s="1">
        <v>45315.708333333336</v>
      </c>
      <c r="C2803">
        <v>248.46628329842</v>
      </c>
      <c r="D2803">
        <v>207.05523608201599</v>
      </c>
    </row>
    <row r="2804" spans="1:4" x14ac:dyDescent="0.3">
      <c r="A2804" t="s">
        <v>9</v>
      </c>
      <c r="B2804" s="1">
        <v>45315.75</v>
      </c>
      <c r="C2804" s="2">
        <v>1.1756609271814501E-13</v>
      </c>
      <c r="D2804" s="2">
        <v>9.7971743931788194E-14</v>
      </c>
    </row>
    <row r="2805" spans="1:4" x14ac:dyDescent="0.3">
      <c r="A2805" t="s">
        <v>9</v>
      </c>
      <c r="B2805" s="1">
        <v>45315.791666666664</v>
      </c>
      <c r="C2805">
        <v>0</v>
      </c>
      <c r="D2805">
        <v>0</v>
      </c>
    </row>
    <row r="2806" spans="1:4" x14ac:dyDescent="0.3">
      <c r="A2806" t="s">
        <v>9</v>
      </c>
      <c r="B2806" s="1">
        <v>45315.833333333336</v>
      </c>
      <c r="C2806">
        <v>0</v>
      </c>
      <c r="D2806">
        <v>0</v>
      </c>
    </row>
    <row r="2807" spans="1:4" x14ac:dyDescent="0.3">
      <c r="A2807" t="s">
        <v>9</v>
      </c>
      <c r="B2807" s="1">
        <v>45315.875</v>
      </c>
      <c r="C2807">
        <v>0</v>
      </c>
      <c r="D2807">
        <v>0</v>
      </c>
    </row>
    <row r="2808" spans="1:4" x14ac:dyDescent="0.3">
      <c r="A2808" t="s">
        <v>9</v>
      </c>
      <c r="B2808" s="1">
        <v>45315.916666666664</v>
      </c>
      <c r="C2808">
        <v>0</v>
      </c>
      <c r="D2808">
        <v>0</v>
      </c>
    </row>
    <row r="2809" spans="1:4" x14ac:dyDescent="0.3">
      <c r="A2809" t="s">
        <v>9</v>
      </c>
      <c r="B2809" s="1">
        <v>45315.958333333336</v>
      </c>
      <c r="C2809">
        <v>0</v>
      </c>
      <c r="D2809">
        <v>0</v>
      </c>
    </row>
    <row r="2810" spans="1:4" x14ac:dyDescent="0.3">
      <c r="A2810" t="s">
        <v>9</v>
      </c>
      <c r="B2810" s="1">
        <v>45316</v>
      </c>
      <c r="C2810">
        <v>0</v>
      </c>
      <c r="D2810">
        <v>0</v>
      </c>
    </row>
    <row r="2811" spans="1:4" x14ac:dyDescent="0.3">
      <c r="A2811" t="s">
        <v>9</v>
      </c>
      <c r="B2811" s="1">
        <v>45316.041666666664</v>
      </c>
      <c r="C2811">
        <v>0</v>
      </c>
      <c r="D2811">
        <v>0</v>
      </c>
    </row>
    <row r="2812" spans="1:4" x14ac:dyDescent="0.3">
      <c r="A2812" t="s">
        <v>9</v>
      </c>
      <c r="B2812" s="1">
        <v>45316.083333333336</v>
      </c>
      <c r="C2812">
        <v>0</v>
      </c>
      <c r="D2812">
        <v>0</v>
      </c>
    </row>
    <row r="2813" spans="1:4" x14ac:dyDescent="0.3">
      <c r="A2813" t="s">
        <v>9</v>
      </c>
      <c r="B2813" s="1">
        <v>45316.125</v>
      </c>
      <c r="C2813">
        <v>0</v>
      </c>
      <c r="D2813">
        <v>0</v>
      </c>
    </row>
    <row r="2814" spans="1:4" x14ac:dyDescent="0.3">
      <c r="A2814" t="s">
        <v>9</v>
      </c>
      <c r="B2814" s="1">
        <v>45316.166666666664</v>
      </c>
      <c r="C2814">
        <v>0</v>
      </c>
      <c r="D2814">
        <v>0</v>
      </c>
    </row>
    <row r="2815" spans="1:4" x14ac:dyDescent="0.3">
      <c r="A2815" t="s">
        <v>9</v>
      </c>
      <c r="B2815" s="1">
        <v>45316.208333333336</v>
      </c>
      <c r="C2815">
        <v>0</v>
      </c>
      <c r="D2815">
        <v>0</v>
      </c>
    </row>
    <row r="2816" spans="1:4" x14ac:dyDescent="0.3">
      <c r="A2816" t="s">
        <v>9</v>
      </c>
      <c r="B2816" s="1">
        <v>45316.25</v>
      </c>
      <c r="C2816">
        <v>0</v>
      </c>
      <c r="D2816">
        <v>0</v>
      </c>
    </row>
    <row r="2817" spans="1:4" x14ac:dyDescent="0.3">
      <c r="A2817" t="s">
        <v>9</v>
      </c>
      <c r="B2817" s="1">
        <v>45316.291666666664</v>
      </c>
      <c r="C2817">
        <v>248.466283298419</v>
      </c>
      <c r="D2817">
        <v>207.05523608201599</v>
      </c>
    </row>
    <row r="2818" spans="1:4" x14ac:dyDescent="0.3">
      <c r="A2818" t="s">
        <v>9</v>
      </c>
      <c r="B2818" s="1">
        <v>45316.333333333336</v>
      </c>
      <c r="C2818">
        <v>479.99999999999898</v>
      </c>
      <c r="D2818">
        <v>399.99999999999898</v>
      </c>
    </row>
    <row r="2819" spans="1:4" x14ac:dyDescent="0.3">
      <c r="A2819" t="s">
        <v>9</v>
      </c>
      <c r="B2819" s="1">
        <v>45316.375</v>
      </c>
      <c r="C2819">
        <v>678.82250993908497</v>
      </c>
      <c r="D2819">
        <v>565.68542494923804</v>
      </c>
    </row>
    <row r="2820" spans="1:4" x14ac:dyDescent="0.3">
      <c r="A2820" t="s">
        <v>9</v>
      </c>
      <c r="B2820" s="1">
        <v>45316.416666666664</v>
      </c>
      <c r="C2820">
        <v>831.38438763306101</v>
      </c>
      <c r="D2820">
        <v>692.82032302754999</v>
      </c>
    </row>
    <row r="2821" spans="1:4" x14ac:dyDescent="0.3">
      <c r="A2821" t="s">
        <v>9</v>
      </c>
      <c r="B2821" s="1">
        <v>45316.458333333336</v>
      </c>
      <c r="C2821">
        <v>927.28879323750505</v>
      </c>
      <c r="D2821">
        <v>772.74066103125404</v>
      </c>
    </row>
    <row r="2822" spans="1:4" x14ac:dyDescent="0.3">
      <c r="A2822" t="s">
        <v>9</v>
      </c>
      <c r="B2822" s="1">
        <v>45316.5</v>
      </c>
      <c r="C2822">
        <v>960</v>
      </c>
      <c r="D2822">
        <v>800</v>
      </c>
    </row>
    <row r="2823" spans="1:4" x14ac:dyDescent="0.3">
      <c r="A2823" t="s">
        <v>9</v>
      </c>
      <c r="B2823" s="1">
        <v>45316.541666666664</v>
      </c>
      <c r="C2823">
        <v>927.28879323750505</v>
      </c>
      <c r="D2823">
        <v>772.74066103125404</v>
      </c>
    </row>
    <row r="2824" spans="1:4" x14ac:dyDescent="0.3">
      <c r="A2824" t="s">
        <v>9</v>
      </c>
      <c r="B2824" s="1">
        <v>45316.583333333336</v>
      </c>
      <c r="C2824">
        <v>831.38438763306101</v>
      </c>
      <c r="D2824">
        <v>692.82032302755101</v>
      </c>
    </row>
    <row r="2825" spans="1:4" x14ac:dyDescent="0.3">
      <c r="A2825" t="s">
        <v>9</v>
      </c>
      <c r="B2825" s="1">
        <v>45316.625</v>
      </c>
      <c r="C2825">
        <v>678.82250993908497</v>
      </c>
      <c r="D2825">
        <v>565.68542494923804</v>
      </c>
    </row>
    <row r="2826" spans="1:4" x14ac:dyDescent="0.3">
      <c r="A2826" t="s">
        <v>9</v>
      </c>
      <c r="B2826" s="1">
        <v>45316.666666666664</v>
      </c>
      <c r="C2826">
        <v>479.99999999999898</v>
      </c>
      <c r="D2826">
        <v>399.99999999999898</v>
      </c>
    </row>
    <row r="2827" spans="1:4" x14ac:dyDescent="0.3">
      <c r="A2827" t="s">
        <v>9</v>
      </c>
      <c r="B2827" s="1">
        <v>45316.708333333336</v>
      </c>
      <c r="C2827">
        <v>248.46628329842</v>
      </c>
      <c r="D2827">
        <v>207.05523608201599</v>
      </c>
    </row>
    <row r="2828" spans="1:4" x14ac:dyDescent="0.3">
      <c r="A2828" t="s">
        <v>9</v>
      </c>
      <c r="B2828" s="1">
        <v>45316.75</v>
      </c>
      <c r="C2828" s="2">
        <v>1.1756609271814501E-13</v>
      </c>
      <c r="D2828" s="2">
        <v>9.7971743931788194E-14</v>
      </c>
    </row>
    <row r="2829" spans="1:4" x14ac:dyDescent="0.3">
      <c r="A2829" t="s">
        <v>9</v>
      </c>
      <c r="B2829" s="1">
        <v>45316.791666666664</v>
      </c>
      <c r="C2829">
        <v>0</v>
      </c>
      <c r="D2829">
        <v>0</v>
      </c>
    </row>
    <row r="2830" spans="1:4" x14ac:dyDescent="0.3">
      <c r="A2830" t="s">
        <v>9</v>
      </c>
      <c r="B2830" s="1">
        <v>45316.833333333336</v>
      </c>
      <c r="C2830">
        <v>0</v>
      </c>
      <c r="D2830">
        <v>0</v>
      </c>
    </row>
    <row r="2831" spans="1:4" x14ac:dyDescent="0.3">
      <c r="A2831" t="s">
        <v>9</v>
      </c>
      <c r="B2831" s="1">
        <v>45316.875</v>
      </c>
      <c r="C2831">
        <v>0</v>
      </c>
      <c r="D2831">
        <v>0</v>
      </c>
    </row>
    <row r="2832" spans="1:4" x14ac:dyDescent="0.3">
      <c r="A2832" t="s">
        <v>9</v>
      </c>
      <c r="B2832" s="1">
        <v>45316.916666666664</v>
      </c>
      <c r="C2832">
        <v>0</v>
      </c>
      <c r="D2832">
        <v>0</v>
      </c>
    </row>
    <row r="2833" spans="1:4" x14ac:dyDescent="0.3">
      <c r="A2833" t="s">
        <v>9</v>
      </c>
      <c r="B2833" s="1">
        <v>45316.958333333336</v>
      </c>
      <c r="C2833">
        <v>0</v>
      </c>
      <c r="D2833">
        <v>0</v>
      </c>
    </row>
    <row r="2834" spans="1:4" x14ac:dyDescent="0.3">
      <c r="A2834" t="s">
        <v>9</v>
      </c>
      <c r="B2834" s="1">
        <v>45317</v>
      </c>
      <c r="C2834">
        <v>0</v>
      </c>
      <c r="D2834">
        <v>0</v>
      </c>
    </row>
    <row r="2835" spans="1:4" x14ac:dyDescent="0.3">
      <c r="A2835" t="s">
        <v>9</v>
      </c>
      <c r="B2835" s="1">
        <v>45317.041666666664</v>
      </c>
      <c r="C2835">
        <v>0</v>
      </c>
      <c r="D2835">
        <v>0</v>
      </c>
    </row>
    <row r="2836" spans="1:4" x14ac:dyDescent="0.3">
      <c r="A2836" t="s">
        <v>9</v>
      </c>
      <c r="B2836" s="1">
        <v>45317.083333333336</v>
      </c>
      <c r="C2836">
        <v>0</v>
      </c>
      <c r="D2836">
        <v>0</v>
      </c>
    </row>
    <row r="2837" spans="1:4" x14ac:dyDescent="0.3">
      <c r="A2837" t="s">
        <v>9</v>
      </c>
      <c r="B2837" s="1">
        <v>45317.125</v>
      </c>
      <c r="C2837">
        <v>0</v>
      </c>
      <c r="D2837">
        <v>0</v>
      </c>
    </row>
    <row r="2838" spans="1:4" x14ac:dyDescent="0.3">
      <c r="A2838" t="s">
        <v>9</v>
      </c>
      <c r="B2838" s="1">
        <v>45317.166666666664</v>
      </c>
      <c r="C2838">
        <v>0</v>
      </c>
      <c r="D2838">
        <v>0</v>
      </c>
    </row>
    <row r="2839" spans="1:4" x14ac:dyDescent="0.3">
      <c r="A2839" t="s">
        <v>9</v>
      </c>
      <c r="B2839" s="1">
        <v>45317.208333333336</v>
      </c>
      <c r="C2839">
        <v>0</v>
      </c>
      <c r="D2839">
        <v>0</v>
      </c>
    </row>
    <row r="2840" spans="1:4" x14ac:dyDescent="0.3">
      <c r="A2840" t="s">
        <v>9</v>
      </c>
      <c r="B2840" s="1">
        <v>45317.25</v>
      </c>
      <c r="C2840">
        <v>0</v>
      </c>
      <c r="D2840">
        <v>0</v>
      </c>
    </row>
    <row r="2841" spans="1:4" x14ac:dyDescent="0.3">
      <c r="A2841" t="s">
        <v>9</v>
      </c>
      <c r="B2841" s="1">
        <v>45317.291666666664</v>
      </c>
      <c r="C2841">
        <v>248.466283298419</v>
      </c>
      <c r="D2841">
        <v>207.05523608201599</v>
      </c>
    </row>
    <row r="2842" spans="1:4" x14ac:dyDescent="0.3">
      <c r="A2842" t="s">
        <v>9</v>
      </c>
      <c r="B2842" s="1">
        <v>45317.333333333336</v>
      </c>
      <c r="C2842">
        <v>479.99999999999898</v>
      </c>
      <c r="D2842">
        <v>399.99999999999898</v>
      </c>
    </row>
    <row r="2843" spans="1:4" x14ac:dyDescent="0.3">
      <c r="A2843" t="s">
        <v>9</v>
      </c>
      <c r="B2843" s="1">
        <v>45317.375</v>
      </c>
      <c r="C2843">
        <v>678.82250993908497</v>
      </c>
      <c r="D2843">
        <v>565.68542494923804</v>
      </c>
    </row>
    <row r="2844" spans="1:4" x14ac:dyDescent="0.3">
      <c r="A2844" t="s">
        <v>9</v>
      </c>
      <c r="B2844" s="1">
        <v>45317.416666666664</v>
      </c>
      <c r="C2844">
        <v>831.38438763306101</v>
      </c>
      <c r="D2844">
        <v>692.82032302754999</v>
      </c>
    </row>
    <row r="2845" spans="1:4" x14ac:dyDescent="0.3">
      <c r="A2845" t="s">
        <v>9</v>
      </c>
      <c r="B2845" s="1">
        <v>45317.458333333336</v>
      </c>
      <c r="C2845">
        <v>927.28879323750505</v>
      </c>
      <c r="D2845">
        <v>772.74066103125404</v>
      </c>
    </row>
    <row r="2846" spans="1:4" x14ac:dyDescent="0.3">
      <c r="A2846" t="s">
        <v>9</v>
      </c>
      <c r="B2846" s="1">
        <v>45317.5</v>
      </c>
      <c r="C2846">
        <v>960</v>
      </c>
      <c r="D2846">
        <v>800</v>
      </c>
    </row>
    <row r="2847" spans="1:4" x14ac:dyDescent="0.3">
      <c r="A2847" t="s">
        <v>9</v>
      </c>
      <c r="B2847" s="1">
        <v>45317.541666666664</v>
      </c>
      <c r="C2847">
        <v>927.28879323750505</v>
      </c>
      <c r="D2847">
        <v>772.74066103125404</v>
      </c>
    </row>
    <row r="2848" spans="1:4" x14ac:dyDescent="0.3">
      <c r="A2848" t="s">
        <v>9</v>
      </c>
      <c r="B2848" s="1">
        <v>45317.583333333336</v>
      </c>
      <c r="C2848">
        <v>831.38438763306101</v>
      </c>
      <c r="D2848">
        <v>692.82032302755101</v>
      </c>
    </row>
    <row r="2849" spans="1:4" x14ac:dyDescent="0.3">
      <c r="A2849" t="s">
        <v>9</v>
      </c>
      <c r="B2849" s="1">
        <v>45317.625</v>
      </c>
      <c r="C2849">
        <v>678.82250993908497</v>
      </c>
      <c r="D2849">
        <v>565.68542494923804</v>
      </c>
    </row>
    <row r="2850" spans="1:4" x14ac:dyDescent="0.3">
      <c r="A2850" t="s">
        <v>9</v>
      </c>
      <c r="B2850" s="1">
        <v>45317.666666666664</v>
      </c>
      <c r="C2850">
        <v>479.99999999999898</v>
      </c>
      <c r="D2850">
        <v>399.99999999999898</v>
      </c>
    </row>
    <row r="2851" spans="1:4" x14ac:dyDescent="0.3">
      <c r="A2851" t="s">
        <v>9</v>
      </c>
      <c r="B2851" s="1">
        <v>45317.708333333336</v>
      </c>
      <c r="C2851">
        <v>248.46628329842</v>
      </c>
      <c r="D2851">
        <v>207.05523608201599</v>
      </c>
    </row>
    <row r="2852" spans="1:4" x14ac:dyDescent="0.3">
      <c r="A2852" t="s">
        <v>9</v>
      </c>
      <c r="B2852" s="1">
        <v>45317.75</v>
      </c>
      <c r="C2852" s="2">
        <v>1.1756609271814501E-13</v>
      </c>
      <c r="D2852" s="2">
        <v>9.7971743931788194E-14</v>
      </c>
    </row>
    <row r="2853" spans="1:4" x14ac:dyDescent="0.3">
      <c r="A2853" t="s">
        <v>9</v>
      </c>
      <c r="B2853" s="1">
        <v>45317.791666666664</v>
      </c>
      <c r="C2853">
        <v>0</v>
      </c>
      <c r="D2853">
        <v>0</v>
      </c>
    </row>
    <row r="2854" spans="1:4" x14ac:dyDescent="0.3">
      <c r="A2854" t="s">
        <v>9</v>
      </c>
      <c r="B2854" s="1">
        <v>45317.833333333336</v>
      </c>
      <c r="C2854">
        <v>0</v>
      </c>
      <c r="D2854">
        <v>0</v>
      </c>
    </row>
    <row r="2855" spans="1:4" x14ac:dyDescent="0.3">
      <c r="A2855" t="s">
        <v>9</v>
      </c>
      <c r="B2855" s="1">
        <v>45317.875</v>
      </c>
      <c r="C2855">
        <v>0</v>
      </c>
      <c r="D2855">
        <v>0</v>
      </c>
    </row>
    <row r="2856" spans="1:4" x14ac:dyDescent="0.3">
      <c r="A2856" t="s">
        <v>9</v>
      </c>
      <c r="B2856" s="1">
        <v>45317.916666666664</v>
      </c>
      <c r="C2856">
        <v>0</v>
      </c>
      <c r="D2856">
        <v>0</v>
      </c>
    </row>
    <row r="2857" spans="1:4" x14ac:dyDescent="0.3">
      <c r="A2857" t="s">
        <v>9</v>
      </c>
      <c r="B2857" s="1">
        <v>45317.958333333336</v>
      </c>
      <c r="C2857">
        <v>0</v>
      </c>
      <c r="D2857">
        <v>0</v>
      </c>
    </row>
    <row r="2858" spans="1:4" x14ac:dyDescent="0.3">
      <c r="A2858" t="s">
        <v>9</v>
      </c>
      <c r="B2858" s="1">
        <v>45318</v>
      </c>
      <c r="C2858">
        <v>0</v>
      </c>
      <c r="D2858">
        <v>0</v>
      </c>
    </row>
    <row r="2859" spans="1:4" x14ac:dyDescent="0.3">
      <c r="A2859" t="s">
        <v>9</v>
      </c>
      <c r="B2859" s="1">
        <v>45318.041666666664</v>
      </c>
      <c r="C2859">
        <v>0</v>
      </c>
      <c r="D2859">
        <v>0</v>
      </c>
    </row>
    <row r="2860" spans="1:4" x14ac:dyDescent="0.3">
      <c r="A2860" t="s">
        <v>9</v>
      </c>
      <c r="B2860" s="1">
        <v>45318.083333333336</v>
      </c>
      <c r="C2860">
        <v>0</v>
      </c>
      <c r="D2860">
        <v>0</v>
      </c>
    </row>
    <row r="2861" spans="1:4" x14ac:dyDescent="0.3">
      <c r="A2861" t="s">
        <v>9</v>
      </c>
      <c r="B2861" s="1">
        <v>45318.125</v>
      </c>
      <c r="C2861">
        <v>0</v>
      </c>
      <c r="D2861">
        <v>0</v>
      </c>
    </row>
    <row r="2862" spans="1:4" x14ac:dyDescent="0.3">
      <c r="A2862" t="s">
        <v>9</v>
      </c>
      <c r="B2862" s="1">
        <v>45318.166666666664</v>
      </c>
      <c r="C2862">
        <v>0</v>
      </c>
      <c r="D2862">
        <v>0</v>
      </c>
    </row>
    <row r="2863" spans="1:4" x14ac:dyDescent="0.3">
      <c r="A2863" t="s">
        <v>9</v>
      </c>
      <c r="B2863" s="1">
        <v>45318.208333333336</v>
      </c>
      <c r="C2863">
        <v>0</v>
      </c>
      <c r="D2863">
        <v>0</v>
      </c>
    </row>
    <row r="2864" spans="1:4" x14ac:dyDescent="0.3">
      <c r="A2864" t="s">
        <v>9</v>
      </c>
      <c r="B2864" s="1">
        <v>45318.25</v>
      </c>
      <c r="C2864">
        <v>0</v>
      </c>
      <c r="D2864">
        <v>0</v>
      </c>
    </row>
    <row r="2865" spans="1:4" x14ac:dyDescent="0.3">
      <c r="A2865" t="s">
        <v>9</v>
      </c>
      <c r="B2865" s="1">
        <v>45318.291666666664</v>
      </c>
      <c r="C2865">
        <v>248.466283298419</v>
      </c>
      <c r="D2865">
        <v>207.05523608201599</v>
      </c>
    </row>
    <row r="2866" spans="1:4" x14ac:dyDescent="0.3">
      <c r="A2866" t="s">
        <v>9</v>
      </c>
      <c r="B2866" s="1">
        <v>45318.333333333336</v>
      </c>
      <c r="C2866">
        <v>479.99999999999898</v>
      </c>
      <c r="D2866">
        <v>399.99999999999898</v>
      </c>
    </row>
    <row r="2867" spans="1:4" x14ac:dyDescent="0.3">
      <c r="A2867" t="s">
        <v>9</v>
      </c>
      <c r="B2867" s="1">
        <v>45318.375</v>
      </c>
      <c r="C2867">
        <v>678.82250993908497</v>
      </c>
      <c r="D2867">
        <v>565.68542494923804</v>
      </c>
    </row>
    <row r="2868" spans="1:4" x14ac:dyDescent="0.3">
      <c r="A2868" t="s">
        <v>9</v>
      </c>
      <c r="B2868" s="1">
        <v>45318.416666666664</v>
      </c>
      <c r="C2868">
        <v>831.38438763306101</v>
      </c>
      <c r="D2868">
        <v>692.82032302754999</v>
      </c>
    </row>
    <row r="2869" spans="1:4" x14ac:dyDescent="0.3">
      <c r="A2869" t="s">
        <v>9</v>
      </c>
      <c r="B2869" s="1">
        <v>45318.458333333336</v>
      </c>
      <c r="C2869">
        <v>927.28879323750505</v>
      </c>
      <c r="D2869">
        <v>772.74066103125404</v>
      </c>
    </row>
    <row r="2870" spans="1:4" x14ac:dyDescent="0.3">
      <c r="A2870" t="s">
        <v>9</v>
      </c>
      <c r="B2870" s="1">
        <v>45318.5</v>
      </c>
      <c r="C2870">
        <v>960</v>
      </c>
      <c r="D2870">
        <v>800</v>
      </c>
    </row>
    <row r="2871" spans="1:4" x14ac:dyDescent="0.3">
      <c r="A2871" t="s">
        <v>9</v>
      </c>
      <c r="B2871" s="1">
        <v>45318.541666666664</v>
      </c>
      <c r="C2871">
        <v>927.28879323750505</v>
      </c>
      <c r="D2871">
        <v>772.74066103125404</v>
      </c>
    </row>
    <row r="2872" spans="1:4" x14ac:dyDescent="0.3">
      <c r="A2872" t="s">
        <v>9</v>
      </c>
      <c r="B2872" s="1">
        <v>45318.583333333336</v>
      </c>
      <c r="C2872">
        <v>831.38438763306101</v>
      </c>
      <c r="D2872">
        <v>692.82032302755101</v>
      </c>
    </row>
    <row r="2873" spans="1:4" x14ac:dyDescent="0.3">
      <c r="A2873" t="s">
        <v>9</v>
      </c>
      <c r="B2873" s="1">
        <v>45318.625</v>
      </c>
      <c r="C2873">
        <v>678.82250993908497</v>
      </c>
      <c r="D2873">
        <v>565.68542494923804</v>
      </c>
    </row>
    <row r="2874" spans="1:4" x14ac:dyDescent="0.3">
      <c r="A2874" t="s">
        <v>9</v>
      </c>
      <c r="B2874" s="1">
        <v>45318.666666666664</v>
      </c>
      <c r="C2874">
        <v>479.99999999999898</v>
      </c>
      <c r="D2874">
        <v>399.99999999999898</v>
      </c>
    </row>
    <row r="2875" spans="1:4" x14ac:dyDescent="0.3">
      <c r="A2875" t="s">
        <v>9</v>
      </c>
      <c r="B2875" s="1">
        <v>45318.708333333336</v>
      </c>
      <c r="C2875">
        <v>248.46628329842</v>
      </c>
      <c r="D2875">
        <v>207.05523608201599</v>
      </c>
    </row>
    <row r="2876" spans="1:4" x14ac:dyDescent="0.3">
      <c r="A2876" t="s">
        <v>9</v>
      </c>
      <c r="B2876" s="1">
        <v>45318.75</v>
      </c>
      <c r="C2876" s="2">
        <v>1.1756609271814501E-13</v>
      </c>
      <c r="D2876" s="2">
        <v>9.7971743931788194E-14</v>
      </c>
    </row>
    <row r="2877" spans="1:4" x14ac:dyDescent="0.3">
      <c r="A2877" t="s">
        <v>9</v>
      </c>
      <c r="B2877" s="1">
        <v>45318.791666666664</v>
      </c>
      <c r="C2877">
        <v>0</v>
      </c>
      <c r="D2877">
        <v>0</v>
      </c>
    </row>
    <row r="2878" spans="1:4" x14ac:dyDescent="0.3">
      <c r="A2878" t="s">
        <v>9</v>
      </c>
      <c r="B2878" s="1">
        <v>45318.833333333336</v>
      </c>
      <c r="C2878">
        <v>0</v>
      </c>
      <c r="D2878">
        <v>0</v>
      </c>
    </row>
    <row r="2879" spans="1:4" x14ac:dyDescent="0.3">
      <c r="A2879" t="s">
        <v>9</v>
      </c>
      <c r="B2879" s="1">
        <v>45318.875</v>
      </c>
      <c r="C2879">
        <v>0</v>
      </c>
      <c r="D2879">
        <v>0</v>
      </c>
    </row>
    <row r="2880" spans="1:4" x14ac:dyDescent="0.3">
      <c r="A2880" t="s">
        <v>9</v>
      </c>
      <c r="B2880" s="1">
        <v>45318.916666666664</v>
      </c>
      <c r="C2880">
        <v>0</v>
      </c>
      <c r="D2880">
        <v>0</v>
      </c>
    </row>
    <row r="2881" spans="1:4" x14ac:dyDescent="0.3">
      <c r="A2881" t="s">
        <v>9</v>
      </c>
      <c r="B2881" s="1">
        <v>45318.958333333336</v>
      </c>
      <c r="C2881">
        <v>0</v>
      </c>
      <c r="D2881">
        <v>0</v>
      </c>
    </row>
    <row r="2882" spans="1:4" x14ac:dyDescent="0.3">
      <c r="A2882" t="s">
        <v>9</v>
      </c>
      <c r="B2882" s="1">
        <v>45319</v>
      </c>
      <c r="C2882">
        <v>0</v>
      </c>
      <c r="D2882">
        <v>0</v>
      </c>
    </row>
    <row r="2883" spans="1:4" x14ac:dyDescent="0.3">
      <c r="A2883" t="s">
        <v>9</v>
      </c>
      <c r="B2883" s="1">
        <v>45319.041666666664</v>
      </c>
      <c r="C2883">
        <v>0</v>
      </c>
      <c r="D2883">
        <v>0</v>
      </c>
    </row>
    <row r="2884" spans="1:4" x14ac:dyDescent="0.3">
      <c r="A2884" t="s">
        <v>9</v>
      </c>
      <c r="B2884" s="1">
        <v>45319.083333333336</v>
      </c>
      <c r="C2884">
        <v>0</v>
      </c>
      <c r="D2884">
        <v>0</v>
      </c>
    </row>
    <row r="2885" spans="1:4" x14ac:dyDescent="0.3">
      <c r="A2885" t="s">
        <v>9</v>
      </c>
      <c r="B2885" s="1">
        <v>45319.125</v>
      </c>
      <c r="C2885">
        <v>0</v>
      </c>
      <c r="D2885">
        <v>0</v>
      </c>
    </row>
    <row r="2886" spans="1:4" x14ac:dyDescent="0.3">
      <c r="A2886" t="s">
        <v>9</v>
      </c>
      <c r="B2886" s="1">
        <v>45319.166666666664</v>
      </c>
      <c r="C2886">
        <v>0</v>
      </c>
      <c r="D2886">
        <v>0</v>
      </c>
    </row>
    <row r="2887" spans="1:4" x14ac:dyDescent="0.3">
      <c r="A2887" t="s">
        <v>9</v>
      </c>
      <c r="B2887" s="1">
        <v>45319.208333333336</v>
      </c>
      <c r="C2887">
        <v>0</v>
      </c>
      <c r="D2887">
        <v>0</v>
      </c>
    </row>
    <row r="2888" spans="1:4" x14ac:dyDescent="0.3">
      <c r="A2888" t="s">
        <v>9</v>
      </c>
      <c r="B2888" s="1">
        <v>45319.25</v>
      </c>
      <c r="C2888">
        <v>0</v>
      </c>
      <c r="D2888">
        <v>0</v>
      </c>
    </row>
    <row r="2889" spans="1:4" x14ac:dyDescent="0.3">
      <c r="A2889" t="s">
        <v>9</v>
      </c>
      <c r="B2889" s="1">
        <v>45319.291666666664</v>
      </c>
      <c r="C2889">
        <v>248.466283298419</v>
      </c>
      <c r="D2889">
        <v>207.05523608201599</v>
      </c>
    </row>
    <row r="2890" spans="1:4" x14ac:dyDescent="0.3">
      <c r="A2890" t="s">
        <v>9</v>
      </c>
      <c r="B2890" s="1">
        <v>45319.333333333336</v>
      </c>
      <c r="C2890">
        <v>479.99999999999898</v>
      </c>
      <c r="D2890">
        <v>399.99999999999898</v>
      </c>
    </row>
    <row r="2891" spans="1:4" x14ac:dyDescent="0.3">
      <c r="A2891" t="s">
        <v>9</v>
      </c>
      <c r="B2891" s="1">
        <v>45319.375</v>
      </c>
      <c r="C2891">
        <v>678.82250993908497</v>
      </c>
      <c r="D2891">
        <v>565.68542494923804</v>
      </c>
    </row>
    <row r="2892" spans="1:4" x14ac:dyDescent="0.3">
      <c r="A2892" t="s">
        <v>9</v>
      </c>
      <c r="B2892" s="1">
        <v>45319.416666666664</v>
      </c>
      <c r="C2892">
        <v>831.38438763306101</v>
      </c>
      <c r="D2892">
        <v>692.82032302754999</v>
      </c>
    </row>
    <row r="2893" spans="1:4" x14ac:dyDescent="0.3">
      <c r="A2893" t="s">
        <v>9</v>
      </c>
      <c r="B2893" s="1">
        <v>45319.458333333336</v>
      </c>
      <c r="C2893">
        <v>927.28879323750505</v>
      </c>
      <c r="D2893">
        <v>772.74066103125404</v>
      </c>
    </row>
    <row r="2894" spans="1:4" x14ac:dyDescent="0.3">
      <c r="A2894" t="s">
        <v>9</v>
      </c>
      <c r="B2894" s="1">
        <v>45319.5</v>
      </c>
      <c r="C2894">
        <v>960</v>
      </c>
      <c r="D2894">
        <v>800</v>
      </c>
    </row>
    <row r="2895" spans="1:4" x14ac:dyDescent="0.3">
      <c r="A2895" t="s">
        <v>9</v>
      </c>
      <c r="B2895" s="1">
        <v>45319.541666666664</v>
      </c>
      <c r="C2895">
        <v>927.28879323750505</v>
      </c>
      <c r="D2895">
        <v>772.74066103125404</v>
      </c>
    </row>
    <row r="2896" spans="1:4" x14ac:dyDescent="0.3">
      <c r="A2896" t="s">
        <v>9</v>
      </c>
      <c r="B2896" s="1">
        <v>45319.583333333336</v>
      </c>
      <c r="C2896">
        <v>831.38438763306101</v>
      </c>
      <c r="D2896">
        <v>692.82032302755101</v>
      </c>
    </row>
    <row r="2897" spans="1:4" x14ac:dyDescent="0.3">
      <c r="A2897" t="s">
        <v>9</v>
      </c>
      <c r="B2897" s="1">
        <v>45319.625</v>
      </c>
      <c r="C2897">
        <v>678.82250993908497</v>
      </c>
      <c r="D2897">
        <v>565.68542494923804</v>
      </c>
    </row>
    <row r="2898" spans="1:4" x14ac:dyDescent="0.3">
      <c r="A2898" t="s">
        <v>9</v>
      </c>
      <c r="B2898" s="1">
        <v>45319.666666666664</v>
      </c>
      <c r="C2898">
        <v>479.99999999999898</v>
      </c>
      <c r="D2898">
        <v>399.99999999999898</v>
      </c>
    </row>
    <row r="2899" spans="1:4" x14ac:dyDescent="0.3">
      <c r="A2899" t="s">
        <v>9</v>
      </c>
      <c r="B2899" s="1">
        <v>45319.708333333336</v>
      </c>
      <c r="C2899">
        <v>248.46628329842</v>
      </c>
      <c r="D2899">
        <v>207.05523608201599</v>
      </c>
    </row>
    <row r="2900" spans="1:4" x14ac:dyDescent="0.3">
      <c r="A2900" t="s">
        <v>9</v>
      </c>
      <c r="B2900" s="1">
        <v>45319.75</v>
      </c>
      <c r="C2900" s="2">
        <v>1.1756609271814501E-13</v>
      </c>
      <c r="D2900" s="2">
        <v>9.7971743931788194E-14</v>
      </c>
    </row>
    <row r="2901" spans="1:4" x14ac:dyDescent="0.3">
      <c r="A2901" t="s">
        <v>9</v>
      </c>
      <c r="B2901" s="1">
        <v>45319.791666666664</v>
      </c>
      <c r="C2901">
        <v>0</v>
      </c>
      <c r="D2901">
        <v>0</v>
      </c>
    </row>
    <row r="2902" spans="1:4" x14ac:dyDescent="0.3">
      <c r="A2902" t="s">
        <v>9</v>
      </c>
      <c r="B2902" s="1">
        <v>45319.833333333336</v>
      </c>
      <c r="C2902">
        <v>0</v>
      </c>
      <c r="D2902">
        <v>0</v>
      </c>
    </row>
    <row r="2903" spans="1:4" x14ac:dyDescent="0.3">
      <c r="A2903" t="s">
        <v>9</v>
      </c>
      <c r="B2903" s="1">
        <v>45319.875</v>
      </c>
      <c r="C2903">
        <v>0</v>
      </c>
      <c r="D2903">
        <v>0</v>
      </c>
    </row>
    <row r="2904" spans="1:4" x14ac:dyDescent="0.3">
      <c r="A2904" t="s">
        <v>9</v>
      </c>
      <c r="B2904" s="1">
        <v>45319.916666666664</v>
      </c>
      <c r="C2904">
        <v>0</v>
      </c>
      <c r="D2904">
        <v>0</v>
      </c>
    </row>
    <row r="2905" spans="1:4" x14ac:dyDescent="0.3">
      <c r="A2905" t="s">
        <v>9</v>
      </c>
      <c r="B2905" s="1">
        <v>45319.958333333336</v>
      </c>
      <c r="C2905">
        <v>0</v>
      </c>
      <c r="D2905">
        <v>0</v>
      </c>
    </row>
    <row r="2906" spans="1:4" x14ac:dyDescent="0.3">
      <c r="A2906" t="s">
        <v>9</v>
      </c>
      <c r="B2906" s="1">
        <v>45320</v>
      </c>
      <c r="C2906">
        <v>0</v>
      </c>
      <c r="D2906">
        <v>0</v>
      </c>
    </row>
    <row r="2907" spans="1:4" x14ac:dyDescent="0.3">
      <c r="A2907" t="s">
        <v>9</v>
      </c>
      <c r="B2907" s="1">
        <v>45320.041666666664</v>
      </c>
      <c r="C2907">
        <v>0</v>
      </c>
      <c r="D2907">
        <v>0</v>
      </c>
    </row>
    <row r="2908" spans="1:4" x14ac:dyDescent="0.3">
      <c r="A2908" t="s">
        <v>9</v>
      </c>
      <c r="B2908" s="1">
        <v>45320.083333333336</v>
      </c>
      <c r="C2908">
        <v>0</v>
      </c>
      <c r="D2908">
        <v>0</v>
      </c>
    </row>
    <row r="2909" spans="1:4" x14ac:dyDescent="0.3">
      <c r="A2909" t="s">
        <v>9</v>
      </c>
      <c r="B2909" s="1">
        <v>45320.125</v>
      </c>
      <c r="C2909">
        <v>0</v>
      </c>
      <c r="D2909">
        <v>0</v>
      </c>
    </row>
    <row r="2910" spans="1:4" x14ac:dyDescent="0.3">
      <c r="A2910" t="s">
        <v>9</v>
      </c>
      <c r="B2910" s="1">
        <v>45320.166666666664</v>
      </c>
      <c r="C2910">
        <v>0</v>
      </c>
      <c r="D2910">
        <v>0</v>
      </c>
    </row>
    <row r="2911" spans="1:4" x14ac:dyDescent="0.3">
      <c r="A2911" t="s">
        <v>9</v>
      </c>
      <c r="B2911" s="1">
        <v>45320.208333333336</v>
      </c>
      <c r="C2911">
        <v>0</v>
      </c>
      <c r="D2911">
        <v>0</v>
      </c>
    </row>
    <row r="2912" spans="1:4" x14ac:dyDescent="0.3">
      <c r="A2912" t="s">
        <v>9</v>
      </c>
      <c r="B2912" s="1">
        <v>45320.25</v>
      </c>
      <c r="C2912">
        <v>0</v>
      </c>
      <c r="D2912">
        <v>0</v>
      </c>
    </row>
    <row r="2913" spans="1:4" x14ac:dyDescent="0.3">
      <c r="A2913" t="s">
        <v>9</v>
      </c>
      <c r="B2913" s="1">
        <v>45320.291666666664</v>
      </c>
      <c r="C2913">
        <v>248.466283298419</v>
      </c>
      <c r="D2913">
        <v>207.05523608201599</v>
      </c>
    </row>
    <row r="2914" spans="1:4" x14ac:dyDescent="0.3">
      <c r="A2914" t="s">
        <v>9</v>
      </c>
      <c r="B2914" s="1">
        <v>45320.333333333336</v>
      </c>
      <c r="C2914">
        <v>479.99999999999898</v>
      </c>
      <c r="D2914">
        <v>399.99999999999898</v>
      </c>
    </row>
    <row r="2915" spans="1:4" x14ac:dyDescent="0.3">
      <c r="A2915" t="s">
        <v>9</v>
      </c>
      <c r="B2915" s="1">
        <v>45320.375</v>
      </c>
      <c r="C2915">
        <v>678.82250993908497</v>
      </c>
      <c r="D2915">
        <v>565.68542494923804</v>
      </c>
    </row>
    <row r="2916" spans="1:4" x14ac:dyDescent="0.3">
      <c r="A2916" t="s">
        <v>9</v>
      </c>
      <c r="B2916" s="1">
        <v>45320.416666666664</v>
      </c>
      <c r="C2916">
        <v>831.38438763306101</v>
      </c>
      <c r="D2916">
        <v>692.82032302754999</v>
      </c>
    </row>
    <row r="2917" spans="1:4" x14ac:dyDescent="0.3">
      <c r="A2917" t="s">
        <v>9</v>
      </c>
      <c r="B2917" s="1">
        <v>45320.458333333336</v>
      </c>
      <c r="C2917">
        <v>927.28879323750505</v>
      </c>
      <c r="D2917">
        <v>772.74066103125404</v>
      </c>
    </row>
    <row r="2918" spans="1:4" x14ac:dyDescent="0.3">
      <c r="A2918" t="s">
        <v>9</v>
      </c>
      <c r="B2918" s="1">
        <v>45320.5</v>
      </c>
      <c r="C2918">
        <v>960</v>
      </c>
      <c r="D2918">
        <v>800</v>
      </c>
    </row>
    <row r="2919" spans="1:4" x14ac:dyDescent="0.3">
      <c r="A2919" t="s">
        <v>9</v>
      </c>
      <c r="B2919" s="1">
        <v>45320.541666666664</v>
      </c>
      <c r="C2919">
        <v>927.28879323750505</v>
      </c>
      <c r="D2919">
        <v>772.74066103125404</v>
      </c>
    </row>
    <row r="2920" spans="1:4" x14ac:dyDescent="0.3">
      <c r="A2920" t="s">
        <v>9</v>
      </c>
      <c r="B2920" s="1">
        <v>45320.583333333336</v>
      </c>
      <c r="C2920">
        <v>831.38438763306101</v>
      </c>
      <c r="D2920">
        <v>692.82032302755101</v>
      </c>
    </row>
    <row r="2921" spans="1:4" x14ac:dyDescent="0.3">
      <c r="A2921" t="s">
        <v>9</v>
      </c>
      <c r="B2921" s="1">
        <v>45320.625</v>
      </c>
      <c r="C2921">
        <v>678.82250993908497</v>
      </c>
      <c r="D2921">
        <v>565.68542494923804</v>
      </c>
    </row>
    <row r="2922" spans="1:4" x14ac:dyDescent="0.3">
      <c r="A2922" t="s">
        <v>9</v>
      </c>
      <c r="B2922" s="1">
        <v>45320.666666666664</v>
      </c>
      <c r="C2922">
        <v>479.99999999999898</v>
      </c>
      <c r="D2922">
        <v>399.99999999999898</v>
      </c>
    </row>
    <row r="2923" spans="1:4" x14ac:dyDescent="0.3">
      <c r="A2923" t="s">
        <v>9</v>
      </c>
      <c r="B2923" s="1">
        <v>45320.708333333336</v>
      </c>
      <c r="C2923">
        <v>248.46628329842</v>
      </c>
      <c r="D2923">
        <v>207.05523608201599</v>
      </c>
    </row>
    <row r="2924" spans="1:4" x14ac:dyDescent="0.3">
      <c r="A2924" t="s">
        <v>9</v>
      </c>
      <c r="B2924" s="1">
        <v>45320.75</v>
      </c>
      <c r="C2924" s="2">
        <v>1.1756609271814501E-13</v>
      </c>
      <c r="D2924" s="2">
        <v>9.7971743931788194E-14</v>
      </c>
    </row>
    <row r="2925" spans="1:4" x14ac:dyDescent="0.3">
      <c r="A2925" t="s">
        <v>9</v>
      </c>
      <c r="B2925" s="1">
        <v>45320.791666666664</v>
      </c>
      <c r="C2925">
        <v>0</v>
      </c>
      <c r="D2925">
        <v>0</v>
      </c>
    </row>
    <row r="2926" spans="1:4" x14ac:dyDescent="0.3">
      <c r="A2926" t="s">
        <v>9</v>
      </c>
      <c r="B2926" s="1">
        <v>45320.833333333336</v>
      </c>
      <c r="C2926">
        <v>0</v>
      </c>
      <c r="D2926">
        <v>0</v>
      </c>
    </row>
    <row r="2927" spans="1:4" x14ac:dyDescent="0.3">
      <c r="A2927" t="s">
        <v>9</v>
      </c>
      <c r="B2927" s="1">
        <v>45320.875</v>
      </c>
      <c r="C2927">
        <v>0</v>
      </c>
      <c r="D2927">
        <v>0</v>
      </c>
    </row>
    <row r="2928" spans="1:4" x14ac:dyDescent="0.3">
      <c r="A2928" t="s">
        <v>9</v>
      </c>
      <c r="B2928" s="1">
        <v>45320.916666666664</v>
      </c>
      <c r="C2928">
        <v>0</v>
      </c>
      <c r="D2928">
        <v>0</v>
      </c>
    </row>
    <row r="2929" spans="1:4" x14ac:dyDescent="0.3">
      <c r="A2929" t="s">
        <v>9</v>
      </c>
      <c r="B2929" s="1">
        <v>45320.958333333336</v>
      </c>
      <c r="C2929">
        <v>0</v>
      </c>
      <c r="D2929">
        <v>0</v>
      </c>
    </row>
    <row r="2930" spans="1:4" x14ac:dyDescent="0.3">
      <c r="A2930" t="s">
        <v>9</v>
      </c>
      <c r="B2930" s="1">
        <v>45321</v>
      </c>
      <c r="C2930">
        <v>0</v>
      </c>
      <c r="D2930">
        <v>0</v>
      </c>
    </row>
    <row r="2931" spans="1:4" x14ac:dyDescent="0.3">
      <c r="A2931" t="s">
        <v>9</v>
      </c>
      <c r="B2931" s="1">
        <v>45321.041666666664</v>
      </c>
      <c r="C2931">
        <v>0</v>
      </c>
      <c r="D2931">
        <v>0</v>
      </c>
    </row>
    <row r="2932" spans="1:4" x14ac:dyDescent="0.3">
      <c r="A2932" t="s">
        <v>9</v>
      </c>
      <c r="B2932" s="1">
        <v>45321.083333333336</v>
      </c>
      <c r="C2932">
        <v>0</v>
      </c>
      <c r="D2932">
        <v>0</v>
      </c>
    </row>
    <row r="2933" spans="1:4" x14ac:dyDescent="0.3">
      <c r="A2933" t="s">
        <v>9</v>
      </c>
      <c r="B2933" s="1">
        <v>45321.125</v>
      </c>
      <c r="C2933">
        <v>0</v>
      </c>
      <c r="D2933">
        <v>0</v>
      </c>
    </row>
    <row r="2934" spans="1:4" x14ac:dyDescent="0.3">
      <c r="A2934" t="s">
        <v>9</v>
      </c>
      <c r="B2934" s="1">
        <v>45321.166666666664</v>
      </c>
      <c r="C2934">
        <v>0</v>
      </c>
      <c r="D2934">
        <v>0</v>
      </c>
    </row>
    <row r="2935" spans="1:4" x14ac:dyDescent="0.3">
      <c r="A2935" t="s">
        <v>9</v>
      </c>
      <c r="B2935" s="1">
        <v>45321.208333333336</v>
      </c>
      <c r="C2935">
        <v>0</v>
      </c>
      <c r="D2935">
        <v>0</v>
      </c>
    </row>
    <row r="2936" spans="1:4" x14ac:dyDescent="0.3">
      <c r="A2936" t="s">
        <v>9</v>
      </c>
      <c r="B2936" s="1">
        <v>45321.25</v>
      </c>
      <c r="C2936">
        <v>0</v>
      </c>
      <c r="D2936">
        <v>0</v>
      </c>
    </row>
    <row r="2937" spans="1:4" x14ac:dyDescent="0.3">
      <c r="A2937" t="s">
        <v>9</v>
      </c>
      <c r="B2937" s="1">
        <v>45321.291666666664</v>
      </c>
      <c r="C2937">
        <v>248.466283298419</v>
      </c>
      <c r="D2937">
        <v>207.05523608201599</v>
      </c>
    </row>
    <row r="2938" spans="1:4" x14ac:dyDescent="0.3">
      <c r="A2938" t="s">
        <v>9</v>
      </c>
      <c r="B2938" s="1">
        <v>45321.333333333336</v>
      </c>
      <c r="C2938">
        <v>479.99999999999898</v>
      </c>
      <c r="D2938">
        <v>399.99999999999898</v>
      </c>
    </row>
    <row r="2939" spans="1:4" x14ac:dyDescent="0.3">
      <c r="A2939" t="s">
        <v>9</v>
      </c>
      <c r="B2939" s="1">
        <v>45321.375</v>
      </c>
      <c r="C2939">
        <v>678.82250993908497</v>
      </c>
      <c r="D2939">
        <v>565.68542494923804</v>
      </c>
    </row>
    <row r="2940" spans="1:4" x14ac:dyDescent="0.3">
      <c r="A2940" t="s">
        <v>9</v>
      </c>
      <c r="B2940" s="1">
        <v>45321.416666666664</v>
      </c>
      <c r="C2940">
        <v>831.38438763306101</v>
      </c>
      <c r="D2940">
        <v>692.82032302754999</v>
      </c>
    </row>
    <row r="2941" spans="1:4" x14ac:dyDescent="0.3">
      <c r="A2941" t="s">
        <v>9</v>
      </c>
      <c r="B2941" s="1">
        <v>45321.458333333336</v>
      </c>
      <c r="C2941">
        <v>927.28879323750505</v>
      </c>
      <c r="D2941">
        <v>772.74066103125404</v>
      </c>
    </row>
    <row r="2942" spans="1:4" x14ac:dyDescent="0.3">
      <c r="A2942" t="s">
        <v>9</v>
      </c>
      <c r="B2942" s="1">
        <v>45321.5</v>
      </c>
      <c r="C2942">
        <v>960</v>
      </c>
      <c r="D2942">
        <v>800</v>
      </c>
    </row>
    <row r="2943" spans="1:4" x14ac:dyDescent="0.3">
      <c r="A2943" t="s">
        <v>9</v>
      </c>
      <c r="B2943" s="1">
        <v>45321.541666666664</v>
      </c>
      <c r="C2943">
        <v>927.28879323750505</v>
      </c>
      <c r="D2943">
        <v>772.74066103125404</v>
      </c>
    </row>
    <row r="2944" spans="1:4" x14ac:dyDescent="0.3">
      <c r="A2944" t="s">
        <v>9</v>
      </c>
      <c r="B2944" s="1">
        <v>45321.583333333336</v>
      </c>
      <c r="C2944">
        <v>831.38438763306101</v>
      </c>
      <c r="D2944">
        <v>692.82032302755101</v>
      </c>
    </row>
    <row r="2945" spans="1:4" x14ac:dyDescent="0.3">
      <c r="A2945" t="s">
        <v>9</v>
      </c>
      <c r="B2945" s="1">
        <v>45321.625</v>
      </c>
      <c r="C2945">
        <v>678.82250993908497</v>
      </c>
      <c r="D2945">
        <v>565.68542494923804</v>
      </c>
    </row>
    <row r="2946" spans="1:4" x14ac:dyDescent="0.3">
      <c r="A2946" t="s">
        <v>9</v>
      </c>
      <c r="B2946" s="1">
        <v>45321.666666666664</v>
      </c>
      <c r="C2946">
        <v>479.99999999999898</v>
      </c>
      <c r="D2946">
        <v>399.99999999999898</v>
      </c>
    </row>
    <row r="2947" spans="1:4" x14ac:dyDescent="0.3">
      <c r="A2947" t="s">
        <v>9</v>
      </c>
      <c r="B2947" s="1">
        <v>45321.708333333336</v>
      </c>
      <c r="C2947">
        <v>248.46628329842</v>
      </c>
      <c r="D2947">
        <v>207.05523608201599</v>
      </c>
    </row>
    <row r="2948" spans="1:4" x14ac:dyDescent="0.3">
      <c r="A2948" t="s">
        <v>9</v>
      </c>
      <c r="B2948" s="1">
        <v>45321.75</v>
      </c>
      <c r="C2948" s="2">
        <v>1.1756609271814501E-13</v>
      </c>
      <c r="D2948" s="2">
        <v>9.7971743931788194E-14</v>
      </c>
    </row>
    <row r="2949" spans="1:4" x14ac:dyDescent="0.3">
      <c r="A2949" t="s">
        <v>9</v>
      </c>
      <c r="B2949" s="1">
        <v>45321.791666666664</v>
      </c>
      <c r="C2949">
        <v>0</v>
      </c>
      <c r="D2949">
        <v>0</v>
      </c>
    </row>
    <row r="2950" spans="1:4" x14ac:dyDescent="0.3">
      <c r="A2950" t="s">
        <v>9</v>
      </c>
      <c r="B2950" s="1">
        <v>45321.833333333336</v>
      </c>
      <c r="C2950">
        <v>0</v>
      </c>
      <c r="D2950">
        <v>0</v>
      </c>
    </row>
    <row r="2951" spans="1:4" x14ac:dyDescent="0.3">
      <c r="A2951" t="s">
        <v>9</v>
      </c>
      <c r="B2951" s="1">
        <v>45321.875</v>
      </c>
      <c r="C2951">
        <v>0</v>
      </c>
      <c r="D2951">
        <v>0</v>
      </c>
    </row>
    <row r="2952" spans="1:4" x14ac:dyDescent="0.3">
      <c r="A2952" t="s">
        <v>9</v>
      </c>
      <c r="B2952" s="1">
        <v>45321.916666666664</v>
      </c>
      <c r="C2952">
        <v>0</v>
      </c>
      <c r="D2952">
        <v>0</v>
      </c>
    </row>
    <row r="2953" spans="1:4" x14ac:dyDescent="0.3">
      <c r="A2953" t="s">
        <v>9</v>
      </c>
      <c r="B2953" s="1">
        <v>45321.958333333336</v>
      </c>
      <c r="C2953">
        <v>0</v>
      </c>
      <c r="D2953">
        <v>0</v>
      </c>
    </row>
    <row r="2954" spans="1:4" x14ac:dyDescent="0.3">
      <c r="A2954" t="s">
        <v>9</v>
      </c>
      <c r="B2954" s="1">
        <v>45322</v>
      </c>
      <c r="C2954">
        <v>0</v>
      </c>
      <c r="D2954">
        <v>0</v>
      </c>
    </row>
    <row r="2955" spans="1:4" x14ac:dyDescent="0.3">
      <c r="A2955" t="s">
        <v>9</v>
      </c>
      <c r="B2955" s="1">
        <v>45322.041666666664</v>
      </c>
      <c r="C2955">
        <v>0</v>
      </c>
      <c r="D2955">
        <v>0</v>
      </c>
    </row>
    <row r="2956" spans="1:4" x14ac:dyDescent="0.3">
      <c r="A2956" t="s">
        <v>9</v>
      </c>
      <c r="B2956" s="1">
        <v>45322.083333333336</v>
      </c>
      <c r="C2956">
        <v>0</v>
      </c>
      <c r="D2956">
        <v>0</v>
      </c>
    </row>
    <row r="2957" spans="1:4" x14ac:dyDescent="0.3">
      <c r="A2957" t="s">
        <v>9</v>
      </c>
      <c r="B2957" s="1">
        <v>45322.125</v>
      </c>
      <c r="C2957">
        <v>0</v>
      </c>
      <c r="D2957">
        <v>0</v>
      </c>
    </row>
    <row r="2958" spans="1:4" x14ac:dyDescent="0.3">
      <c r="A2958" t="s">
        <v>9</v>
      </c>
      <c r="B2958" s="1">
        <v>45322.166666666664</v>
      </c>
      <c r="C2958">
        <v>0</v>
      </c>
      <c r="D2958">
        <v>0</v>
      </c>
    </row>
    <row r="2959" spans="1:4" x14ac:dyDescent="0.3">
      <c r="A2959" t="s">
        <v>9</v>
      </c>
      <c r="B2959" s="1">
        <v>45322.208333333336</v>
      </c>
      <c r="C2959">
        <v>0</v>
      </c>
      <c r="D2959">
        <v>0</v>
      </c>
    </row>
    <row r="2960" spans="1:4" x14ac:dyDescent="0.3">
      <c r="A2960" t="s">
        <v>9</v>
      </c>
      <c r="B2960" s="1">
        <v>45322.25</v>
      </c>
      <c r="C2960">
        <v>0</v>
      </c>
      <c r="D2960">
        <v>0</v>
      </c>
    </row>
    <row r="2961" spans="1:4" x14ac:dyDescent="0.3">
      <c r="A2961" t="s">
        <v>9</v>
      </c>
      <c r="B2961" s="1">
        <v>45322.291666666664</v>
      </c>
      <c r="C2961">
        <v>248.466283298419</v>
      </c>
      <c r="D2961">
        <v>207.05523608201599</v>
      </c>
    </row>
    <row r="2962" spans="1:4" x14ac:dyDescent="0.3">
      <c r="A2962" t="s">
        <v>9</v>
      </c>
      <c r="B2962" s="1">
        <v>45322.333333333336</v>
      </c>
      <c r="C2962">
        <v>479.99999999999898</v>
      </c>
      <c r="D2962">
        <v>399.99999999999898</v>
      </c>
    </row>
    <row r="2963" spans="1:4" x14ac:dyDescent="0.3">
      <c r="A2963" t="s">
        <v>9</v>
      </c>
      <c r="B2963" s="1">
        <v>45322.375</v>
      </c>
      <c r="C2963">
        <v>678.82250993908497</v>
      </c>
      <c r="D2963">
        <v>565.68542494923804</v>
      </c>
    </row>
    <row r="2964" spans="1:4" x14ac:dyDescent="0.3">
      <c r="A2964" t="s">
        <v>9</v>
      </c>
      <c r="B2964" s="1">
        <v>45322.416666666664</v>
      </c>
      <c r="C2964">
        <v>831.38438763306101</v>
      </c>
      <c r="D2964">
        <v>692.82032302754999</v>
      </c>
    </row>
    <row r="2965" spans="1:4" x14ac:dyDescent="0.3">
      <c r="A2965" t="s">
        <v>9</v>
      </c>
      <c r="B2965" s="1">
        <v>45322.458333333336</v>
      </c>
      <c r="C2965">
        <v>927.28879323750505</v>
      </c>
      <c r="D2965">
        <v>772.74066103125404</v>
      </c>
    </row>
    <row r="2966" spans="1:4" x14ac:dyDescent="0.3">
      <c r="A2966" t="s">
        <v>9</v>
      </c>
      <c r="B2966" s="1">
        <v>45322.5</v>
      </c>
      <c r="C2966">
        <v>960</v>
      </c>
      <c r="D2966">
        <v>800</v>
      </c>
    </row>
    <row r="2967" spans="1:4" x14ac:dyDescent="0.3">
      <c r="A2967" t="s">
        <v>9</v>
      </c>
      <c r="B2967" s="1">
        <v>45322.541666666664</v>
      </c>
      <c r="C2967">
        <v>927.28879323750505</v>
      </c>
      <c r="D2967">
        <v>772.74066103125404</v>
      </c>
    </row>
    <row r="2968" spans="1:4" x14ac:dyDescent="0.3">
      <c r="A2968" t="s">
        <v>9</v>
      </c>
      <c r="B2968" s="1">
        <v>45322.583333333336</v>
      </c>
      <c r="C2968">
        <v>831.38438763306101</v>
      </c>
      <c r="D2968">
        <v>692.82032302755101</v>
      </c>
    </row>
    <row r="2969" spans="1:4" x14ac:dyDescent="0.3">
      <c r="A2969" t="s">
        <v>9</v>
      </c>
      <c r="B2969" s="1">
        <v>45322.625</v>
      </c>
      <c r="C2969">
        <v>678.82250993908497</v>
      </c>
      <c r="D2969">
        <v>565.68542494923804</v>
      </c>
    </row>
    <row r="2970" spans="1:4" x14ac:dyDescent="0.3">
      <c r="A2970" t="s">
        <v>9</v>
      </c>
      <c r="B2970" s="1">
        <v>45322.666666666664</v>
      </c>
      <c r="C2970">
        <v>479.99999999999898</v>
      </c>
      <c r="D2970">
        <v>399.99999999999898</v>
      </c>
    </row>
    <row r="2971" spans="1:4" x14ac:dyDescent="0.3">
      <c r="A2971" t="s">
        <v>9</v>
      </c>
      <c r="B2971" s="1">
        <v>45322.708333333336</v>
      </c>
      <c r="C2971">
        <v>248.46628329842</v>
      </c>
      <c r="D2971">
        <v>207.05523608201599</v>
      </c>
    </row>
    <row r="2972" spans="1:4" x14ac:dyDescent="0.3">
      <c r="A2972" t="s">
        <v>9</v>
      </c>
      <c r="B2972" s="1">
        <v>45322.75</v>
      </c>
      <c r="C2972" s="2">
        <v>1.1756609271814501E-13</v>
      </c>
      <c r="D2972" s="2">
        <v>9.7971743931788194E-14</v>
      </c>
    </row>
    <row r="2973" spans="1:4" x14ac:dyDescent="0.3">
      <c r="A2973" t="s">
        <v>9</v>
      </c>
      <c r="B2973" s="1">
        <v>45322.791666666664</v>
      </c>
      <c r="C2973">
        <v>0</v>
      </c>
      <c r="D2973">
        <v>0</v>
      </c>
    </row>
    <row r="2974" spans="1:4" x14ac:dyDescent="0.3">
      <c r="A2974" t="s">
        <v>9</v>
      </c>
      <c r="B2974" s="1">
        <v>45322.833333333336</v>
      </c>
      <c r="C2974">
        <v>0</v>
      </c>
      <c r="D2974">
        <v>0</v>
      </c>
    </row>
    <row r="2975" spans="1:4" x14ac:dyDescent="0.3">
      <c r="A2975" t="s">
        <v>9</v>
      </c>
      <c r="B2975" s="1">
        <v>45322.875</v>
      </c>
      <c r="C2975">
        <v>0</v>
      </c>
      <c r="D2975">
        <v>0</v>
      </c>
    </row>
    <row r="2976" spans="1:4" x14ac:dyDescent="0.3">
      <c r="A2976" t="s">
        <v>9</v>
      </c>
      <c r="B2976" s="1">
        <v>45322.916666666664</v>
      </c>
      <c r="C2976">
        <v>0</v>
      </c>
      <c r="D2976">
        <v>0</v>
      </c>
    </row>
    <row r="2977" spans="1:4" x14ac:dyDescent="0.3">
      <c r="A2977" t="s">
        <v>9</v>
      </c>
      <c r="B2977" s="1">
        <v>45322.958333333336</v>
      </c>
      <c r="C2977">
        <v>0</v>
      </c>
      <c r="D2977">
        <v>0</v>
      </c>
    </row>
    <row r="2978" spans="1:4" x14ac:dyDescent="0.3">
      <c r="A2978" t="s">
        <v>10</v>
      </c>
      <c r="B2978" s="1">
        <v>45292</v>
      </c>
      <c r="C2978">
        <v>0</v>
      </c>
      <c r="D2978">
        <v>0</v>
      </c>
    </row>
    <row r="2979" spans="1:4" x14ac:dyDescent="0.3">
      <c r="A2979" t="s">
        <v>10</v>
      </c>
      <c r="B2979" s="1">
        <v>45292.041666666664</v>
      </c>
      <c r="C2979">
        <v>0</v>
      </c>
      <c r="D2979">
        <v>0</v>
      </c>
    </row>
    <row r="2980" spans="1:4" x14ac:dyDescent="0.3">
      <c r="A2980" t="s">
        <v>10</v>
      </c>
      <c r="B2980" s="1">
        <v>45292.083333333336</v>
      </c>
      <c r="C2980">
        <v>0</v>
      </c>
      <c r="D2980">
        <v>0</v>
      </c>
    </row>
    <row r="2981" spans="1:4" x14ac:dyDescent="0.3">
      <c r="A2981" t="s">
        <v>10</v>
      </c>
      <c r="B2981" s="1">
        <v>45292.125</v>
      </c>
      <c r="C2981">
        <v>0</v>
      </c>
      <c r="D2981">
        <v>0</v>
      </c>
    </row>
    <row r="2982" spans="1:4" x14ac:dyDescent="0.3">
      <c r="A2982" t="s">
        <v>10</v>
      </c>
      <c r="B2982" s="1">
        <v>45292.166666666664</v>
      </c>
      <c r="C2982">
        <v>0</v>
      </c>
      <c r="D2982">
        <v>0</v>
      </c>
    </row>
    <row r="2983" spans="1:4" x14ac:dyDescent="0.3">
      <c r="A2983" t="s">
        <v>10</v>
      </c>
      <c r="B2983" s="1">
        <v>45292.208333333336</v>
      </c>
      <c r="C2983">
        <v>0</v>
      </c>
      <c r="D2983">
        <v>0</v>
      </c>
    </row>
    <row r="2984" spans="1:4" x14ac:dyDescent="0.3">
      <c r="A2984" t="s">
        <v>10</v>
      </c>
      <c r="B2984" s="1">
        <v>45292.25</v>
      </c>
      <c r="C2984">
        <v>0</v>
      </c>
      <c r="D2984">
        <v>0</v>
      </c>
    </row>
    <row r="2985" spans="1:4" x14ac:dyDescent="0.3">
      <c r="A2985" t="s">
        <v>10</v>
      </c>
      <c r="B2985" s="1">
        <v>45292.291666666664</v>
      </c>
      <c r="C2985">
        <v>310.58285412302399</v>
      </c>
      <c r="D2985">
        <v>207.05523608201599</v>
      </c>
    </row>
    <row r="2986" spans="1:4" x14ac:dyDescent="0.3">
      <c r="A2986" t="s">
        <v>10</v>
      </c>
      <c r="B2986" s="1">
        <v>45292.333333333336</v>
      </c>
      <c r="C2986">
        <v>600</v>
      </c>
      <c r="D2986">
        <v>399.99999999999898</v>
      </c>
    </row>
    <row r="2987" spans="1:4" x14ac:dyDescent="0.3">
      <c r="A2987" t="s">
        <v>10</v>
      </c>
      <c r="B2987" s="1">
        <v>45292.375</v>
      </c>
      <c r="C2987">
        <v>848.52813742385695</v>
      </c>
      <c r="D2987">
        <v>565.68542494923804</v>
      </c>
    </row>
    <row r="2988" spans="1:4" x14ac:dyDescent="0.3">
      <c r="A2988" t="s">
        <v>10</v>
      </c>
      <c r="B2988" s="1">
        <v>45292.416666666664</v>
      </c>
      <c r="C2988">
        <v>1039.23048454132</v>
      </c>
      <c r="D2988">
        <v>692.82032302754999</v>
      </c>
    </row>
    <row r="2989" spans="1:4" x14ac:dyDescent="0.3">
      <c r="A2989" t="s">
        <v>10</v>
      </c>
      <c r="B2989" s="1">
        <v>45292.458333333336</v>
      </c>
      <c r="C2989">
        <v>1159.1109915468801</v>
      </c>
      <c r="D2989">
        <v>772.74066103125404</v>
      </c>
    </row>
    <row r="2990" spans="1:4" x14ac:dyDescent="0.3">
      <c r="A2990" t="s">
        <v>10</v>
      </c>
      <c r="B2990" s="1">
        <v>45292.5</v>
      </c>
      <c r="C2990">
        <v>1200</v>
      </c>
      <c r="D2990">
        <v>800</v>
      </c>
    </row>
    <row r="2991" spans="1:4" x14ac:dyDescent="0.3">
      <c r="A2991" t="s">
        <v>10</v>
      </c>
      <c r="B2991" s="1">
        <v>45292.541666666664</v>
      </c>
      <c r="C2991">
        <v>1159.1109915468801</v>
      </c>
      <c r="D2991">
        <v>772.74066103125404</v>
      </c>
    </row>
    <row r="2992" spans="1:4" x14ac:dyDescent="0.3">
      <c r="A2992" t="s">
        <v>10</v>
      </c>
      <c r="B2992" s="1">
        <v>45292.583333333336</v>
      </c>
      <c r="C2992">
        <v>1039.23048454132</v>
      </c>
      <c r="D2992">
        <v>692.82032302755101</v>
      </c>
    </row>
    <row r="2993" spans="1:4" x14ac:dyDescent="0.3">
      <c r="A2993" t="s">
        <v>10</v>
      </c>
      <c r="B2993" s="1">
        <v>45292.625</v>
      </c>
      <c r="C2993">
        <v>848.52813742385695</v>
      </c>
      <c r="D2993">
        <v>565.68542494923804</v>
      </c>
    </row>
    <row r="2994" spans="1:4" x14ac:dyDescent="0.3">
      <c r="A2994" t="s">
        <v>10</v>
      </c>
      <c r="B2994" s="1">
        <v>45292.666666666664</v>
      </c>
      <c r="C2994">
        <v>600</v>
      </c>
      <c r="D2994">
        <v>399.99999999999898</v>
      </c>
    </row>
    <row r="2995" spans="1:4" x14ac:dyDescent="0.3">
      <c r="A2995" t="s">
        <v>10</v>
      </c>
      <c r="B2995" s="1">
        <v>45292.708333333336</v>
      </c>
      <c r="C2995">
        <v>310.58285412302502</v>
      </c>
      <c r="D2995">
        <v>207.05523608201599</v>
      </c>
    </row>
    <row r="2996" spans="1:4" x14ac:dyDescent="0.3">
      <c r="A2996" t="s">
        <v>10</v>
      </c>
      <c r="B2996" s="1">
        <v>45292.75</v>
      </c>
      <c r="C2996" s="2">
        <v>1.46957615897682E-13</v>
      </c>
      <c r="D2996" s="2">
        <v>9.7971743931788194E-14</v>
      </c>
    </row>
    <row r="2997" spans="1:4" x14ac:dyDescent="0.3">
      <c r="A2997" t="s">
        <v>10</v>
      </c>
      <c r="B2997" s="1">
        <v>45292.791666666664</v>
      </c>
      <c r="C2997">
        <v>0</v>
      </c>
      <c r="D2997">
        <v>0</v>
      </c>
    </row>
    <row r="2998" spans="1:4" x14ac:dyDescent="0.3">
      <c r="A2998" t="s">
        <v>10</v>
      </c>
      <c r="B2998" s="1">
        <v>45292.833333333336</v>
      </c>
      <c r="C2998">
        <v>0</v>
      </c>
      <c r="D2998">
        <v>0</v>
      </c>
    </row>
    <row r="2999" spans="1:4" x14ac:dyDescent="0.3">
      <c r="A2999" t="s">
        <v>10</v>
      </c>
      <c r="B2999" s="1">
        <v>45292.875</v>
      </c>
      <c r="C2999">
        <v>0</v>
      </c>
      <c r="D2999">
        <v>0</v>
      </c>
    </row>
    <row r="3000" spans="1:4" x14ac:dyDescent="0.3">
      <c r="A3000" t="s">
        <v>10</v>
      </c>
      <c r="B3000" s="1">
        <v>45292.916666666664</v>
      </c>
      <c r="C3000">
        <v>0</v>
      </c>
      <c r="D3000">
        <v>0</v>
      </c>
    </row>
    <row r="3001" spans="1:4" x14ac:dyDescent="0.3">
      <c r="A3001" t="s">
        <v>10</v>
      </c>
      <c r="B3001" s="1">
        <v>45292.958333333336</v>
      </c>
      <c r="C3001">
        <v>0</v>
      </c>
      <c r="D3001">
        <v>0</v>
      </c>
    </row>
    <row r="3002" spans="1:4" x14ac:dyDescent="0.3">
      <c r="A3002" t="s">
        <v>10</v>
      </c>
      <c r="B3002" s="1">
        <v>45293</v>
      </c>
      <c r="C3002">
        <v>0</v>
      </c>
      <c r="D3002">
        <v>0</v>
      </c>
    </row>
    <row r="3003" spans="1:4" x14ac:dyDescent="0.3">
      <c r="A3003" t="s">
        <v>10</v>
      </c>
      <c r="B3003" s="1">
        <v>45293.041666666664</v>
      </c>
      <c r="C3003">
        <v>0</v>
      </c>
      <c r="D3003">
        <v>0</v>
      </c>
    </row>
    <row r="3004" spans="1:4" x14ac:dyDescent="0.3">
      <c r="A3004" t="s">
        <v>10</v>
      </c>
      <c r="B3004" s="1">
        <v>45293.083333333336</v>
      </c>
      <c r="C3004">
        <v>0</v>
      </c>
      <c r="D3004">
        <v>0</v>
      </c>
    </row>
    <row r="3005" spans="1:4" x14ac:dyDescent="0.3">
      <c r="A3005" t="s">
        <v>10</v>
      </c>
      <c r="B3005" s="1">
        <v>45293.125</v>
      </c>
      <c r="C3005">
        <v>0</v>
      </c>
      <c r="D3005">
        <v>0</v>
      </c>
    </row>
    <row r="3006" spans="1:4" x14ac:dyDescent="0.3">
      <c r="A3006" t="s">
        <v>10</v>
      </c>
      <c r="B3006" s="1">
        <v>45293.166666666664</v>
      </c>
      <c r="C3006">
        <v>0</v>
      </c>
      <c r="D3006">
        <v>0</v>
      </c>
    </row>
    <row r="3007" spans="1:4" x14ac:dyDescent="0.3">
      <c r="A3007" t="s">
        <v>10</v>
      </c>
      <c r="B3007" s="1">
        <v>45293.208333333336</v>
      </c>
      <c r="C3007">
        <v>0</v>
      </c>
      <c r="D3007">
        <v>0</v>
      </c>
    </row>
    <row r="3008" spans="1:4" x14ac:dyDescent="0.3">
      <c r="A3008" t="s">
        <v>10</v>
      </c>
      <c r="B3008" s="1">
        <v>45293.25</v>
      </c>
      <c r="C3008">
        <v>0</v>
      </c>
      <c r="D3008">
        <v>0</v>
      </c>
    </row>
    <row r="3009" spans="1:4" x14ac:dyDescent="0.3">
      <c r="A3009" t="s">
        <v>10</v>
      </c>
      <c r="B3009" s="1">
        <v>45293.291666666664</v>
      </c>
      <c r="C3009">
        <v>310.58285412302399</v>
      </c>
      <c r="D3009">
        <v>207.05523608201599</v>
      </c>
    </row>
    <row r="3010" spans="1:4" x14ac:dyDescent="0.3">
      <c r="A3010" t="s">
        <v>10</v>
      </c>
      <c r="B3010" s="1">
        <v>45293.333333333336</v>
      </c>
      <c r="C3010">
        <v>600</v>
      </c>
      <c r="D3010">
        <v>399.99999999999898</v>
      </c>
    </row>
    <row r="3011" spans="1:4" x14ac:dyDescent="0.3">
      <c r="A3011" t="s">
        <v>10</v>
      </c>
      <c r="B3011" s="1">
        <v>45293.375</v>
      </c>
      <c r="C3011">
        <v>848.52813742385695</v>
      </c>
      <c r="D3011">
        <v>565.68542494923804</v>
      </c>
    </row>
    <row r="3012" spans="1:4" x14ac:dyDescent="0.3">
      <c r="A3012" t="s">
        <v>10</v>
      </c>
      <c r="B3012" s="1">
        <v>45293.416666666664</v>
      </c>
      <c r="C3012">
        <v>1039.23048454132</v>
      </c>
      <c r="D3012">
        <v>692.82032302754999</v>
      </c>
    </row>
    <row r="3013" spans="1:4" x14ac:dyDescent="0.3">
      <c r="A3013" t="s">
        <v>10</v>
      </c>
      <c r="B3013" s="1">
        <v>45293.458333333336</v>
      </c>
      <c r="C3013">
        <v>1159.1109915468801</v>
      </c>
      <c r="D3013">
        <v>772.74066103125404</v>
      </c>
    </row>
    <row r="3014" spans="1:4" x14ac:dyDescent="0.3">
      <c r="A3014" t="s">
        <v>10</v>
      </c>
      <c r="B3014" s="1">
        <v>45293.5</v>
      </c>
      <c r="C3014">
        <v>1200</v>
      </c>
      <c r="D3014">
        <v>800</v>
      </c>
    </row>
    <row r="3015" spans="1:4" x14ac:dyDescent="0.3">
      <c r="A3015" t="s">
        <v>10</v>
      </c>
      <c r="B3015" s="1">
        <v>45293.541666666664</v>
      </c>
      <c r="C3015">
        <v>1159.1109915468801</v>
      </c>
      <c r="D3015">
        <v>772.74066103125404</v>
      </c>
    </row>
    <row r="3016" spans="1:4" x14ac:dyDescent="0.3">
      <c r="A3016" t="s">
        <v>10</v>
      </c>
      <c r="B3016" s="1">
        <v>45293.583333333336</v>
      </c>
      <c r="C3016">
        <v>1039.23048454132</v>
      </c>
      <c r="D3016">
        <v>692.82032302755101</v>
      </c>
    </row>
    <row r="3017" spans="1:4" x14ac:dyDescent="0.3">
      <c r="A3017" t="s">
        <v>10</v>
      </c>
      <c r="B3017" s="1">
        <v>45293.625</v>
      </c>
      <c r="C3017">
        <v>848.52813742385695</v>
      </c>
      <c r="D3017">
        <v>565.68542494923804</v>
      </c>
    </row>
    <row r="3018" spans="1:4" x14ac:dyDescent="0.3">
      <c r="A3018" t="s">
        <v>10</v>
      </c>
      <c r="B3018" s="1">
        <v>45293.666666666664</v>
      </c>
      <c r="C3018">
        <v>600</v>
      </c>
      <c r="D3018">
        <v>399.99999999999898</v>
      </c>
    </row>
    <row r="3019" spans="1:4" x14ac:dyDescent="0.3">
      <c r="A3019" t="s">
        <v>10</v>
      </c>
      <c r="B3019" s="1">
        <v>45293.708333333336</v>
      </c>
      <c r="C3019">
        <v>310.58285412302502</v>
      </c>
      <c r="D3019">
        <v>207.05523608201599</v>
      </c>
    </row>
    <row r="3020" spans="1:4" x14ac:dyDescent="0.3">
      <c r="A3020" t="s">
        <v>10</v>
      </c>
      <c r="B3020" s="1">
        <v>45293.75</v>
      </c>
      <c r="C3020" s="2">
        <v>1.46957615897682E-13</v>
      </c>
      <c r="D3020" s="2">
        <v>9.7971743931788194E-14</v>
      </c>
    </row>
    <row r="3021" spans="1:4" x14ac:dyDescent="0.3">
      <c r="A3021" t="s">
        <v>10</v>
      </c>
      <c r="B3021" s="1">
        <v>45293.791666666664</v>
      </c>
      <c r="C3021">
        <v>0</v>
      </c>
      <c r="D3021">
        <v>0</v>
      </c>
    </row>
    <row r="3022" spans="1:4" x14ac:dyDescent="0.3">
      <c r="A3022" t="s">
        <v>10</v>
      </c>
      <c r="B3022" s="1">
        <v>45293.833333333336</v>
      </c>
      <c r="C3022">
        <v>0</v>
      </c>
      <c r="D3022">
        <v>0</v>
      </c>
    </row>
    <row r="3023" spans="1:4" x14ac:dyDescent="0.3">
      <c r="A3023" t="s">
        <v>10</v>
      </c>
      <c r="B3023" s="1">
        <v>45293.875</v>
      </c>
      <c r="C3023">
        <v>0</v>
      </c>
      <c r="D3023">
        <v>0</v>
      </c>
    </row>
    <row r="3024" spans="1:4" x14ac:dyDescent="0.3">
      <c r="A3024" t="s">
        <v>10</v>
      </c>
      <c r="B3024" s="1">
        <v>45293.916666666664</v>
      </c>
      <c r="C3024">
        <v>0</v>
      </c>
      <c r="D3024">
        <v>0</v>
      </c>
    </row>
    <row r="3025" spans="1:4" x14ac:dyDescent="0.3">
      <c r="A3025" t="s">
        <v>10</v>
      </c>
      <c r="B3025" s="1">
        <v>45293.958333333336</v>
      </c>
      <c r="C3025">
        <v>0</v>
      </c>
      <c r="D3025">
        <v>0</v>
      </c>
    </row>
    <row r="3026" spans="1:4" x14ac:dyDescent="0.3">
      <c r="A3026" t="s">
        <v>10</v>
      </c>
      <c r="B3026" s="1">
        <v>45294</v>
      </c>
      <c r="C3026">
        <v>0</v>
      </c>
      <c r="D3026">
        <v>0</v>
      </c>
    </row>
    <row r="3027" spans="1:4" x14ac:dyDescent="0.3">
      <c r="A3027" t="s">
        <v>10</v>
      </c>
      <c r="B3027" s="1">
        <v>45294.041666666664</v>
      </c>
      <c r="C3027">
        <v>0</v>
      </c>
      <c r="D3027">
        <v>0</v>
      </c>
    </row>
    <row r="3028" spans="1:4" x14ac:dyDescent="0.3">
      <c r="A3028" t="s">
        <v>10</v>
      </c>
      <c r="B3028" s="1">
        <v>45294.083333333336</v>
      </c>
      <c r="C3028">
        <v>0</v>
      </c>
      <c r="D3028">
        <v>0</v>
      </c>
    </row>
    <row r="3029" spans="1:4" x14ac:dyDescent="0.3">
      <c r="A3029" t="s">
        <v>10</v>
      </c>
      <c r="B3029" s="1">
        <v>45294.125</v>
      </c>
      <c r="C3029">
        <v>0</v>
      </c>
      <c r="D3029">
        <v>0</v>
      </c>
    </row>
    <row r="3030" spans="1:4" x14ac:dyDescent="0.3">
      <c r="A3030" t="s">
        <v>10</v>
      </c>
      <c r="B3030" s="1">
        <v>45294.166666666664</v>
      </c>
      <c r="C3030">
        <v>0</v>
      </c>
      <c r="D3030">
        <v>0</v>
      </c>
    </row>
    <row r="3031" spans="1:4" x14ac:dyDescent="0.3">
      <c r="A3031" t="s">
        <v>10</v>
      </c>
      <c r="B3031" s="1">
        <v>45294.208333333336</v>
      </c>
      <c r="C3031">
        <v>0</v>
      </c>
      <c r="D3031">
        <v>0</v>
      </c>
    </row>
    <row r="3032" spans="1:4" x14ac:dyDescent="0.3">
      <c r="A3032" t="s">
        <v>10</v>
      </c>
      <c r="B3032" s="1">
        <v>45294.25</v>
      </c>
      <c r="C3032">
        <v>0</v>
      </c>
      <c r="D3032">
        <v>0</v>
      </c>
    </row>
    <row r="3033" spans="1:4" x14ac:dyDescent="0.3">
      <c r="A3033" t="s">
        <v>10</v>
      </c>
      <c r="B3033" s="1">
        <v>45294.291666666664</v>
      </c>
      <c r="C3033">
        <v>310.58285412302399</v>
      </c>
      <c r="D3033">
        <v>207.05523608201599</v>
      </c>
    </row>
    <row r="3034" spans="1:4" x14ac:dyDescent="0.3">
      <c r="A3034" t="s">
        <v>10</v>
      </c>
      <c r="B3034" s="1">
        <v>45294.333333333336</v>
      </c>
      <c r="C3034">
        <v>600</v>
      </c>
      <c r="D3034">
        <v>399.99999999999898</v>
      </c>
    </row>
    <row r="3035" spans="1:4" x14ac:dyDescent="0.3">
      <c r="A3035" t="s">
        <v>10</v>
      </c>
      <c r="B3035" s="1">
        <v>45294.375</v>
      </c>
      <c r="C3035">
        <v>848.52813742385695</v>
      </c>
      <c r="D3035">
        <v>565.68542494923804</v>
      </c>
    </row>
    <row r="3036" spans="1:4" x14ac:dyDescent="0.3">
      <c r="A3036" t="s">
        <v>10</v>
      </c>
      <c r="B3036" s="1">
        <v>45294.416666666664</v>
      </c>
      <c r="C3036">
        <v>1039.23048454132</v>
      </c>
      <c r="D3036">
        <v>692.82032302754999</v>
      </c>
    </row>
    <row r="3037" spans="1:4" x14ac:dyDescent="0.3">
      <c r="A3037" t="s">
        <v>10</v>
      </c>
      <c r="B3037" s="1">
        <v>45294.458333333336</v>
      </c>
      <c r="C3037">
        <v>1159.1109915468801</v>
      </c>
      <c r="D3037">
        <v>772.74066103125404</v>
      </c>
    </row>
    <row r="3038" spans="1:4" x14ac:dyDescent="0.3">
      <c r="A3038" t="s">
        <v>10</v>
      </c>
      <c r="B3038" s="1">
        <v>45294.5</v>
      </c>
      <c r="C3038">
        <v>1200</v>
      </c>
      <c r="D3038">
        <v>800</v>
      </c>
    </row>
    <row r="3039" spans="1:4" x14ac:dyDescent="0.3">
      <c r="A3039" t="s">
        <v>10</v>
      </c>
      <c r="B3039" s="1">
        <v>45294.541666666664</v>
      </c>
      <c r="C3039">
        <v>1159.1109915468801</v>
      </c>
      <c r="D3039">
        <v>772.74066103125404</v>
      </c>
    </row>
    <row r="3040" spans="1:4" x14ac:dyDescent="0.3">
      <c r="A3040" t="s">
        <v>10</v>
      </c>
      <c r="B3040" s="1">
        <v>45294.583333333336</v>
      </c>
      <c r="C3040">
        <v>1039.23048454132</v>
      </c>
      <c r="D3040">
        <v>692.82032302755101</v>
      </c>
    </row>
    <row r="3041" spans="1:4" x14ac:dyDescent="0.3">
      <c r="A3041" t="s">
        <v>10</v>
      </c>
      <c r="B3041" s="1">
        <v>45294.625</v>
      </c>
      <c r="C3041">
        <v>848.52813742385695</v>
      </c>
      <c r="D3041">
        <v>565.68542494923804</v>
      </c>
    </row>
    <row r="3042" spans="1:4" x14ac:dyDescent="0.3">
      <c r="A3042" t="s">
        <v>10</v>
      </c>
      <c r="B3042" s="1">
        <v>45294.666666666664</v>
      </c>
      <c r="C3042">
        <v>600</v>
      </c>
      <c r="D3042">
        <v>399.99999999999898</v>
      </c>
    </row>
    <row r="3043" spans="1:4" x14ac:dyDescent="0.3">
      <c r="A3043" t="s">
        <v>10</v>
      </c>
      <c r="B3043" s="1">
        <v>45294.708333333336</v>
      </c>
      <c r="C3043">
        <v>310.58285412302502</v>
      </c>
      <c r="D3043">
        <v>207.05523608201599</v>
      </c>
    </row>
    <row r="3044" spans="1:4" x14ac:dyDescent="0.3">
      <c r="A3044" t="s">
        <v>10</v>
      </c>
      <c r="B3044" s="1">
        <v>45294.75</v>
      </c>
      <c r="C3044" s="2">
        <v>1.46957615897682E-13</v>
      </c>
      <c r="D3044" s="2">
        <v>9.7971743931788194E-14</v>
      </c>
    </row>
    <row r="3045" spans="1:4" x14ac:dyDescent="0.3">
      <c r="A3045" t="s">
        <v>10</v>
      </c>
      <c r="B3045" s="1">
        <v>45294.791666666664</v>
      </c>
      <c r="C3045">
        <v>0</v>
      </c>
      <c r="D3045">
        <v>0</v>
      </c>
    </row>
    <row r="3046" spans="1:4" x14ac:dyDescent="0.3">
      <c r="A3046" t="s">
        <v>10</v>
      </c>
      <c r="B3046" s="1">
        <v>45294.833333333336</v>
      </c>
      <c r="C3046">
        <v>0</v>
      </c>
      <c r="D3046">
        <v>0</v>
      </c>
    </row>
    <row r="3047" spans="1:4" x14ac:dyDescent="0.3">
      <c r="A3047" t="s">
        <v>10</v>
      </c>
      <c r="B3047" s="1">
        <v>45294.875</v>
      </c>
      <c r="C3047">
        <v>0</v>
      </c>
      <c r="D3047">
        <v>0</v>
      </c>
    </row>
    <row r="3048" spans="1:4" x14ac:dyDescent="0.3">
      <c r="A3048" t="s">
        <v>10</v>
      </c>
      <c r="B3048" s="1">
        <v>45294.916666666664</v>
      </c>
      <c r="C3048">
        <v>0</v>
      </c>
      <c r="D3048">
        <v>0</v>
      </c>
    </row>
    <row r="3049" spans="1:4" x14ac:dyDescent="0.3">
      <c r="A3049" t="s">
        <v>10</v>
      </c>
      <c r="B3049" s="1">
        <v>45294.958333333336</v>
      </c>
      <c r="C3049">
        <v>0</v>
      </c>
      <c r="D3049">
        <v>0</v>
      </c>
    </row>
    <row r="3050" spans="1:4" x14ac:dyDescent="0.3">
      <c r="A3050" t="s">
        <v>10</v>
      </c>
      <c r="B3050" s="1">
        <v>45295</v>
      </c>
      <c r="C3050">
        <v>0</v>
      </c>
      <c r="D3050">
        <v>0</v>
      </c>
    </row>
    <row r="3051" spans="1:4" x14ac:dyDescent="0.3">
      <c r="A3051" t="s">
        <v>10</v>
      </c>
      <c r="B3051" s="1">
        <v>45295.041666666664</v>
      </c>
      <c r="C3051">
        <v>0</v>
      </c>
      <c r="D3051">
        <v>0</v>
      </c>
    </row>
    <row r="3052" spans="1:4" x14ac:dyDescent="0.3">
      <c r="A3052" t="s">
        <v>10</v>
      </c>
      <c r="B3052" s="1">
        <v>45295.083333333336</v>
      </c>
      <c r="C3052">
        <v>0</v>
      </c>
      <c r="D3052">
        <v>0</v>
      </c>
    </row>
    <row r="3053" spans="1:4" x14ac:dyDescent="0.3">
      <c r="A3053" t="s">
        <v>10</v>
      </c>
      <c r="B3053" s="1">
        <v>45295.125</v>
      </c>
      <c r="C3053">
        <v>0</v>
      </c>
      <c r="D3053">
        <v>0</v>
      </c>
    </row>
    <row r="3054" spans="1:4" x14ac:dyDescent="0.3">
      <c r="A3054" t="s">
        <v>10</v>
      </c>
      <c r="B3054" s="1">
        <v>45295.166666666664</v>
      </c>
      <c r="C3054">
        <v>0</v>
      </c>
      <c r="D3054">
        <v>0</v>
      </c>
    </row>
    <row r="3055" spans="1:4" x14ac:dyDescent="0.3">
      <c r="A3055" t="s">
        <v>10</v>
      </c>
      <c r="B3055" s="1">
        <v>45295.208333333336</v>
      </c>
      <c r="C3055">
        <v>0</v>
      </c>
      <c r="D3055">
        <v>0</v>
      </c>
    </row>
    <row r="3056" spans="1:4" x14ac:dyDescent="0.3">
      <c r="A3056" t="s">
        <v>10</v>
      </c>
      <c r="B3056" s="1">
        <v>45295.25</v>
      </c>
      <c r="C3056">
        <v>0</v>
      </c>
      <c r="D3056">
        <v>0</v>
      </c>
    </row>
    <row r="3057" spans="1:4" x14ac:dyDescent="0.3">
      <c r="A3057" t="s">
        <v>10</v>
      </c>
      <c r="B3057" s="1">
        <v>45295.291666666664</v>
      </c>
      <c r="C3057">
        <v>310.58285412302399</v>
      </c>
      <c r="D3057">
        <v>207.05523608201599</v>
      </c>
    </row>
    <row r="3058" spans="1:4" x14ac:dyDescent="0.3">
      <c r="A3058" t="s">
        <v>10</v>
      </c>
      <c r="B3058" s="1">
        <v>45295.333333333336</v>
      </c>
      <c r="C3058">
        <v>600</v>
      </c>
      <c r="D3058">
        <v>399.99999999999898</v>
      </c>
    </row>
    <row r="3059" spans="1:4" x14ac:dyDescent="0.3">
      <c r="A3059" t="s">
        <v>10</v>
      </c>
      <c r="B3059" s="1">
        <v>45295.375</v>
      </c>
      <c r="C3059">
        <v>848.52813742385695</v>
      </c>
      <c r="D3059">
        <v>565.68542494923804</v>
      </c>
    </row>
    <row r="3060" spans="1:4" x14ac:dyDescent="0.3">
      <c r="A3060" t="s">
        <v>10</v>
      </c>
      <c r="B3060" s="1">
        <v>45295.416666666664</v>
      </c>
      <c r="C3060">
        <v>1039.23048454132</v>
      </c>
      <c r="D3060">
        <v>692.82032302754999</v>
      </c>
    </row>
    <row r="3061" spans="1:4" x14ac:dyDescent="0.3">
      <c r="A3061" t="s">
        <v>10</v>
      </c>
      <c r="B3061" s="1">
        <v>45295.458333333336</v>
      </c>
      <c r="C3061">
        <v>1159.1109915468801</v>
      </c>
      <c r="D3061">
        <v>772.74066103125404</v>
      </c>
    </row>
    <row r="3062" spans="1:4" x14ac:dyDescent="0.3">
      <c r="A3062" t="s">
        <v>10</v>
      </c>
      <c r="B3062" s="1">
        <v>45295.5</v>
      </c>
      <c r="C3062">
        <v>1200</v>
      </c>
      <c r="D3062">
        <v>800</v>
      </c>
    </row>
    <row r="3063" spans="1:4" x14ac:dyDescent="0.3">
      <c r="A3063" t="s">
        <v>10</v>
      </c>
      <c r="B3063" s="1">
        <v>45295.541666666664</v>
      </c>
      <c r="C3063">
        <v>1159.1109915468801</v>
      </c>
      <c r="D3063">
        <v>772.74066103125404</v>
      </c>
    </row>
    <row r="3064" spans="1:4" x14ac:dyDescent="0.3">
      <c r="A3064" t="s">
        <v>10</v>
      </c>
      <c r="B3064" s="1">
        <v>45295.583333333336</v>
      </c>
      <c r="C3064">
        <v>1039.23048454132</v>
      </c>
      <c r="D3064">
        <v>692.82032302755101</v>
      </c>
    </row>
    <row r="3065" spans="1:4" x14ac:dyDescent="0.3">
      <c r="A3065" t="s">
        <v>10</v>
      </c>
      <c r="B3065" s="1">
        <v>45295.625</v>
      </c>
      <c r="C3065">
        <v>848.52813742385695</v>
      </c>
      <c r="D3065">
        <v>565.68542494923804</v>
      </c>
    </row>
    <row r="3066" spans="1:4" x14ac:dyDescent="0.3">
      <c r="A3066" t="s">
        <v>10</v>
      </c>
      <c r="B3066" s="1">
        <v>45295.666666666664</v>
      </c>
      <c r="C3066">
        <v>600</v>
      </c>
      <c r="D3066">
        <v>399.99999999999898</v>
      </c>
    </row>
    <row r="3067" spans="1:4" x14ac:dyDescent="0.3">
      <c r="A3067" t="s">
        <v>10</v>
      </c>
      <c r="B3067" s="1">
        <v>45295.708333333336</v>
      </c>
      <c r="C3067">
        <v>310.58285412302502</v>
      </c>
      <c r="D3067">
        <v>207.05523608201599</v>
      </c>
    </row>
    <row r="3068" spans="1:4" x14ac:dyDescent="0.3">
      <c r="A3068" t="s">
        <v>10</v>
      </c>
      <c r="B3068" s="1">
        <v>45295.75</v>
      </c>
      <c r="C3068" s="2">
        <v>1.46957615897682E-13</v>
      </c>
      <c r="D3068" s="2">
        <v>9.7971743931788194E-14</v>
      </c>
    </row>
    <row r="3069" spans="1:4" x14ac:dyDescent="0.3">
      <c r="A3069" t="s">
        <v>10</v>
      </c>
      <c r="B3069" s="1">
        <v>45295.791666666664</v>
      </c>
      <c r="C3069">
        <v>0</v>
      </c>
      <c r="D3069">
        <v>0</v>
      </c>
    </row>
    <row r="3070" spans="1:4" x14ac:dyDescent="0.3">
      <c r="A3070" t="s">
        <v>10</v>
      </c>
      <c r="B3070" s="1">
        <v>45295.833333333336</v>
      </c>
      <c r="C3070">
        <v>0</v>
      </c>
      <c r="D3070">
        <v>0</v>
      </c>
    </row>
    <row r="3071" spans="1:4" x14ac:dyDescent="0.3">
      <c r="A3071" t="s">
        <v>10</v>
      </c>
      <c r="B3071" s="1">
        <v>45295.875</v>
      </c>
      <c r="C3071">
        <v>0</v>
      </c>
      <c r="D3071">
        <v>0</v>
      </c>
    </row>
    <row r="3072" spans="1:4" x14ac:dyDescent="0.3">
      <c r="A3072" t="s">
        <v>10</v>
      </c>
      <c r="B3072" s="1">
        <v>45295.916666666664</v>
      </c>
      <c r="C3072">
        <v>0</v>
      </c>
      <c r="D3072">
        <v>0</v>
      </c>
    </row>
    <row r="3073" spans="1:4" x14ac:dyDescent="0.3">
      <c r="A3073" t="s">
        <v>10</v>
      </c>
      <c r="B3073" s="1">
        <v>45295.958333333336</v>
      </c>
      <c r="C3073">
        <v>0</v>
      </c>
      <c r="D3073">
        <v>0</v>
      </c>
    </row>
    <row r="3074" spans="1:4" x14ac:dyDescent="0.3">
      <c r="A3074" t="s">
        <v>10</v>
      </c>
      <c r="B3074" s="1">
        <v>45296</v>
      </c>
      <c r="C3074">
        <v>0</v>
      </c>
      <c r="D3074">
        <v>0</v>
      </c>
    </row>
    <row r="3075" spans="1:4" x14ac:dyDescent="0.3">
      <c r="A3075" t="s">
        <v>10</v>
      </c>
      <c r="B3075" s="1">
        <v>45296.041666666664</v>
      </c>
      <c r="C3075">
        <v>0</v>
      </c>
      <c r="D3075">
        <v>0</v>
      </c>
    </row>
    <row r="3076" spans="1:4" x14ac:dyDescent="0.3">
      <c r="A3076" t="s">
        <v>10</v>
      </c>
      <c r="B3076" s="1">
        <v>45296.083333333336</v>
      </c>
      <c r="C3076">
        <v>0</v>
      </c>
      <c r="D3076">
        <v>0</v>
      </c>
    </row>
    <row r="3077" spans="1:4" x14ac:dyDescent="0.3">
      <c r="A3077" t="s">
        <v>10</v>
      </c>
      <c r="B3077" s="1">
        <v>45296.125</v>
      </c>
      <c r="C3077">
        <v>0</v>
      </c>
      <c r="D3077">
        <v>0</v>
      </c>
    </row>
    <row r="3078" spans="1:4" x14ac:dyDescent="0.3">
      <c r="A3078" t="s">
        <v>10</v>
      </c>
      <c r="B3078" s="1">
        <v>45296.166666666664</v>
      </c>
      <c r="C3078">
        <v>0</v>
      </c>
      <c r="D3078">
        <v>0</v>
      </c>
    </row>
    <row r="3079" spans="1:4" x14ac:dyDescent="0.3">
      <c r="A3079" t="s">
        <v>10</v>
      </c>
      <c r="B3079" s="1">
        <v>45296.208333333336</v>
      </c>
      <c r="C3079">
        <v>0</v>
      </c>
      <c r="D3079">
        <v>0</v>
      </c>
    </row>
    <row r="3080" spans="1:4" x14ac:dyDescent="0.3">
      <c r="A3080" t="s">
        <v>10</v>
      </c>
      <c r="B3080" s="1">
        <v>45296.25</v>
      </c>
      <c r="C3080">
        <v>0</v>
      </c>
      <c r="D3080">
        <v>0</v>
      </c>
    </row>
    <row r="3081" spans="1:4" x14ac:dyDescent="0.3">
      <c r="A3081" t="s">
        <v>10</v>
      </c>
      <c r="B3081" s="1">
        <v>45296.291666666664</v>
      </c>
      <c r="C3081">
        <v>310.58285412302399</v>
      </c>
      <c r="D3081">
        <v>207.05523608201599</v>
      </c>
    </row>
    <row r="3082" spans="1:4" x14ac:dyDescent="0.3">
      <c r="A3082" t="s">
        <v>10</v>
      </c>
      <c r="B3082" s="1">
        <v>45296.333333333336</v>
      </c>
      <c r="C3082">
        <v>600</v>
      </c>
      <c r="D3082">
        <v>399.99999999999898</v>
      </c>
    </row>
    <row r="3083" spans="1:4" x14ac:dyDescent="0.3">
      <c r="A3083" t="s">
        <v>10</v>
      </c>
      <c r="B3083" s="1">
        <v>45296.375</v>
      </c>
      <c r="C3083">
        <v>848.52813742385695</v>
      </c>
      <c r="D3083">
        <v>565.68542494923804</v>
      </c>
    </row>
    <row r="3084" spans="1:4" x14ac:dyDescent="0.3">
      <c r="A3084" t="s">
        <v>10</v>
      </c>
      <c r="B3084" s="1">
        <v>45296.416666666664</v>
      </c>
      <c r="C3084">
        <v>1039.23048454132</v>
      </c>
      <c r="D3084">
        <v>692.82032302754999</v>
      </c>
    </row>
    <row r="3085" spans="1:4" x14ac:dyDescent="0.3">
      <c r="A3085" t="s">
        <v>10</v>
      </c>
      <c r="B3085" s="1">
        <v>45296.458333333336</v>
      </c>
      <c r="C3085">
        <v>1159.1109915468801</v>
      </c>
      <c r="D3085">
        <v>772.74066103125404</v>
      </c>
    </row>
    <row r="3086" spans="1:4" x14ac:dyDescent="0.3">
      <c r="A3086" t="s">
        <v>10</v>
      </c>
      <c r="B3086" s="1">
        <v>45296.5</v>
      </c>
      <c r="C3086">
        <v>1200</v>
      </c>
      <c r="D3086">
        <v>800</v>
      </c>
    </row>
    <row r="3087" spans="1:4" x14ac:dyDescent="0.3">
      <c r="A3087" t="s">
        <v>10</v>
      </c>
      <c r="B3087" s="1">
        <v>45296.541666666664</v>
      </c>
      <c r="C3087">
        <v>1159.1109915468801</v>
      </c>
      <c r="D3087">
        <v>772.74066103125404</v>
      </c>
    </row>
    <row r="3088" spans="1:4" x14ac:dyDescent="0.3">
      <c r="A3088" t="s">
        <v>10</v>
      </c>
      <c r="B3088" s="1">
        <v>45296.583333333336</v>
      </c>
      <c r="C3088">
        <v>1039.23048454132</v>
      </c>
      <c r="D3088">
        <v>692.82032302755101</v>
      </c>
    </row>
    <row r="3089" spans="1:4" x14ac:dyDescent="0.3">
      <c r="A3089" t="s">
        <v>10</v>
      </c>
      <c r="B3089" s="1">
        <v>45296.625</v>
      </c>
      <c r="C3089">
        <v>848.52813742385695</v>
      </c>
      <c r="D3089">
        <v>565.68542494923804</v>
      </c>
    </row>
    <row r="3090" spans="1:4" x14ac:dyDescent="0.3">
      <c r="A3090" t="s">
        <v>10</v>
      </c>
      <c r="B3090" s="1">
        <v>45296.666666666664</v>
      </c>
      <c r="C3090">
        <v>600</v>
      </c>
      <c r="D3090">
        <v>399.99999999999898</v>
      </c>
    </row>
    <row r="3091" spans="1:4" x14ac:dyDescent="0.3">
      <c r="A3091" t="s">
        <v>10</v>
      </c>
      <c r="B3091" s="1">
        <v>45296.708333333336</v>
      </c>
      <c r="C3091">
        <v>310.58285412302502</v>
      </c>
      <c r="D3091">
        <v>207.05523608201599</v>
      </c>
    </row>
    <row r="3092" spans="1:4" x14ac:dyDescent="0.3">
      <c r="A3092" t="s">
        <v>10</v>
      </c>
      <c r="B3092" s="1">
        <v>45296.75</v>
      </c>
      <c r="C3092" s="2">
        <v>1.46957615897682E-13</v>
      </c>
      <c r="D3092" s="2">
        <v>9.7971743931788194E-14</v>
      </c>
    </row>
    <row r="3093" spans="1:4" x14ac:dyDescent="0.3">
      <c r="A3093" t="s">
        <v>10</v>
      </c>
      <c r="B3093" s="1">
        <v>45296.791666666664</v>
      </c>
      <c r="C3093">
        <v>0</v>
      </c>
      <c r="D3093">
        <v>0</v>
      </c>
    </row>
    <row r="3094" spans="1:4" x14ac:dyDescent="0.3">
      <c r="A3094" t="s">
        <v>10</v>
      </c>
      <c r="B3094" s="1">
        <v>45296.833333333336</v>
      </c>
      <c r="C3094">
        <v>0</v>
      </c>
      <c r="D3094">
        <v>0</v>
      </c>
    </row>
    <row r="3095" spans="1:4" x14ac:dyDescent="0.3">
      <c r="A3095" t="s">
        <v>10</v>
      </c>
      <c r="B3095" s="1">
        <v>45296.875</v>
      </c>
      <c r="C3095">
        <v>0</v>
      </c>
      <c r="D3095">
        <v>0</v>
      </c>
    </row>
    <row r="3096" spans="1:4" x14ac:dyDescent="0.3">
      <c r="A3096" t="s">
        <v>10</v>
      </c>
      <c r="B3096" s="1">
        <v>45296.916666666664</v>
      </c>
      <c r="C3096">
        <v>0</v>
      </c>
      <c r="D3096">
        <v>0</v>
      </c>
    </row>
    <row r="3097" spans="1:4" x14ac:dyDescent="0.3">
      <c r="A3097" t="s">
        <v>10</v>
      </c>
      <c r="B3097" s="1">
        <v>45296.958333333336</v>
      </c>
      <c r="C3097">
        <v>0</v>
      </c>
      <c r="D3097">
        <v>0</v>
      </c>
    </row>
    <row r="3098" spans="1:4" x14ac:dyDescent="0.3">
      <c r="A3098" t="s">
        <v>10</v>
      </c>
      <c r="B3098" s="1">
        <v>45297</v>
      </c>
      <c r="C3098">
        <v>0</v>
      </c>
      <c r="D3098">
        <v>0</v>
      </c>
    </row>
    <row r="3099" spans="1:4" x14ac:dyDescent="0.3">
      <c r="A3099" t="s">
        <v>10</v>
      </c>
      <c r="B3099" s="1">
        <v>45297.041666666664</v>
      </c>
      <c r="C3099">
        <v>0</v>
      </c>
      <c r="D3099">
        <v>0</v>
      </c>
    </row>
    <row r="3100" spans="1:4" x14ac:dyDescent="0.3">
      <c r="A3100" t="s">
        <v>10</v>
      </c>
      <c r="B3100" s="1">
        <v>45297.083333333336</v>
      </c>
      <c r="C3100">
        <v>0</v>
      </c>
      <c r="D3100">
        <v>0</v>
      </c>
    </row>
    <row r="3101" spans="1:4" x14ac:dyDescent="0.3">
      <c r="A3101" t="s">
        <v>10</v>
      </c>
      <c r="B3101" s="1">
        <v>45297.125</v>
      </c>
      <c r="C3101">
        <v>0</v>
      </c>
      <c r="D3101">
        <v>0</v>
      </c>
    </row>
    <row r="3102" spans="1:4" x14ac:dyDescent="0.3">
      <c r="A3102" t="s">
        <v>10</v>
      </c>
      <c r="B3102" s="1">
        <v>45297.166666666664</v>
      </c>
      <c r="C3102">
        <v>0</v>
      </c>
      <c r="D3102">
        <v>0</v>
      </c>
    </row>
    <row r="3103" spans="1:4" x14ac:dyDescent="0.3">
      <c r="A3103" t="s">
        <v>10</v>
      </c>
      <c r="B3103" s="1">
        <v>45297.208333333336</v>
      </c>
      <c r="C3103">
        <v>0</v>
      </c>
      <c r="D3103">
        <v>0</v>
      </c>
    </row>
    <row r="3104" spans="1:4" x14ac:dyDescent="0.3">
      <c r="A3104" t="s">
        <v>10</v>
      </c>
      <c r="B3104" s="1">
        <v>45297.25</v>
      </c>
      <c r="C3104">
        <v>0</v>
      </c>
      <c r="D3104">
        <v>0</v>
      </c>
    </row>
    <row r="3105" spans="1:4" x14ac:dyDescent="0.3">
      <c r="A3105" t="s">
        <v>10</v>
      </c>
      <c r="B3105" s="1">
        <v>45297.291666666664</v>
      </c>
      <c r="C3105">
        <v>310.58285412302399</v>
      </c>
      <c r="D3105">
        <v>207.05523608201599</v>
      </c>
    </row>
    <row r="3106" spans="1:4" x14ac:dyDescent="0.3">
      <c r="A3106" t="s">
        <v>10</v>
      </c>
      <c r="B3106" s="1">
        <v>45297.333333333336</v>
      </c>
      <c r="C3106">
        <v>600</v>
      </c>
      <c r="D3106">
        <v>399.99999999999898</v>
      </c>
    </row>
    <row r="3107" spans="1:4" x14ac:dyDescent="0.3">
      <c r="A3107" t="s">
        <v>10</v>
      </c>
      <c r="B3107" s="1">
        <v>45297.375</v>
      </c>
      <c r="C3107">
        <v>848.52813742385695</v>
      </c>
      <c r="D3107">
        <v>565.68542494923804</v>
      </c>
    </row>
    <row r="3108" spans="1:4" x14ac:dyDescent="0.3">
      <c r="A3108" t="s">
        <v>10</v>
      </c>
      <c r="B3108" s="1">
        <v>45297.416666666664</v>
      </c>
      <c r="C3108">
        <v>1039.23048454132</v>
      </c>
      <c r="D3108">
        <v>692.82032302754999</v>
      </c>
    </row>
    <row r="3109" spans="1:4" x14ac:dyDescent="0.3">
      <c r="A3109" t="s">
        <v>10</v>
      </c>
      <c r="B3109" s="1">
        <v>45297.458333333336</v>
      </c>
      <c r="C3109">
        <v>1159.1109915468801</v>
      </c>
      <c r="D3109">
        <v>772.74066103125404</v>
      </c>
    </row>
    <row r="3110" spans="1:4" x14ac:dyDescent="0.3">
      <c r="A3110" t="s">
        <v>10</v>
      </c>
      <c r="B3110" s="1">
        <v>45297.5</v>
      </c>
      <c r="C3110">
        <v>1200</v>
      </c>
      <c r="D3110">
        <v>800</v>
      </c>
    </row>
    <row r="3111" spans="1:4" x14ac:dyDescent="0.3">
      <c r="A3111" t="s">
        <v>10</v>
      </c>
      <c r="B3111" s="1">
        <v>45297.541666666664</v>
      </c>
      <c r="C3111">
        <v>1159.1109915468801</v>
      </c>
      <c r="D3111">
        <v>772.74066103125404</v>
      </c>
    </row>
    <row r="3112" spans="1:4" x14ac:dyDescent="0.3">
      <c r="A3112" t="s">
        <v>10</v>
      </c>
      <c r="B3112" s="1">
        <v>45297.583333333336</v>
      </c>
      <c r="C3112">
        <v>1039.23048454132</v>
      </c>
      <c r="D3112">
        <v>692.82032302755101</v>
      </c>
    </row>
    <row r="3113" spans="1:4" x14ac:dyDescent="0.3">
      <c r="A3113" t="s">
        <v>10</v>
      </c>
      <c r="B3113" s="1">
        <v>45297.625</v>
      </c>
      <c r="C3113">
        <v>848.52813742385695</v>
      </c>
      <c r="D3113">
        <v>565.68542494923804</v>
      </c>
    </row>
    <row r="3114" spans="1:4" x14ac:dyDescent="0.3">
      <c r="A3114" t="s">
        <v>10</v>
      </c>
      <c r="B3114" s="1">
        <v>45297.666666666664</v>
      </c>
      <c r="C3114">
        <v>600</v>
      </c>
      <c r="D3114">
        <v>399.99999999999898</v>
      </c>
    </row>
    <row r="3115" spans="1:4" x14ac:dyDescent="0.3">
      <c r="A3115" t="s">
        <v>10</v>
      </c>
      <c r="B3115" s="1">
        <v>45297.708333333336</v>
      </c>
      <c r="C3115">
        <v>310.58285412302502</v>
      </c>
      <c r="D3115">
        <v>207.05523608201599</v>
      </c>
    </row>
    <row r="3116" spans="1:4" x14ac:dyDescent="0.3">
      <c r="A3116" t="s">
        <v>10</v>
      </c>
      <c r="B3116" s="1">
        <v>45297.75</v>
      </c>
      <c r="C3116" s="2">
        <v>1.46957615897682E-13</v>
      </c>
      <c r="D3116" s="2">
        <v>9.7971743931788194E-14</v>
      </c>
    </row>
    <row r="3117" spans="1:4" x14ac:dyDescent="0.3">
      <c r="A3117" t="s">
        <v>10</v>
      </c>
      <c r="B3117" s="1">
        <v>45297.791666666664</v>
      </c>
      <c r="C3117">
        <v>0</v>
      </c>
      <c r="D3117">
        <v>0</v>
      </c>
    </row>
    <row r="3118" spans="1:4" x14ac:dyDescent="0.3">
      <c r="A3118" t="s">
        <v>10</v>
      </c>
      <c r="B3118" s="1">
        <v>45297.833333333336</v>
      </c>
      <c r="C3118">
        <v>0</v>
      </c>
      <c r="D3118">
        <v>0</v>
      </c>
    </row>
    <row r="3119" spans="1:4" x14ac:dyDescent="0.3">
      <c r="A3119" t="s">
        <v>10</v>
      </c>
      <c r="B3119" s="1">
        <v>45297.875</v>
      </c>
      <c r="C3119">
        <v>0</v>
      </c>
      <c r="D3119">
        <v>0</v>
      </c>
    </row>
    <row r="3120" spans="1:4" x14ac:dyDescent="0.3">
      <c r="A3120" t="s">
        <v>10</v>
      </c>
      <c r="B3120" s="1">
        <v>45297.916666666664</v>
      </c>
      <c r="C3120">
        <v>0</v>
      </c>
      <c r="D3120">
        <v>0</v>
      </c>
    </row>
    <row r="3121" spans="1:4" x14ac:dyDescent="0.3">
      <c r="A3121" t="s">
        <v>10</v>
      </c>
      <c r="B3121" s="1">
        <v>45297.958333333336</v>
      </c>
      <c r="C3121">
        <v>0</v>
      </c>
      <c r="D3121">
        <v>0</v>
      </c>
    </row>
    <row r="3122" spans="1:4" x14ac:dyDescent="0.3">
      <c r="A3122" t="s">
        <v>10</v>
      </c>
      <c r="B3122" s="1">
        <v>45298</v>
      </c>
      <c r="C3122">
        <v>0</v>
      </c>
      <c r="D3122">
        <v>0</v>
      </c>
    </row>
    <row r="3123" spans="1:4" x14ac:dyDescent="0.3">
      <c r="A3123" t="s">
        <v>10</v>
      </c>
      <c r="B3123" s="1">
        <v>45298.041666666664</v>
      </c>
      <c r="C3123">
        <v>0</v>
      </c>
      <c r="D3123">
        <v>0</v>
      </c>
    </row>
    <row r="3124" spans="1:4" x14ac:dyDescent="0.3">
      <c r="A3124" t="s">
        <v>10</v>
      </c>
      <c r="B3124" s="1">
        <v>45298.083333333336</v>
      </c>
      <c r="C3124">
        <v>0</v>
      </c>
      <c r="D3124">
        <v>0</v>
      </c>
    </row>
    <row r="3125" spans="1:4" x14ac:dyDescent="0.3">
      <c r="A3125" t="s">
        <v>10</v>
      </c>
      <c r="B3125" s="1">
        <v>45298.125</v>
      </c>
      <c r="C3125">
        <v>0</v>
      </c>
      <c r="D3125">
        <v>0</v>
      </c>
    </row>
    <row r="3126" spans="1:4" x14ac:dyDescent="0.3">
      <c r="A3126" t="s">
        <v>10</v>
      </c>
      <c r="B3126" s="1">
        <v>45298.166666666664</v>
      </c>
      <c r="C3126">
        <v>0</v>
      </c>
      <c r="D3126">
        <v>0</v>
      </c>
    </row>
    <row r="3127" spans="1:4" x14ac:dyDescent="0.3">
      <c r="A3127" t="s">
        <v>10</v>
      </c>
      <c r="B3127" s="1">
        <v>45298.208333333336</v>
      </c>
      <c r="C3127">
        <v>0</v>
      </c>
      <c r="D3127">
        <v>0</v>
      </c>
    </row>
    <row r="3128" spans="1:4" x14ac:dyDescent="0.3">
      <c r="A3128" t="s">
        <v>10</v>
      </c>
      <c r="B3128" s="1">
        <v>45298.25</v>
      </c>
      <c r="C3128">
        <v>0</v>
      </c>
      <c r="D3128">
        <v>0</v>
      </c>
    </row>
    <row r="3129" spans="1:4" x14ac:dyDescent="0.3">
      <c r="A3129" t="s">
        <v>10</v>
      </c>
      <c r="B3129" s="1">
        <v>45298.291666666664</v>
      </c>
      <c r="C3129">
        <v>310.58285412302399</v>
      </c>
      <c r="D3129">
        <v>207.05523608201599</v>
      </c>
    </row>
    <row r="3130" spans="1:4" x14ac:dyDescent="0.3">
      <c r="A3130" t="s">
        <v>10</v>
      </c>
      <c r="B3130" s="1">
        <v>45298.333333333336</v>
      </c>
      <c r="C3130">
        <v>600</v>
      </c>
      <c r="D3130">
        <v>399.99999999999898</v>
      </c>
    </row>
    <row r="3131" spans="1:4" x14ac:dyDescent="0.3">
      <c r="A3131" t="s">
        <v>10</v>
      </c>
      <c r="B3131" s="1">
        <v>45298.375</v>
      </c>
      <c r="C3131">
        <v>848.52813742385695</v>
      </c>
      <c r="D3131">
        <v>565.68542494923804</v>
      </c>
    </row>
    <row r="3132" spans="1:4" x14ac:dyDescent="0.3">
      <c r="A3132" t="s">
        <v>10</v>
      </c>
      <c r="B3132" s="1">
        <v>45298.416666666664</v>
      </c>
      <c r="C3132">
        <v>1039.23048454132</v>
      </c>
      <c r="D3132">
        <v>692.82032302754999</v>
      </c>
    </row>
    <row r="3133" spans="1:4" x14ac:dyDescent="0.3">
      <c r="A3133" t="s">
        <v>10</v>
      </c>
      <c r="B3133" s="1">
        <v>45298.458333333336</v>
      </c>
      <c r="C3133">
        <v>1159.1109915468801</v>
      </c>
      <c r="D3133">
        <v>772.74066103125404</v>
      </c>
    </row>
    <row r="3134" spans="1:4" x14ac:dyDescent="0.3">
      <c r="A3134" t="s">
        <v>10</v>
      </c>
      <c r="B3134" s="1">
        <v>45298.5</v>
      </c>
      <c r="C3134">
        <v>1200</v>
      </c>
      <c r="D3134">
        <v>800</v>
      </c>
    </row>
    <row r="3135" spans="1:4" x14ac:dyDescent="0.3">
      <c r="A3135" t="s">
        <v>10</v>
      </c>
      <c r="B3135" s="1">
        <v>45298.541666666664</v>
      </c>
      <c r="C3135">
        <v>1159.1109915468801</v>
      </c>
      <c r="D3135">
        <v>772.74066103125404</v>
      </c>
    </row>
    <row r="3136" spans="1:4" x14ac:dyDescent="0.3">
      <c r="A3136" t="s">
        <v>10</v>
      </c>
      <c r="B3136" s="1">
        <v>45298.583333333336</v>
      </c>
      <c r="C3136">
        <v>1039.23048454132</v>
      </c>
      <c r="D3136">
        <v>692.82032302755101</v>
      </c>
    </row>
    <row r="3137" spans="1:4" x14ac:dyDescent="0.3">
      <c r="A3137" t="s">
        <v>10</v>
      </c>
      <c r="B3137" s="1">
        <v>45298.625</v>
      </c>
      <c r="C3137">
        <v>848.52813742385695</v>
      </c>
      <c r="D3137">
        <v>565.68542494923804</v>
      </c>
    </row>
    <row r="3138" spans="1:4" x14ac:dyDescent="0.3">
      <c r="A3138" t="s">
        <v>10</v>
      </c>
      <c r="B3138" s="1">
        <v>45298.666666666664</v>
      </c>
      <c r="C3138">
        <v>600</v>
      </c>
      <c r="D3138">
        <v>399.99999999999898</v>
      </c>
    </row>
    <row r="3139" spans="1:4" x14ac:dyDescent="0.3">
      <c r="A3139" t="s">
        <v>10</v>
      </c>
      <c r="B3139" s="1">
        <v>45298.708333333336</v>
      </c>
      <c r="C3139">
        <v>310.58285412302502</v>
      </c>
      <c r="D3139">
        <v>207.05523608201599</v>
      </c>
    </row>
    <row r="3140" spans="1:4" x14ac:dyDescent="0.3">
      <c r="A3140" t="s">
        <v>10</v>
      </c>
      <c r="B3140" s="1">
        <v>45298.75</v>
      </c>
      <c r="C3140" s="2">
        <v>1.46957615897682E-13</v>
      </c>
      <c r="D3140" s="2">
        <v>9.7971743931788194E-14</v>
      </c>
    </row>
    <row r="3141" spans="1:4" x14ac:dyDescent="0.3">
      <c r="A3141" t="s">
        <v>10</v>
      </c>
      <c r="B3141" s="1">
        <v>45298.791666666664</v>
      </c>
      <c r="C3141">
        <v>0</v>
      </c>
      <c r="D3141">
        <v>0</v>
      </c>
    </row>
    <row r="3142" spans="1:4" x14ac:dyDescent="0.3">
      <c r="A3142" t="s">
        <v>10</v>
      </c>
      <c r="B3142" s="1">
        <v>45298.833333333336</v>
      </c>
      <c r="C3142">
        <v>0</v>
      </c>
      <c r="D3142">
        <v>0</v>
      </c>
    </row>
    <row r="3143" spans="1:4" x14ac:dyDescent="0.3">
      <c r="A3143" t="s">
        <v>10</v>
      </c>
      <c r="B3143" s="1">
        <v>45298.875</v>
      </c>
      <c r="C3143">
        <v>0</v>
      </c>
      <c r="D3143">
        <v>0</v>
      </c>
    </row>
    <row r="3144" spans="1:4" x14ac:dyDescent="0.3">
      <c r="A3144" t="s">
        <v>10</v>
      </c>
      <c r="B3144" s="1">
        <v>45298.916666666664</v>
      </c>
      <c r="C3144">
        <v>0</v>
      </c>
      <c r="D3144">
        <v>0</v>
      </c>
    </row>
    <row r="3145" spans="1:4" x14ac:dyDescent="0.3">
      <c r="A3145" t="s">
        <v>10</v>
      </c>
      <c r="B3145" s="1">
        <v>45298.958333333336</v>
      </c>
      <c r="C3145">
        <v>0</v>
      </c>
      <c r="D3145">
        <v>0</v>
      </c>
    </row>
    <row r="3146" spans="1:4" x14ac:dyDescent="0.3">
      <c r="A3146" t="s">
        <v>10</v>
      </c>
      <c r="B3146" s="1">
        <v>45299</v>
      </c>
      <c r="C3146">
        <v>0</v>
      </c>
      <c r="D3146">
        <v>0</v>
      </c>
    </row>
    <row r="3147" spans="1:4" x14ac:dyDescent="0.3">
      <c r="A3147" t="s">
        <v>10</v>
      </c>
      <c r="B3147" s="1">
        <v>45299.041666666664</v>
      </c>
      <c r="C3147">
        <v>0</v>
      </c>
      <c r="D3147">
        <v>0</v>
      </c>
    </row>
    <row r="3148" spans="1:4" x14ac:dyDescent="0.3">
      <c r="A3148" t="s">
        <v>10</v>
      </c>
      <c r="B3148" s="1">
        <v>45299.083333333336</v>
      </c>
      <c r="C3148">
        <v>0</v>
      </c>
      <c r="D3148">
        <v>0</v>
      </c>
    </row>
    <row r="3149" spans="1:4" x14ac:dyDescent="0.3">
      <c r="A3149" t="s">
        <v>10</v>
      </c>
      <c r="B3149" s="1">
        <v>45299.125</v>
      </c>
      <c r="C3149">
        <v>0</v>
      </c>
      <c r="D3149">
        <v>0</v>
      </c>
    </row>
    <row r="3150" spans="1:4" x14ac:dyDescent="0.3">
      <c r="A3150" t="s">
        <v>10</v>
      </c>
      <c r="B3150" s="1">
        <v>45299.166666666664</v>
      </c>
      <c r="C3150">
        <v>0</v>
      </c>
      <c r="D3150">
        <v>0</v>
      </c>
    </row>
    <row r="3151" spans="1:4" x14ac:dyDescent="0.3">
      <c r="A3151" t="s">
        <v>10</v>
      </c>
      <c r="B3151" s="1">
        <v>45299.208333333336</v>
      </c>
      <c r="C3151">
        <v>0</v>
      </c>
      <c r="D3151">
        <v>0</v>
      </c>
    </row>
    <row r="3152" spans="1:4" x14ac:dyDescent="0.3">
      <c r="A3152" t="s">
        <v>10</v>
      </c>
      <c r="B3152" s="1">
        <v>45299.25</v>
      </c>
      <c r="C3152">
        <v>0</v>
      </c>
      <c r="D3152">
        <v>0</v>
      </c>
    </row>
    <row r="3153" spans="1:4" x14ac:dyDescent="0.3">
      <c r="A3153" t="s">
        <v>10</v>
      </c>
      <c r="B3153" s="1">
        <v>45299.291666666664</v>
      </c>
      <c r="C3153">
        <v>310.58285412302399</v>
      </c>
      <c r="D3153">
        <v>207.05523608201599</v>
      </c>
    </row>
    <row r="3154" spans="1:4" x14ac:dyDescent="0.3">
      <c r="A3154" t="s">
        <v>10</v>
      </c>
      <c r="B3154" s="1">
        <v>45299.333333333336</v>
      </c>
      <c r="C3154">
        <v>600</v>
      </c>
      <c r="D3154">
        <v>399.99999999999898</v>
      </c>
    </row>
    <row r="3155" spans="1:4" x14ac:dyDescent="0.3">
      <c r="A3155" t="s">
        <v>10</v>
      </c>
      <c r="B3155" s="1">
        <v>45299.375</v>
      </c>
      <c r="C3155">
        <v>848.52813742385695</v>
      </c>
      <c r="D3155">
        <v>565.68542494923804</v>
      </c>
    </row>
    <row r="3156" spans="1:4" x14ac:dyDescent="0.3">
      <c r="A3156" t="s">
        <v>10</v>
      </c>
      <c r="B3156" s="1">
        <v>45299.416666666664</v>
      </c>
      <c r="C3156">
        <v>1039.23048454132</v>
      </c>
      <c r="D3156">
        <v>692.82032302754999</v>
      </c>
    </row>
    <row r="3157" spans="1:4" x14ac:dyDescent="0.3">
      <c r="A3157" t="s">
        <v>10</v>
      </c>
      <c r="B3157" s="1">
        <v>45299.458333333336</v>
      </c>
      <c r="C3157">
        <v>1159.1109915468801</v>
      </c>
      <c r="D3157">
        <v>772.74066103125404</v>
      </c>
    </row>
    <row r="3158" spans="1:4" x14ac:dyDescent="0.3">
      <c r="A3158" t="s">
        <v>10</v>
      </c>
      <c r="B3158" s="1">
        <v>45299.5</v>
      </c>
      <c r="C3158">
        <v>1200</v>
      </c>
      <c r="D3158">
        <v>800</v>
      </c>
    </row>
    <row r="3159" spans="1:4" x14ac:dyDescent="0.3">
      <c r="A3159" t="s">
        <v>10</v>
      </c>
      <c r="B3159" s="1">
        <v>45299.541666666664</v>
      </c>
      <c r="C3159">
        <v>1159.1109915468801</v>
      </c>
      <c r="D3159">
        <v>772.74066103125404</v>
      </c>
    </row>
    <row r="3160" spans="1:4" x14ac:dyDescent="0.3">
      <c r="A3160" t="s">
        <v>10</v>
      </c>
      <c r="B3160" s="1">
        <v>45299.583333333336</v>
      </c>
      <c r="C3160">
        <v>1039.23048454132</v>
      </c>
      <c r="D3160">
        <v>692.82032302755101</v>
      </c>
    </row>
    <row r="3161" spans="1:4" x14ac:dyDescent="0.3">
      <c r="A3161" t="s">
        <v>10</v>
      </c>
      <c r="B3161" s="1">
        <v>45299.625</v>
      </c>
      <c r="C3161">
        <v>848.52813742385695</v>
      </c>
      <c r="D3161">
        <v>565.68542494923804</v>
      </c>
    </row>
    <row r="3162" spans="1:4" x14ac:dyDescent="0.3">
      <c r="A3162" t="s">
        <v>10</v>
      </c>
      <c r="B3162" s="1">
        <v>45299.666666666664</v>
      </c>
      <c r="C3162">
        <v>600</v>
      </c>
      <c r="D3162">
        <v>399.99999999999898</v>
      </c>
    </row>
    <row r="3163" spans="1:4" x14ac:dyDescent="0.3">
      <c r="A3163" t="s">
        <v>10</v>
      </c>
      <c r="B3163" s="1">
        <v>45299.708333333336</v>
      </c>
      <c r="C3163">
        <v>310.58285412302502</v>
      </c>
      <c r="D3163">
        <v>207.05523608201599</v>
      </c>
    </row>
    <row r="3164" spans="1:4" x14ac:dyDescent="0.3">
      <c r="A3164" t="s">
        <v>10</v>
      </c>
      <c r="B3164" s="1">
        <v>45299.75</v>
      </c>
      <c r="C3164" s="2">
        <v>1.46957615897682E-13</v>
      </c>
      <c r="D3164" s="2">
        <v>9.7971743931788194E-14</v>
      </c>
    </row>
    <row r="3165" spans="1:4" x14ac:dyDescent="0.3">
      <c r="A3165" t="s">
        <v>10</v>
      </c>
      <c r="B3165" s="1">
        <v>45299.791666666664</v>
      </c>
      <c r="C3165">
        <v>0</v>
      </c>
      <c r="D3165">
        <v>0</v>
      </c>
    </row>
    <row r="3166" spans="1:4" x14ac:dyDescent="0.3">
      <c r="A3166" t="s">
        <v>10</v>
      </c>
      <c r="B3166" s="1">
        <v>45299.833333333336</v>
      </c>
      <c r="C3166">
        <v>0</v>
      </c>
      <c r="D3166">
        <v>0</v>
      </c>
    </row>
    <row r="3167" spans="1:4" x14ac:dyDescent="0.3">
      <c r="A3167" t="s">
        <v>10</v>
      </c>
      <c r="B3167" s="1">
        <v>45299.875</v>
      </c>
      <c r="C3167">
        <v>0</v>
      </c>
      <c r="D3167">
        <v>0</v>
      </c>
    </row>
    <row r="3168" spans="1:4" x14ac:dyDescent="0.3">
      <c r="A3168" t="s">
        <v>10</v>
      </c>
      <c r="B3168" s="1">
        <v>45299.916666666664</v>
      </c>
      <c r="C3168">
        <v>0</v>
      </c>
      <c r="D3168">
        <v>0</v>
      </c>
    </row>
    <row r="3169" spans="1:4" x14ac:dyDescent="0.3">
      <c r="A3169" t="s">
        <v>10</v>
      </c>
      <c r="B3169" s="1">
        <v>45299.958333333336</v>
      </c>
      <c r="C3169">
        <v>0</v>
      </c>
      <c r="D3169">
        <v>0</v>
      </c>
    </row>
    <row r="3170" spans="1:4" x14ac:dyDescent="0.3">
      <c r="A3170" t="s">
        <v>10</v>
      </c>
      <c r="B3170" s="1">
        <v>45300</v>
      </c>
      <c r="C3170">
        <v>0</v>
      </c>
      <c r="D3170">
        <v>0</v>
      </c>
    </row>
    <row r="3171" spans="1:4" x14ac:dyDescent="0.3">
      <c r="A3171" t="s">
        <v>10</v>
      </c>
      <c r="B3171" s="1">
        <v>45300.041666666664</v>
      </c>
      <c r="C3171">
        <v>0</v>
      </c>
      <c r="D3171">
        <v>0</v>
      </c>
    </row>
    <row r="3172" spans="1:4" x14ac:dyDescent="0.3">
      <c r="A3172" t="s">
        <v>10</v>
      </c>
      <c r="B3172" s="1">
        <v>45300.083333333336</v>
      </c>
      <c r="C3172">
        <v>0</v>
      </c>
      <c r="D3172">
        <v>0</v>
      </c>
    </row>
    <row r="3173" spans="1:4" x14ac:dyDescent="0.3">
      <c r="A3173" t="s">
        <v>10</v>
      </c>
      <c r="B3173" s="1">
        <v>45300.125</v>
      </c>
      <c r="C3173">
        <v>0</v>
      </c>
      <c r="D3173">
        <v>0</v>
      </c>
    </row>
    <row r="3174" spans="1:4" x14ac:dyDescent="0.3">
      <c r="A3174" t="s">
        <v>10</v>
      </c>
      <c r="B3174" s="1">
        <v>45300.166666666664</v>
      </c>
      <c r="C3174">
        <v>0</v>
      </c>
      <c r="D3174">
        <v>0</v>
      </c>
    </row>
    <row r="3175" spans="1:4" x14ac:dyDescent="0.3">
      <c r="A3175" t="s">
        <v>10</v>
      </c>
      <c r="B3175" s="1">
        <v>45300.208333333336</v>
      </c>
      <c r="C3175">
        <v>0</v>
      </c>
      <c r="D3175">
        <v>0</v>
      </c>
    </row>
    <row r="3176" spans="1:4" x14ac:dyDescent="0.3">
      <c r="A3176" t="s">
        <v>10</v>
      </c>
      <c r="B3176" s="1">
        <v>45300.25</v>
      </c>
      <c r="C3176">
        <v>0</v>
      </c>
      <c r="D3176">
        <v>0</v>
      </c>
    </row>
    <row r="3177" spans="1:4" x14ac:dyDescent="0.3">
      <c r="A3177" t="s">
        <v>10</v>
      </c>
      <c r="B3177" s="1">
        <v>45300.291666666664</v>
      </c>
      <c r="C3177">
        <v>310.58285412302399</v>
      </c>
      <c r="D3177">
        <v>207.05523608201599</v>
      </c>
    </row>
    <row r="3178" spans="1:4" x14ac:dyDescent="0.3">
      <c r="A3178" t="s">
        <v>10</v>
      </c>
      <c r="B3178" s="1">
        <v>45300.333333333336</v>
      </c>
      <c r="C3178">
        <v>600</v>
      </c>
      <c r="D3178">
        <v>399.99999999999898</v>
      </c>
    </row>
    <row r="3179" spans="1:4" x14ac:dyDescent="0.3">
      <c r="A3179" t="s">
        <v>10</v>
      </c>
      <c r="B3179" s="1">
        <v>45300.375</v>
      </c>
      <c r="C3179">
        <v>848.52813742385695</v>
      </c>
      <c r="D3179">
        <v>565.68542494923804</v>
      </c>
    </row>
    <row r="3180" spans="1:4" x14ac:dyDescent="0.3">
      <c r="A3180" t="s">
        <v>10</v>
      </c>
      <c r="B3180" s="1">
        <v>45300.416666666664</v>
      </c>
      <c r="C3180">
        <v>1039.23048454132</v>
      </c>
      <c r="D3180">
        <v>692.82032302754999</v>
      </c>
    </row>
    <row r="3181" spans="1:4" x14ac:dyDescent="0.3">
      <c r="A3181" t="s">
        <v>10</v>
      </c>
      <c r="B3181" s="1">
        <v>45300.458333333336</v>
      </c>
      <c r="C3181">
        <v>1159.1109915468801</v>
      </c>
      <c r="D3181">
        <v>772.74066103125404</v>
      </c>
    </row>
    <row r="3182" spans="1:4" x14ac:dyDescent="0.3">
      <c r="A3182" t="s">
        <v>10</v>
      </c>
      <c r="B3182" s="1">
        <v>45300.5</v>
      </c>
      <c r="C3182">
        <v>1200</v>
      </c>
      <c r="D3182">
        <v>800</v>
      </c>
    </row>
    <row r="3183" spans="1:4" x14ac:dyDescent="0.3">
      <c r="A3183" t="s">
        <v>10</v>
      </c>
      <c r="B3183" s="1">
        <v>45300.541666666664</v>
      </c>
      <c r="C3183">
        <v>1159.1109915468801</v>
      </c>
      <c r="D3183">
        <v>772.74066103125404</v>
      </c>
    </row>
    <row r="3184" spans="1:4" x14ac:dyDescent="0.3">
      <c r="A3184" t="s">
        <v>10</v>
      </c>
      <c r="B3184" s="1">
        <v>45300.583333333336</v>
      </c>
      <c r="C3184">
        <v>1039.23048454132</v>
      </c>
      <c r="D3184">
        <v>692.82032302755101</v>
      </c>
    </row>
    <row r="3185" spans="1:4" x14ac:dyDescent="0.3">
      <c r="A3185" t="s">
        <v>10</v>
      </c>
      <c r="B3185" s="1">
        <v>45300.625</v>
      </c>
      <c r="C3185">
        <v>848.52813742385695</v>
      </c>
      <c r="D3185">
        <v>565.68542494923804</v>
      </c>
    </row>
    <row r="3186" spans="1:4" x14ac:dyDescent="0.3">
      <c r="A3186" t="s">
        <v>10</v>
      </c>
      <c r="B3186" s="1">
        <v>45300.666666666664</v>
      </c>
      <c r="C3186">
        <v>600</v>
      </c>
      <c r="D3186">
        <v>399.99999999999898</v>
      </c>
    </row>
    <row r="3187" spans="1:4" x14ac:dyDescent="0.3">
      <c r="A3187" t="s">
        <v>10</v>
      </c>
      <c r="B3187" s="1">
        <v>45300.708333333336</v>
      </c>
      <c r="C3187">
        <v>310.58285412302502</v>
      </c>
      <c r="D3187">
        <v>207.05523608201599</v>
      </c>
    </row>
    <row r="3188" spans="1:4" x14ac:dyDescent="0.3">
      <c r="A3188" t="s">
        <v>10</v>
      </c>
      <c r="B3188" s="1">
        <v>45300.75</v>
      </c>
      <c r="C3188" s="2">
        <v>1.46957615897682E-13</v>
      </c>
      <c r="D3188" s="2">
        <v>9.7971743931788194E-14</v>
      </c>
    </row>
    <row r="3189" spans="1:4" x14ac:dyDescent="0.3">
      <c r="A3189" t="s">
        <v>10</v>
      </c>
      <c r="B3189" s="1">
        <v>45300.791666666664</v>
      </c>
      <c r="C3189">
        <v>0</v>
      </c>
      <c r="D3189">
        <v>0</v>
      </c>
    </row>
    <row r="3190" spans="1:4" x14ac:dyDescent="0.3">
      <c r="A3190" t="s">
        <v>10</v>
      </c>
      <c r="B3190" s="1">
        <v>45300.833333333336</v>
      </c>
      <c r="C3190">
        <v>0</v>
      </c>
      <c r="D3190">
        <v>0</v>
      </c>
    </row>
    <row r="3191" spans="1:4" x14ac:dyDescent="0.3">
      <c r="A3191" t="s">
        <v>10</v>
      </c>
      <c r="B3191" s="1">
        <v>45300.875</v>
      </c>
      <c r="C3191">
        <v>0</v>
      </c>
      <c r="D3191">
        <v>0</v>
      </c>
    </row>
    <row r="3192" spans="1:4" x14ac:dyDescent="0.3">
      <c r="A3192" t="s">
        <v>10</v>
      </c>
      <c r="B3192" s="1">
        <v>45300.916666666664</v>
      </c>
      <c r="C3192">
        <v>0</v>
      </c>
      <c r="D3192">
        <v>0</v>
      </c>
    </row>
    <row r="3193" spans="1:4" x14ac:dyDescent="0.3">
      <c r="A3193" t="s">
        <v>10</v>
      </c>
      <c r="B3193" s="1">
        <v>45300.958333333336</v>
      </c>
      <c r="C3193">
        <v>0</v>
      </c>
      <c r="D3193">
        <v>0</v>
      </c>
    </row>
    <row r="3194" spans="1:4" x14ac:dyDescent="0.3">
      <c r="A3194" t="s">
        <v>10</v>
      </c>
      <c r="B3194" s="1">
        <v>45301</v>
      </c>
      <c r="C3194">
        <v>0</v>
      </c>
      <c r="D3194">
        <v>0</v>
      </c>
    </row>
    <row r="3195" spans="1:4" x14ac:dyDescent="0.3">
      <c r="A3195" t="s">
        <v>10</v>
      </c>
      <c r="B3195" s="1">
        <v>45301.041666666664</v>
      </c>
      <c r="C3195">
        <v>0</v>
      </c>
      <c r="D3195">
        <v>0</v>
      </c>
    </row>
    <row r="3196" spans="1:4" x14ac:dyDescent="0.3">
      <c r="A3196" t="s">
        <v>10</v>
      </c>
      <c r="B3196" s="1">
        <v>45301.083333333336</v>
      </c>
      <c r="C3196">
        <v>0</v>
      </c>
      <c r="D3196">
        <v>0</v>
      </c>
    </row>
    <row r="3197" spans="1:4" x14ac:dyDescent="0.3">
      <c r="A3197" t="s">
        <v>10</v>
      </c>
      <c r="B3197" s="1">
        <v>45301.125</v>
      </c>
      <c r="C3197">
        <v>0</v>
      </c>
      <c r="D3197">
        <v>0</v>
      </c>
    </row>
    <row r="3198" spans="1:4" x14ac:dyDescent="0.3">
      <c r="A3198" t="s">
        <v>10</v>
      </c>
      <c r="B3198" s="1">
        <v>45301.166666666664</v>
      </c>
      <c r="C3198">
        <v>0</v>
      </c>
      <c r="D3198">
        <v>0</v>
      </c>
    </row>
    <row r="3199" spans="1:4" x14ac:dyDescent="0.3">
      <c r="A3199" t="s">
        <v>10</v>
      </c>
      <c r="B3199" s="1">
        <v>45301.208333333336</v>
      </c>
      <c r="C3199">
        <v>0</v>
      </c>
      <c r="D3199">
        <v>0</v>
      </c>
    </row>
    <row r="3200" spans="1:4" x14ac:dyDescent="0.3">
      <c r="A3200" t="s">
        <v>10</v>
      </c>
      <c r="B3200" s="1">
        <v>45301.25</v>
      </c>
      <c r="C3200">
        <v>0</v>
      </c>
      <c r="D3200">
        <v>0</v>
      </c>
    </row>
    <row r="3201" spans="1:4" x14ac:dyDescent="0.3">
      <c r="A3201" t="s">
        <v>10</v>
      </c>
      <c r="B3201" s="1">
        <v>45301.291666666664</v>
      </c>
      <c r="C3201">
        <v>310.58285412302399</v>
      </c>
      <c r="D3201">
        <v>207.05523608201599</v>
      </c>
    </row>
    <row r="3202" spans="1:4" x14ac:dyDescent="0.3">
      <c r="A3202" t="s">
        <v>10</v>
      </c>
      <c r="B3202" s="1">
        <v>45301.333333333336</v>
      </c>
      <c r="C3202">
        <v>600</v>
      </c>
      <c r="D3202">
        <v>399.99999999999898</v>
      </c>
    </row>
    <row r="3203" spans="1:4" x14ac:dyDescent="0.3">
      <c r="A3203" t="s">
        <v>10</v>
      </c>
      <c r="B3203" s="1">
        <v>45301.375</v>
      </c>
      <c r="C3203">
        <v>848.52813742385695</v>
      </c>
      <c r="D3203">
        <v>565.68542494923804</v>
      </c>
    </row>
    <row r="3204" spans="1:4" x14ac:dyDescent="0.3">
      <c r="A3204" t="s">
        <v>10</v>
      </c>
      <c r="B3204" s="1">
        <v>45301.416666666664</v>
      </c>
      <c r="C3204">
        <v>1039.23048454132</v>
      </c>
      <c r="D3204">
        <v>692.82032302754999</v>
      </c>
    </row>
    <row r="3205" spans="1:4" x14ac:dyDescent="0.3">
      <c r="A3205" t="s">
        <v>10</v>
      </c>
      <c r="B3205" s="1">
        <v>45301.458333333336</v>
      </c>
      <c r="C3205">
        <v>1159.1109915468801</v>
      </c>
      <c r="D3205">
        <v>772.74066103125404</v>
      </c>
    </row>
    <row r="3206" spans="1:4" x14ac:dyDescent="0.3">
      <c r="A3206" t="s">
        <v>10</v>
      </c>
      <c r="B3206" s="1">
        <v>45301.5</v>
      </c>
      <c r="C3206">
        <v>1200</v>
      </c>
      <c r="D3206">
        <v>800</v>
      </c>
    </row>
    <row r="3207" spans="1:4" x14ac:dyDescent="0.3">
      <c r="A3207" t="s">
        <v>10</v>
      </c>
      <c r="B3207" s="1">
        <v>45301.541666666664</v>
      </c>
      <c r="C3207">
        <v>1159.1109915468801</v>
      </c>
      <c r="D3207">
        <v>772.74066103125404</v>
      </c>
    </row>
    <row r="3208" spans="1:4" x14ac:dyDescent="0.3">
      <c r="A3208" t="s">
        <v>10</v>
      </c>
      <c r="B3208" s="1">
        <v>45301.583333333336</v>
      </c>
      <c r="C3208">
        <v>1039.23048454132</v>
      </c>
      <c r="D3208">
        <v>692.82032302755101</v>
      </c>
    </row>
    <row r="3209" spans="1:4" x14ac:dyDescent="0.3">
      <c r="A3209" t="s">
        <v>10</v>
      </c>
      <c r="B3209" s="1">
        <v>45301.625</v>
      </c>
      <c r="C3209">
        <v>848.52813742385695</v>
      </c>
      <c r="D3209">
        <v>565.68542494923804</v>
      </c>
    </row>
    <row r="3210" spans="1:4" x14ac:dyDescent="0.3">
      <c r="A3210" t="s">
        <v>10</v>
      </c>
      <c r="B3210" s="1">
        <v>45301.666666666664</v>
      </c>
      <c r="C3210">
        <v>600</v>
      </c>
      <c r="D3210">
        <v>399.99999999999898</v>
      </c>
    </row>
    <row r="3211" spans="1:4" x14ac:dyDescent="0.3">
      <c r="A3211" t="s">
        <v>10</v>
      </c>
      <c r="B3211" s="1">
        <v>45301.708333333336</v>
      </c>
      <c r="C3211">
        <v>310.58285412302502</v>
      </c>
      <c r="D3211">
        <v>207.05523608201599</v>
      </c>
    </row>
    <row r="3212" spans="1:4" x14ac:dyDescent="0.3">
      <c r="A3212" t="s">
        <v>10</v>
      </c>
      <c r="B3212" s="1">
        <v>45301.75</v>
      </c>
      <c r="C3212" s="2">
        <v>1.46957615897682E-13</v>
      </c>
      <c r="D3212" s="2">
        <v>9.7971743931788194E-14</v>
      </c>
    </row>
    <row r="3213" spans="1:4" x14ac:dyDescent="0.3">
      <c r="A3213" t="s">
        <v>10</v>
      </c>
      <c r="B3213" s="1">
        <v>45301.791666666664</v>
      </c>
      <c r="C3213">
        <v>0</v>
      </c>
      <c r="D3213">
        <v>0</v>
      </c>
    </row>
    <row r="3214" spans="1:4" x14ac:dyDescent="0.3">
      <c r="A3214" t="s">
        <v>10</v>
      </c>
      <c r="B3214" s="1">
        <v>45301.833333333336</v>
      </c>
      <c r="C3214">
        <v>0</v>
      </c>
      <c r="D3214">
        <v>0</v>
      </c>
    </row>
    <row r="3215" spans="1:4" x14ac:dyDescent="0.3">
      <c r="A3215" t="s">
        <v>10</v>
      </c>
      <c r="B3215" s="1">
        <v>45301.875</v>
      </c>
      <c r="C3215">
        <v>0</v>
      </c>
      <c r="D3215">
        <v>0</v>
      </c>
    </row>
    <row r="3216" spans="1:4" x14ac:dyDescent="0.3">
      <c r="A3216" t="s">
        <v>10</v>
      </c>
      <c r="B3216" s="1">
        <v>45301.916666666664</v>
      </c>
      <c r="C3216">
        <v>0</v>
      </c>
      <c r="D3216">
        <v>0</v>
      </c>
    </row>
    <row r="3217" spans="1:4" x14ac:dyDescent="0.3">
      <c r="A3217" t="s">
        <v>10</v>
      </c>
      <c r="B3217" s="1">
        <v>45301.958333333336</v>
      </c>
      <c r="C3217">
        <v>0</v>
      </c>
      <c r="D3217">
        <v>0</v>
      </c>
    </row>
    <row r="3218" spans="1:4" x14ac:dyDescent="0.3">
      <c r="A3218" t="s">
        <v>10</v>
      </c>
      <c r="B3218" s="1">
        <v>45302</v>
      </c>
      <c r="C3218">
        <v>0</v>
      </c>
      <c r="D3218">
        <v>0</v>
      </c>
    </row>
    <row r="3219" spans="1:4" x14ac:dyDescent="0.3">
      <c r="A3219" t="s">
        <v>10</v>
      </c>
      <c r="B3219" s="1">
        <v>45302.041666666664</v>
      </c>
      <c r="C3219">
        <v>0</v>
      </c>
      <c r="D3219">
        <v>0</v>
      </c>
    </row>
    <row r="3220" spans="1:4" x14ac:dyDescent="0.3">
      <c r="A3220" t="s">
        <v>10</v>
      </c>
      <c r="B3220" s="1">
        <v>45302.083333333336</v>
      </c>
      <c r="C3220">
        <v>0</v>
      </c>
      <c r="D3220">
        <v>0</v>
      </c>
    </row>
    <row r="3221" spans="1:4" x14ac:dyDescent="0.3">
      <c r="A3221" t="s">
        <v>10</v>
      </c>
      <c r="B3221" s="1">
        <v>45302.125</v>
      </c>
      <c r="C3221">
        <v>0</v>
      </c>
      <c r="D3221">
        <v>0</v>
      </c>
    </row>
    <row r="3222" spans="1:4" x14ac:dyDescent="0.3">
      <c r="A3222" t="s">
        <v>10</v>
      </c>
      <c r="B3222" s="1">
        <v>45302.166666666664</v>
      </c>
      <c r="C3222">
        <v>0</v>
      </c>
      <c r="D3222">
        <v>0</v>
      </c>
    </row>
    <row r="3223" spans="1:4" x14ac:dyDescent="0.3">
      <c r="A3223" t="s">
        <v>10</v>
      </c>
      <c r="B3223" s="1">
        <v>45302.208333333336</v>
      </c>
      <c r="C3223">
        <v>0</v>
      </c>
      <c r="D3223">
        <v>0</v>
      </c>
    </row>
    <row r="3224" spans="1:4" x14ac:dyDescent="0.3">
      <c r="A3224" t="s">
        <v>10</v>
      </c>
      <c r="B3224" s="1">
        <v>45302.25</v>
      </c>
      <c r="C3224">
        <v>0</v>
      </c>
      <c r="D3224">
        <v>0</v>
      </c>
    </row>
    <row r="3225" spans="1:4" x14ac:dyDescent="0.3">
      <c r="A3225" t="s">
        <v>10</v>
      </c>
      <c r="B3225" s="1">
        <v>45302.291666666664</v>
      </c>
      <c r="C3225">
        <v>310.58285412302399</v>
      </c>
      <c r="D3225">
        <v>207.05523608201599</v>
      </c>
    </row>
    <row r="3226" spans="1:4" x14ac:dyDescent="0.3">
      <c r="A3226" t="s">
        <v>10</v>
      </c>
      <c r="B3226" s="1">
        <v>45302.333333333336</v>
      </c>
      <c r="C3226">
        <v>600</v>
      </c>
      <c r="D3226">
        <v>399.99999999999898</v>
      </c>
    </row>
    <row r="3227" spans="1:4" x14ac:dyDescent="0.3">
      <c r="A3227" t="s">
        <v>10</v>
      </c>
      <c r="B3227" s="1">
        <v>45302.375</v>
      </c>
      <c r="C3227">
        <v>848.52813742385695</v>
      </c>
      <c r="D3227">
        <v>565.68542494923804</v>
      </c>
    </row>
    <row r="3228" spans="1:4" x14ac:dyDescent="0.3">
      <c r="A3228" t="s">
        <v>10</v>
      </c>
      <c r="B3228" s="1">
        <v>45302.416666666664</v>
      </c>
      <c r="C3228">
        <v>1039.23048454132</v>
      </c>
      <c r="D3228">
        <v>692.82032302754999</v>
      </c>
    </row>
    <row r="3229" spans="1:4" x14ac:dyDescent="0.3">
      <c r="A3229" t="s">
        <v>10</v>
      </c>
      <c r="B3229" s="1">
        <v>45302.458333333336</v>
      </c>
      <c r="C3229">
        <v>1159.1109915468801</v>
      </c>
      <c r="D3229">
        <v>772.74066103125404</v>
      </c>
    </row>
    <row r="3230" spans="1:4" x14ac:dyDescent="0.3">
      <c r="A3230" t="s">
        <v>10</v>
      </c>
      <c r="B3230" s="1">
        <v>45302.5</v>
      </c>
      <c r="C3230">
        <v>1200</v>
      </c>
      <c r="D3230">
        <v>800</v>
      </c>
    </row>
    <row r="3231" spans="1:4" x14ac:dyDescent="0.3">
      <c r="A3231" t="s">
        <v>10</v>
      </c>
      <c r="B3231" s="1">
        <v>45302.541666666664</v>
      </c>
      <c r="C3231">
        <v>1159.1109915468801</v>
      </c>
      <c r="D3231">
        <v>772.74066103125404</v>
      </c>
    </row>
    <row r="3232" spans="1:4" x14ac:dyDescent="0.3">
      <c r="A3232" t="s">
        <v>10</v>
      </c>
      <c r="B3232" s="1">
        <v>45302.583333333336</v>
      </c>
      <c r="C3232">
        <v>1039.23048454132</v>
      </c>
      <c r="D3232">
        <v>692.82032302755101</v>
      </c>
    </row>
    <row r="3233" spans="1:4" x14ac:dyDescent="0.3">
      <c r="A3233" t="s">
        <v>10</v>
      </c>
      <c r="B3233" s="1">
        <v>45302.625</v>
      </c>
      <c r="C3233">
        <v>848.52813742385695</v>
      </c>
      <c r="D3233">
        <v>565.68542494923804</v>
      </c>
    </row>
    <row r="3234" spans="1:4" x14ac:dyDescent="0.3">
      <c r="A3234" t="s">
        <v>10</v>
      </c>
      <c r="B3234" s="1">
        <v>45302.666666666664</v>
      </c>
      <c r="C3234">
        <v>600</v>
      </c>
      <c r="D3234">
        <v>399.99999999999898</v>
      </c>
    </row>
    <row r="3235" spans="1:4" x14ac:dyDescent="0.3">
      <c r="A3235" t="s">
        <v>10</v>
      </c>
      <c r="B3235" s="1">
        <v>45302.708333333336</v>
      </c>
      <c r="C3235">
        <v>310.58285412302502</v>
      </c>
      <c r="D3235">
        <v>207.05523608201599</v>
      </c>
    </row>
    <row r="3236" spans="1:4" x14ac:dyDescent="0.3">
      <c r="A3236" t="s">
        <v>10</v>
      </c>
      <c r="B3236" s="1">
        <v>45302.75</v>
      </c>
      <c r="C3236" s="2">
        <v>1.46957615897682E-13</v>
      </c>
      <c r="D3236" s="2">
        <v>9.7971743931788194E-14</v>
      </c>
    </row>
    <row r="3237" spans="1:4" x14ac:dyDescent="0.3">
      <c r="A3237" t="s">
        <v>10</v>
      </c>
      <c r="B3237" s="1">
        <v>45302.791666666664</v>
      </c>
      <c r="C3237">
        <v>0</v>
      </c>
      <c r="D3237">
        <v>0</v>
      </c>
    </row>
    <row r="3238" spans="1:4" x14ac:dyDescent="0.3">
      <c r="A3238" t="s">
        <v>10</v>
      </c>
      <c r="B3238" s="1">
        <v>45302.833333333336</v>
      </c>
      <c r="C3238">
        <v>0</v>
      </c>
      <c r="D3238">
        <v>0</v>
      </c>
    </row>
    <row r="3239" spans="1:4" x14ac:dyDescent="0.3">
      <c r="A3239" t="s">
        <v>10</v>
      </c>
      <c r="B3239" s="1">
        <v>45302.875</v>
      </c>
      <c r="C3239">
        <v>0</v>
      </c>
      <c r="D3239">
        <v>0</v>
      </c>
    </row>
    <row r="3240" spans="1:4" x14ac:dyDescent="0.3">
      <c r="A3240" t="s">
        <v>10</v>
      </c>
      <c r="B3240" s="1">
        <v>45302.916666666664</v>
      </c>
      <c r="C3240">
        <v>0</v>
      </c>
      <c r="D3240">
        <v>0</v>
      </c>
    </row>
    <row r="3241" spans="1:4" x14ac:dyDescent="0.3">
      <c r="A3241" t="s">
        <v>10</v>
      </c>
      <c r="B3241" s="1">
        <v>45302.958333333336</v>
      </c>
      <c r="C3241">
        <v>0</v>
      </c>
      <c r="D3241">
        <v>0</v>
      </c>
    </row>
    <row r="3242" spans="1:4" x14ac:dyDescent="0.3">
      <c r="A3242" t="s">
        <v>10</v>
      </c>
      <c r="B3242" s="1">
        <v>45303</v>
      </c>
      <c r="C3242">
        <v>0</v>
      </c>
      <c r="D3242">
        <v>0</v>
      </c>
    </row>
    <row r="3243" spans="1:4" x14ac:dyDescent="0.3">
      <c r="A3243" t="s">
        <v>10</v>
      </c>
      <c r="B3243" s="1">
        <v>45303.041666666664</v>
      </c>
      <c r="C3243">
        <v>0</v>
      </c>
      <c r="D3243">
        <v>0</v>
      </c>
    </row>
    <row r="3244" spans="1:4" x14ac:dyDescent="0.3">
      <c r="A3244" t="s">
        <v>10</v>
      </c>
      <c r="B3244" s="1">
        <v>45303.083333333336</v>
      </c>
      <c r="C3244">
        <v>0</v>
      </c>
      <c r="D3244">
        <v>0</v>
      </c>
    </row>
    <row r="3245" spans="1:4" x14ac:dyDescent="0.3">
      <c r="A3245" t="s">
        <v>10</v>
      </c>
      <c r="B3245" s="1">
        <v>45303.125</v>
      </c>
      <c r="C3245">
        <v>0</v>
      </c>
      <c r="D3245">
        <v>0</v>
      </c>
    </row>
    <row r="3246" spans="1:4" x14ac:dyDescent="0.3">
      <c r="A3246" t="s">
        <v>10</v>
      </c>
      <c r="B3246" s="1">
        <v>45303.166666666664</v>
      </c>
      <c r="C3246">
        <v>0</v>
      </c>
      <c r="D3246">
        <v>0</v>
      </c>
    </row>
    <row r="3247" spans="1:4" x14ac:dyDescent="0.3">
      <c r="A3247" t="s">
        <v>10</v>
      </c>
      <c r="B3247" s="1">
        <v>45303.208333333336</v>
      </c>
      <c r="C3247">
        <v>0</v>
      </c>
      <c r="D3247">
        <v>0</v>
      </c>
    </row>
    <row r="3248" spans="1:4" x14ac:dyDescent="0.3">
      <c r="A3248" t="s">
        <v>10</v>
      </c>
      <c r="B3248" s="1">
        <v>45303.25</v>
      </c>
      <c r="C3248">
        <v>0</v>
      </c>
      <c r="D3248">
        <v>0</v>
      </c>
    </row>
    <row r="3249" spans="1:4" x14ac:dyDescent="0.3">
      <c r="A3249" t="s">
        <v>10</v>
      </c>
      <c r="B3249" s="1">
        <v>45303.291666666664</v>
      </c>
      <c r="C3249">
        <v>310.58285412302399</v>
      </c>
      <c r="D3249">
        <v>207.05523608201599</v>
      </c>
    </row>
    <row r="3250" spans="1:4" x14ac:dyDescent="0.3">
      <c r="A3250" t="s">
        <v>10</v>
      </c>
      <c r="B3250" s="1">
        <v>45303.333333333336</v>
      </c>
      <c r="C3250">
        <v>600</v>
      </c>
      <c r="D3250">
        <v>399.99999999999898</v>
      </c>
    </row>
    <row r="3251" spans="1:4" x14ac:dyDescent="0.3">
      <c r="A3251" t="s">
        <v>10</v>
      </c>
      <c r="B3251" s="1">
        <v>45303.375</v>
      </c>
      <c r="C3251">
        <v>848.52813742385695</v>
      </c>
      <c r="D3251">
        <v>565.68542494923804</v>
      </c>
    </row>
    <row r="3252" spans="1:4" x14ac:dyDescent="0.3">
      <c r="A3252" t="s">
        <v>10</v>
      </c>
      <c r="B3252" s="1">
        <v>45303.416666666664</v>
      </c>
      <c r="C3252">
        <v>1039.23048454132</v>
      </c>
      <c r="D3252">
        <v>692.82032302754999</v>
      </c>
    </row>
    <row r="3253" spans="1:4" x14ac:dyDescent="0.3">
      <c r="A3253" t="s">
        <v>10</v>
      </c>
      <c r="B3253" s="1">
        <v>45303.458333333336</v>
      </c>
      <c r="C3253">
        <v>1159.1109915468801</v>
      </c>
      <c r="D3253">
        <v>772.74066103125404</v>
      </c>
    </row>
    <row r="3254" spans="1:4" x14ac:dyDescent="0.3">
      <c r="A3254" t="s">
        <v>10</v>
      </c>
      <c r="B3254" s="1">
        <v>45303.5</v>
      </c>
      <c r="C3254">
        <v>1200</v>
      </c>
      <c r="D3254">
        <v>800</v>
      </c>
    </row>
    <row r="3255" spans="1:4" x14ac:dyDescent="0.3">
      <c r="A3255" t="s">
        <v>10</v>
      </c>
      <c r="B3255" s="1">
        <v>45303.541666666664</v>
      </c>
      <c r="C3255">
        <v>1159.1109915468801</v>
      </c>
      <c r="D3255">
        <v>772.74066103125404</v>
      </c>
    </row>
    <row r="3256" spans="1:4" x14ac:dyDescent="0.3">
      <c r="A3256" t="s">
        <v>10</v>
      </c>
      <c r="B3256" s="1">
        <v>45303.583333333336</v>
      </c>
      <c r="C3256">
        <v>1039.23048454132</v>
      </c>
      <c r="D3256">
        <v>692.82032302755101</v>
      </c>
    </row>
    <row r="3257" spans="1:4" x14ac:dyDescent="0.3">
      <c r="A3257" t="s">
        <v>10</v>
      </c>
      <c r="B3257" s="1">
        <v>45303.625</v>
      </c>
      <c r="C3257">
        <v>848.52813742385695</v>
      </c>
      <c r="D3257">
        <v>565.68542494923804</v>
      </c>
    </row>
    <row r="3258" spans="1:4" x14ac:dyDescent="0.3">
      <c r="A3258" t="s">
        <v>10</v>
      </c>
      <c r="B3258" s="1">
        <v>45303.666666666664</v>
      </c>
      <c r="C3258">
        <v>600</v>
      </c>
      <c r="D3258">
        <v>399.99999999999898</v>
      </c>
    </row>
    <row r="3259" spans="1:4" x14ac:dyDescent="0.3">
      <c r="A3259" t="s">
        <v>10</v>
      </c>
      <c r="B3259" s="1">
        <v>45303.708333333336</v>
      </c>
      <c r="C3259">
        <v>310.58285412302502</v>
      </c>
      <c r="D3259">
        <v>207.05523608201599</v>
      </c>
    </row>
    <row r="3260" spans="1:4" x14ac:dyDescent="0.3">
      <c r="A3260" t="s">
        <v>10</v>
      </c>
      <c r="B3260" s="1">
        <v>45303.75</v>
      </c>
      <c r="C3260" s="2">
        <v>1.46957615897682E-13</v>
      </c>
      <c r="D3260" s="2">
        <v>9.7971743931788194E-14</v>
      </c>
    </row>
    <row r="3261" spans="1:4" x14ac:dyDescent="0.3">
      <c r="A3261" t="s">
        <v>10</v>
      </c>
      <c r="B3261" s="1">
        <v>45303.791666666664</v>
      </c>
      <c r="C3261">
        <v>0</v>
      </c>
      <c r="D3261">
        <v>0</v>
      </c>
    </row>
    <row r="3262" spans="1:4" x14ac:dyDescent="0.3">
      <c r="A3262" t="s">
        <v>10</v>
      </c>
      <c r="B3262" s="1">
        <v>45303.833333333336</v>
      </c>
      <c r="C3262">
        <v>0</v>
      </c>
      <c r="D3262">
        <v>0</v>
      </c>
    </row>
    <row r="3263" spans="1:4" x14ac:dyDescent="0.3">
      <c r="A3263" t="s">
        <v>10</v>
      </c>
      <c r="B3263" s="1">
        <v>45303.875</v>
      </c>
      <c r="C3263">
        <v>0</v>
      </c>
      <c r="D3263">
        <v>0</v>
      </c>
    </row>
    <row r="3264" spans="1:4" x14ac:dyDescent="0.3">
      <c r="A3264" t="s">
        <v>10</v>
      </c>
      <c r="B3264" s="1">
        <v>45303.916666666664</v>
      </c>
      <c r="C3264">
        <v>0</v>
      </c>
      <c r="D3264">
        <v>0</v>
      </c>
    </row>
    <row r="3265" spans="1:4" x14ac:dyDescent="0.3">
      <c r="A3265" t="s">
        <v>10</v>
      </c>
      <c r="B3265" s="1">
        <v>45303.958333333336</v>
      </c>
      <c r="C3265">
        <v>0</v>
      </c>
      <c r="D3265">
        <v>0</v>
      </c>
    </row>
    <row r="3266" spans="1:4" x14ac:dyDescent="0.3">
      <c r="A3266" t="s">
        <v>10</v>
      </c>
      <c r="B3266" s="1">
        <v>45304</v>
      </c>
      <c r="C3266">
        <v>0</v>
      </c>
      <c r="D3266">
        <v>0</v>
      </c>
    </row>
    <row r="3267" spans="1:4" x14ac:dyDescent="0.3">
      <c r="A3267" t="s">
        <v>10</v>
      </c>
      <c r="B3267" s="1">
        <v>45304.041666666664</v>
      </c>
      <c r="C3267">
        <v>0</v>
      </c>
      <c r="D3267">
        <v>0</v>
      </c>
    </row>
    <row r="3268" spans="1:4" x14ac:dyDescent="0.3">
      <c r="A3268" t="s">
        <v>10</v>
      </c>
      <c r="B3268" s="1">
        <v>45304.083333333336</v>
      </c>
      <c r="C3268">
        <v>0</v>
      </c>
      <c r="D3268">
        <v>0</v>
      </c>
    </row>
    <row r="3269" spans="1:4" x14ac:dyDescent="0.3">
      <c r="A3269" t="s">
        <v>10</v>
      </c>
      <c r="B3269" s="1">
        <v>45304.125</v>
      </c>
      <c r="C3269">
        <v>0</v>
      </c>
      <c r="D3269">
        <v>0</v>
      </c>
    </row>
    <row r="3270" spans="1:4" x14ac:dyDescent="0.3">
      <c r="A3270" t="s">
        <v>10</v>
      </c>
      <c r="B3270" s="1">
        <v>45304.166666666664</v>
      </c>
      <c r="C3270">
        <v>0</v>
      </c>
      <c r="D3270">
        <v>0</v>
      </c>
    </row>
    <row r="3271" spans="1:4" x14ac:dyDescent="0.3">
      <c r="A3271" t="s">
        <v>10</v>
      </c>
      <c r="B3271" s="1">
        <v>45304.208333333336</v>
      </c>
      <c r="C3271">
        <v>0</v>
      </c>
      <c r="D3271">
        <v>0</v>
      </c>
    </row>
    <row r="3272" spans="1:4" x14ac:dyDescent="0.3">
      <c r="A3272" t="s">
        <v>10</v>
      </c>
      <c r="B3272" s="1">
        <v>45304.25</v>
      </c>
      <c r="C3272">
        <v>0</v>
      </c>
      <c r="D3272">
        <v>0</v>
      </c>
    </row>
    <row r="3273" spans="1:4" x14ac:dyDescent="0.3">
      <c r="A3273" t="s">
        <v>10</v>
      </c>
      <c r="B3273" s="1">
        <v>45304.291666666664</v>
      </c>
      <c r="C3273">
        <v>310.58285412302399</v>
      </c>
      <c r="D3273">
        <v>207.05523608201599</v>
      </c>
    </row>
    <row r="3274" spans="1:4" x14ac:dyDescent="0.3">
      <c r="A3274" t="s">
        <v>10</v>
      </c>
      <c r="B3274" s="1">
        <v>45304.333333333336</v>
      </c>
      <c r="C3274">
        <v>600</v>
      </c>
      <c r="D3274">
        <v>399.99999999999898</v>
      </c>
    </row>
    <row r="3275" spans="1:4" x14ac:dyDescent="0.3">
      <c r="A3275" t="s">
        <v>10</v>
      </c>
      <c r="B3275" s="1">
        <v>45304.375</v>
      </c>
      <c r="C3275">
        <v>848.52813742385695</v>
      </c>
      <c r="D3275">
        <v>565.68542494923804</v>
      </c>
    </row>
    <row r="3276" spans="1:4" x14ac:dyDescent="0.3">
      <c r="A3276" t="s">
        <v>10</v>
      </c>
      <c r="B3276" s="1">
        <v>45304.416666666664</v>
      </c>
      <c r="C3276">
        <v>1039.23048454132</v>
      </c>
      <c r="D3276">
        <v>692.82032302754999</v>
      </c>
    </row>
    <row r="3277" spans="1:4" x14ac:dyDescent="0.3">
      <c r="A3277" t="s">
        <v>10</v>
      </c>
      <c r="B3277" s="1">
        <v>45304.458333333336</v>
      </c>
      <c r="C3277">
        <v>1159.1109915468801</v>
      </c>
      <c r="D3277">
        <v>772.74066103125404</v>
      </c>
    </row>
    <row r="3278" spans="1:4" x14ac:dyDescent="0.3">
      <c r="A3278" t="s">
        <v>10</v>
      </c>
      <c r="B3278" s="1">
        <v>45304.5</v>
      </c>
      <c r="C3278">
        <v>1200</v>
      </c>
      <c r="D3278">
        <v>800</v>
      </c>
    </row>
    <row r="3279" spans="1:4" x14ac:dyDescent="0.3">
      <c r="A3279" t="s">
        <v>10</v>
      </c>
      <c r="B3279" s="1">
        <v>45304.541666666664</v>
      </c>
      <c r="C3279">
        <v>1159.1109915468801</v>
      </c>
      <c r="D3279">
        <v>772.74066103125404</v>
      </c>
    </row>
    <row r="3280" spans="1:4" x14ac:dyDescent="0.3">
      <c r="A3280" t="s">
        <v>10</v>
      </c>
      <c r="B3280" s="1">
        <v>45304.583333333336</v>
      </c>
      <c r="C3280">
        <v>1039.23048454132</v>
      </c>
      <c r="D3280">
        <v>692.82032302755101</v>
      </c>
    </row>
    <row r="3281" spans="1:4" x14ac:dyDescent="0.3">
      <c r="A3281" t="s">
        <v>10</v>
      </c>
      <c r="B3281" s="1">
        <v>45304.625</v>
      </c>
      <c r="C3281">
        <v>848.52813742385695</v>
      </c>
      <c r="D3281">
        <v>565.68542494923804</v>
      </c>
    </row>
    <row r="3282" spans="1:4" x14ac:dyDescent="0.3">
      <c r="A3282" t="s">
        <v>10</v>
      </c>
      <c r="B3282" s="1">
        <v>45304.666666666664</v>
      </c>
      <c r="C3282">
        <v>600</v>
      </c>
      <c r="D3282">
        <v>399.99999999999898</v>
      </c>
    </row>
    <row r="3283" spans="1:4" x14ac:dyDescent="0.3">
      <c r="A3283" t="s">
        <v>10</v>
      </c>
      <c r="B3283" s="1">
        <v>45304.708333333336</v>
      </c>
      <c r="C3283">
        <v>310.58285412302502</v>
      </c>
      <c r="D3283">
        <v>207.05523608201599</v>
      </c>
    </row>
    <row r="3284" spans="1:4" x14ac:dyDescent="0.3">
      <c r="A3284" t="s">
        <v>10</v>
      </c>
      <c r="B3284" s="1">
        <v>45304.75</v>
      </c>
      <c r="C3284" s="2">
        <v>1.46957615897682E-13</v>
      </c>
      <c r="D3284" s="2">
        <v>9.7971743931788194E-14</v>
      </c>
    </row>
    <row r="3285" spans="1:4" x14ac:dyDescent="0.3">
      <c r="A3285" t="s">
        <v>10</v>
      </c>
      <c r="B3285" s="1">
        <v>45304.791666666664</v>
      </c>
      <c r="C3285">
        <v>0</v>
      </c>
      <c r="D3285">
        <v>0</v>
      </c>
    </row>
    <row r="3286" spans="1:4" x14ac:dyDescent="0.3">
      <c r="A3286" t="s">
        <v>10</v>
      </c>
      <c r="B3286" s="1">
        <v>45304.833333333336</v>
      </c>
      <c r="C3286">
        <v>0</v>
      </c>
      <c r="D3286">
        <v>0</v>
      </c>
    </row>
    <row r="3287" spans="1:4" x14ac:dyDescent="0.3">
      <c r="A3287" t="s">
        <v>10</v>
      </c>
      <c r="B3287" s="1">
        <v>45304.875</v>
      </c>
      <c r="C3287">
        <v>0</v>
      </c>
      <c r="D3287">
        <v>0</v>
      </c>
    </row>
    <row r="3288" spans="1:4" x14ac:dyDescent="0.3">
      <c r="A3288" t="s">
        <v>10</v>
      </c>
      <c r="B3288" s="1">
        <v>45304.916666666664</v>
      </c>
      <c r="C3288">
        <v>0</v>
      </c>
      <c r="D3288">
        <v>0</v>
      </c>
    </row>
    <row r="3289" spans="1:4" x14ac:dyDescent="0.3">
      <c r="A3289" t="s">
        <v>10</v>
      </c>
      <c r="B3289" s="1">
        <v>45304.958333333336</v>
      </c>
      <c r="C3289">
        <v>0</v>
      </c>
      <c r="D3289">
        <v>0</v>
      </c>
    </row>
    <row r="3290" spans="1:4" x14ac:dyDescent="0.3">
      <c r="A3290" t="s">
        <v>10</v>
      </c>
      <c r="B3290" s="1">
        <v>45305</v>
      </c>
      <c r="C3290">
        <v>0</v>
      </c>
      <c r="D3290">
        <v>0</v>
      </c>
    </row>
    <row r="3291" spans="1:4" x14ac:dyDescent="0.3">
      <c r="A3291" t="s">
        <v>10</v>
      </c>
      <c r="B3291" s="1">
        <v>45305.041666666664</v>
      </c>
      <c r="C3291">
        <v>0</v>
      </c>
      <c r="D3291">
        <v>0</v>
      </c>
    </row>
    <row r="3292" spans="1:4" x14ac:dyDescent="0.3">
      <c r="A3292" t="s">
        <v>10</v>
      </c>
      <c r="B3292" s="1">
        <v>45305.083333333336</v>
      </c>
      <c r="C3292">
        <v>0</v>
      </c>
      <c r="D3292">
        <v>0</v>
      </c>
    </row>
    <row r="3293" spans="1:4" x14ac:dyDescent="0.3">
      <c r="A3293" t="s">
        <v>10</v>
      </c>
      <c r="B3293" s="1">
        <v>45305.125</v>
      </c>
      <c r="C3293">
        <v>0</v>
      </c>
      <c r="D3293">
        <v>0</v>
      </c>
    </row>
    <row r="3294" spans="1:4" x14ac:dyDescent="0.3">
      <c r="A3294" t="s">
        <v>10</v>
      </c>
      <c r="B3294" s="1">
        <v>45305.166666666664</v>
      </c>
      <c r="C3294">
        <v>0</v>
      </c>
      <c r="D3294">
        <v>0</v>
      </c>
    </row>
    <row r="3295" spans="1:4" x14ac:dyDescent="0.3">
      <c r="A3295" t="s">
        <v>10</v>
      </c>
      <c r="B3295" s="1">
        <v>45305.208333333336</v>
      </c>
      <c r="C3295">
        <v>0</v>
      </c>
      <c r="D3295">
        <v>0</v>
      </c>
    </row>
    <row r="3296" spans="1:4" x14ac:dyDescent="0.3">
      <c r="A3296" t="s">
        <v>10</v>
      </c>
      <c r="B3296" s="1">
        <v>45305.25</v>
      </c>
      <c r="C3296">
        <v>0</v>
      </c>
      <c r="D3296">
        <v>0</v>
      </c>
    </row>
    <row r="3297" spans="1:4" x14ac:dyDescent="0.3">
      <c r="A3297" t="s">
        <v>10</v>
      </c>
      <c r="B3297" s="1">
        <v>45305.291666666664</v>
      </c>
      <c r="C3297">
        <v>310.58285412302399</v>
      </c>
      <c r="D3297">
        <v>207.05523608201599</v>
      </c>
    </row>
    <row r="3298" spans="1:4" x14ac:dyDescent="0.3">
      <c r="A3298" t="s">
        <v>10</v>
      </c>
      <c r="B3298" s="1">
        <v>45305.333333333336</v>
      </c>
      <c r="C3298">
        <v>600</v>
      </c>
      <c r="D3298">
        <v>399.99999999999898</v>
      </c>
    </row>
    <row r="3299" spans="1:4" x14ac:dyDescent="0.3">
      <c r="A3299" t="s">
        <v>10</v>
      </c>
      <c r="B3299" s="1">
        <v>45305.375</v>
      </c>
      <c r="C3299">
        <v>848.52813742385695</v>
      </c>
      <c r="D3299">
        <v>565.68542494923804</v>
      </c>
    </row>
    <row r="3300" spans="1:4" x14ac:dyDescent="0.3">
      <c r="A3300" t="s">
        <v>10</v>
      </c>
      <c r="B3300" s="1">
        <v>45305.416666666664</v>
      </c>
      <c r="C3300">
        <v>1039.23048454132</v>
      </c>
      <c r="D3300">
        <v>692.82032302754999</v>
      </c>
    </row>
    <row r="3301" spans="1:4" x14ac:dyDescent="0.3">
      <c r="A3301" t="s">
        <v>10</v>
      </c>
      <c r="B3301" s="1">
        <v>45305.458333333336</v>
      </c>
      <c r="C3301">
        <v>1159.1109915468801</v>
      </c>
      <c r="D3301">
        <v>772.74066103125404</v>
      </c>
    </row>
    <row r="3302" spans="1:4" x14ac:dyDescent="0.3">
      <c r="A3302" t="s">
        <v>10</v>
      </c>
      <c r="B3302" s="1">
        <v>45305.5</v>
      </c>
      <c r="C3302">
        <v>1200</v>
      </c>
      <c r="D3302">
        <v>800</v>
      </c>
    </row>
    <row r="3303" spans="1:4" x14ac:dyDescent="0.3">
      <c r="A3303" t="s">
        <v>10</v>
      </c>
      <c r="B3303" s="1">
        <v>45305.541666666664</v>
      </c>
      <c r="C3303">
        <v>1159.1109915468801</v>
      </c>
      <c r="D3303">
        <v>772.74066103125404</v>
      </c>
    </row>
    <row r="3304" spans="1:4" x14ac:dyDescent="0.3">
      <c r="A3304" t="s">
        <v>10</v>
      </c>
      <c r="B3304" s="1">
        <v>45305.583333333336</v>
      </c>
      <c r="C3304">
        <v>1039.23048454132</v>
      </c>
      <c r="D3304">
        <v>692.82032302755101</v>
      </c>
    </row>
    <row r="3305" spans="1:4" x14ac:dyDescent="0.3">
      <c r="A3305" t="s">
        <v>10</v>
      </c>
      <c r="B3305" s="1">
        <v>45305.625</v>
      </c>
      <c r="C3305">
        <v>848.52813742385695</v>
      </c>
      <c r="D3305">
        <v>565.68542494923804</v>
      </c>
    </row>
    <row r="3306" spans="1:4" x14ac:dyDescent="0.3">
      <c r="A3306" t="s">
        <v>10</v>
      </c>
      <c r="B3306" s="1">
        <v>45305.666666666664</v>
      </c>
      <c r="C3306">
        <v>600</v>
      </c>
      <c r="D3306">
        <v>399.99999999999898</v>
      </c>
    </row>
    <row r="3307" spans="1:4" x14ac:dyDescent="0.3">
      <c r="A3307" t="s">
        <v>10</v>
      </c>
      <c r="B3307" s="1">
        <v>45305.708333333336</v>
      </c>
      <c r="C3307">
        <v>310.58285412302502</v>
      </c>
      <c r="D3307">
        <v>207.05523608201599</v>
      </c>
    </row>
    <row r="3308" spans="1:4" x14ac:dyDescent="0.3">
      <c r="A3308" t="s">
        <v>10</v>
      </c>
      <c r="B3308" s="1">
        <v>45305.75</v>
      </c>
      <c r="C3308" s="2">
        <v>1.46957615897682E-13</v>
      </c>
      <c r="D3308" s="2">
        <v>9.7971743931788194E-14</v>
      </c>
    </row>
    <row r="3309" spans="1:4" x14ac:dyDescent="0.3">
      <c r="A3309" t="s">
        <v>10</v>
      </c>
      <c r="B3309" s="1">
        <v>45305.791666666664</v>
      </c>
      <c r="C3309">
        <v>0</v>
      </c>
      <c r="D3309">
        <v>0</v>
      </c>
    </row>
    <row r="3310" spans="1:4" x14ac:dyDescent="0.3">
      <c r="A3310" t="s">
        <v>10</v>
      </c>
      <c r="B3310" s="1">
        <v>45305.833333333336</v>
      </c>
      <c r="C3310">
        <v>0</v>
      </c>
      <c r="D3310">
        <v>0</v>
      </c>
    </row>
    <row r="3311" spans="1:4" x14ac:dyDescent="0.3">
      <c r="A3311" t="s">
        <v>10</v>
      </c>
      <c r="B3311" s="1">
        <v>45305.875</v>
      </c>
      <c r="C3311">
        <v>0</v>
      </c>
      <c r="D3311">
        <v>0</v>
      </c>
    </row>
    <row r="3312" spans="1:4" x14ac:dyDescent="0.3">
      <c r="A3312" t="s">
        <v>10</v>
      </c>
      <c r="B3312" s="1">
        <v>45305.916666666664</v>
      </c>
      <c r="C3312">
        <v>0</v>
      </c>
      <c r="D3312">
        <v>0</v>
      </c>
    </row>
    <row r="3313" spans="1:4" x14ac:dyDescent="0.3">
      <c r="A3313" t="s">
        <v>10</v>
      </c>
      <c r="B3313" s="1">
        <v>45305.958333333336</v>
      </c>
      <c r="C3313">
        <v>0</v>
      </c>
      <c r="D3313">
        <v>0</v>
      </c>
    </row>
    <row r="3314" spans="1:4" x14ac:dyDescent="0.3">
      <c r="A3314" t="s">
        <v>10</v>
      </c>
      <c r="B3314" s="1">
        <v>45306</v>
      </c>
      <c r="C3314">
        <v>0</v>
      </c>
      <c r="D3314">
        <v>0</v>
      </c>
    </row>
    <row r="3315" spans="1:4" x14ac:dyDescent="0.3">
      <c r="A3315" t="s">
        <v>10</v>
      </c>
      <c r="B3315" s="1">
        <v>45306.041666666664</v>
      </c>
      <c r="C3315">
        <v>0</v>
      </c>
      <c r="D3315">
        <v>0</v>
      </c>
    </row>
    <row r="3316" spans="1:4" x14ac:dyDescent="0.3">
      <c r="A3316" t="s">
        <v>10</v>
      </c>
      <c r="B3316" s="1">
        <v>45306.083333333336</v>
      </c>
      <c r="C3316">
        <v>0</v>
      </c>
      <c r="D3316">
        <v>0</v>
      </c>
    </row>
    <row r="3317" spans="1:4" x14ac:dyDescent="0.3">
      <c r="A3317" t="s">
        <v>10</v>
      </c>
      <c r="B3317" s="1">
        <v>45306.125</v>
      </c>
      <c r="C3317">
        <v>0</v>
      </c>
      <c r="D3317">
        <v>0</v>
      </c>
    </row>
    <row r="3318" spans="1:4" x14ac:dyDescent="0.3">
      <c r="A3318" t="s">
        <v>10</v>
      </c>
      <c r="B3318" s="1">
        <v>45306.166666666664</v>
      </c>
      <c r="C3318">
        <v>0</v>
      </c>
      <c r="D3318">
        <v>0</v>
      </c>
    </row>
    <row r="3319" spans="1:4" x14ac:dyDescent="0.3">
      <c r="A3319" t="s">
        <v>10</v>
      </c>
      <c r="B3319" s="1">
        <v>45306.208333333336</v>
      </c>
      <c r="C3319">
        <v>0</v>
      </c>
      <c r="D3319">
        <v>0</v>
      </c>
    </row>
    <row r="3320" spans="1:4" x14ac:dyDescent="0.3">
      <c r="A3320" t="s">
        <v>10</v>
      </c>
      <c r="B3320" s="1">
        <v>45306.25</v>
      </c>
      <c r="C3320">
        <v>0</v>
      </c>
      <c r="D3320">
        <v>0</v>
      </c>
    </row>
    <row r="3321" spans="1:4" x14ac:dyDescent="0.3">
      <c r="A3321" t="s">
        <v>10</v>
      </c>
      <c r="B3321" s="1">
        <v>45306.291666666664</v>
      </c>
      <c r="C3321">
        <v>310.58285412302399</v>
      </c>
      <c r="D3321">
        <v>207.05523608201599</v>
      </c>
    </row>
    <row r="3322" spans="1:4" x14ac:dyDescent="0.3">
      <c r="A3322" t="s">
        <v>10</v>
      </c>
      <c r="B3322" s="1">
        <v>45306.333333333336</v>
      </c>
      <c r="C3322">
        <v>600</v>
      </c>
      <c r="D3322">
        <v>399.99999999999898</v>
      </c>
    </row>
    <row r="3323" spans="1:4" x14ac:dyDescent="0.3">
      <c r="A3323" t="s">
        <v>10</v>
      </c>
      <c r="B3323" s="1">
        <v>45306.375</v>
      </c>
      <c r="C3323">
        <v>848.52813742385695</v>
      </c>
      <c r="D3323">
        <v>565.68542494923804</v>
      </c>
    </row>
    <row r="3324" spans="1:4" x14ac:dyDescent="0.3">
      <c r="A3324" t="s">
        <v>10</v>
      </c>
      <c r="B3324" s="1">
        <v>45306.416666666664</v>
      </c>
      <c r="C3324">
        <v>1039.23048454132</v>
      </c>
      <c r="D3324">
        <v>692.82032302754999</v>
      </c>
    </row>
    <row r="3325" spans="1:4" x14ac:dyDescent="0.3">
      <c r="A3325" t="s">
        <v>10</v>
      </c>
      <c r="B3325" s="1">
        <v>45306.458333333336</v>
      </c>
      <c r="C3325">
        <v>1159.1109915468801</v>
      </c>
      <c r="D3325">
        <v>772.74066103125404</v>
      </c>
    </row>
    <row r="3326" spans="1:4" x14ac:dyDescent="0.3">
      <c r="A3326" t="s">
        <v>10</v>
      </c>
      <c r="B3326" s="1">
        <v>45306.5</v>
      </c>
      <c r="C3326">
        <v>1200</v>
      </c>
      <c r="D3326">
        <v>800</v>
      </c>
    </row>
    <row r="3327" spans="1:4" x14ac:dyDescent="0.3">
      <c r="A3327" t="s">
        <v>10</v>
      </c>
      <c r="B3327" s="1">
        <v>45306.541666666664</v>
      </c>
      <c r="C3327">
        <v>1159.1109915468801</v>
      </c>
      <c r="D3327">
        <v>772.74066103125404</v>
      </c>
    </row>
    <row r="3328" spans="1:4" x14ac:dyDescent="0.3">
      <c r="A3328" t="s">
        <v>10</v>
      </c>
      <c r="B3328" s="1">
        <v>45306.583333333336</v>
      </c>
      <c r="C3328">
        <v>1039.23048454132</v>
      </c>
      <c r="D3328">
        <v>692.82032302755101</v>
      </c>
    </row>
    <row r="3329" spans="1:4" x14ac:dyDescent="0.3">
      <c r="A3329" t="s">
        <v>10</v>
      </c>
      <c r="B3329" s="1">
        <v>45306.625</v>
      </c>
      <c r="C3329">
        <v>848.52813742385695</v>
      </c>
      <c r="D3329">
        <v>565.68542494923804</v>
      </c>
    </row>
    <row r="3330" spans="1:4" x14ac:dyDescent="0.3">
      <c r="A3330" t="s">
        <v>10</v>
      </c>
      <c r="B3330" s="1">
        <v>45306.666666666664</v>
      </c>
      <c r="C3330">
        <v>600</v>
      </c>
      <c r="D3330">
        <v>399.99999999999898</v>
      </c>
    </row>
    <row r="3331" spans="1:4" x14ac:dyDescent="0.3">
      <c r="A3331" t="s">
        <v>10</v>
      </c>
      <c r="B3331" s="1">
        <v>45306.708333333336</v>
      </c>
      <c r="C3331">
        <v>310.58285412302502</v>
      </c>
      <c r="D3331">
        <v>207.05523608201599</v>
      </c>
    </row>
    <row r="3332" spans="1:4" x14ac:dyDescent="0.3">
      <c r="A3332" t="s">
        <v>10</v>
      </c>
      <c r="B3332" s="1">
        <v>45306.75</v>
      </c>
      <c r="C3332" s="2">
        <v>1.46957615897682E-13</v>
      </c>
      <c r="D3332" s="2">
        <v>9.7971743931788194E-14</v>
      </c>
    </row>
    <row r="3333" spans="1:4" x14ac:dyDescent="0.3">
      <c r="A3333" t="s">
        <v>10</v>
      </c>
      <c r="B3333" s="1">
        <v>45306.791666666664</v>
      </c>
      <c r="C3333">
        <v>0</v>
      </c>
      <c r="D3333">
        <v>0</v>
      </c>
    </row>
    <row r="3334" spans="1:4" x14ac:dyDescent="0.3">
      <c r="A3334" t="s">
        <v>10</v>
      </c>
      <c r="B3334" s="1">
        <v>45306.833333333336</v>
      </c>
      <c r="C3334">
        <v>0</v>
      </c>
      <c r="D3334">
        <v>0</v>
      </c>
    </row>
    <row r="3335" spans="1:4" x14ac:dyDescent="0.3">
      <c r="A3335" t="s">
        <v>10</v>
      </c>
      <c r="B3335" s="1">
        <v>45306.875</v>
      </c>
      <c r="C3335">
        <v>0</v>
      </c>
      <c r="D3335">
        <v>0</v>
      </c>
    </row>
    <row r="3336" spans="1:4" x14ac:dyDescent="0.3">
      <c r="A3336" t="s">
        <v>10</v>
      </c>
      <c r="B3336" s="1">
        <v>45306.916666666664</v>
      </c>
      <c r="C3336">
        <v>0</v>
      </c>
      <c r="D3336">
        <v>0</v>
      </c>
    </row>
    <row r="3337" spans="1:4" x14ac:dyDescent="0.3">
      <c r="A3337" t="s">
        <v>10</v>
      </c>
      <c r="B3337" s="1">
        <v>45306.958333333336</v>
      </c>
      <c r="C3337">
        <v>0</v>
      </c>
      <c r="D3337">
        <v>0</v>
      </c>
    </row>
    <row r="3338" spans="1:4" x14ac:dyDescent="0.3">
      <c r="A3338" t="s">
        <v>10</v>
      </c>
      <c r="B3338" s="1">
        <v>45307</v>
      </c>
      <c r="C3338">
        <v>0</v>
      </c>
      <c r="D3338">
        <v>0</v>
      </c>
    </row>
    <row r="3339" spans="1:4" x14ac:dyDescent="0.3">
      <c r="A3339" t="s">
        <v>10</v>
      </c>
      <c r="B3339" s="1">
        <v>45307.041666666664</v>
      </c>
      <c r="C3339">
        <v>0</v>
      </c>
      <c r="D3339">
        <v>0</v>
      </c>
    </row>
    <row r="3340" spans="1:4" x14ac:dyDescent="0.3">
      <c r="A3340" t="s">
        <v>10</v>
      </c>
      <c r="B3340" s="1">
        <v>45307.083333333336</v>
      </c>
      <c r="C3340">
        <v>0</v>
      </c>
      <c r="D3340">
        <v>0</v>
      </c>
    </row>
    <row r="3341" spans="1:4" x14ac:dyDescent="0.3">
      <c r="A3341" t="s">
        <v>10</v>
      </c>
      <c r="B3341" s="1">
        <v>45307.125</v>
      </c>
      <c r="C3341">
        <v>0</v>
      </c>
      <c r="D3341">
        <v>0</v>
      </c>
    </row>
    <row r="3342" spans="1:4" x14ac:dyDescent="0.3">
      <c r="A3342" t="s">
        <v>10</v>
      </c>
      <c r="B3342" s="1">
        <v>45307.166666666664</v>
      </c>
      <c r="C3342">
        <v>0</v>
      </c>
      <c r="D3342">
        <v>0</v>
      </c>
    </row>
    <row r="3343" spans="1:4" x14ac:dyDescent="0.3">
      <c r="A3343" t="s">
        <v>10</v>
      </c>
      <c r="B3343" s="1">
        <v>45307.208333333336</v>
      </c>
      <c r="C3343">
        <v>0</v>
      </c>
      <c r="D3343">
        <v>0</v>
      </c>
    </row>
    <row r="3344" spans="1:4" x14ac:dyDescent="0.3">
      <c r="A3344" t="s">
        <v>10</v>
      </c>
      <c r="B3344" s="1">
        <v>45307.25</v>
      </c>
      <c r="C3344">
        <v>0</v>
      </c>
      <c r="D3344">
        <v>0</v>
      </c>
    </row>
    <row r="3345" spans="1:4" x14ac:dyDescent="0.3">
      <c r="A3345" t="s">
        <v>10</v>
      </c>
      <c r="B3345" s="1">
        <v>45307.291666666664</v>
      </c>
      <c r="C3345">
        <v>310.58285412302399</v>
      </c>
      <c r="D3345">
        <v>207.05523608201599</v>
      </c>
    </row>
    <row r="3346" spans="1:4" x14ac:dyDescent="0.3">
      <c r="A3346" t="s">
        <v>10</v>
      </c>
      <c r="B3346" s="1">
        <v>45307.333333333336</v>
      </c>
      <c r="C3346">
        <v>600</v>
      </c>
      <c r="D3346">
        <v>399.99999999999898</v>
      </c>
    </row>
    <row r="3347" spans="1:4" x14ac:dyDescent="0.3">
      <c r="A3347" t="s">
        <v>10</v>
      </c>
      <c r="B3347" s="1">
        <v>45307.375</v>
      </c>
      <c r="C3347">
        <v>848.52813742385695</v>
      </c>
      <c r="D3347">
        <v>565.68542494923804</v>
      </c>
    </row>
    <row r="3348" spans="1:4" x14ac:dyDescent="0.3">
      <c r="A3348" t="s">
        <v>10</v>
      </c>
      <c r="B3348" s="1">
        <v>45307.416666666664</v>
      </c>
      <c r="C3348">
        <v>1039.23048454132</v>
      </c>
      <c r="D3348">
        <v>692.82032302754999</v>
      </c>
    </row>
    <row r="3349" spans="1:4" x14ac:dyDescent="0.3">
      <c r="A3349" t="s">
        <v>10</v>
      </c>
      <c r="B3349" s="1">
        <v>45307.458333333336</v>
      </c>
      <c r="C3349">
        <v>1159.1109915468801</v>
      </c>
      <c r="D3349">
        <v>772.74066103125404</v>
      </c>
    </row>
    <row r="3350" spans="1:4" x14ac:dyDescent="0.3">
      <c r="A3350" t="s">
        <v>10</v>
      </c>
      <c r="B3350" s="1">
        <v>45307.5</v>
      </c>
      <c r="C3350">
        <v>1200</v>
      </c>
      <c r="D3350">
        <v>800</v>
      </c>
    </row>
    <row r="3351" spans="1:4" x14ac:dyDescent="0.3">
      <c r="A3351" t="s">
        <v>10</v>
      </c>
      <c r="B3351" s="1">
        <v>45307.541666666664</v>
      </c>
      <c r="C3351">
        <v>1159.1109915468801</v>
      </c>
      <c r="D3351">
        <v>772.74066103125404</v>
      </c>
    </row>
    <row r="3352" spans="1:4" x14ac:dyDescent="0.3">
      <c r="A3352" t="s">
        <v>10</v>
      </c>
      <c r="B3352" s="1">
        <v>45307.583333333336</v>
      </c>
      <c r="C3352">
        <v>1039.23048454132</v>
      </c>
      <c r="D3352">
        <v>692.82032302755101</v>
      </c>
    </row>
    <row r="3353" spans="1:4" x14ac:dyDescent="0.3">
      <c r="A3353" t="s">
        <v>10</v>
      </c>
      <c r="B3353" s="1">
        <v>45307.625</v>
      </c>
      <c r="C3353">
        <v>848.52813742385695</v>
      </c>
      <c r="D3353">
        <v>565.68542494923804</v>
      </c>
    </row>
    <row r="3354" spans="1:4" x14ac:dyDescent="0.3">
      <c r="A3354" t="s">
        <v>10</v>
      </c>
      <c r="B3354" s="1">
        <v>45307.666666666664</v>
      </c>
      <c r="C3354">
        <v>600</v>
      </c>
      <c r="D3354">
        <v>399.99999999999898</v>
      </c>
    </row>
    <row r="3355" spans="1:4" x14ac:dyDescent="0.3">
      <c r="A3355" t="s">
        <v>10</v>
      </c>
      <c r="B3355" s="1">
        <v>45307.708333333336</v>
      </c>
      <c r="C3355">
        <v>310.58285412302502</v>
      </c>
      <c r="D3355">
        <v>207.05523608201599</v>
      </c>
    </row>
    <row r="3356" spans="1:4" x14ac:dyDescent="0.3">
      <c r="A3356" t="s">
        <v>10</v>
      </c>
      <c r="B3356" s="1">
        <v>45307.75</v>
      </c>
      <c r="C3356" s="2">
        <v>1.46957615897682E-13</v>
      </c>
      <c r="D3356" s="2">
        <v>9.7971743931788194E-14</v>
      </c>
    </row>
    <row r="3357" spans="1:4" x14ac:dyDescent="0.3">
      <c r="A3357" t="s">
        <v>10</v>
      </c>
      <c r="B3357" s="1">
        <v>45307.791666666664</v>
      </c>
      <c r="C3357">
        <v>0</v>
      </c>
      <c r="D3357">
        <v>0</v>
      </c>
    </row>
    <row r="3358" spans="1:4" x14ac:dyDescent="0.3">
      <c r="A3358" t="s">
        <v>10</v>
      </c>
      <c r="B3358" s="1">
        <v>45307.833333333336</v>
      </c>
      <c r="C3358">
        <v>0</v>
      </c>
      <c r="D3358">
        <v>0</v>
      </c>
    </row>
    <row r="3359" spans="1:4" x14ac:dyDescent="0.3">
      <c r="A3359" t="s">
        <v>10</v>
      </c>
      <c r="B3359" s="1">
        <v>45307.875</v>
      </c>
      <c r="C3359">
        <v>0</v>
      </c>
      <c r="D3359">
        <v>0</v>
      </c>
    </row>
    <row r="3360" spans="1:4" x14ac:dyDescent="0.3">
      <c r="A3360" t="s">
        <v>10</v>
      </c>
      <c r="B3360" s="1">
        <v>45307.916666666664</v>
      </c>
      <c r="C3360">
        <v>0</v>
      </c>
      <c r="D3360">
        <v>0</v>
      </c>
    </row>
    <row r="3361" spans="1:4" x14ac:dyDescent="0.3">
      <c r="A3361" t="s">
        <v>10</v>
      </c>
      <c r="B3361" s="1">
        <v>45307.958333333336</v>
      </c>
      <c r="C3361">
        <v>0</v>
      </c>
      <c r="D3361">
        <v>0</v>
      </c>
    </row>
    <row r="3362" spans="1:4" x14ac:dyDescent="0.3">
      <c r="A3362" t="s">
        <v>10</v>
      </c>
      <c r="B3362" s="1">
        <v>45308</v>
      </c>
      <c r="C3362">
        <v>0</v>
      </c>
      <c r="D3362">
        <v>0</v>
      </c>
    </row>
    <row r="3363" spans="1:4" x14ac:dyDescent="0.3">
      <c r="A3363" t="s">
        <v>10</v>
      </c>
      <c r="B3363" s="1">
        <v>45308.041666666664</v>
      </c>
      <c r="C3363">
        <v>0</v>
      </c>
      <c r="D3363">
        <v>0</v>
      </c>
    </row>
    <row r="3364" spans="1:4" x14ac:dyDescent="0.3">
      <c r="A3364" t="s">
        <v>10</v>
      </c>
      <c r="B3364" s="1">
        <v>45308.083333333336</v>
      </c>
      <c r="C3364">
        <v>0</v>
      </c>
      <c r="D3364">
        <v>0</v>
      </c>
    </row>
    <row r="3365" spans="1:4" x14ac:dyDescent="0.3">
      <c r="A3365" t="s">
        <v>10</v>
      </c>
      <c r="B3365" s="1">
        <v>45308.125</v>
      </c>
      <c r="C3365">
        <v>0</v>
      </c>
      <c r="D3365">
        <v>0</v>
      </c>
    </row>
    <row r="3366" spans="1:4" x14ac:dyDescent="0.3">
      <c r="A3366" t="s">
        <v>10</v>
      </c>
      <c r="B3366" s="1">
        <v>45308.166666666664</v>
      </c>
      <c r="C3366">
        <v>0</v>
      </c>
      <c r="D3366">
        <v>0</v>
      </c>
    </row>
    <row r="3367" spans="1:4" x14ac:dyDescent="0.3">
      <c r="A3367" t="s">
        <v>10</v>
      </c>
      <c r="B3367" s="1">
        <v>45308.208333333336</v>
      </c>
      <c r="C3367">
        <v>0</v>
      </c>
      <c r="D3367">
        <v>0</v>
      </c>
    </row>
    <row r="3368" spans="1:4" x14ac:dyDescent="0.3">
      <c r="A3368" t="s">
        <v>10</v>
      </c>
      <c r="B3368" s="1">
        <v>45308.25</v>
      </c>
      <c r="C3368">
        <v>0</v>
      </c>
      <c r="D3368">
        <v>0</v>
      </c>
    </row>
    <row r="3369" spans="1:4" x14ac:dyDescent="0.3">
      <c r="A3369" t="s">
        <v>10</v>
      </c>
      <c r="B3369" s="1">
        <v>45308.291666666664</v>
      </c>
      <c r="C3369">
        <v>310.58285412302399</v>
      </c>
      <c r="D3369">
        <v>207.05523608201599</v>
      </c>
    </row>
    <row r="3370" spans="1:4" x14ac:dyDescent="0.3">
      <c r="A3370" t="s">
        <v>10</v>
      </c>
      <c r="B3370" s="1">
        <v>45308.333333333336</v>
      </c>
      <c r="C3370">
        <v>600</v>
      </c>
      <c r="D3370">
        <v>399.99999999999898</v>
      </c>
    </row>
    <row r="3371" spans="1:4" x14ac:dyDescent="0.3">
      <c r="A3371" t="s">
        <v>10</v>
      </c>
      <c r="B3371" s="1">
        <v>45308.375</v>
      </c>
      <c r="C3371">
        <v>848.52813742385695</v>
      </c>
      <c r="D3371">
        <v>565.68542494923804</v>
      </c>
    </row>
    <row r="3372" spans="1:4" x14ac:dyDescent="0.3">
      <c r="A3372" t="s">
        <v>10</v>
      </c>
      <c r="B3372" s="1">
        <v>45308.416666666664</v>
      </c>
      <c r="C3372">
        <v>1039.23048454132</v>
      </c>
      <c r="D3372">
        <v>692.82032302754999</v>
      </c>
    </row>
    <row r="3373" spans="1:4" x14ac:dyDescent="0.3">
      <c r="A3373" t="s">
        <v>10</v>
      </c>
      <c r="B3373" s="1">
        <v>45308.458333333336</v>
      </c>
      <c r="C3373">
        <v>1159.1109915468801</v>
      </c>
      <c r="D3373">
        <v>772.74066103125404</v>
      </c>
    </row>
    <row r="3374" spans="1:4" x14ac:dyDescent="0.3">
      <c r="A3374" t="s">
        <v>10</v>
      </c>
      <c r="B3374" s="1">
        <v>45308.5</v>
      </c>
      <c r="C3374">
        <v>1200</v>
      </c>
      <c r="D3374">
        <v>800</v>
      </c>
    </row>
    <row r="3375" spans="1:4" x14ac:dyDescent="0.3">
      <c r="A3375" t="s">
        <v>10</v>
      </c>
      <c r="B3375" s="1">
        <v>45308.541666666664</v>
      </c>
      <c r="C3375">
        <v>1159.1109915468801</v>
      </c>
      <c r="D3375">
        <v>772.74066103125404</v>
      </c>
    </row>
    <row r="3376" spans="1:4" x14ac:dyDescent="0.3">
      <c r="A3376" t="s">
        <v>10</v>
      </c>
      <c r="B3376" s="1">
        <v>45308.583333333336</v>
      </c>
      <c r="C3376">
        <v>1039.23048454132</v>
      </c>
      <c r="D3376">
        <v>692.82032302755101</v>
      </c>
    </row>
    <row r="3377" spans="1:4" x14ac:dyDescent="0.3">
      <c r="A3377" t="s">
        <v>10</v>
      </c>
      <c r="B3377" s="1">
        <v>45308.625</v>
      </c>
      <c r="C3377">
        <v>848.52813742385695</v>
      </c>
      <c r="D3377">
        <v>565.68542494923804</v>
      </c>
    </row>
    <row r="3378" spans="1:4" x14ac:dyDescent="0.3">
      <c r="A3378" t="s">
        <v>10</v>
      </c>
      <c r="B3378" s="1">
        <v>45308.666666666664</v>
      </c>
      <c r="C3378">
        <v>600</v>
      </c>
      <c r="D3378">
        <v>399.99999999999898</v>
      </c>
    </row>
    <row r="3379" spans="1:4" x14ac:dyDescent="0.3">
      <c r="A3379" t="s">
        <v>10</v>
      </c>
      <c r="B3379" s="1">
        <v>45308.708333333336</v>
      </c>
      <c r="C3379">
        <v>310.58285412302502</v>
      </c>
      <c r="D3379">
        <v>207.05523608201599</v>
      </c>
    </row>
    <row r="3380" spans="1:4" x14ac:dyDescent="0.3">
      <c r="A3380" t="s">
        <v>10</v>
      </c>
      <c r="B3380" s="1">
        <v>45308.75</v>
      </c>
      <c r="C3380" s="2">
        <v>1.46957615897682E-13</v>
      </c>
      <c r="D3380" s="2">
        <v>9.7971743931788194E-14</v>
      </c>
    </row>
    <row r="3381" spans="1:4" x14ac:dyDescent="0.3">
      <c r="A3381" t="s">
        <v>10</v>
      </c>
      <c r="B3381" s="1">
        <v>45308.791666666664</v>
      </c>
      <c r="C3381">
        <v>0</v>
      </c>
      <c r="D3381">
        <v>0</v>
      </c>
    </row>
    <row r="3382" spans="1:4" x14ac:dyDescent="0.3">
      <c r="A3382" t="s">
        <v>10</v>
      </c>
      <c r="B3382" s="1">
        <v>45308.833333333336</v>
      </c>
      <c r="C3382">
        <v>0</v>
      </c>
      <c r="D3382">
        <v>0</v>
      </c>
    </row>
    <row r="3383" spans="1:4" x14ac:dyDescent="0.3">
      <c r="A3383" t="s">
        <v>10</v>
      </c>
      <c r="B3383" s="1">
        <v>45308.875</v>
      </c>
      <c r="C3383">
        <v>0</v>
      </c>
      <c r="D3383">
        <v>0</v>
      </c>
    </row>
    <row r="3384" spans="1:4" x14ac:dyDescent="0.3">
      <c r="A3384" t="s">
        <v>10</v>
      </c>
      <c r="B3384" s="1">
        <v>45308.916666666664</v>
      </c>
      <c r="C3384">
        <v>0</v>
      </c>
      <c r="D3384">
        <v>0</v>
      </c>
    </row>
    <row r="3385" spans="1:4" x14ac:dyDescent="0.3">
      <c r="A3385" t="s">
        <v>10</v>
      </c>
      <c r="B3385" s="1">
        <v>45308.958333333336</v>
      </c>
      <c r="C3385">
        <v>0</v>
      </c>
      <c r="D3385">
        <v>0</v>
      </c>
    </row>
    <row r="3386" spans="1:4" x14ac:dyDescent="0.3">
      <c r="A3386" t="s">
        <v>10</v>
      </c>
      <c r="B3386" s="1">
        <v>45309</v>
      </c>
      <c r="C3386">
        <v>0</v>
      </c>
      <c r="D3386">
        <v>0</v>
      </c>
    </row>
    <row r="3387" spans="1:4" x14ac:dyDescent="0.3">
      <c r="A3387" t="s">
        <v>10</v>
      </c>
      <c r="B3387" s="1">
        <v>45309.041666666664</v>
      </c>
      <c r="C3387">
        <v>0</v>
      </c>
      <c r="D3387">
        <v>0</v>
      </c>
    </row>
    <row r="3388" spans="1:4" x14ac:dyDescent="0.3">
      <c r="A3388" t="s">
        <v>10</v>
      </c>
      <c r="B3388" s="1">
        <v>45309.083333333336</v>
      </c>
      <c r="C3388">
        <v>0</v>
      </c>
      <c r="D3388">
        <v>0</v>
      </c>
    </row>
    <row r="3389" spans="1:4" x14ac:dyDescent="0.3">
      <c r="A3389" t="s">
        <v>10</v>
      </c>
      <c r="B3389" s="1">
        <v>45309.125</v>
      </c>
      <c r="C3389">
        <v>0</v>
      </c>
      <c r="D3389">
        <v>0</v>
      </c>
    </row>
    <row r="3390" spans="1:4" x14ac:dyDescent="0.3">
      <c r="A3390" t="s">
        <v>10</v>
      </c>
      <c r="B3390" s="1">
        <v>45309.166666666664</v>
      </c>
      <c r="C3390">
        <v>0</v>
      </c>
      <c r="D3390">
        <v>0</v>
      </c>
    </row>
    <row r="3391" spans="1:4" x14ac:dyDescent="0.3">
      <c r="A3391" t="s">
        <v>10</v>
      </c>
      <c r="B3391" s="1">
        <v>45309.208333333336</v>
      </c>
      <c r="C3391">
        <v>0</v>
      </c>
      <c r="D3391">
        <v>0</v>
      </c>
    </row>
    <row r="3392" spans="1:4" x14ac:dyDescent="0.3">
      <c r="A3392" t="s">
        <v>10</v>
      </c>
      <c r="B3392" s="1">
        <v>45309.25</v>
      </c>
      <c r="C3392">
        <v>0</v>
      </c>
      <c r="D3392">
        <v>0</v>
      </c>
    </row>
    <row r="3393" spans="1:4" x14ac:dyDescent="0.3">
      <c r="A3393" t="s">
        <v>10</v>
      </c>
      <c r="B3393" s="1">
        <v>45309.291666666664</v>
      </c>
      <c r="C3393">
        <v>310.58285412302399</v>
      </c>
      <c r="D3393">
        <v>207.05523608201599</v>
      </c>
    </row>
    <row r="3394" spans="1:4" x14ac:dyDescent="0.3">
      <c r="A3394" t="s">
        <v>10</v>
      </c>
      <c r="B3394" s="1">
        <v>45309.333333333336</v>
      </c>
      <c r="C3394">
        <v>600</v>
      </c>
      <c r="D3394">
        <v>399.99999999999898</v>
      </c>
    </row>
    <row r="3395" spans="1:4" x14ac:dyDescent="0.3">
      <c r="A3395" t="s">
        <v>10</v>
      </c>
      <c r="B3395" s="1">
        <v>45309.375</v>
      </c>
      <c r="C3395">
        <v>848.52813742385695</v>
      </c>
      <c r="D3395">
        <v>565.68542494923804</v>
      </c>
    </row>
    <row r="3396" spans="1:4" x14ac:dyDescent="0.3">
      <c r="A3396" t="s">
        <v>10</v>
      </c>
      <c r="B3396" s="1">
        <v>45309.416666666664</v>
      </c>
      <c r="C3396">
        <v>1039.23048454132</v>
      </c>
      <c r="D3396">
        <v>692.82032302754999</v>
      </c>
    </row>
    <row r="3397" spans="1:4" x14ac:dyDescent="0.3">
      <c r="A3397" t="s">
        <v>10</v>
      </c>
      <c r="B3397" s="1">
        <v>45309.458333333336</v>
      </c>
      <c r="C3397">
        <v>1159.1109915468801</v>
      </c>
      <c r="D3397">
        <v>772.74066103125404</v>
      </c>
    </row>
    <row r="3398" spans="1:4" x14ac:dyDescent="0.3">
      <c r="A3398" t="s">
        <v>10</v>
      </c>
      <c r="B3398" s="1">
        <v>45309.5</v>
      </c>
      <c r="C3398">
        <v>1200</v>
      </c>
      <c r="D3398">
        <v>800</v>
      </c>
    </row>
    <row r="3399" spans="1:4" x14ac:dyDescent="0.3">
      <c r="A3399" t="s">
        <v>10</v>
      </c>
      <c r="B3399" s="1">
        <v>45309.541666666664</v>
      </c>
      <c r="C3399">
        <v>1159.1109915468801</v>
      </c>
      <c r="D3399">
        <v>772.74066103125404</v>
      </c>
    </row>
    <row r="3400" spans="1:4" x14ac:dyDescent="0.3">
      <c r="A3400" t="s">
        <v>10</v>
      </c>
      <c r="B3400" s="1">
        <v>45309.583333333336</v>
      </c>
      <c r="C3400">
        <v>1039.23048454132</v>
      </c>
      <c r="D3400">
        <v>692.82032302755101</v>
      </c>
    </row>
    <row r="3401" spans="1:4" x14ac:dyDescent="0.3">
      <c r="A3401" t="s">
        <v>10</v>
      </c>
      <c r="B3401" s="1">
        <v>45309.625</v>
      </c>
      <c r="C3401">
        <v>848.52813742385695</v>
      </c>
      <c r="D3401">
        <v>565.68542494923804</v>
      </c>
    </row>
    <row r="3402" spans="1:4" x14ac:dyDescent="0.3">
      <c r="A3402" t="s">
        <v>10</v>
      </c>
      <c r="B3402" s="1">
        <v>45309.666666666664</v>
      </c>
      <c r="C3402">
        <v>600</v>
      </c>
      <c r="D3402">
        <v>399.99999999999898</v>
      </c>
    </row>
    <row r="3403" spans="1:4" x14ac:dyDescent="0.3">
      <c r="A3403" t="s">
        <v>10</v>
      </c>
      <c r="B3403" s="1">
        <v>45309.708333333336</v>
      </c>
      <c r="C3403">
        <v>310.58285412302502</v>
      </c>
      <c r="D3403">
        <v>207.05523608201599</v>
      </c>
    </row>
    <row r="3404" spans="1:4" x14ac:dyDescent="0.3">
      <c r="A3404" t="s">
        <v>10</v>
      </c>
      <c r="B3404" s="1">
        <v>45309.75</v>
      </c>
      <c r="C3404" s="2">
        <v>1.46957615897682E-13</v>
      </c>
      <c r="D3404" s="2">
        <v>9.7971743931788194E-14</v>
      </c>
    </row>
    <row r="3405" spans="1:4" x14ac:dyDescent="0.3">
      <c r="A3405" t="s">
        <v>10</v>
      </c>
      <c r="B3405" s="1">
        <v>45309.791666666664</v>
      </c>
      <c r="C3405">
        <v>0</v>
      </c>
      <c r="D3405">
        <v>0</v>
      </c>
    </row>
    <row r="3406" spans="1:4" x14ac:dyDescent="0.3">
      <c r="A3406" t="s">
        <v>10</v>
      </c>
      <c r="B3406" s="1">
        <v>45309.833333333336</v>
      </c>
      <c r="C3406">
        <v>0</v>
      </c>
      <c r="D3406">
        <v>0</v>
      </c>
    </row>
    <row r="3407" spans="1:4" x14ac:dyDescent="0.3">
      <c r="A3407" t="s">
        <v>10</v>
      </c>
      <c r="B3407" s="1">
        <v>45309.875</v>
      </c>
      <c r="C3407">
        <v>0</v>
      </c>
      <c r="D3407">
        <v>0</v>
      </c>
    </row>
    <row r="3408" spans="1:4" x14ac:dyDescent="0.3">
      <c r="A3408" t="s">
        <v>10</v>
      </c>
      <c r="B3408" s="1">
        <v>45309.916666666664</v>
      </c>
      <c r="C3408">
        <v>0</v>
      </c>
      <c r="D3408">
        <v>0</v>
      </c>
    </row>
    <row r="3409" spans="1:4" x14ac:dyDescent="0.3">
      <c r="A3409" t="s">
        <v>10</v>
      </c>
      <c r="B3409" s="1">
        <v>45309.958333333336</v>
      </c>
      <c r="C3409">
        <v>0</v>
      </c>
      <c r="D3409">
        <v>0</v>
      </c>
    </row>
    <row r="3410" spans="1:4" x14ac:dyDescent="0.3">
      <c r="A3410" t="s">
        <v>10</v>
      </c>
      <c r="B3410" s="1">
        <v>45310</v>
      </c>
      <c r="C3410">
        <v>0</v>
      </c>
      <c r="D3410">
        <v>0</v>
      </c>
    </row>
    <row r="3411" spans="1:4" x14ac:dyDescent="0.3">
      <c r="A3411" t="s">
        <v>10</v>
      </c>
      <c r="B3411" s="1">
        <v>45310.041666666664</v>
      </c>
      <c r="C3411">
        <v>0</v>
      </c>
      <c r="D3411">
        <v>0</v>
      </c>
    </row>
    <row r="3412" spans="1:4" x14ac:dyDescent="0.3">
      <c r="A3412" t="s">
        <v>10</v>
      </c>
      <c r="B3412" s="1">
        <v>45310.083333333336</v>
      </c>
      <c r="C3412">
        <v>0</v>
      </c>
      <c r="D3412">
        <v>0</v>
      </c>
    </row>
    <row r="3413" spans="1:4" x14ac:dyDescent="0.3">
      <c r="A3413" t="s">
        <v>10</v>
      </c>
      <c r="B3413" s="1">
        <v>45310.125</v>
      </c>
      <c r="C3413">
        <v>0</v>
      </c>
      <c r="D3413">
        <v>0</v>
      </c>
    </row>
    <row r="3414" spans="1:4" x14ac:dyDescent="0.3">
      <c r="A3414" t="s">
        <v>10</v>
      </c>
      <c r="B3414" s="1">
        <v>45310.166666666664</v>
      </c>
      <c r="C3414">
        <v>0</v>
      </c>
      <c r="D3414">
        <v>0</v>
      </c>
    </row>
    <row r="3415" spans="1:4" x14ac:dyDescent="0.3">
      <c r="A3415" t="s">
        <v>10</v>
      </c>
      <c r="B3415" s="1">
        <v>45310.208333333336</v>
      </c>
      <c r="C3415">
        <v>0</v>
      </c>
      <c r="D3415">
        <v>0</v>
      </c>
    </row>
    <row r="3416" spans="1:4" x14ac:dyDescent="0.3">
      <c r="A3416" t="s">
        <v>10</v>
      </c>
      <c r="B3416" s="1">
        <v>45310.25</v>
      </c>
      <c r="C3416">
        <v>0</v>
      </c>
      <c r="D3416">
        <v>0</v>
      </c>
    </row>
    <row r="3417" spans="1:4" x14ac:dyDescent="0.3">
      <c r="A3417" t="s">
        <v>10</v>
      </c>
      <c r="B3417" s="1">
        <v>45310.291666666664</v>
      </c>
      <c r="C3417">
        <v>310.58285412302399</v>
      </c>
      <c r="D3417">
        <v>207.05523608201599</v>
      </c>
    </row>
    <row r="3418" spans="1:4" x14ac:dyDescent="0.3">
      <c r="A3418" t="s">
        <v>10</v>
      </c>
      <c r="B3418" s="1">
        <v>45310.333333333336</v>
      </c>
      <c r="C3418">
        <v>600</v>
      </c>
      <c r="D3418">
        <v>399.99999999999898</v>
      </c>
    </row>
    <row r="3419" spans="1:4" x14ac:dyDescent="0.3">
      <c r="A3419" t="s">
        <v>10</v>
      </c>
      <c r="B3419" s="1">
        <v>45310.375</v>
      </c>
      <c r="C3419">
        <v>848.52813742385695</v>
      </c>
      <c r="D3419">
        <v>565.68542494923804</v>
      </c>
    </row>
    <row r="3420" spans="1:4" x14ac:dyDescent="0.3">
      <c r="A3420" t="s">
        <v>10</v>
      </c>
      <c r="B3420" s="1">
        <v>45310.416666666664</v>
      </c>
      <c r="C3420">
        <v>1039.23048454132</v>
      </c>
      <c r="D3420">
        <v>692.82032302754999</v>
      </c>
    </row>
    <row r="3421" spans="1:4" x14ac:dyDescent="0.3">
      <c r="A3421" t="s">
        <v>10</v>
      </c>
      <c r="B3421" s="1">
        <v>45310.458333333336</v>
      </c>
      <c r="C3421">
        <v>1159.1109915468801</v>
      </c>
      <c r="D3421">
        <v>772.74066103125404</v>
      </c>
    </row>
    <row r="3422" spans="1:4" x14ac:dyDescent="0.3">
      <c r="A3422" t="s">
        <v>10</v>
      </c>
      <c r="B3422" s="1">
        <v>45310.5</v>
      </c>
      <c r="C3422">
        <v>1200</v>
      </c>
      <c r="D3422">
        <v>800</v>
      </c>
    </row>
    <row r="3423" spans="1:4" x14ac:dyDescent="0.3">
      <c r="A3423" t="s">
        <v>10</v>
      </c>
      <c r="B3423" s="1">
        <v>45310.541666666664</v>
      </c>
      <c r="C3423">
        <v>1159.1109915468801</v>
      </c>
      <c r="D3423">
        <v>772.74066103125404</v>
      </c>
    </row>
    <row r="3424" spans="1:4" x14ac:dyDescent="0.3">
      <c r="A3424" t="s">
        <v>10</v>
      </c>
      <c r="B3424" s="1">
        <v>45310.583333333336</v>
      </c>
      <c r="C3424">
        <v>1039.23048454132</v>
      </c>
      <c r="D3424">
        <v>692.82032302755101</v>
      </c>
    </row>
    <row r="3425" spans="1:4" x14ac:dyDescent="0.3">
      <c r="A3425" t="s">
        <v>10</v>
      </c>
      <c r="B3425" s="1">
        <v>45310.625</v>
      </c>
      <c r="C3425">
        <v>848.52813742385695</v>
      </c>
      <c r="D3425">
        <v>565.68542494923804</v>
      </c>
    </row>
    <row r="3426" spans="1:4" x14ac:dyDescent="0.3">
      <c r="A3426" t="s">
        <v>10</v>
      </c>
      <c r="B3426" s="1">
        <v>45310.666666666664</v>
      </c>
      <c r="C3426">
        <v>600</v>
      </c>
      <c r="D3426">
        <v>399.99999999999898</v>
      </c>
    </row>
    <row r="3427" spans="1:4" x14ac:dyDescent="0.3">
      <c r="A3427" t="s">
        <v>10</v>
      </c>
      <c r="B3427" s="1">
        <v>45310.708333333336</v>
      </c>
      <c r="C3427">
        <v>310.58285412302502</v>
      </c>
      <c r="D3427">
        <v>207.05523608201599</v>
      </c>
    </row>
    <row r="3428" spans="1:4" x14ac:dyDescent="0.3">
      <c r="A3428" t="s">
        <v>10</v>
      </c>
      <c r="B3428" s="1">
        <v>45310.75</v>
      </c>
      <c r="C3428" s="2">
        <v>1.46957615897682E-13</v>
      </c>
      <c r="D3428" s="2">
        <v>9.7971743931788194E-14</v>
      </c>
    </row>
    <row r="3429" spans="1:4" x14ac:dyDescent="0.3">
      <c r="A3429" t="s">
        <v>10</v>
      </c>
      <c r="B3429" s="1">
        <v>45310.791666666664</v>
      </c>
      <c r="C3429">
        <v>0</v>
      </c>
      <c r="D3429">
        <v>0</v>
      </c>
    </row>
    <row r="3430" spans="1:4" x14ac:dyDescent="0.3">
      <c r="A3430" t="s">
        <v>10</v>
      </c>
      <c r="B3430" s="1">
        <v>45310.833333333336</v>
      </c>
      <c r="C3430">
        <v>0</v>
      </c>
      <c r="D3430">
        <v>0</v>
      </c>
    </row>
    <row r="3431" spans="1:4" x14ac:dyDescent="0.3">
      <c r="A3431" t="s">
        <v>10</v>
      </c>
      <c r="B3431" s="1">
        <v>45310.875</v>
      </c>
      <c r="C3431">
        <v>0</v>
      </c>
      <c r="D3431">
        <v>0</v>
      </c>
    </row>
    <row r="3432" spans="1:4" x14ac:dyDescent="0.3">
      <c r="A3432" t="s">
        <v>10</v>
      </c>
      <c r="B3432" s="1">
        <v>45310.916666666664</v>
      </c>
      <c r="C3432">
        <v>0</v>
      </c>
      <c r="D3432">
        <v>0</v>
      </c>
    </row>
    <row r="3433" spans="1:4" x14ac:dyDescent="0.3">
      <c r="A3433" t="s">
        <v>10</v>
      </c>
      <c r="B3433" s="1">
        <v>45310.958333333336</v>
      </c>
      <c r="C3433">
        <v>0</v>
      </c>
      <c r="D3433">
        <v>0</v>
      </c>
    </row>
    <row r="3434" spans="1:4" x14ac:dyDescent="0.3">
      <c r="A3434" t="s">
        <v>10</v>
      </c>
      <c r="B3434" s="1">
        <v>45311</v>
      </c>
      <c r="C3434">
        <v>0</v>
      </c>
      <c r="D3434">
        <v>0</v>
      </c>
    </row>
    <row r="3435" spans="1:4" x14ac:dyDescent="0.3">
      <c r="A3435" t="s">
        <v>10</v>
      </c>
      <c r="B3435" s="1">
        <v>45311.041666666664</v>
      </c>
      <c r="C3435">
        <v>0</v>
      </c>
      <c r="D3435">
        <v>0</v>
      </c>
    </row>
    <row r="3436" spans="1:4" x14ac:dyDescent="0.3">
      <c r="A3436" t="s">
        <v>10</v>
      </c>
      <c r="B3436" s="1">
        <v>45311.083333333336</v>
      </c>
      <c r="C3436">
        <v>0</v>
      </c>
      <c r="D3436">
        <v>0</v>
      </c>
    </row>
    <row r="3437" spans="1:4" x14ac:dyDescent="0.3">
      <c r="A3437" t="s">
        <v>10</v>
      </c>
      <c r="B3437" s="1">
        <v>45311.125</v>
      </c>
      <c r="C3437">
        <v>0</v>
      </c>
      <c r="D3437">
        <v>0</v>
      </c>
    </row>
    <row r="3438" spans="1:4" x14ac:dyDescent="0.3">
      <c r="A3438" t="s">
        <v>10</v>
      </c>
      <c r="B3438" s="1">
        <v>45311.166666666664</v>
      </c>
      <c r="C3438">
        <v>0</v>
      </c>
      <c r="D3438">
        <v>0</v>
      </c>
    </row>
    <row r="3439" spans="1:4" x14ac:dyDescent="0.3">
      <c r="A3439" t="s">
        <v>10</v>
      </c>
      <c r="B3439" s="1">
        <v>45311.208333333336</v>
      </c>
      <c r="C3439">
        <v>0</v>
      </c>
      <c r="D3439">
        <v>0</v>
      </c>
    </row>
    <row r="3440" spans="1:4" x14ac:dyDescent="0.3">
      <c r="A3440" t="s">
        <v>10</v>
      </c>
      <c r="B3440" s="1">
        <v>45311.25</v>
      </c>
      <c r="C3440">
        <v>0</v>
      </c>
      <c r="D3440">
        <v>0</v>
      </c>
    </row>
    <row r="3441" spans="1:4" x14ac:dyDescent="0.3">
      <c r="A3441" t="s">
        <v>10</v>
      </c>
      <c r="B3441" s="1">
        <v>45311.291666666664</v>
      </c>
      <c r="C3441">
        <v>310.58285412302399</v>
      </c>
      <c r="D3441">
        <v>207.05523608201599</v>
      </c>
    </row>
    <row r="3442" spans="1:4" x14ac:dyDescent="0.3">
      <c r="A3442" t="s">
        <v>10</v>
      </c>
      <c r="B3442" s="1">
        <v>45311.333333333336</v>
      </c>
      <c r="C3442">
        <v>600</v>
      </c>
      <c r="D3442">
        <v>399.99999999999898</v>
      </c>
    </row>
    <row r="3443" spans="1:4" x14ac:dyDescent="0.3">
      <c r="A3443" t="s">
        <v>10</v>
      </c>
      <c r="B3443" s="1">
        <v>45311.375</v>
      </c>
      <c r="C3443">
        <v>848.52813742385695</v>
      </c>
      <c r="D3443">
        <v>565.68542494923804</v>
      </c>
    </row>
    <row r="3444" spans="1:4" x14ac:dyDescent="0.3">
      <c r="A3444" t="s">
        <v>10</v>
      </c>
      <c r="B3444" s="1">
        <v>45311.416666666664</v>
      </c>
      <c r="C3444">
        <v>1039.23048454132</v>
      </c>
      <c r="D3444">
        <v>692.82032302754999</v>
      </c>
    </row>
    <row r="3445" spans="1:4" x14ac:dyDescent="0.3">
      <c r="A3445" t="s">
        <v>10</v>
      </c>
      <c r="B3445" s="1">
        <v>45311.458333333336</v>
      </c>
      <c r="C3445">
        <v>1159.1109915468801</v>
      </c>
      <c r="D3445">
        <v>772.74066103125404</v>
      </c>
    </row>
    <row r="3446" spans="1:4" x14ac:dyDescent="0.3">
      <c r="A3446" t="s">
        <v>10</v>
      </c>
      <c r="B3446" s="1">
        <v>45311.5</v>
      </c>
      <c r="C3446">
        <v>1200</v>
      </c>
      <c r="D3446">
        <v>800</v>
      </c>
    </row>
    <row r="3447" spans="1:4" x14ac:dyDescent="0.3">
      <c r="A3447" t="s">
        <v>10</v>
      </c>
      <c r="B3447" s="1">
        <v>45311.541666666664</v>
      </c>
      <c r="C3447">
        <v>1159.1109915468801</v>
      </c>
      <c r="D3447">
        <v>772.74066103125404</v>
      </c>
    </row>
    <row r="3448" spans="1:4" x14ac:dyDescent="0.3">
      <c r="A3448" t="s">
        <v>10</v>
      </c>
      <c r="B3448" s="1">
        <v>45311.583333333336</v>
      </c>
      <c r="C3448">
        <v>1039.23048454132</v>
      </c>
      <c r="D3448">
        <v>692.82032302755101</v>
      </c>
    </row>
    <row r="3449" spans="1:4" x14ac:dyDescent="0.3">
      <c r="A3449" t="s">
        <v>10</v>
      </c>
      <c r="B3449" s="1">
        <v>45311.625</v>
      </c>
      <c r="C3449">
        <v>848.52813742385695</v>
      </c>
      <c r="D3449">
        <v>565.68542494923804</v>
      </c>
    </row>
    <row r="3450" spans="1:4" x14ac:dyDescent="0.3">
      <c r="A3450" t="s">
        <v>10</v>
      </c>
      <c r="B3450" s="1">
        <v>45311.666666666664</v>
      </c>
      <c r="C3450">
        <v>600</v>
      </c>
      <c r="D3450">
        <v>399.99999999999898</v>
      </c>
    </row>
    <row r="3451" spans="1:4" x14ac:dyDescent="0.3">
      <c r="A3451" t="s">
        <v>10</v>
      </c>
      <c r="B3451" s="1">
        <v>45311.708333333336</v>
      </c>
      <c r="C3451">
        <v>310.58285412302502</v>
      </c>
      <c r="D3451">
        <v>207.05523608201599</v>
      </c>
    </row>
    <row r="3452" spans="1:4" x14ac:dyDescent="0.3">
      <c r="A3452" t="s">
        <v>10</v>
      </c>
      <c r="B3452" s="1">
        <v>45311.75</v>
      </c>
      <c r="C3452" s="2">
        <v>1.46957615897682E-13</v>
      </c>
      <c r="D3452" s="2">
        <v>9.7971743931788194E-14</v>
      </c>
    </row>
    <row r="3453" spans="1:4" x14ac:dyDescent="0.3">
      <c r="A3453" t="s">
        <v>10</v>
      </c>
      <c r="B3453" s="1">
        <v>45311.791666666664</v>
      </c>
      <c r="C3453">
        <v>0</v>
      </c>
      <c r="D3453">
        <v>0</v>
      </c>
    </row>
    <row r="3454" spans="1:4" x14ac:dyDescent="0.3">
      <c r="A3454" t="s">
        <v>10</v>
      </c>
      <c r="B3454" s="1">
        <v>45311.833333333336</v>
      </c>
      <c r="C3454">
        <v>0</v>
      </c>
      <c r="D3454">
        <v>0</v>
      </c>
    </row>
    <row r="3455" spans="1:4" x14ac:dyDescent="0.3">
      <c r="A3455" t="s">
        <v>10</v>
      </c>
      <c r="B3455" s="1">
        <v>45311.875</v>
      </c>
      <c r="C3455">
        <v>0</v>
      </c>
      <c r="D3455">
        <v>0</v>
      </c>
    </row>
    <row r="3456" spans="1:4" x14ac:dyDescent="0.3">
      <c r="A3456" t="s">
        <v>10</v>
      </c>
      <c r="B3456" s="1">
        <v>45311.916666666664</v>
      </c>
      <c r="C3456">
        <v>0</v>
      </c>
      <c r="D3456">
        <v>0</v>
      </c>
    </row>
    <row r="3457" spans="1:4" x14ac:dyDescent="0.3">
      <c r="A3457" t="s">
        <v>10</v>
      </c>
      <c r="B3457" s="1">
        <v>45311.958333333336</v>
      </c>
      <c r="C3457">
        <v>0</v>
      </c>
      <c r="D3457">
        <v>0</v>
      </c>
    </row>
    <row r="3458" spans="1:4" x14ac:dyDescent="0.3">
      <c r="A3458" t="s">
        <v>10</v>
      </c>
      <c r="B3458" s="1">
        <v>45312</v>
      </c>
      <c r="C3458">
        <v>0</v>
      </c>
      <c r="D3458">
        <v>0</v>
      </c>
    </row>
    <row r="3459" spans="1:4" x14ac:dyDescent="0.3">
      <c r="A3459" t="s">
        <v>10</v>
      </c>
      <c r="B3459" s="1">
        <v>45312.041666666664</v>
      </c>
      <c r="C3459">
        <v>0</v>
      </c>
      <c r="D3459">
        <v>0</v>
      </c>
    </row>
    <row r="3460" spans="1:4" x14ac:dyDescent="0.3">
      <c r="A3460" t="s">
        <v>10</v>
      </c>
      <c r="B3460" s="1">
        <v>45312.083333333336</v>
      </c>
      <c r="C3460">
        <v>0</v>
      </c>
      <c r="D3460">
        <v>0</v>
      </c>
    </row>
    <row r="3461" spans="1:4" x14ac:dyDescent="0.3">
      <c r="A3461" t="s">
        <v>10</v>
      </c>
      <c r="B3461" s="1">
        <v>45312.125</v>
      </c>
      <c r="C3461">
        <v>0</v>
      </c>
      <c r="D3461">
        <v>0</v>
      </c>
    </row>
    <row r="3462" spans="1:4" x14ac:dyDescent="0.3">
      <c r="A3462" t="s">
        <v>10</v>
      </c>
      <c r="B3462" s="1">
        <v>45312.166666666664</v>
      </c>
      <c r="C3462">
        <v>0</v>
      </c>
      <c r="D3462">
        <v>0</v>
      </c>
    </row>
    <row r="3463" spans="1:4" x14ac:dyDescent="0.3">
      <c r="A3463" t="s">
        <v>10</v>
      </c>
      <c r="B3463" s="1">
        <v>45312.208333333336</v>
      </c>
      <c r="C3463">
        <v>0</v>
      </c>
      <c r="D3463">
        <v>0</v>
      </c>
    </row>
    <row r="3464" spans="1:4" x14ac:dyDescent="0.3">
      <c r="A3464" t="s">
        <v>10</v>
      </c>
      <c r="B3464" s="1">
        <v>45312.25</v>
      </c>
      <c r="C3464">
        <v>0</v>
      </c>
      <c r="D3464">
        <v>0</v>
      </c>
    </row>
    <row r="3465" spans="1:4" x14ac:dyDescent="0.3">
      <c r="A3465" t="s">
        <v>10</v>
      </c>
      <c r="B3465" s="1">
        <v>45312.291666666664</v>
      </c>
      <c r="C3465">
        <v>310.58285412302399</v>
      </c>
      <c r="D3465">
        <v>207.05523608201599</v>
      </c>
    </row>
    <row r="3466" spans="1:4" x14ac:dyDescent="0.3">
      <c r="A3466" t="s">
        <v>10</v>
      </c>
      <c r="B3466" s="1">
        <v>45312.333333333336</v>
      </c>
      <c r="C3466">
        <v>600</v>
      </c>
      <c r="D3466">
        <v>399.99999999999898</v>
      </c>
    </row>
    <row r="3467" spans="1:4" x14ac:dyDescent="0.3">
      <c r="A3467" t="s">
        <v>10</v>
      </c>
      <c r="B3467" s="1">
        <v>45312.375</v>
      </c>
      <c r="C3467">
        <v>848.52813742385695</v>
      </c>
      <c r="D3467">
        <v>565.68542494923804</v>
      </c>
    </row>
    <row r="3468" spans="1:4" x14ac:dyDescent="0.3">
      <c r="A3468" t="s">
        <v>10</v>
      </c>
      <c r="B3468" s="1">
        <v>45312.416666666664</v>
      </c>
      <c r="C3468">
        <v>1039.23048454132</v>
      </c>
      <c r="D3468">
        <v>692.82032302754999</v>
      </c>
    </row>
    <row r="3469" spans="1:4" x14ac:dyDescent="0.3">
      <c r="A3469" t="s">
        <v>10</v>
      </c>
      <c r="B3469" s="1">
        <v>45312.458333333336</v>
      </c>
      <c r="C3469">
        <v>1159.1109915468801</v>
      </c>
      <c r="D3469">
        <v>772.74066103125404</v>
      </c>
    </row>
    <row r="3470" spans="1:4" x14ac:dyDescent="0.3">
      <c r="A3470" t="s">
        <v>10</v>
      </c>
      <c r="B3470" s="1">
        <v>45312.5</v>
      </c>
      <c r="C3470">
        <v>1200</v>
      </c>
      <c r="D3470">
        <v>800</v>
      </c>
    </row>
    <row r="3471" spans="1:4" x14ac:dyDescent="0.3">
      <c r="A3471" t="s">
        <v>10</v>
      </c>
      <c r="B3471" s="1">
        <v>45312.541666666664</v>
      </c>
      <c r="C3471">
        <v>1159.1109915468801</v>
      </c>
      <c r="D3471">
        <v>772.74066103125404</v>
      </c>
    </row>
    <row r="3472" spans="1:4" x14ac:dyDescent="0.3">
      <c r="A3472" t="s">
        <v>10</v>
      </c>
      <c r="B3472" s="1">
        <v>45312.583333333336</v>
      </c>
      <c r="C3472">
        <v>1039.23048454132</v>
      </c>
      <c r="D3472">
        <v>692.82032302755101</v>
      </c>
    </row>
    <row r="3473" spans="1:4" x14ac:dyDescent="0.3">
      <c r="A3473" t="s">
        <v>10</v>
      </c>
      <c r="B3473" s="1">
        <v>45312.625</v>
      </c>
      <c r="C3473">
        <v>848.52813742385695</v>
      </c>
      <c r="D3473">
        <v>565.68542494923804</v>
      </c>
    </row>
    <row r="3474" spans="1:4" x14ac:dyDescent="0.3">
      <c r="A3474" t="s">
        <v>10</v>
      </c>
      <c r="B3474" s="1">
        <v>45312.666666666664</v>
      </c>
      <c r="C3474">
        <v>600</v>
      </c>
      <c r="D3474">
        <v>399.99999999999898</v>
      </c>
    </row>
    <row r="3475" spans="1:4" x14ac:dyDescent="0.3">
      <c r="A3475" t="s">
        <v>10</v>
      </c>
      <c r="B3475" s="1">
        <v>45312.708333333336</v>
      </c>
      <c r="C3475">
        <v>310.58285412302502</v>
      </c>
      <c r="D3475">
        <v>207.05523608201599</v>
      </c>
    </row>
    <row r="3476" spans="1:4" x14ac:dyDescent="0.3">
      <c r="A3476" t="s">
        <v>10</v>
      </c>
      <c r="B3476" s="1">
        <v>45312.75</v>
      </c>
      <c r="C3476" s="2">
        <v>1.46957615897682E-13</v>
      </c>
      <c r="D3476" s="2">
        <v>9.7971743931788194E-14</v>
      </c>
    </row>
    <row r="3477" spans="1:4" x14ac:dyDescent="0.3">
      <c r="A3477" t="s">
        <v>10</v>
      </c>
      <c r="B3477" s="1">
        <v>45312.791666666664</v>
      </c>
      <c r="C3477">
        <v>0</v>
      </c>
      <c r="D3477">
        <v>0</v>
      </c>
    </row>
    <row r="3478" spans="1:4" x14ac:dyDescent="0.3">
      <c r="A3478" t="s">
        <v>10</v>
      </c>
      <c r="B3478" s="1">
        <v>45312.833333333336</v>
      </c>
      <c r="C3478">
        <v>0</v>
      </c>
      <c r="D3478">
        <v>0</v>
      </c>
    </row>
    <row r="3479" spans="1:4" x14ac:dyDescent="0.3">
      <c r="A3479" t="s">
        <v>10</v>
      </c>
      <c r="B3479" s="1">
        <v>45312.875</v>
      </c>
      <c r="C3479">
        <v>0</v>
      </c>
      <c r="D3479">
        <v>0</v>
      </c>
    </row>
    <row r="3480" spans="1:4" x14ac:dyDescent="0.3">
      <c r="A3480" t="s">
        <v>10</v>
      </c>
      <c r="B3480" s="1">
        <v>45312.916666666664</v>
      </c>
      <c r="C3480">
        <v>0</v>
      </c>
      <c r="D3480">
        <v>0</v>
      </c>
    </row>
    <row r="3481" spans="1:4" x14ac:dyDescent="0.3">
      <c r="A3481" t="s">
        <v>10</v>
      </c>
      <c r="B3481" s="1">
        <v>45312.958333333336</v>
      </c>
      <c r="C3481">
        <v>0</v>
      </c>
      <c r="D3481">
        <v>0</v>
      </c>
    </row>
    <row r="3482" spans="1:4" x14ac:dyDescent="0.3">
      <c r="A3482" t="s">
        <v>10</v>
      </c>
      <c r="B3482" s="1">
        <v>45313</v>
      </c>
      <c r="C3482">
        <v>0</v>
      </c>
      <c r="D3482">
        <v>0</v>
      </c>
    </row>
    <row r="3483" spans="1:4" x14ac:dyDescent="0.3">
      <c r="A3483" t="s">
        <v>10</v>
      </c>
      <c r="B3483" s="1">
        <v>45313.041666666664</v>
      </c>
      <c r="C3483">
        <v>0</v>
      </c>
      <c r="D3483">
        <v>0</v>
      </c>
    </row>
    <row r="3484" spans="1:4" x14ac:dyDescent="0.3">
      <c r="A3484" t="s">
        <v>10</v>
      </c>
      <c r="B3484" s="1">
        <v>45313.083333333336</v>
      </c>
      <c r="C3484">
        <v>0</v>
      </c>
      <c r="D3484">
        <v>0</v>
      </c>
    </row>
    <row r="3485" spans="1:4" x14ac:dyDescent="0.3">
      <c r="A3485" t="s">
        <v>10</v>
      </c>
      <c r="B3485" s="1">
        <v>45313.125</v>
      </c>
      <c r="C3485">
        <v>0</v>
      </c>
      <c r="D3485">
        <v>0</v>
      </c>
    </row>
    <row r="3486" spans="1:4" x14ac:dyDescent="0.3">
      <c r="A3486" t="s">
        <v>10</v>
      </c>
      <c r="B3486" s="1">
        <v>45313.166666666664</v>
      </c>
      <c r="C3486">
        <v>0</v>
      </c>
      <c r="D3486">
        <v>0</v>
      </c>
    </row>
    <row r="3487" spans="1:4" x14ac:dyDescent="0.3">
      <c r="A3487" t="s">
        <v>10</v>
      </c>
      <c r="B3487" s="1">
        <v>45313.208333333336</v>
      </c>
      <c r="C3487">
        <v>0</v>
      </c>
      <c r="D3487">
        <v>0</v>
      </c>
    </row>
    <row r="3488" spans="1:4" x14ac:dyDescent="0.3">
      <c r="A3488" t="s">
        <v>10</v>
      </c>
      <c r="B3488" s="1">
        <v>45313.25</v>
      </c>
      <c r="C3488">
        <v>0</v>
      </c>
      <c r="D3488">
        <v>0</v>
      </c>
    </row>
    <row r="3489" spans="1:4" x14ac:dyDescent="0.3">
      <c r="A3489" t="s">
        <v>10</v>
      </c>
      <c r="B3489" s="1">
        <v>45313.291666666664</v>
      </c>
      <c r="C3489">
        <v>310.58285412302399</v>
      </c>
      <c r="D3489">
        <v>207.05523608201599</v>
      </c>
    </row>
    <row r="3490" spans="1:4" x14ac:dyDescent="0.3">
      <c r="A3490" t="s">
        <v>10</v>
      </c>
      <c r="B3490" s="1">
        <v>45313.333333333336</v>
      </c>
      <c r="C3490">
        <v>600</v>
      </c>
      <c r="D3490">
        <v>399.99999999999898</v>
      </c>
    </row>
    <row r="3491" spans="1:4" x14ac:dyDescent="0.3">
      <c r="A3491" t="s">
        <v>10</v>
      </c>
      <c r="B3491" s="1">
        <v>45313.375</v>
      </c>
      <c r="C3491">
        <v>848.52813742385695</v>
      </c>
      <c r="D3491">
        <v>565.68542494923804</v>
      </c>
    </row>
    <row r="3492" spans="1:4" x14ac:dyDescent="0.3">
      <c r="A3492" t="s">
        <v>10</v>
      </c>
      <c r="B3492" s="1">
        <v>45313.416666666664</v>
      </c>
      <c r="C3492">
        <v>1039.23048454132</v>
      </c>
      <c r="D3492">
        <v>692.82032302754999</v>
      </c>
    </row>
    <row r="3493" spans="1:4" x14ac:dyDescent="0.3">
      <c r="A3493" t="s">
        <v>10</v>
      </c>
      <c r="B3493" s="1">
        <v>45313.458333333336</v>
      </c>
      <c r="C3493">
        <v>1159.1109915468801</v>
      </c>
      <c r="D3493">
        <v>772.74066103125404</v>
      </c>
    </row>
    <row r="3494" spans="1:4" x14ac:dyDescent="0.3">
      <c r="A3494" t="s">
        <v>10</v>
      </c>
      <c r="B3494" s="1">
        <v>45313.5</v>
      </c>
      <c r="C3494">
        <v>1200</v>
      </c>
      <c r="D3494">
        <v>800</v>
      </c>
    </row>
    <row r="3495" spans="1:4" x14ac:dyDescent="0.3">
      <c r="A3495" t="s">
        <v>10</v>
      </c>
      <c r="B3495" s="1">
        <v>45313.541666666664</v>
      </c>
      <c r="C3495">
        <v>1159.1109915468801</v>
      </c>
      <c r="D3495">
        <v>772.74066103125404</v>
      </c>
    </row>
    <row r="3496" spans="1:4" x14ac:dyDescent="0.3">
      <c r="A3496" t="s">
        <v>10</v>
      </c>
      <c r="B3496" s="1">
        <v>45313.583333333336</v>
      </c>
      <c r="C3496">
        <v>1039.23048454132</v>
      </c>
      <c r="D3496">
        <v>692.82032302755101</v>
      </c>
    </row>
    <row r="3497" spans="1:4" x14ac:dyDescent="0.3">
      <c r="A3497" t="s">
        <v>10</v>
      </c>
      <c r="B3497" s="1">
        <v>45313.625</v>
      </c>
      <c r="C3497">
        <v>848.52813742385695</v>
      </c>
      <c r="D3497">
        <v>565.68542494923804</v>
      </c>
    </row>
    <row r="3498" spans="1:4" x14ac:dyDescent="0.3">
      <c r="A3498" t="s">
        <v>10</v>
      </c>
      <c r="B3498" s="1">
        <v>45313.666666666664</v>
      </c>
      <c r="C3498">
        <v>600</v>
      </c>
      <c r="D3498">
        <v>399.99999999999898</v>
      </c>
    </row>
    <row r="3499" spans="1:4" x14ac:dyDescent="0.3">
      <c r="A3499" t="s">
        <v>10</v>
      </c>
      <c r="B3499" s="1">
        <v>45313.708333333336</v>
      </c>
      <c r="C3499">
        <v>310.58285412302502</v>
      </c>
      <c r="D3499">
        <v>207.05523608201599</v>
      </c>
    </row>
    <row r="3500" spans="1:4" x14ac:dyDescent="0.3">
      <c r="A3500" t="s">
        <v>10</v>
      </c>
      <c r="B3500" s="1">
        <v>45313.75</v>
      </c>
      <c r="C3500" s="2">
        <v>1.46957615897682E-13</v>
      </c>
      <c r="D3500" s="2">
        <v>9.7971743931788194E-14</v>
      </c>
    </row>
    <row r="3501" spans="1:4" x14ac:dyDescent="0.3">
      <c r="A3501" t="s">
        <v>10</v>
      </c>
      <c r="B3501" s="1">
        <v>45313.791666666664</v>
      </c>
      <c r="C3501">
        <v>0</v>
      </c>
      <c r="D3501">
        <v>0</v>
      </c>
    </row>
    <row r="3502" spans="1:4" x14ac:dyDescent="0.3">
      <c r="A3502" t="s">
        <v>10</v>
      </c>
      <c r="B3502" s="1">
        <v>45313.833333333336</v>
      </c>
      <c r="C3502">
        <v>0</v>
      </c>
      <c r="D3502">
        <v>0</v>
      </c>
    </row>
    <row r="3503" spans="1:4" x14ac:dyDescent="0.3">
      <c r="A3503" t="s">
        <v>10</v>
      </c>
      <c r="B3503" s="1">
        <v>45313.875</v>
      </c>
      <c r="C3503">
        <v>0</v>
      </c>
      <c r="D3503">
        <v>0</v>
      </c>
    </row>
    <row r="3504" spans="1:4" x14ac:dyDescent="0.3">
      <c r="A3504" t="s">
        <v>10</v>
      </c>
      <c r="B3504" s="1">
        <v>45313.916666666664</v>
      </c>
      <c r="C3504">
        <v>0</v>
      </c>
      <c r="D3504">
        <v>0</v>
      </c>
    </row>
    <row r="3505" spans="1:4" x14ac:dyDescent="0.3">
      <c r="A3505" t="s">
        <v>10</v>
      </c>
      <c r="B3505" s="1">
        <v>45313.958333333336</v>
      </c>
      <c r="C3505">
        <v>0</v>
      </c>
      <c r="D3505">
        <v>0</v>
      </c>
    </row>
    <row r="3506" spans="1:4" x14ac:dyDescent="0.3">
      <c r="A3506" t="s">
        <v>10</v>
      </c>
      <c r="B3506" s="1">
        <v>45314</v>
      </c>
      <c r="C3506">
        <v>0</v>
      </c>
      <c r="D3506">
        <v>0</v>
      </c>
    </row>
    <row r="3507" spans="1:4" x14ac:dyDescent="0.3">
      <c r="A3507" t="s">
        <v>10</v>
      </c>
      <c r="B3507" s="1">
        <v>45314.041666666664</v>
      </c>
      <c r="C3507">
        <v>0</v>
      </c>
      <c r="D3507">
        <v>0</v>
      </c>
    </row>
    <row r="3508" spans="1:4" x14ac:dyDescent="0.3">
      <c r="A3508" t="s">
        <v>10</v>
      </c>
      <c r="B3508" s="1">
        <v>45314.083333333336</v>
      </c>
      <c r="C3508">
        <v>0</v>
      </c>
      <c r="D3508">
        <v>0</v>
      </c>
    </row>
    <row r="3509" spans="1:4" x14ac:dyDescent="0.3">
      <c r="A3509" t="s">
        <v>10</v>
      </c>
      <c r="B3509" s="1">
        <v>45314.125</v>
      </c>
      <c r="C3509">
        <v>0</v>
      </c>
      <c r="D3509">
        <v>0</v>
      </c>
    </row>
    <row r="3510" spans="1:4" x14ac:dyDescent="0.3">
      <c r="A3510" t="s">
        <v>10</v>
      </c>
      <c r="B3510" s="1">
        <v>45314.166666666664</v>
      </c>
      <c r="C3510">
        <v>0</v>
      </c>
      <c r="D3510">
        <v>0</v>
      </c>
    </row>
    <row r="3511" spans="1:4" x14ac:dyDescent="0.3">
      <c r="A3511" t="s">
        <v>10</v>
      </c>
      <c r="B3511" s="1">
        <v>45314.208333333336</v>
      </c>
      <c r="C3511">
        <v>0</v>
      </c>
      <c r="D3511">
        <v>0</v>
      </c>
    </row>
    <row r="3512" spans="1:4" x14ac:dyDescent="0.3">
      <c r="A3512" t="s">
        <v>10</v>
      </c>
      <c r="B3512" s="1">
        <v>45314.25</v>
      </c>
      <c r="C3512">
        <v>0</v>
      </c>
      <c r="D3512">
        <v>0</v>
      </c>
    </row>
    <row r="3513" spans="1:4" x14ac:dyDescent="0.3">
      <c r="A3513" t="s">
        <v>10</v>
      </c>
      <c r="B3513" s="1">
        <v>45314.291666666664</v>
      </c>
      <c r="C3513">
        <v>310.58285412302399</v>
      </c>
      <c r="D3513">
        <v>207.05523608201599</v>
      </c>
    </row>
    <row r="3514" spans="1:4" x14ac:dyDescent="0.3">
      <c r="A3514" t="s">
        <v>10</v>
      </c>
      <c r="B3514" s="1">
        <v>45314.333333333336</v>
      </c>
      <c r="C3514">
        <v>600</v>
      </c>
      <c r="D3514">
        <v>399.99999999999898</v>
      </c>
    </row>
    <row r="3515" spans="1:4" x14ac:dyDescent="0.3">
      <c r="A3515" t="s">
        <v>10</v>
      </c>
      <c r="B3515" s="1">
        <v>45314.375</v>
      </c>
      <c r="C3515">
        <v>848.52813742385695</v>
      </c>
      <c r="D3515">
        <v>565.68542494923804</v>
      </c>
    </row>
    <row r="3516" spans="1:4" x14ac:dyDescent="0.3">
      <c r="A3516" t="s">
        <v>10</v>
      </c>
      <c r="B3516" s="1">
        <v>45314.416666666664</v>
      </c>
      <c r="C3516">
        <v>1039.23048454132</v>
      </c>
      <c r="D3516">
        <v>692.82032302754999</v>
      </c>
    </row>
    <row r="3517" spans="1:4" x14ac:dyDescent="0.3">
      <c r="A3517" t="s">
        <v>10</v>
      </c>
      <c r="B3517" s="1">
        <v>45314.458333333336</v>
      </c>
      <c r="C3517">
        <v>1159.1109915468801</v>
      </c>
      <c r="D3517">
        <v>772.74066103125404</v>
      </c>
    </row>
    <row r="3518" spans="1:4" x14ac:dyDescent="0.3">
      <c r="A3518" t="s">
        <v>10</v>
      </c>
      <c r="B3518" s="1">
        <v>45314.5</v>
      </c>
      <c r="C3518">
        <v>1200</v>
      </c>
      <c r="D3518">
        <v>800</v>
      </c>
    </row>
    <row r="3519" spans="1:4" x14ac:dyDescent="0.3">
      <c r="A3519" t="s">
        <v>10</v>
      </c>
      <c r="B3519" s="1">
        <v>45314.541666666664</v>
      </c>
      <c r="C3519">
        <v>1159.1109915468801</v>
      </c>
      <c r="D3519">
        <v>772.74066103125404</v>
      </c>
    </row>
    <row r="3520" spans="1:4" x14ac:dyDescent="0.3">
      <c r="A3520" t="s">
        <v>10</v>
      </c>
      <c r="B3520" s="1">
        <v>45314.583333333336</v>
      </c>
      <c r="C3520">
        <v>1039.23048454132</v>
      </c>
      <c r="D3520">
        <v>692.82032302755101</v>
      </c>
    </row>
    <row r="3521" spans="1:4" x14ac:dyDescent="0.3">
      <c r="A3521" t="s">
        <v>10</v>
      </c>
      <c r="B3521" s="1">
        <v>45314.625</v>
      </c>
      <c r="C3521">
        <v>848.52813742385695</v>
      </c>
      <c r="D3521">
        <v>565.68542494923804</v>
      </c>
    </row>
    <row r="3522" spans="1:4" x14ac:dyDescent="0.3">
      <c r="A3522" t="s">
        <v>10</v>
      </c>
      <c r="B3522" s="1">
        <v>45314.666666666664</v>
      </c>
      <c r="C3522">
        <v>600</v>
      </c>
      <c r="D3522">
        <v>399.99999999999898</v>
      </c>
    </row>
    <row r="3523" spans="1:4" x14ac:dyDescent="0.3">
      <c r="A3523" t="s">
        <v>10</v>
      </c>
      <c r="B3523" s="1">
        <v>45314.708333333336</v>
      </c>
      <c r="C3523">
        <v>310.58285412302502</v>
      </c>
      <c r="D3523">
        <v>207.05523608201599</v>
      </c>
    </row>
    <row r="3524" spans="1:4" x14ac:dyDescent="0.3">
      <c r="A3524" t="s">
        <v>10</v>
      </c>
      <c r="B3524" s="1">
        <v>45314.75</v>
      </c>
      <c r="C3524" s="2">
        <v>1.46957615897682E-13</v>
      </c>
      <c r="D3524" s="2">
        <v>9.7971743931788194E-14</v>
      </c>
    </row>
    <row r="3525" spans="1:4" x14ac:dyDescent="0.3">
      <c r="A3525" t="s">
        <v>10</v>
      </c>
      <c r="B3525" s="1">
        <v>45314.791666666664</v>
      </c>
      <c r="C3525">
        <v>0</v>
      </c>
      <c r="D3525">
        <v>0</v>
      </c>
    </row>
    <row r="3526" spans="1:4" x14ac:dyDescent="0.3">
      <c r="A3526" t="s">
        <v>10</v>
      </c>
      <c r="B3526" s="1">
        <v>45314.833333333336</v>
      </c>
      <c r="C3526">
        <v>0</v>
      </c>
      <c r="D3526">
        <v>0</v>
      </c>
    </row>
    <row r="3527" spans="1:4" x14ac:dyDescent="0.3">
      <c r="A3527" t="s">
        <v>10</v>
      </c>
      <c r="B3527" s="1">
        <v>45314.875</v>
      </c>
      <c r="C3527">
        <v>0</v>
      </c>
      <c r="D3527">
        <v>0</v>
      </c>
    </row>
    <row r="3528" spans="1:4" x14ac:dyDescent="0.3">
      <c r="A3528" t="s">
        <v>10</v>
      </c>
      <c r="B3528" s="1">
        <v>45314.916666666664</v>
      </c>
      <c r="C3528">
        <v>0</v>
      </c>
      <c r="D3528">
        <v>0</v>
      </c>
    </row>
    <row r="3529" spans="1:4" x14ac:dyDescent="0.3">
      <c r="A3529" t="s">
        <v>10</v>
      </c>
      <c r="B3529" s="1">
        <v>45314.958333333336</v>
      </c>
      <c r="C3529">
        <v>0</v>
      </c>
      <c r="D3529">
        <v>0</v>
      </c>
    </row>
    <row r="3530" spans="1:4" x14ac:dyDescent="0.3">
      <c r="A3530" t="s">
        <v>10</v>
      </c>
      <c r="B3530" s="1">
        <v>45315</v>
      </c>
      <c r="C3530">
        <v>0</v>
      </c>
      <c r="D3530">
        <v>0</v>
      </c>
    </row>
    <row r="3531" spans="1:4" x14ac:dyDescent="0.3">
      <c r="A3531" t="s">
        <v>10</v>
      </c>
      <c r="B3531" s="1">
        <v>45315.041666666664</v>
      </c>
      <c r="C3531">
        <v>0</v>
      </c>
      <c r="D3531">
        <v>0</v>
      </c>
    </row>
    <row r="3532" spans="1:4" x14ac:dyDescent="0.3">
      <c r="A3532" t="s">
        <v>10</v>
      </c>
      <c r="B3532" s="1">
        <v>45315.083333333336</v>
      </c>
      <c r="C3532">
        <v>0</v>
      </c>
      <c r="D3532">
        <v>0</v>
      </c>
    </row>
    <row r="3533" spans="1:4" x14ac:dyDescent="0.3">
      <c r="A3533" t="s">
        <v>10</v>
      </c>
      <c r="B3533" s="1">
        <v>45315.125</v>
      </c>
      <c r="C3533">
        <v>0</v>
      </c>
      <c r="D3533">
        <v>0</v>
      </c>
    </row>
    <row r="3534" spans="1:4" x14ac:dyDescent="0.3">
      <c r="A3534" t="s">
        <v>10</v>
      </c>
      <c r="B3534" s="1">
        <v>45315.166666666664</v>
      </c>
      <c r="C3534">
        <v>0</v>
      </c>
      <c r="D3534">
        <v>0</v>
      </c>
    </row>
    <row r="3535" spans="1:4" x14ac:dyDescent="0.3">
      <c r="A3535" t="s">
        <v>10</v>
      </c>
      <c r="B3535" s="1">
        <v>45315.208333333336</v>
      </c>
      <c r="C3535">
        <v>0</v>
      </c>
      <c r="D3535">
        <v>0</v>
      </c>
    </row>
    <row r="3536" spans="1:4" x14ac:dyDescent="0.3">
      <c r="A3536" t="s">
        <v>10</v>
      </c>
      <c r="B3536" s="1">
        <v>45315.25</v>
      </c>
      <c r="C3536">
        <v>0</v>
      </c>
      <c r="D3536">
        <v>0</v>
      </c>
    </row>
    <row r="3537" spans="1:4" x14ac:dyDescent="0.3">
      <c r="A3537" t="s">
        <v>10</v>
      </c>
      <c r="B3537" s="1">
        <v>45315.291666666664</v>
      </c>
      <c r="C3537">
        <v>310.58285412302399</v>
      </c>
      <c r="D3537">
        <v>207.05523608201599</v>
      </c>
    </row>
    <row r="3538" spans="1:4" x14ac:dyDescent="0.3">
      <c r="A3538" t="s">
        <v>10</v>
      </c>
      <c r="B3538" s="1">
        <v>45315.333333333336</v>
      </c>
      <c r="C3538">
        <v>600</v>
      </c>
      <c r="D3538">
        <v>399.99999999999898</v>
      </c>
    </row>
    <row r="3539" spans="1:4" x14ac:dyDescent="0.3">
      <c r="A3539" t="s">
        <v>10</v>
      </c>
      <c r="B3539" s="1">
        <v>45315.375</v>
      </c>
      <c r="C3539">
        <v>848.52813742385695</v>
      </c>
      <c r="D3539">
        <v>565.68542494923804</v>
      </c>
    </row>
    <row r="3540" spans="1:4" x14ac:dyDescent="0.3">
      <c r="A3540" t="s">
        <v>10</v>
      </c>
      <c r="B3540" s="1">
        <v>45315.416666666664</v>
      </c>
      <c r="C3540">
        <v>1039.23048454132</v>
      </c>
      <c r="D3540">
        <v>692.82032302754999</v>
      </c>
    </row>
    <row r="3541" spans="1:4" x14ac:dyDescent="0.3">
      <c r="A3541" t="s">
        <v>10</v>
      </c>
      <c r="B3541" s="1">
        <v>45315.458333333336</v>
      </c>
      <c r="C3541">
        <v>1159.1109915468801</v>
      </c>
      <c r="D3541">
        <v>772.74066103125404</v>
      </c>
    </row>
    <row r="3542" spans="1:4" x14ac:dyDescent="0.3">
      <c r="A3542" t="s">
        <v>10</v>
      </c>
      <c r="B3542" s="1">
        <v>45315.5</v>
      </c>
      <c r="C3542">
        <v>1200</v>
      </c>
      <c r="D3542">
        <v>800</v>
      </c>
    </row>
    <row r="3543" spans="1:4" x14ac:dyDescent="0.3">
      <c r="A3543" t="s">
        <v>10</v>
      </c>
      <c r="B3543" s="1">
        <v>45315.541666666664</v>
      </c>
      <c r="C3543">
        <v>1159.1109915468801</v>
      </c>
      <c r="D3543">
        <v>772.74066103125404</v>
      </c>
    </row>
    <row r="3544" spans="1:4" x14ac:dyDescent="0.3">
      <c r="A3544" t="s">
        <v>10</v>
      </c>
      <c r="B3544" s="1">
        <v>45315.583333333336</v>
      </c>
      <c r="C3544">
        <v>1039.23048454132</v>
      </c>
      <c r="D3544">
        <v>692.82032302755101</v>
      </c>
    </row>
    <row r="3545" spans="1:4" x14ac:dyDescent="0.3">
      <c r="A3545" t="s">
        <v>10</v>
      </c>
      <c r="B3545" s="1">
        <v>45315.625</v>
      </c>
      <c r="C3545">
        <v>848.52813742385695</v>
      </c>
      <c r="D3545">
        <v>565.68542494923804</v>
      </c>
    </row>
    <row r="3546" spans="1:4" x14ac:dyDescent="0.3">
      <c r="A3546" t="s">
        <v>10</v>
      </c>
      <c r="B3546" s="1">
        <v>45315.666666666664</v>
      </c>
      <c r="C3546">
        <v>600</v>
      </c>
      <c r="D3546">
        <v>399.99999999999898</v>
      </c>
    </row>
    <row r="3547" spans="1:4" x14ac:dyDescent="0.3">
      <c r="A3547" t="s">
        <v>10</v>
      </c>
      <c r="B3547" s="1">
        <v>45315.708333333336</v>
      </c>
      <c r="C3547">
        <v>310.58285412302502</v>
      </c>
      <c r="D3547">
        <v>207.05523608201599</v>
      </c>
    </row>
    <row r="3548" spans="1:4" x14ac:dyDescent="0.3">
      <c r="A3548" t="s">
        <v>10</v>
      </c>
      <c r="B3548" s="1">
        <v>45315.75</v>
      </c>
      <c r="C3548" s="2">
        <v>1.46957615897682E-13</v>
      </c>
      <c r="D3548" s="2">
        <v>9.7971743931788194E-14</v>
      </c>
    </row>
    <row r="3549" spans="1:4" x14ac:dyDescent="0.3">
      <c r="A3549" t="s">
        <v>10</v>
      </c>
      <c r="B3549" s="1">
        <v>45315.791666666664</v>
      </c>
      <c r="C3549">
        <v>0</v>
      </c>
      <c r="D3549">
        <v>0</v>
      </c>
    </row>
    <row r="3550" spans="1:4" x14ac:dyDescent="0.3">
      <c r="A3550" t="s">
        <v>10</v>
      </c>
      <c r="B3550" s="1">
        <v>45315.833333333336</v>
      </c>
      <c r="C3550">
        <v>0</v>
      </c>
      <c r="D3550">
        <v>0</v>
      </c>
    </row>
    <row r="3551" spans="1:4" x14ac:dyDescent="0.3">
      <c r="A3551" t="s">
        <v>10</v>
      </c>
      <c r="B3551" s="1">
        <v>45315.875</v>
      </c>
      <c r="C3551">
        <v>0</v>
      </c>
      <c r="D3551">
        <v>0</v>
      </c>
    </row>
    <row r="3552" spans="1:4" x14ac:dyDescent="0.3">
      <c r="A3552" t="s">
        <v>10</v>
      </c>
      <c r="B3552" s="1">
        <v>45315.916666666664</v>
      </c>
      <c r="C3552">
        <v>0</v>
      </c>
      <c r="D3552">
        <v>0</v>
      </c>
    </row>
    <row r="3553" spans="1:4" x14ac:dyDescent="0.3">
      <c r="A3553" t="s">
        <v>10</v>
      </c>
      <c r="B3553" s="1">
        <v>45315.958333333336</v>
      </c>
      <c r="C3553">
        <v>0</v>
      </c>
      <c r="D3553">
        <v>0</v>
      </c>
    </row>
    <row r="3554" spans="1:4" x14ac:dyDescent="0.3">
      <c r="A3554" t="s">
        <v>10</v>
      </c>
      <c r="B3554" s="1">
        <v>45316</v>
      </c>
      <c r="C3554">
        <v>0</v>
      </c>
      <c r="D3554">
        <v>0</v>
      </c>
    </row>
    <row r="3555" spans="1:4" x14ac:dyDescent="0.3">
      <c r="A3555" t="s">
        <v>10</v>
      </c>
      <c r="B3555" s="1">
        <v>45316.041666666664</v>
      </c>
      <c r="C3555">
        <v>0</v>
      </c>
      <c r="D3555">
        <v>0</v>
      </c>
    </row>
    <row r="3556" spans="1:4" x14ac:dyDescent="0.3">
      <c r="A3556" t="s">
        <v>10</v>
      </c>
      <c r="B3556" s="1">
        <v>45316.083333333336</v>
      </c>
      <c r="C3556">
        <v>0</v>
      </c>
      <c r="D3556">
        <v>0</v>
      </c>
    </row>
    <row r="3557" spans="1:4" x14ac:dyDescent="0.3">
      <c r="A3557" t="s">
        <v>10</v>
      </c>
      <c r="B3557" s="1">
        <v>45316.125</v>
      </c>
      <c r="C3557">
        <v>0</v>
      </c>
      <c r="D3557">
        <v>0</v>
      </c>
    </row>
    <row r="3558" spans="1:4" x14ac:dyDescent="0.3">
      <c r="A3558" t="s">
        <v>10</v>
      </c>
      <c r="B3558" s="1">
        <v>45316.166666666664</v>
      </c>
      <c r="C3558">
        <v>0</v>
      </c>
      <c r="D3558">
        <v>0</v>
      </c>
    </row>
    <row r="3559" spans="1:4" x14ac:dyDescent="0.3">
      <c r="A3559" t="s">
        <v>10</v>
      </c>
      <c r="B3559" s="1">
        <v>45316.208333333336</v>
      </c>
      <c r="C3559">
        <v>0</v>
      </c>
      <c r="D3559">
        <v>0</v>
      </c>
    </row>
    <row r="3560" spans="1:4" x14ac:dyDescent="0.3">
      <c r="A3560" t="s">
        <v>10</v>
      </c>
      <c r="B3560" s="1">
        <v>45316.25</v>
      </c>
      <c r="C3560">
        <v>0</v>
      </c>
      <c r="D3560">
        <v>0</v>
      </c>
    </row>
    <row r="3561" spans="1:4" x14ac:dyDescent="0.3">
      <c r="A3561" t="s">
        <v>10</v>
      </c>
      <c r="B3561" s="1">
        <v>45316.291666666664</v>
      </c>
      <c r="C3561">
        <v>310.58285412302399</v>
      </c>
      <c r="D3561">
        <v>207.05523608201599</v>
      </c>
    </row>
    <row r="3562" spans="1:4" x14ac:dyDescent="0.3">
      <c r="A3562" t="s">
        <v>10</v>
      </c>
      <c r="B3562" s="1">
        <v>45316.333333333336</v>
      </c>
      <c r="C3562">
        <v>600</v>
      </c>
      <c r="D3562">
        <v>399.99999999999898</v>
      </c>
    </row>
    <row r="3563" spans="1:4" x14ac:dyDescent="0.3">
      <c r="A3563" t="s">
        <v>10</v>
      </c>
      <c r="B3563" s="1">
        <v>45316.375</v>
      </c>
      <c r="C3563">
        <v>848.52813742385695</v>
      </c>
      <c r="D3563">
        <v>565.68542494923804</v>
      </c>
    </row>
    <row r="3564" spans="1:4" x14ac:dyDescent="0.3">
      <c r="A3564" t="s">
        <v>10</v>
      </c>
      <c r="B3564" s="1">
        <v>45316.416666666664</v>
      </c>
      <c r="C3564">
        <v>1039.23048454132</v>
      </c>
      <c r="D3564">
        <v>692.82032302754999</v>
      </c>
    </row>
    <row r="3565" spans="1:4" x14ac:dyDescent="0.3">
      <c r="A3565" t="s">
        <v>10</v>
      </c>
      <c r="B3565" s="1">
        <v>45316.458333333336</v>
      </c>
      <c r="C3565">
        <v>1159.1109915468801</v>
      </c>
      <c r="D3565">
        <v>772.74066103125404</v>
      </c>
    </row>
    <row r="3566" spans="1:4" x14ac:dyDescent="0.3">
      <c r="A3566" t="s">
        <v>10</v>
      </c>
      <c r="B3566" s="1">
        <v>45316.5</v>
      </c>
      <c r="C3566">
        <v>1200</v>
      </c>
      <c r="D3566">
        <v>800</v>
      </c>
    </row>
    <row r="3567" spans="1:4" x14ac:dyDescent="0.3">
      <c r="A3567" t="s">
        <v>10</v>
      </c>
      <c r="B3567" s="1">
        <v>45316.541666666664</v>
      </c>
      <c r="C3567">
        <v>1159.1109915468801</v>
      </c>
      <c r="D3567">
        <v>772.74066103125404</v>
      </c>
    </row>
    <row r="3568" spans="1:4" x14ac:dyDescent="0.3">
      <c r="A3568" t="s">
        <v>10</v>
      </c>
      <c r="B3568" s="1">
        <v>45316.583333333336</v>
      </c>
      <c r="C3568">
        <v>1039.23048454132</v>
      </c>
      <c r="D3568">
        <v>692.82032302755101</v>
      </c>
    </row>
    <row r="3569" spans="1:4" x14ac:dyDescent="0.3">
      <c r="A3569" t="s">
        <v>10</v>
      </c>
      <c r="B3569" s="1">
        <v>45316.625</v>
      </c>
      <c r="C3569">
        <v>848.52813742385695</v>
      </c>
      <c r="D3569">
        <v>565.68542494923804</v>
      </c>
    </row>
    <row r="3570" spans="1:4" x14ac:dyDescent="0.3">
      <c r="A3570" t="s">
        <v>10</v>
      </c>
      <c r="B3570" s="1">
        <v>45316.666666666664</v>
      </c>
      <c r="C3570">
        <v>600</v>
      </c>
      <c r="D3570">
        <v>399.99999999999898</v>
      </c>
    </row>
    <row r="3571" spans="1:4" x14ac:dyDescent="0.3">
      <c r="A3571" t="s">
        <v>10</v>
      </c>
      <c r="B3571" s="1">
        <v>45316.708333333336</v>
      </c>
      <c r="C3571">
        <v>310.58285412302502</v>
      </c>
      <c r="D3571">
        <v>207.05523608201599</v>
      </c>
    </row>
    <row r="3572" spans="1:4" x14ac:dyDescent="0.3">
      <c r="A3572" t="s">
        <v>10</v>
      </c>
      <c r="B3572" s="1">
        <v>45316.75</v>
      </c>
      <c r="C3572" s="2">
        <v>1.46957615897682E-13</v>
      </c>
      <c r="D3572" s="2">
        <v>9.7971743931788194E-14</v>
      </c>
    </row>
    <row r="3573" spans="1:4" x14ac:dyDescent="0.3">
      <c r="A3573" t="s">
        <v>10</v>
      </c>
      <c r="B3573" s="1">
        <v>45316.791666666664</v>
      </c>
      <c r="C3573">
        <v>0</v>
      </c>
      <c r="D3573">
        <v>0</v>
      </c>
    </row>
    <row r="3574" spans="1:4" x14ac:dyDescent="0.3">
      <c r="A3574" t="s">
        <v>10</v>
      </c>
      <c r="B3574" s="1">
        <v>45316.833333333336</v>
      </c>
      <c r="C3574">
        <v>0</v>
      </c>
      <c r="D3574">
        <v>0</v>
      </c>
    </row>
    <row r="3575" spans="1:4" x14ac:dyDescent="0.3">
      <c r="A3575" t="s">
        <v>10</v>
      </c>
      <c r="B3575" s="1">
        <v>45316.875</v>
      </c>
      <c r="C3575">
        <v>0</v>
      </c>
      <c r="D3575">
        <v>0</v>
      </c>
    </row>
    <row r="3576" spans="1:4" x14ac:dyDescent="0.3">
      <c r="A3576" t="s">
        <v>10</v>
      </c>
      <c r="B3576" s="1">
        <v>45316.916666666664</v>
      </c>
      <c r="C3576">
        <v>0</v>
      </c>
      <c r="D3576">
        <v>0</v>
      </c>
    </row>
    <row r="3577" spans="1:4" x14ac:dyDescent="0.3">
      <c r="A3577" t="s">
        <v>10</v>
      </c>
      <c r="B3577" s="1">
        <v>45316.958333333336</v>
      </c>
      <c r="C3577">
        <v>0</v>
      </c>
      <c r="D3577">
        <v>0</v>
      </c>
    </row>
    <row r="3578" spans="1:4" x14ac:dyDescent="0.3">
      <c r="A3578" t="s">
        <v>10</v>
      </c>
      <c r="B3578" s="1">
        <v>45317</v>
      </c>
      <c r="C3578">
        <v>0</v>
      </c>
      <c r="D3578">
        <v>0</v>
      </c>
    </row>
    <row r="3579" spans="1:4" x14ac:dyDescent="0.3">
      <c r="A3579" t="s">
        <v>10</v>
      </c>
      <c r="B3579" s="1">
        <v>45317.041666666664</v>
      </c>
      <c r="C3579">
        <v>0</v>
      </c>
      <c r="D3579">
        <v>0</v>
      </c>
    </row>
    <row r="3580" spans="1:4" x14ac:dyDescent="0.3">
      <c r="A3580" t="s">
        <v>10</v>
      </c>
      <c r="B3580" s="1">
        <v>45317.083333333336</v>
      </c>
      <c r="C3580">
        <v>0</v>
      </c>
      <c r="D3580">
        <v>0</v>
      </c>
    </row>
    <row r="3581" spans="1:4" x14ac:dyDescent="0.3">
      <c r="A3581" t="s">
        <v>10</v>
      </c>
      <c r="B3581" s="1">
        <v>45317.125</v>
      </c>
      <c r="C3581">
        <v>0</v>
      </c>
      <c r="D3581">
        <v>0</v>
      </c>
    </row>
    <row r="3582" spans="1:4" x14ac:dyDescent="0.3">
      <c r="A3582" t="s">
        <v>10</v>
      </c>
      <c r="B3582" s="1">
        <v>45317.166666666664</v>
      </c>
      <c r="C3582">
        <v>0</v>
      </c>
      <c r="D3582">
        <v>0</v>
      </c>
    </row>
    <row r="3583" spans="1:4" x14ac:dyDescent="0.3">
      <c r="A3583" t="s">
        <v>10</v>
      </c>
      <c r="B3583" s="1">
        <v>45317.208333333336</v>
      </c>
      <c r="C3583">
        <v>0</v>
      </c>
      <c r="D3583">
        <v>0</v>
      </c>
    </row>
    <row r="3584" spans="1:4" x14ac:dyDescent="0.3">
      <c r="A3584" t="s">
        <v>10</v>
      </c>
      <c r="B3584" s="1">
        <v>45317.25</v>
      </c>
      <c r="C3584">
        <v>0</v>
      </c>
      <c r="D3584">
        <v>0</v>
      </c>
    </row>
    <row r="3585" spans="1:4" x14ac:dyDescent="0.3">
      <c r="A3585" t="s">
        <v>10</v>
      </c>
      <c r="B3585" s="1">
        <v>45317.291666666664</v>
      </c>
      <c r="C3585">
        <v>310.58285412302399</v>
      </c>
      <c r="D3585">
        <v>207.05523608201599</v>
      </c>
    </row>
    <row r="3586" spans="1:4" x14ac:dyDescent="0.3">
      <c r="A3586" t="s">
        <v>10</v>
      </c>
      <c r="B3586" s="1">
        <v>45317.333333333336</v>
      </c>
      <c r="C3586">
        <v>600</v>
      </c>
      <c r="D3586">
        <v>399.99999999999898</v>
      </c>
    </row>
    <row r="3587" spans="1:4" x14ac:dyDescent="0.3">
      <c r="A3587" t="s">
        <v>10</v>
      </c>
      <c r="B3587" s="1">
        <v>45317.375</v>
      </c>
      <c r="C3587">
        <v>848.52813742385695</v>
      </c>
      <c r="D3587">
        <v>565.68542494923804</v>
      </c>
    </row>
    <row r="3588" spans="1:4" x14ac:dyDescent="0.3">
      <c r="A3588" t="s">
        <v>10</v>
      </c>
      <c r="B3588" s="1">
        <v>45317.416666666664</v>
      </c>
      <c r="C3588">
        <v>1039.23048454132</v>
      </c>
      <c r="D3588">
        <v>692.82032302754999</v>
      </c>
    </row>
    <row r="3589" spans="1:4" x14ac:dyDescent="0.3">
      <c r="A3589" t="s">
        <v>10</v>
      </c>
      <c r="B3589" s="1">
        <v>45317.458333333336</v>
      </c>
      <c r="C3589">
        <v>1159.1109915468801</v>
      </c>
      <c r="D3589">
        <v>772.74066103125404</v>
      </c>
    </row>
    <row r="3590" spans="1:4" x14ac:dyDescent="0.3">
      <c r="A3590" t="s">
        <v>10</v>
      </c>
      <c r="B3590" s="1">
        <v>45317.5</v>
      </c>
      <c r="C3590">
        <v>1200</v>
      </c>
      <c r="D3590">
        <v>800</v>
      </c>
    </row>
    <row r="3591" spans="1:4" x14ac:dyDescent="0.3">
      <c r="A3591" t="s">
        <v>10</v>
      </c>
      <c r="B3591" s="1">
        <v>45317.541666666664</v>
      </c>
      <c r="C3591">
        <v>1159.1109915468801</v>
      </c>
      <c r="D3591">
        <v>772.74066103125404</v>
      </c>
    </row>
    <row r="3592" spans="1:4" x14ac:dyDescent="0.3">
      <c r="A3592" t="s">
        <v>10</v>
      </c>
      <c r="B3592" s="1">
        <v>45317.583333333336</v>
      </c>
      <c r="C3592">
        <v>1039.23048454132</v>
      </c>
      <c r="D3592">
        <v>692.82032302755101</v>
      </c>
    </row>
    <row r="3593" spans="1:4" x14ac:dyDescent="0.3">
      <c r="A3593" t="s">
        <v>10</v>
      </c>
      <c r="B3593" s="1">
        <v>45317.625</v>
      </c>
      <c r="C3593">
        <v>848.52813742385695</v>
      </c>
      <c r="D3593">
        <v>565.68542494923804</v>
      </c>
    </row>
    <row r="3594" spans="1:4" x14ac:dyDescent="0.3">
      <c r="A3594" t="s">
        <v>10</v>
      </c>
      <c r="B3594" s="1">
        <v>45317.666666666664</v>
      </c>
      <c r="C3594">
        <v>600</v>
      </c>
      <c r="D3594">
        <v>399.99999999999898</v>
      </c>
    </row>
    <row r="3595" spans="1:4" x14ac:dyDescent="0.3">
      <c r="A3595" t="s">
        <v>10</v>
      </c>
      <c r="B3595" s="1">
        <v>45317.708333333336</v>
      </c>
      <c r="C3595">
        <v>310.58285412302502</v>
      </c>
      <c r="D3595">
        <v>207.05523608201599</v>
      </c>
    </row>
    <row r="3596" spans="1:4" x14ac:dyDescent="0.3">
      <c r="A3596" t="s">
        <v>10</v>
      </c>
      <c r="B3596" s="1">
        <v>45317.75</v>
      </c>
      <c r="C3596" s="2">
        <v>1.46957615897682E-13</v>
      </c>
      <c r="D3596" s="2">
        <v>9.7971743931788194E-14</v>
      </c>
    </row>
    <row r="3597" spans="1:4" x14ac:dyDescent="0.3">
      <c r="A3597" t="s">
        <v>10</v>
      </c>
      <c r="B3597" s="1">
        <v>45317.791666666664</v>
      </c>
      <c r="C3597">
        <v>0</v>
      </c>
      <c r="D3597">
        <v>0</v>
      </c>
    </row>
    <row r="3598" spans="1:4" x14ac:dyDescent="0.3">
      <c r="A3598" t="s">
        <v>10</v>
      </c>
      <c r="B3598" s="1">
        <v>45317.833333333336</v>
      </c>
      <c r="C3598">
        <v>0</v>
      </c>
      <c r="D3598">
        <v>0</v>
      </c>
    </row>
    <row r="3599" spans="1:4" x14ac:dyDescent="0.3">
      <c r="A3599" t="s">
        <v>10</v>
      </c>
      <c r="B3599" s="1">
        <v>45317.875</v>
      </c>
      <c r="C3599">
        <v>0</v>
      </c>
      <c r="D3599">
        <v>0</v>
      </c>
    </row>
    <row r="3600" spans="1:4" x14ac:dyDescent="0.3">
      <c r="A3600" t="s">
        <v>10</v>
      </c>
      <c r="B3600" s="1">
        <v>45317.916666666664</v>
      </c>
      <c r="C3600">
        <v>0</v>
      </c>
      <c r="D3600">
        <v>0</v>
      </c>
    </row>
    <row r="3601" spans="1:4" x14ac:dyDescent="0.3">
      <c r="A3601" t="s">
        <v>10</v>
      </c>
      <c r="B3601" s="1">
        <v>45317.958333333336</v>
      </c>
      <c r="C3601">
        <v>0</v>
      </c>
      <c r="D3601">
        <v>0</v>
      </c>
    </row>
    <row r="3602" spans="1:4" x14ac:dyDescent="0.3">
      <c r="A3602" t="s">
        <v>10</v>
      </c>
      <c r="B3602" s="1">
        <v>45318</v>
      </c>
      <c r="C3602">
        <v>0</v>
      </c>
      <c r="D3602">
        <v>0</v>
      </c>
    </row>
    <row r="3603" spans="1:4" x14ac:dyDescent="0.3">
      <c r="A3603" t="s">
        <v>10</v>
      </c>
      <c r="B3603" s="1">
        <v>45318.041666666664</v>
      </c>
      <c r="C3603">
        <v>0</v>
      </c>
      <c r="D3603">
        <v>0</v>
      </c>
    </row>
    <row r="3604" spans="1:4" x14ac:dyDescent="0.3">
      <c r="A3604" t="s">
        <v>10</v>
      </c>
      <c r="B3604" s="1">
        <v>45318.083333333336</v>
      </c>
      <c r="C3604">
        <v>0</v>
      </c>
      <c r="D3604">
        <v>0</v>
      </c>
    </row>
    <row r="3605" spans="1:4" x14ac:dyDescent="0.3">
      <c r="A3605" t="s">
        <v>10</v>
      </c>
      <c r="B3605" s="1">
        <v>45318.125</v>
      </c>
      <c r="C3605">
        <v>0</v>
      </c>
      <c r="D3605">
        <v>0</v>
      </c>
    </row>
    <row r="3606" spans="1:4" x14ac:dyDescent="0.3">
      <c r="A3606" t="s">
        <v>10</v>
      </c>
      <c r="B3606" s="1">
        <v>45318.166666666664</v>
      </c>
      <c r="C3606">
        <v>0</v>
      </c>
      <c r="D3606">
        <v>0</v>
      </c>
    </row>
    <row r="3607" spans="1:4" x14ac:dyDescent="0.3">
      <c r="A3607" t="s">
        <v>10</v>
      </c>
      <c r="B3607" s="1">
        <v>45318.208333333336</v>
      </c>
      <c r="C3607">
        <v>0</v>
      </c>
      <c r="D3607">
        <v>0</v>
      </c>
    </row>
    <row r="3608" spans="1:4" x14ac:dyDescent="0.3">
      <c r="A3608" t="s">
        <v>10</v>
      </c>
      <c r="B3608" s="1">
        <v>45318.25</v>
      </c>
      <c r="C3608">
        <v>0</v>
      </c>
      <c r="D3608">
        <v>0</v>
      </c>
    </row>
    <row r="3609" spans="1:4" x14ac:dyDescent="0.3">
      <c r="A3609" t="s">
        <v>10</v>
      </c>
      <c r="B3609" s="1">
        <v>45318.291666666664</v>
      </c>
      <c r="C3609">
        <v>310.58285412302399</v>
      </c>
      <c r="D3609">
        <v>207.05523608201599</v>
      </c>
    </row>
    <row r="3610" spans="1:4" x14ac:dyDescent="0.3">
      <c r="A3610" t="s">
        <v>10</v>
      </c>
      <c r="B3610" s="1">
        <v>45318.333333333336</v>
      </c>
      <c r="C3610">
        <v>600</v>
      </c>
      <c r="D3610">
        <v>399.99999999999898</v>
      </c>
    </row>
    <row r="3611" spans="1:4" x14ac:dyDescent="0.3">
      <c r="A3611" t="s">
        <v>10</v>
      </c>
      <c r="B3611" s="1">
        <v>45318.375</v>
      </c>
      <c r="C3611">
        <v>848.52813742385695</v>
      </c>
      <c r="D3611">
        <v>565.68542494923804</v>
      </c>
    </row>
    <row r="3612" spans="1:4" x14ac:dyDescent="0.3">
      <c r="A3612" t="s">
        <v>10</v>
      </c>
      <c r="B3612" s="1">
        <v>45318.416666666664</v>
      </c>
      <c r="C3612">
        <v>1039.23048454132</v>
      </c>
      <c r="D3612">
        <v>692.82032302754999</v>
      </c>
    </row>
    <row r="3613" spans="1:4" x14ac:dyDescent="0.3">
      <c r="A3613" t="s">
        <v>10</v>
      </c>
      <c r="B3613" s="1">
        <v>45318.458333333336</v>
      </c>
      <c r="C3613">
        <v>1159.1109915468801</v>
      </c>
      <c r="D3613">
        <v>772.74066103125404</v>
      </c>
    </row>
    <row r="3614" spans="1:4" x14ac:dyDescent="0.3">
      <c r="A3614" t="s">
        <v>10</v>
      </c>
      <c r="B3614" s="1">
        <v>45318.5</v>
      </c>
      <c r="C3614">
        <v>1200</v>
      </c>
      <c r="D3614">
        <v>800</v>
      </c>
    </row>
    <row r="3615" spans="1:4" x14ac:dyDescent="0.3">
      <c r="A3615" t="s">
        <v>10</v>
      </c>
      <c r="B3615" s="1">
        <v>45318.541666666664</v>
      </c>
      <c r="C3615">
        <v>1159.1109915468801</v>
      </c>
      <c r="D3615">
        <v>772.74066103125404</v>
      </c>
    </row>
    <row r="3616" spans="1:4" x14ac:dyDescent="0.3">
      <c r="A3616" t="s">
        <v>10</v>
      </c>
      <c r="B3616" s="1">
        <v>45318.583333333336</v>
      </c>
      <c r="C3616">
        <v>1039.23048454132</v>
      </c>
      <c r="D3616">
        <v>692.82032302755101</v>
      </c>
    </row>
    <row r="3617" spans="1:4" x14ac:dyDescent="0.3">
      <c r="A3617" t="s">
        <v>10</v>
      </c>
      <c r="B3617" s="1">
        <v>45318.625</v>
      </c>
      <c r="C3617">
        <v>848.52813742385695</v>
      </c>
      <c r="D3617">
        <v>565.68542494923804</v>
      </c>
    </row>
    <row r="3618" spans="1:4" x14ac:dyDescent="0.3">
      <c r="A3618" t="s">
        <v>10</v>
      </c>
      <c r="B3618" s="1">
        <v>45318.666666666664</v>
      </c>
      <c r="C3618">
        <v>600</v>
      </c>
      <c r="D3618">
        <v>399.99999999999898</v>
      </c>
    </row>
    <row r="3619" spans="1:4" x14ac:dyDescent="0.3">
      <c r="A3619" t="s">
        <v>10</v>
      </c>
      <c r="B3619" s="1">
        <v>45318.708333333336</v>
      </c>
      <c r="C3619">
        <v>310.58285412302502</v>
      </c>
      <c r="D3619">
        <v>207.05523608201599</v>
      </c>
    </row>
    <row r="3620" spans="1:4" x14ac:dyDescent="0.3">
      <c r="A3620" t="s">
        <v>10</v>
      </c>
      <c r="B3620" s="1">
        <v>45318.75</v>
      </c>
      <c r="C3620" s="2">
        <v>1.46957615897682E-13</v>
      </c>
      <c r="D3620" s="2">
        <v>9.7971743931788194E-14</v>
      </c>
    </row>
    <row r="3621" spans="1:4" x14ac:dyDescent="0.3">
      <c r="A3621" t="s">
        <v>10</v>
      </c>
      <c r="B3621" s="1">
        <v>45318.791666666664</v>
      </c>
      <c r="C3621">
        <v>0</v>
      </c>
      <c r="D3621">
        <v>0</v>
      </c>
    </row>
    <row r="3622" spans="1:4" x14ac:dyDescent="0.3">
      <c r="A3622" t="s">
        <v>10</v>
      </c>
      <c r="B3622" s="1">
        <v>45318.833333333336</v>
      </c>
      <c r="C3622">
        <v>0</v>
      </c>
      <c r="D3622">
        <v>0</v>
      </c>
    </row>
    <row r="3623" spans="1:4" x14ac:dyDescent="0.3">
      <c r="A3623" t="s">
        <v>10</v>
      </c>
      <c r="B3623" s="1">
        <v>45318.875</v>
      </c>
      <c r="C3623">
        <v>0</v>
      </c>
      <c r="D3623">
        <v>0</v>
      </c>
    </row>
    <row r="3624" spans="1:4" x14ac:dyDescent="0.3">
      <c r="A3624" t="s">
        <v>10</v>
      </c>
      <c r="B3624" s="1">
        <v>45318.916666666664</v>
      </c>
      <c r="C3624">
        <v>0</v>
      </c>
      <c r="D3624">
        <v>0</v>
      </c>
    </row>
    <row r="3625" spans="1:4" x14ac:dyDescent="0.3">
      <c r="A3625" t="s">
        <v>10</v>
      </c>
      <c r="B3625" s="1">
        <v>45318.958333333336</v>
      </c>
      <c r="C3625">
        <v>0</v>
      </c>
      <c r="D3625">
        <v>0</v>
      </c>
    </row>
    <row r="3626" spans="1:4" x14ac:dyDescent="0.3">
      <c r="A3626" t="s">
        <v>10</v>
      </c>
      <c r="B3626" s="1">
        <v>45319</v>
      </c>
      <c r="C3626">
        <v>0</v>
      </c>
      <c r="D3626">
        <v>0</v>
      </c>
    </row>
    <row r="3627" spans="1:4" x14ac:dyDescent="0.3">
      <c r="A3627" t="s">
        <v>10</v>
      </c>
      <c r="B3627" s="1">
        <v>45319.041666666664</v>
      </c>
      <c r="C3627">
        <v>0</v>
      </c>
      <c r="D3627">
        <v>0</v>
      </c>
    </row>
    <row r="3628" spans="1:4" x14ac:dyDescent="0.3">
      <c r="A3628" t="s">
        <v>10</v>
      </c>
      <c r="B3628" s="1">
        <v>45319.083333333336</v>
      </c>
      <c r="C3628">
        <v>0</v>
      </c>
      <c r="D3628">
        <v>0</v>
      </c>
    </row>
    <row r="3629" spans="1:4" x14ac:dyDescent="0.3">
      <c r="A3629" t="s">
        <v>10</v>
      </c>
      <c r="B3629" s="1">
        <v>45319.125</v>
      </c>
      <c r="C3629">
        <v>0</v>
      </c>
      <c r="D3629">
        <v>0</v>
      </c>
    </row>
    <row r="3630" spans="1:4" x14ac:dyDescent="0.3">
      <c r="A3630" t="s">
        <v>10</v>
      </c>
      <c r="B3630" s="1">
        <v>45319.166666666664</v>
      </c>
      <c r="C3630">
        <v>0</v>
      </c>
      <c r="D3630">
        <v>0</v>
      </c>
    </row>
    <row r="3631" spans="1:4" x14ac:dyDescent="0.3">
      <c r="A3631" t="s">
        <v>10</v>
      </c>
      <c r="B3631" s="1">
        <v>45319.208333333336</v>
      </c>
      <c r="C3631">
        <v>0</v>
      </c>
      <c r="D3631">
        <v>0</v>
      </c>
    </row>
    <row r="3632" spans="1:4" x14ac:dyDescent="0.3">
      <c r="A3632" t="s">
        <v>10</v>
      </c>
      <c r="B3632" s="1">
        <v>45319.25</v>
      </c>
      <c r="C3632">
        <v>0</v>
      </c>
      <c r="D3632">
        <v>0</v>
      </c>
    </row>
    <row r="3633" spans="1:4" x14ac:dyDescent="0.3">
      <c r="A3633" t="s">
        <v>10</v>
      </c>
      <c r="B3633" s="1">
        <v>45319.291666666664</v>
      </c>
      <c r="C3633">
        <v>310.58285412302399</v>
      </c>
      <c r="D3633">
        <v>207.05523608201599</v>
      </c>
    </row>
    <row r="3634" spans="1:4" x14ac:dyDescent="0.3">
      <c r="A3634" t="s">
        <v>10</v>
      </c>
      <c r="B3634" s="1">
        <v>45319.333333333336</v>
      </c>
      <c r="C3634">
        <v>600</v>
      </c>
      <c r="D3634">
        <v>399.99999999999898</v>
      </c>
    </row>
    <row r="3635" spans="1:4" x14ac:dyDescent="0.3">
      <c r="A3635" t="s">
        <v>10</v>
      </c>
      <c r="B3635" s="1">
        <v>45319.375</v>
      </c>
      <c r="C3635">
        <v>848.52813742385695</v>
      </c>
      <c r="D3635">
        <v>565.68542494923804</v>
      </c>
    </row>
    <row r="3636" spans="1:4" x14ac:dyDescent="0.3">
      <c r="A3636" t="s">
        <v>10</v>
      </c>
      <c r="B3636" s="1">
        <v>45319.416666666664</v>
      </c>
      <c r="C3636">
        <v>1039.23048454132</v>
      </c>
      <c r="D3636">
        <v>692.82032302754999</v>
      </c>
    </row>
    <row r="3637" spans="1:4" x14ac:dyDescent="0.3">
      <c r="A3637" t="s">
        <v>10</v>
      </c>
      <c r="B3637" s="1">
        <v>45319.458333333336</v>
      </c>
      <c r="C3637">
        <v>1159.1109915468801</v>
      </c>
      <c r="D3637">
        <v>772.74066103125404</v>
      </c>
    </row>
    <row r="3638" spans="1:4" x14ac:dyDescent="0.3">
      <c r="A3638" t="s">
        <v>10</v>
      </c>
      <c r="B3638" s="1">
        <v>45319.5</v>
      </c>
      <c r="C3638">
        <v>1200</v>
      </c>
      <c r="D3638">
        <v>800</v>
      </c>
    </row>
    <row r="3639" spans="1:4" x14ac:dyDescent="0.3">
      <c r="A3639" t="s">
        <v>10</v>
      </c>
      <c r="B3639" s="1">
        <v>45319.541666666664</v>
      </c>
      <c r="C3639">
        <v>1159.1109915468801</v>
      </c>
      <c r="D3639">
        <v>772.74066103125404</v>
      </c>
    </row>
    <row r="3640" spans="1:4" x14ac:dyDescent="0.3">
      <c r="A3640" t="s">
        <v>10</v>
      </c>
      <c r="B3640" s="1">
        <v>45319.583333333336</v>
      </c>
      <c r="C3640">
        <v>1039.23048454132</v>
      </c>
      <c r="D3640">
        <v>692.82032302755101</v>
      </c>
    </row>
    <row r="3641" spans="1:4" x14ac:dyDescent="0.3">
      <c r="A3641" t="s">
        <v>10</v>
      </c>
      <c r="B3641" s="1">
        <v>45319.625</v>
      </c>
      <c r="C3641">
        <v>848.52813742385695</v>
      </c>
      <c r="D3641">
        <v>565.68542494923804</v>
      </c>
    </row>
    <row r="3642" spans="1:4" x14ac:dyDescent="0.3">
      <c r="A3642" t="s">
        <v>10</v>
      </c>
      <c r="B3642" s="1">
        <v>45319.666666666664</v>
      </c>
      <c r="C3642">
        <v>600</v>
      </c>
      <c r="D3642">
        <v>399.99999999999898</v>
      </c>
    </row>
    <row r="3643" spans="1:4" x14ac:dyDescent="0.3">
      <c r="A3643" t="s">
        <v>10</v>
      </c>
      <c r="B3643" s="1">
        <v>45319.708333333336</v>
      </c>
      <c r="C3643">
        <v>310.58285412302502</v>
      </c>
      <c r="D3643">
        <v>207.05523608201599</v>
      </c>
    </row>
    <row r="3644" spans="1:4" x14ac:dyDescent="0.3">
      <c r="A3644" t="s">
        <v>10</v>
      </c>
      <c r="B3644" s="1">
        <v>45319.75</v>
      </c>
      <c r="C3644" s="2">
        <v>1.46957615897682E-13</v>
      </c>
      <c r="D3644" s="2">
        <v>9.7971743931788194E-14</v>
      </c>
    </row>
    <row r="3645" spans="1:4" x14ac:dyDescent="0.3">
      <c r="A3645" t="s">
        <v>10</v>
      </c>
      <c r="B3645" s="1">
        <v>45319.791666666664</v>
      </c>
      <c r="C3645">
        <v>0</v>
      </c>
      <c r="D3645">
        <v>0</v>
      </c>
    </row>
    <row r="3646" spans="1:4" x14ac:dyDescent="0.3">
      <c r="A3646" t="s">
        <v>10</v>
      </c>
      <c r="B3646" s="1">
        <v>45319.833333333336</v>
      </c>
      <c r="C3646">
        <v>0</v>
      </c>
      <c r="D3646">
        <v>0</v>
      </c>
    </row>
    <row r="3647" spans="1:4" x14ac:dyDescent="0.3">
      <c r="A3647" t="s">
        <v>10</v>
      </c>
      <c r="B3647" s="1">
        <v>45319.875</v>
      </c>
      <c r="C3647">
        <v>0</v>
      </c>
      <c r="D3647">
        <v>0</v>
      </c>
    </row>
    <row r="3648" spans="1:4" x14ac:dyDescent="0.3">
      <c r="A3648" t="s">
        <v>10</v>
      </c>
      <c r="B3648" s="1">
        <v>45319.916666666664</v>
      </c>
      <c r="C3648">
        <v>0</v>
      </c>
      <c r="D3648">
        <v>0</v>
      </c>
    </row>
    <row r="3649" spans="1:4" x14ac:dyDescent="0.3">
      <c r="A3649" t="s">
        <v>10</v>
      </c>
      <c r="B3649" s="1">
        <v>45319.958333333336</v>
      </c>
      <c r="C3649">
        <v>0</v>
      </c>
      <c r="D3649">
        <v>0</v>
      </c>
    </row>
    <row r="3650" spans="1:4" x14ac:dyDescent="0.3">
      <c r="A3650" t="s">
        <v>10</v>
      </c>
      <c r="B3650" s="1">
        <v>45320</v>
      </c>
      <c r="C3650">
        <v>0</v>
      </c>
      <c r="D3650">
        <v>0</v>
      </c>
    </row>
    <row r="3651" spans="1:4" x14ac:dyDescent="0.3">
      <c r="A3651" t="s">
        <v>10</v>
      </c>
      <c r="B3651" s="1">
        <v>45320.041666666664</v>
      </c>
      <c r="C3651">
        <v>0</v>
      </c>
      <c r="D3651">
        <v>0</v>
      </c>
    </row>
    <row r="3652" spans="1:4" x14ac:dyDescent="0.3">
      <c r="A3652" t="s">
        <v>10</v>
      </c>
      <c r="B3652" s="1">
        <v>45320.083333333336</v>
      </c>
      <c r="C3652">
        <v>0</v>
      </c>
      <c r="D3652">
        <v>0</v>
      </c>
    </row>
    <row r="3653" spans="1:4" x14ac:dyDescent="0.3">
      <c r="A3653" t="s">
        <v>10</v>
      </c>
      <c r="B3653" s="1">
        <v>45320.125</v>
      </c>
      <c r="C3653">
        <v>0</v>
      </c>
      <c r="D3653">
        <v>0</v>
      </c>
    </row>
    <row r="3654" spans="1:4" x14ac:dyDescent="0.3">
      <c r="A3654" t="s">
        <v>10</v>
      </c>
      <c r="B3654" s="1">
        <v>45320.166666666664</v>
      </c>
      <c r="C3654">
        <v>0</v>
      </c>
      <c r="D3654">
        <v>0</v>
      </c>
    </row>
    <row r="3655" spans="1:4" x14ac:dyDescent="0.3">
      <c r="A3655" t="s">
        <v>10</v>
      </c>
      <c r="B3655" s="1">
        <v>45320.208333333336</v>
      </c>
      <c r="C3655">
        <v>0</v>
      </c>
      <c r="D3655">
        <v>0</v>
      </c>
    </row>
    <row r="3656" spans="1:4" x14ac:dyDescent="0.3">
      <c r="A3656" t="s">
        <v>10</v>
      </c>
      <c r="B3656" s="1">
        <v>45320.25</v>
      </c>
      <c r="C3656">
        <v>0</v>
      </c>
      <c r="D3656">
        <v>0</v>
      </c>
    </row>
    <row r="3657" spans="1:4" x14ac:dyDescent="0.3">
      <c r="A3657" t="s">
        <v>10</v>
      </c>
      <c r="B3657" s="1">
        <v>45320.291666666664</v>
      </c>
      <c r="C3657">
        <v>310.58285412302399</v>
      </c>
      <c r="D3657">
        <v>207.05523608201599</v>
      </c>
    </row>
    <row r="3658" spans="1:4" x14ac:dyDescent="0.3">
      <c r="A3658" t="s">
        <v>10</v>
      </c>
      <c r="B3658" s="1">
        <v>45320.333333333336</v>
      </c>
      <c r="C3658">
        <v>600</v>
      </c>
      <c r="D3658">
        <v>399.99999999999898</v>
      </c>
    </row>
    <row r="3659" spans="1:4" x14ac:dyDescent="0.3">
      <c r="A3659" t="s">
        <v>10</v>
      </c>
      <c r="B3659" s="1">
        <v>45320.375</v>
      </c>
      <c r="C3659">
        <v>848.52813742385695</v>
      </c>
      <c r="D3659">
        <v>565.68542494923804</v>
      </c>
    </row>
    <row r="3660" spans="1:4" x14ac:dyDescent="0.3">
      <c r="A3660" t="s">
        <v>10</v>
      </c>
      <c r="B3660" s="1">
        <v>45320.416666666664</v>
      </c>
      <c r="C3660">
        <v>1039.23048454132</v>
      </c>
      <c r="D3660">
        <v>692.82032302754999</v>
      </c>
    </row>
    <row r="3661" spans="1:4" x14ac:dyDescent="0.3">
      <c r="A3661" t="s">
        <v>10</v>
      </c>
      <c r="B3661" s="1">
        <v>45320.458333333336</v>
      </c>
      <c r="C3661">
        <v>1159.1109915468801</v>
      </c>
      <c r="D3661">
        <v>772.74066103125404</v>
      </c>
    </row>
    <row r="3662" spans="1:4" x14ac:dyDescent="0.3">
      <c r="A3662" t="s">
        <v>10</v>
      </c>
      <c r="B3662" s="1">
        <v>45320.5</v>
      </c>
      <c r="C3662">
        <v>1200</v>
      </c>
      <c r="D3662">
        <v>800</v>
      </c>
    </row>
    <row r="3663" spans="1:4" x14ac:dyDescent="0.3">
      <c r="A3663" t="s">
        <v>10</v>
      </c>
      <c r="B3663" s="1">
        <v>45320.541666666664</v>
      </c>
      <c r="C3663">
        <v>1159.1109915468801</v>
      </c>
      <c r="D3663">
        <v>772.74066103125404</v>
      </c>
    </row>
    <row r="3664" spans="1:4" x14ac:dyDescent="0.3">
      <c r="A3664" t="s">
        <v>10</v>
      </c>
      <c r="B3664" s="1">
        <v>45320.583333333336</v>
      </c>
      <c r="C3664">
        <v>1039.23048454132</v>
      </c>
      <c r="D3664">
        <v>692.82032302755101</v>
      </c>
    </row>
    <row r="3665" spans="1:4" x14ac:dyDescent="0.3">
      <c r="A3665" t="s">
        <v>10</v>
      </c>
      <c r="B3665" s="1">
        <v>45320.625</v>
      </c>
      <c r="C3665">
        <v>848.52813742385695</v>
      </c>
      <c r="D3665">
        <v>565.68542494923804</v>
      </c>
    </row>
    <row r="3666" spans="1:4" x14ac:dyDescent="0.3">
      <c r="A3666" t="s">
        <v>10</v>
      </c>
      <c r="B3666" s="1">
        <v>45320.666666666664</v>
      </c>
      <c r="C3666">
        <v>600</v>
      </c>
      <c r="D3666">
        <v>399.99999999999898</v>
      </c>
    </row>
    <row r="3667" spans="1:4" x14ac:dyDescent="0.3">
      <c r="A3667" t="s">
        <v>10</v>
      </c>
      <c r="B3667" s="1">
        <v>45320.708333333336</v>
      </c>
      <c r="C3667">
        <v>310.58285412302502</v>
      </c>
      <c r="D3667">
        <v>207.05523608201599</v>
      </c>
    </row>
    <row r="3668" spans="1:4" x14ac:dyDescent="0.3">
      <c r="A3668" t="s">
        <v>10</v>
      </c>
      <c r="B3668" s="1">
        <v>45320.75</v>
      </c>
      <c r="C3668" s="2">
        <v>1.46957615897682E-13</v>
      </c>
      <c r="D3668" s="2">
        <v>9.7971743931788194E-14</v>
      </c>
    </row>
    <row r="3669" spans="1:4" x14ac:dyDescent="0.3">
      <c r="A3669" t="s">
        <v>10</v>
      </c>
      <c r="B3669" s="1">
        <v>45320.791666666664</v>
      </c>
      <c r="C3669">
        <v>0</v>
      </c>
      <c r="D3669">
        <v>0</v>
      </c>
    </row>
    <row r="3670" spans="1:4" x14ac:dyDescent="0.3">
      <c r="A3670" t="s">
        <v>10</v>
      </c>
      <c r="B3670" s="1">
        <v>45320.833333333336</v>
      </c>
      <c r="C3670">
        <v>0</v>
      </c>
      <c r="D3670">
        <v>0</v>
      </c>
    </row>
    <row r="3671" spans="1:4" x14ac:dyDescent="0.3">
      <c r="A3671" t="s">
        <v>10</v>
      </c>
      <c r="B3671" s="1">
        <v>45320.875</v>
      </c>
      <c r="C3671">
        <v>0</v>
      </c>
      <c r="D3671">
        <v>0</v>
      </c>
    </row>
    <row r="3672" spans="1:4" x14ac:dyDescent="0.3">
      <c r="A3672" t="s">
        <v>10</v>
      </c>
      <c r="B3672" s="1">
        <v>45320.916666666664</v>
      </c>
      <c r="C3672">
        <v>0</v>
      </c>
      <c r="D3672">
        <v>0</v>
      </c>
    </row>
    <row r="3673" spans="1:4" x14ac:dyDescent="0.3">
      <c r="A3673" t="s">
        <v>10</v>
      </c>
      <c r="B3673" s="1">
        <v>45320.958333333336</v>
      </c>
      <c r="C3673">
        <v>0</v>
      </c>
      <c r="D3673">
        <v>0</v>
      </c>
    </row>
    <row r="3674" spans="1:4" x14ac:dyDescent="0.3">
      <c r="A3674" t="s">
        <v>10</v>
      </c>
      <c r="B3674" s="1">
        <v>45321</v>
      </c>
      <c r="C3674">
        <v>0</v>
      </c>
      <c r="D3674">
        <v>0</v>
      </c>
    </row>
    <row r="3675" spans="1:4" x14ac:dyDescent="0.3">
      <c r="A3675" t="s">
        <v>10</v>
      </c>
      <c r="B3675" s="1">
        <v>45321.041666666664</v>
      </c>
      <c r="C3675">
        <v>0</v>
      </c>
      <c r="D3675">
        <v>0</v>
      </c>
    </row>
    <row r="3676" spans="1:4" x14ac:dyDescent="0.3">
      <c r="A3676" t="s">
        <v>10</v>
      </c>
      <c r="B3676" s="1">
        <v>45321.083333333336</v>
      </c>
      <c r="C3676">
        <v>0</v>
      </c>
      <c r="D3676">
        <v>0</v>
      </c>
    </row>
    <row r="3677" spans="1:4" x14ac:dyDescent="0.3">
      <c r="A3677" t="s">
        <v>10</v>
      </c>
      <c r="B3677" s="1">
        <v>45321.125</v>
      </c>
      <c r="C3677">
        <v>0</v>
      </c>
      <c r="D3677">
        <v>0</v>
      </c>
    </row>
    <row r="3678" spans="1:4" x14ac:dyDescent="0.3">
      <c r="A3678" t="s">
        <v>10</v>
      </c>
      <c r="B3678" s="1">
        <v>45321.166666666664</v>
      </c>
      <c r="C3678">
        <v>0</v>
      </c>
      <c r="D3678">
        <v>0</v>
      </c>
    </row>
    <row r="3679" spans="1:4" x14ac:dyDescent="0.3">
      <c r="A3679" t="s">
        <v>10</v>
      </c>
      <c r="B3679" s="1">
        <v>45321.208333333336</v>
      </c>
      <c r="C3679">
        <v>0</v>
      </c>
      <c r="D3679">
        <v>0</v>
      </c>
    </row>
    <row r="3680" spans="1:4" x14ac:dyDescent="0.3">
      <c r="A3680" t="s">
        <v>10</v>
      </c>
      <c r="B3680" s="1">
        <v>45321.25</v>
      </c>
      <c r="C3680">
        <v>0</v>
      </c>
      <c r="D3680">
        <v>0</v>
      </c>
    </row>
    <row r="3681" spans="1:4" x14ac:dyDescent="0.3">
      <c r="A3681" t="s">
        <v>10</v>
      </c>
      <c r="B3681" s="1">
        <v>45321.291666666664</v>
      </c>
      <c r="C3681">
        <v>310.58285412302399</v>
      </c>
      <c r="D3681">
        <v>207.05523608201599</v>
      </c>
    </row>
    <row r="3682" spans="1:4" x14ac:dyDescent="0.3">
      <c r="A3682" t="s">
        <v>10</v>
      </c>
      <c r="B3682" s="1">
        <v>45321.333333333336</v>
      </c>
      <c r="C3682">
        <v>600</v>
      </c>
      <c r="D3682">
        <v>399.99999999999898</v>
      </c>
    </row>
    <row r="3683" spans="1:4" x14ac:dyDescent="0.3">
      <c r="A3683" t="s">
        <v>10</v>
      </c>
      <c r="B3683" s="1">
        <v>45321.375</v>
      </c>
      <c r="C3683">
        <v>848.52813742385695</v>
      </c>
      <c r="D3683">
        <v>565.68542494923804</v>
      </c>
    </row>
    <row r="3684" spans="1:4" x14ac:dyDescent="0.3">
      <c r="A3684" t="s">
        <v>10</v>
      </c>
      <c r="B3684" s="1">
        <v>45321.416666666664</v>
      </c>
      <c r="C3684">
        <v>1039.23048454132</v>
      </c>
      <c r="D3684">
        <v>692.82032302754999</v>
      </c>
    </row>
    <row r="3685" spans="1:4" x14ac:dyDescent="0.3">
      <c r="A3685" t="s">
        <v>10</v>
      </c>
      <c r="B3685" s="1">
        <v>45321.458333333336</v>
      </c>
      <c r="C3685">
        <v>1159.1109915468801</v>
      </c>
      <c r="D3685">
        <v>772.74066103125404</v>
      </c>
    </row>
    <row r="3686" spans="1:4" x14ac:dyDescent="0.3">
      <c r="A3686" t="s">
        <v>10</v>
      </c>
      <c r="B3686" s="1">
        <v>45321.5</v>
      </c>
      <c r="C3686">
        <v>1200</v>
      </c>
      <c r="D3686">
        <v>800</v>
      </c>
    </row>
    <row r="3687" spans="1:4" x14ac:dyDescent="0.3">
      <c r="A3687" t="s">
        <v>10</v>
      </c>
      <c r="B3687" s="1">
        <v>45321.541666666664</v>
      </c>
      <c r="C3687">
        <v>1159.1109915468801</v>
      </c>
      <c r="D3687">
        <v>772.74066103125404</v>
      </c>
    </row>
    <row r="3688" spans="1:4" x14ac:dyDescent="0.3">
      <c r="A3688" t="s">
        <v>10</v>
      </c>
      <c r="B3688" s="1">
        <v>45321.583333333336</v>
      </c>
      <c r="C3688">
        <v>1039.23048454132</v>
      </c>
      <c r="D3688">
        <v>692.82032302755101</v>
      </c>
    </row>
    <row r="3689" spans="1:4" x14ac:dyDescent="0.3">
      <c r="A3689" t="s">
        <v>10</v>
      </c>
      <c r="B3689" s="1">
        <v>45321.625</v>
      </c>
      <c r="C3689">
        <v>848.52813742385695</v>
      </c>
      <c r="D3689">
        <v>565.68542494923804</v>
      </c>
    </row>
    <row r="3690" spans="1:4" x14ac:dyDescent="0.3">
      <c r="A3690" t="s">
        <v>10</v>
      </c>
      <c r="B3690" s="1">
        <v>45321.666666666664</v>
      </c>
      <c r="C3690">
        <v>600</v>
      </c>
      <c r="D3690">
        <v>399.99999999999898</v>
      </c>
    </row>
    <row r="3691" spans="1:4" x14ac:dyDescent="0.3">
      <c r="A3691" t="s">
        <v>10</v>
      </c>
      <c r="B3691" s="1">
        <v>45321.708333333336</v>
      </c>
      <c r="C3691">
        <v>310.58285412302502</v>
      </c>
      <c r="D3691">
        <v>207.05523608201599</v>
      </c>
    </row>
    <row r="3692" spans="1:4" x14ac:dyDescent="0.3">
      <c r="A3692" t="s">
        <v>10</v>
      </c>
      <c r="B3692" s="1">
        <v>45321.75</v>
      </c>
      <c r="C3692" s="2">
        <v>1.46957615897682E-13</v>
      </c>
      <c r="D3692" s="2">
        <v>9.7971743931788194E-14</v>
      </c>
    </row>
    <row r="3693" spans="1:4" x14ac:dyDescent="0.3">
      <c r="A3693" t="s">
        <v>10</v>
      </c>
      <c r="B3693" s="1">
        <v>45321.791666666664</v>
      </c>
      <c r="C3693">
        <v>0</v>
      </c>
      <c r="D3693">
        <v>0</v>
      </c>
    </row>
    <row r="3694" spans="1:4" x14ac:dyDescent="0.3">
      <c r="A3694" t="s">
        <v>10</v>
      </c>
      <c r="B3694" s="1">
        <v>45321.833333333336</v>
      </c>
      <c r="C3694">
        <v>0</v>
      </c>
      <c r="D3694">
        <v>0</v>
      </c>
    </row>
    <row r="3695" spans="1:4" x14ac:dyDescent="0.3">
      <c r="A3695" t="s">
        <v>10</v>
      </c>
      <c r="B3695" s="1">
        <v>45321.875</v>
      </c>
      <c r="C3695">
        <v>0</v>
      </c>
      <c r="D3695">
        <v>0</v>
      </c>
    </row>
    <row r="3696" spans="1:4" x14ac:dyDescent="0.3">
      <c r="A3696" t="s">
        <v>10</v>
      </c>
      <c r="B3696" s="1">
        <v>45321.916666666664</v>
      </c>
      <c r="C3696">
        <v>0</v>
      </c>
      <c r="D3696">
        <v>0</v>
      </c>
    </row>
    <row r="3697" spans="1:4" x14ac:dyDescent="0.3">
      <c r="A3697" t="s">
        <v>10</v>
      </c>
      <c r="B3697" s="1">
        <v>45321.958333333336</v>
      </c>
      <c r="C3697">
        <v>0</v>
      </c>
      <c r="D3697">
        <v>0</v>
      </c>
    </row>
    <row r="3698" spans="1:4" x14ac:dyDescent="0.3">
      <c r="A3698" t="s">
        <v>10</v>
      </c>
      <c r="B3698" s="1">
        <v>45322</v>
      </c>
      <c r="C3698">
        <v>0</v>
      </c>
      <c r="D3698">
        <v>0</v>
      </c>
    </row>
    <row r="3699" spans="1:4" x14ac:dyDescent="0.3">
      <c r="A3699" t="s">
        <v>10</v>
      </c>
      <c r="B3699" s="1">
        <v>45322.041666666664</v>
      </c>
      <c r="C3699">
        <v>0</v>
      </c>
      <c r="D3699">
        <v>0</v>
      </c>
    </row>
    <row r="3700" spans="1:4" x14ac:dyDescent="0.3">
      <c r="A3700" t="s">
        <v>10</v>
      </c>
      <c r="B3700" s="1">
        <v>45322.083333333336</v>
      </c>
      <c r="C3700">
        <v>0</v>
      </c>
      <c r="D3700">
        <v>0</v>
      </c>
    </row>
    <row r="3701" spans="1:4" x14ac:dyDescent="0.3">
      <c r="A3701" t="s">
        <v>10</v>
      </c>
      <c r="B3701" s="1">
        <v>45322.125</v>
      </c>
      <c r="C3701">
        <v>0</v>
      </c>
      <c r="D3701">
        <v>0</v>
      </c>
    </row>
    <row r="3702" spans="1:4" x14ac:dyDescent="0.3">
      <c r="A3702" t="s">
        <v>10</v>
      </c>
      <c r="B3702" s="1">
        <v>45322.166666666664</v>
      </c>
      <c r="C3702">
        <v>0</v>
      </c>
      <c r="D3702">
        <v>0</v>
      </c>
    </row>
    <row r="3703" spans="1:4" x14ac:dyDescent="0.3">
      <c r="A3703" t="s">
        <v>10</v>
      </c>
      <c r="B3703" s="1">
        <v>45322.208333333336</v>
      </c>
      <c r="C3703">
        <v>0</v>
      </c>
      <c r="D3703">
        <v>0</v>
      </c>
    </row>
    <row r="3704" spans="1:4" x14ac:dyDescent="0.3">
      <c r="A3704" t="s">
        <v>10</v>
      </c>
      <c r="B3704" s="1">
        <v>45322.25</v>
      </c>
      <c r="C3704">
        <v>0</v>
      </c>
      <c r="D3704">
        <v>0</v>
      </c>
    </row>
    <row r="3705" spans="1:4" x14ac:dyDescent="0.3">
      <c r="A3705" t="s">
        <v>10</v>
      </c>
      <c r="B3705" s="1">
        <v>45322.291666666664</v>
      </c>
      <c r="C3705">
        <v>310.58285412302399</v>
      </c>
      <c r="D3705">
        <v>207.05523608201599</v>
      </c>
    </row>
    <row r="3706" spans="1:4" x14ac:dyDescent="0.3">
      <c r="A3706" t="s">
        <v>10</v>
      </c>
      <c r="B3706" s="1">
        <v>45322.333333333336</v>
      </c>
      <c r="C3706">
        <v>600</v>
      </c>
      <c r="D3706">
        <v>399.99999999999898</v>
      </c>
    </row>
    <row r="3707" spans="1:4" x14ac:dyDescent="0.3">
      <c r="A3707" t="s">
        <v>10</v>
      </c>
      <c r="B3707" s="1">
        <v>45322.375</v>
      </c>
      <c r="C3707">
        <v>848.52813742385695</v>
      </c>
      <c r="D3707">
        <v>565.68542494923804</v>
      </c>
    </row>
    <row r="3708" spans="1:4" x14ac:dyDescent="0.3">
      <c r="A3708" t="s">
        <v>10</v>
      </c>
      <c r="B3708" s="1">
        <v>45322.416666666664</v>
      </c>
      <c r="C3708">
        <v>1039.23048454132</v>
      </c>
      <c r="D3708">
        <v>692.82032302754999</v>
      </c>
    </row>
    <row r="3709" spans="1:4" x14ac:dyDescent="0.3">
      <c r="A3709" t="s">
        <v>10</v>
      </c>
      <c r="B3709" s="1">
        <v>45322.458333333336</v>
      </c>
      <c r="C3709">
        <v>1159.1109915468801</v>
      </c>
      <c r="D3709">
        <v>772.74066103125404</v>
      </c>
    </row>
    <row r="3710" spans="1:4" x14ac:dyDescent="0.3">
      <c r="A3710" t="s">
        <v>10</v>
      </c>
      <c r="B3710" s="1">
        <v>45322.5</v>
      </c>
      <c r="C3710">
        <v>1200</v>
      </c>
      <c r="D3710">
        <v>800</v>
      </c>
    </row>
    <row r="3711" spans="1:4" x14ac:dyDescent="0.3">
      <c r="A3711" t="s">
        <v>10</v>
      </c>
      <c r="B3711" s="1">
        <v>45322.541666666664</v>
      </c>
      <c r="C3711">
        <v>1159.1109915468801</v>
      </c>
      <c r="D3711">
        <v>772.74066103125404</v>
      </c>
    </row>
    <row r="3712" spans="1:4" x14ac:dyDescent="0.3">
      <c r="A3712" t="s">
        <v>10</v>
      </c>
      <c r="B3712" s="1">
        <v>45322.583333333336</v>
      </c>
      <c r="C3712">
        <v>1039.23048454132</v>
      </c>
      <c r="D3712">
        <v>692.82032302755101</v>
      </c>
    </row>
    <row r="3713" spans="1:4" x14ac:dyDescent="0.3">
      <c r="A3713" t="s">
        <v>10</v>
      </c>
      <c r="B3713" s="1">
        <v>45322.625</v>
      </c>
      <c r="C3713">
        <v>848.52813742385695</v>
      </c>
      <c r="D3713">
        <v>565.68542494923804</v>
      </c>
    </row>
    <row r="3714" spans="1:4" x14ac:dyDescent="0.3">
      <c r="A3714" t="s">
        <v>10</v>
      </c>
      <c r="B3714" s="1">
        <v>45322.666666666664</v>
      </c>
      <c r="C3714">
        <v>600</v>
      </c>
      <c r="D3714">
        <v>399.99999999999898</v>
      </c>
    </row>
    <row r="3715" spans="1:4" x14ac:dyDescent="0.3">
      <c r="A3715" t="s">
        <v>10</v>
      </c>
      <c r="B3715" s="1">
        <v>45322.708333333336</v>
      </c>
      <c r="C3715">
        <v>310.58285412302502</v>
      </c>
      <c r="D3715">
        <v>207.05523608201599</v>
      </c>
    </row>
    <row r="3716" spans="1:4" x14ac:dyDescent="0.3">
      <c r="A3716" t="s">
        <v>10</v>
      </c>
      <c r="B3716" s="1">
        <v>45322.75</v>
      </c>
      <c r="C3716" s="2">
        <v>1.46957615897682E-13</v>
      </c>
      <c r="D3716" s="2">
        <v>9.7971743931788194E-14</v>
      </c>
    </row>
    <row r="3717" spans="1:4" x14ac:dyDescent="0.3">
      <c r="A3717" t="s">
        <v>10</v>
      </c>
      <c r="B3717" s="1">
        <v>45322.791666666664</v>
      </c>
      <c r="C3717">
        <v>0</v>
      </c>
      <c r="D3717">
        <v>0</v>
      </c>
    </row>
    <row r="3718" spans="1:4" x14ac:dyDescent="0.3">
      <c r="A3718" t="s">
        <v>10</v>
      </c>
      <c r="B3718" s="1">
        <v>45322.833333333336</v>
      </c>
      <c r="C3718">
        <v>0</v>
      </c>
      <c r="D3718">
        <v>0</v>
      </c>
    </row>
    <row r="3719" spans="1:4" x14ac:dyDescent="0.3">
      <c r="A3719" t="s">
        <v>10</v>
      </c>
      <c r="B3719" s="1">
        <v>45322.875</v>
      </c>
      <c r="C3719">
        <v>0</v>
      </c>
      <c r="D3719">
        <v>0</v>
      </c>
    </row>
    <row r="3720" spans="1:4" x14ac:dyDescent="0.3">
      <c r="A3720" t="s">
        <v>10</v>
      </c>
      <c r="B3720" s="1">
        <v>45322.916666666664</v>
      </c>
      <c r="C3720">
        <v>0</v>
      </c>
      <c r="D3720">
        <v>0</v>
      </c>
    </row>
    <row r="3721" spans="1:4" x14ac:dyDescent="0.3">
      <c r="A3721" t="s">
        <v>10</v>
      </c>
      <c r="B3721" s="1">
        <v>45322.958333333336</v>
      </c>
      <c r="C3721">
        <v>0</v>
      </c>
      <c r="D37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Pivotsheeat</vt:lpstr>
      <vt:lpstr>Actual</vt:lpstr>
      <vt:lpstr>Expected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Ravi</dc:creator>
  <cp:lastModifiedBy>aravind Ravi</cp:lastModifiedBy>
  <dcterms:created xsi:type="dcterms:W3CDTF">2015-06-05T18:17:20Z</dcterms:created>
  <dcterms:modified xsi:type="dcterms:W3CDTF">2026-02-09T01:52:59Z</dcterms:modified>
</cp:coreProperties>
</file>